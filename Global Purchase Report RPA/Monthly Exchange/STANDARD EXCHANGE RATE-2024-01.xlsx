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Monthly Exchange\"/>
    </mc:Choice>
  </mc:AlternateContent>
  <xr:revisionPtr revIDLastSave="0" documentId="8_{43301AF7-1ECA-467E-87B1-480D385E889F}" xr6:coauthVersionLast="47" xr6:coauthVersionMax="47" xr10:uidLastSave="{00000000-0000-0000-0000-000000000000}"/>
  <bookViews>
    <workbookView xWindow="-108" yWindow="-108" windowWidth="23256" windowHeight="12456" tabRatio="808" xr2:uid="{00000000-000D-0000-FFFF-FFFF00000000}"/>
  </bookViews>
  <sheets>
    <sheet name="Exchange rate table" sheetId="34" r:id="rId1"/>
    <sheet name="AR" sheetId="1" state="hidden" r:id="rId2"/>
    <sheet name="AP" sheetId="2" state="hidden" r:id="rId3"/>
    <sheet name="Pacific Exchange Rate Service" sheetId="4" r:id="rId4"/>
  </sheets>
  <definedNames>
    <definedName name="_xlnm._FilterDatabase" localSheetId="3" hidden="1">'Pacific Exchange Rate Service'!$A$1:$V$2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4" l="1"/>
  <c r="A9" i="34"/>
  <c r="K24" i="34"/>
  <c r="W3" i="4"/>
  <c r="V3" i="4"/>
  <c r="T3" i="4"/>
  <c r="U3" i="4"/>
  <c r="S3" i="4"/>
  <c r="R3" i="4"/>
  <c r="Q3" i="4"/>
  <c r="P3" i="4"/>
  <c r="O3" i="4"/>
  <c r="N3" i="4"/>
  <c r="H13" i="34"/>
  <c r="E13" i="34"/>
  <c r="K13" i="34"/>
  <c r="K23" i="34"/>
  <c r="H16" i="34"/>
  <c r="E16" i="34"/>
  <c r="K16" i="34"/>
  <c r="H19" i="34"/>
  <c r="E19" i="34"/>
  <c r="K19" i="34"/>
  <c r="H21" i="34"/>
  <c r="E21" i="34"/>
  <c r="K21" i="34"/>
  <c r="H18" i="34"/>
  <c r="E18" i="34"/>
  <c r="K18" i="34"/>
  <c r="H15" i="34"/>
  <c r="E15" i="34"/>
  <c r="H14" i="34"/>
  <c r="E14" i="34"/>
  <c r="K14" i="34"/>
  <c r="H17" i="34"/>
  <c r="E17" i="34"/>
  <c r="K17" i="34"/>
  <c r="H20" i="34"/>
  <c r="E20" i="34"/>
  <c r="K20" i="34"/>
  <c r="H22" i="34"/>
  <c r="E22" i="34"/>
  <c r="K22" i="34"/>
  <c r="F24" i="34"/>
  <c r="K15" i="34"/>
</calcChain>
</file>

<file path=xl/sharedStrings.xml><?xml version="1.0" encoding="utf-8"?>
<sst xmlns="http://schemas.openxmlformats.org/spreadsheetml/2006/main" count="349" uniqueCount="105">
  <si>
    <t>MTH</t>
  </si>
  <si>
    <t>CNY</t>
  </si>
  <si>
    <t>AUD</t>
  </si>
  <si>
    <t>GBP</t>
  </si>
  <si>
    <t>EURO</t>
  </si>
  <si>
    <t>USD</t>
  </si>
  <si>
    <t>CAD</t>
  </si>
  <si>
    <t>JPY</t>
  </si>
  <si>
    <t>NTD</t>
  </si>
  <si>
    <t>SGD</t>
  </si>
  <si>
    <t>THB</t>
  </si>
  <si>
    <t>DEC 18</t>
  </si>
  <si>
    <t>JAN 19</t>
  </si>
  <si>
    <t>FEB 19</t>
  </si>
  <si>
    <t>MAR 19</t>
  </si>
  <si>
    <t>APR 19</t>
  </si>
  <si>
    <t>MAY 19</t>
  </si>
  <si>
    <t>JUN 19</t>
  </si>
  <si>
    <t>JUL 19</t>
  </si>
  <si>
    <t>AUG 19</t>
  </si>
  <si>
    <t>SEP 19</t>
  </si>
  <si>
    <t>OCT 19</t>
  </si>
  <si>
    <t>NOV 19</t>
  </si>
  <si>
    <t>DEC 19</t>
  </si>
  <si>
    <t>AR EXCHANGE RATE FOR 2019</t>
  </si>
  <si>
    <t>AP STANDARD EXCHANGE RATE</t>
  </si>
  <si>
    <t>FINANCE DEPARTMENT</t>
  </si>
  <si>
    <t>CURRENCY</t>
  </si>
  <si>
    <t xml:space="preserve">UNIT </t>
  </si>
  <si>
    <t>HK DOLLAR</t>
  </si>
  <si>
    <t>AUSTRALIAN DOLLAR</t>
  </si>
  <si>
    <t>CANADIAN DOLLAR</t>
  </si>
  <si>
    <t>CHINESE YUAN</t>
  </si>
  <si>
    <t>EUR</t>
  </si>
  <si>
    <t>POUND STERLING</t>
  </si>
  <si>
    <t xml:space="preserve">JAPANESE YEN </t>
  </si>
  <si>
    <t>NEW TAIWANESE DOLLAR</t>
  </si>
  <si>
    <t>SINGAPORE DOLLAR</t>
  </si>
  <si>
    <t>THAILAND BAHT</t>
  </si>
  <si>
    <t>U.S. DOLLAR</t>
  </si>
  <si>
    <t>MHK :</t>
  </si>
  <si>
    <t>MMC :</t>
  </si>
  <si>
    <t>MTC :</t>
  </si>
  <si>
    <t>MXL :</t>
  </si>
  <si>
    <t>DATE :</t>
  </si>
  <si>
    <t xml:space="preserve">TO : </t>
  </si>
  <si>
    <t xml:space="preserve">FROM : </t>
  </si>
  <si>
    <t>ALEX</t>
    <phoneticPr fontId="1" type="noConversion"/>
  </si>
  <si>
    <t>PACIFIC Exchange Rate Service</t>
  </si>
  <si>
    <t>Jul.Day</t>
  </si>
  <si>
    <t>YYYY/MM/DD</t>
  </si>
  <si>
    <t>Wdy</t>
  </si>
  <si>
    <t>USD/CAD</t>
  </si>
  <si>
    <t>USD/EUR</t>
  </si>
  <si>
    <t>USD/GBP</t>
  </si>
  <si>
    <t>USD/JPY</t>
  </si>
  <si>
    <t>USD/AUD</t>
  </si>
  <si>
    <t>USD/CNY</t>
  </si>
  <si>
    <t>USD/SGD</t>
  </si>
  <si>
    <t>USD/TWD</t>
  </si>
  <si>
    <t>USD/THB</t>
  </si>
  <si>
    <t>Convert to HKD and re-arrange the sequence</t>
    <phoneticPr fontId="1" type="noConversion"/>
  </si>
  <si>
    <t>HKD/AUD</t>
    <phoneticPr fontId="1" type="noConversion"/>
  </si>
  <si>
    <t>HKD/CAD</t>
    <phoneticPr fontId="1" type="noConversion"/>
  </si>
  <si>
    <t>HKD/CNY</t>
    <phoneticPr fontId="1" type="noConversion"/>
  </si>
  <si>
    <t>HKD/EUR</t>
    <phoneticPr fontId="1" type="noConversion"/>
  </si>
  <si>
    <t>HKD/GBP</t>
    <phoneticPr fontId="1" type="noConversion"/>
  </si>
  <si>
    <t>HKD/JPY</t>
    <phoneticPr fontId="1" type="noConversion"/>
  </si>
  <si>
    <t>HKD/NTD</t>
    <phoneticPr fontId="1" type="noConversion"/>
  </si>
  <si>
    <t>HKD/SGD</t>
    <phoneticPr fontId="1" type="noConversion"/>
  </si>
  <si>
    <t>HKD/THB</t>
    <phoneticPr fontId="1" type="noConversion"/>
  </si>
  <si>
    <t>(Just for reference)</t>
    <phoneticPr fontId="1" type="noConversion"/>
  </si>
  <si>
    <t>Tolerance rate</t>
    <phoneticPr fontId="2" type="noConversion"/>
  </si>
  <si>
    <t>+/- $0.1</t>
    <phoneticPr fontId="2" type="noConversion"/>
  </si>
  <si>
    <t>+/- $0.01</t>
    <phoneticPr fontId="2" type="noConversion"/>
  </si>
  <si>
    <t>Market Rate</t>
    <phoneticPr fontId="1" type="noConversion"/>
  </si>
  <si>
    <t>JAN 20</t>
  </si>
  <si>
    <t>FEB 20</t>
  </si>
  <si>
    <t>MAR 20</t>
  </si>
  <si>
    <t>APR 20</t>
  </si>
  <si>
    <t>MAY 20</t>
  </si>
  <si>
    <t>JUN 20</t>
  </si>
  <si>
    <t>JUL 20</t>
  </si>
  <si>
    <t>AUG 20</t>
  </si>
  <si>
    <t>SEP 20</t>
  </si>
  <si>
    <t>OCT 20</t>
  </si>
  <si>
    <t>NOV 20</t>
  </si>
  <si>
    <t>DEC 20</t>
  </si>
  <si>
    <t>Epicor AR-Rate</t>
    <phoneticPr fontId="1" type="noConversion"/>
  </si>
  <si>
    <t>Change +/-%</t>
    <phoneticPr fontId="2" type="noConversion"/>
  </si>
  <si>
    <t>Last Month</t>
    <phoneticPr fontId="3" type="noConversion"/>
  </si>
  <si>
    <t>Mon</t>
  </si>
  <si>
    <t>Fri</t>
  </si>
  <si>
    <t>Thu</t>
  </si>
  <si>
    <t>Wed</t>
  </si>
  <si>
    <t>Tue</t>
  </si>
  <si>
    <t>USD/CHF</t>
  </si>
  <si>
    <t>HKD/CHF</t>
    <phoneticPr fontId="1" type="noConversion"/>
  </si>
  <si>
    <t>SWISS FRANCS</t>
    <phoneticPr fontId="3" type="noConversion"/>
  </si>
  <si>
    <t>CHF</t>
    <phoneticPr fontId="3" type="noConversion"/>
  </si>
  <si>
    <t>CNY</t>
    <phoneticPr fontId="3" type="noConversion"/>
  </si>
  <si>
    <t>(FOR STC ONLY)</t>
    <phoneticPr fontId="3" type="noConversion"/>
  </si>
  <si>
    <t>HK DOLLAR</t>
    <phoneticPr fontId="3" type="noConversion"/>
  </si>
  <si>
    <t>HKD</t>
    <phoneticPr fontId="3" type="noConversion"/>
  </si>
  <si>
    <t>© 2023 by Prof. Werner Antweiler, University of British Columbia, Vancouver BC,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</si>
</sst>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0.0000"/>
    <numFmt numFmtId="166" formatCode="0.000"/>
    <numFmt numFmtId="167" formatCode="#,##0.0000_ "/>
    <numFmt numFmtId="168" formatCode="#,##0.00_ "/>
    <numFmt numFmtId="169" formatCode="#,##0.0_);[Red]\(#,##0.0\)"/>
    <numFmt numFmtId="170" formatCode="#,##0.0_ "/>
    <numFmt numFmtId="171" formatCode="mmm\-yyyy"/>
    <numFmt numFmtId="172" formatCode="0.0%"/>
    <numFmt numFmtId="173" formatCode="#,##0_ "/>
    <numFmt numFmtId="174" formatCode="dd\-mmm\-yyyy"/>
  </numFmts>
  <fonts count="37">
    <font>
      <sz val="11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9C6500"/>
      <name val="Times New Roman"/>
      <family val="1"/>
    </font>
    <font>
      <b/>
      <sz val="11"/>
      <color theme="1"/>
      <name val="Calibri"/>
      <family val="1"/>
      <charset val="136"/>
      <scheme val="minor"/>
    </font>
    <font>
      <b/>
      <sz val="10"/>
      <color theme="1"/>
      <name val="Times New Roman"/>
      <family val="1"/>
    </font>
    <font>
      <sz val="10"/>
      <color rgb="FF006100"/>
      <name val="Times New Roman"/>
      <family val="1"/>
    </font>
    <font>
      <b/>
      <sz val="10"/>
      <color rgb="FFFA7D00"/>
      <name val="Times New Roman"/>
      <family val="1"/>
    </font>
    <font>
      <sz val="10"/>
      <color rgb="FFFA7D00"/>
      <name val="Times New Roman"/>
      <family val="1"/>
    </font>
    <font>
      <i/>
      <sz val="10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10"/>
      <color rgb="FF3F3F76"/>
      <name val="Times New Roman"/>
      <family val="1"/>
    </font>
    <font>
      <b/>
      <sz val="10"/>
      <color rgb="FF3F3F3F"/>
      <name val="Times New Roman"/>
      <family val="1"/>
    </font>
    <font>
      <b/>
      <sz val="10"/>
      <color theme="0"/>
      <name val="Times New Roman"/>
      <family val="1"/>
    </font>
    <font>
      <sz val="10"/>
      <color rgb="FF9C0006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4"/>
      <color theme="1"/>
      <name val="Calibri"/>
      <family val="1"/>
      <charset val="136"/>
      <scheme val="minor"/>
    </font>
    <font>
      <sz val="10"/>
      <color rgb="FF0000FF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5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Arial"/>
      <family val="2"/>
    </font>
    <font>
      <u/>
      <sz val="14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 Unicode MS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094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4" fillId="0" borderId="0" applyFont="0" applyFill="0" applyBorder="0" applyAlignment="0" applyProtection="0"/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5" fillId="23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19" fillId="22" borderId="16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0" fillId="31" borderId="17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23" fillId="0" borderId="1" xfId="0" applyFont="1" applyBorder="1" applyAlignment="1">
      <alignment horizontal="center"/>
    </xf>
    <xf numFmtId="0" fontId="8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3" fillId="0" borderId="1" xfId="0" applyFont="1" applyBorder="1"/>
    <xf numFmtId="166" fontId="23" fillId="0" borderId="1" xfId="0" applyNumberFormat="1" applyFont="1" applyBorder="1"/>
    <xf numFmtId="2" fontId="25" fillId="0" borderId="1" xfId="0" applyNumberFormat="1" applyFont="1" applyBorder="1"/>
    <xf numFmtId="165" fontId="25" fillId="0" borderId="1" xfId="0" applyNumberFormat="1" applyFont="1" applyBorder="1"/>
    <xf numFmtId="0" fontId="25" fillId="0" borderId="1" xfId="0" quotePrefix="1" applyFont="1" applyBorder="1" applyAlignment="1">
      <alignment horizontal="right"/>
    </xf>
    <xf numFmtId="16" fontId="25" fillId="33" borderId="1" xfId="0" quotePrefix="1" applyNumberFormat="1" applyFont="1" applyFill="1" applyBorder="1" applyAlignment="1">
      <alignment horizontal="right"/>
    </xf>
    <xf numFmtId="2" fontId="25" fillId="33" borderId="1" xfId="0" applyNumberFormat="1" applyFont="1" applyFill="1" applyBorder="1"/>
    <xf numFmtId="165" fontId="25" fillId="33" borderId="1" xfId="0" applyNumberFormat="1" applyFont="1" applyFill="1" applyBorder="1"/>
    <xf numFmtId="0" fontId="25" fillId="33" borderId="1" xfId="0" quotePrefix="1" applyFont="1" applyFill="1" applyBorder="1" applyAlignment="1">
      <alignment horizontal="right"/>
    </xf>
    <xf numFmtId="166" fontId="0" fillId="0" borderId="0" xfId="0" applyNumberFormat="1"/>
    <xf numFmtId="166" fontId="23" fillId="0" borderId="1" xfId="0" applyNumberFormat="1" applyFont="1" applyBorder="1" applyAlignment="1">
      <alignment horizontal="center"/>
    </xf>
    <xf numFmtId="0" fontId="5" fillId="0" borderId="0" xfId="479">
      <alignment vertical="center"/>
    </xf>
    <xf numFmtId="0" fontId="26" fillId="0" borderId="0" xfId="479" applyFont="1" applyAlignment="1">
      <alignment horizontal="center" vertical="center"/>
    </xf>
    <xf numFmtId="167" fontId="26" fillId="0" borderId="0" xfId="479" applyNumberFormat="1" applyFont="1" applyAlignment="1">
      <alignment horizontal="center" vertical="center"/>
    </xf>
    <xf numFmtId="0" fontId="5" fillId="0" borderId="0" xfId="479" applyAlignment="1">
      <alignment horizontal="center" vertical="center"/>
    </xf>
    <xf numFmtId="0" fontId="26" fillId="0" borderId="2" xfId="479" applyFont="1" applyBorder="1">
      <alignment vertical="center"/>
    </xf>
    <xf numFmtId="0" fontId="26" fillId="0" borderId="2" xfId="479" applyFont="1" applyBorder="1" applyAlignment="1">
      <alignment horizontal="center" vertical="center"/>
    </xf>
    <xf numFmtId="167" fontId="26" fillId="0" borderId="2" xfId="479" applyNumberFormat="1" applyFont="1" applyBorder="1" applyAlignment="1">
      <alignment horizontal="center" vertical="center"/>
    </xf>
    <xf numFmtId="164" fontId="27" fillId="0" borderId="0" xfId="0" applyNumberFormat="1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164" fontId="29" fillId="0" borderId="0" xfId="0" applyNumberFormat="1" applyFont="1"/>
    <xf numFmtId="0" fontId="30" fillId="0" borderId="1" xfId="0" applyFont="1" applyBorder="1" applyAlignment="1">
      <alignment horizontal="center"/>
    </xf>
    <xf numFmtId="164" fontId="29" fillId="0" borderId="0" xfId="0" applyNumberFormat="1" applyFont="1" applyAlignment="1">
      <alignment horizontal="right"/>
    </xf>
    <xf numFmtId="0" fontId="29" fillId="0" borderId="3" xfId="0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164" fontId="29" fillId="0" borderId="3" xfId="0" applyNumberFormat="1" applyFont="1" applyBorder="1"/>
    <xf numFmtId="164" fontId="31" fillId="0" borderId="0" xfId="0" applyNumberFormat="1" applyFont="1" applyAlignment="1">
      <alignment horizontal="right"/>
    </xf>
    <xf numFmtId="164" fontId="30" fillId="33" borderId="0" xfId="0" applyNumberFormat="1" applyFont="1" applyFill="1"/>
    <xf numFmtId="0" fontId="28" fillId="33" borderId="0" xfId="0" applyFont="1" applyFill="1"/>
    <xf numFmtId="0" fontId="27" fillId="33" borderId="0" xfId="0" applyFont="1" applyFill="1"/>
    <xf numFmtId="170" fontId="30" fillId="0" borderId="1" xfId="0" applyNumberFormat="1" applyFont="1" applyBorder="1"/>
    <xf numFmtId="168" fontId="30" fillId="0" borderId="1" xfId="0" applyNumberFormat="1" applyFont="1" applyBorder="1"/>
    <xf numFmtId="40" fontId="27" fillId="0" borderId="0" xfId="495" applyNumberFormat="1" applyFont="1" applyAlignment="1">
      <alignment horizontal="right"/>
    </xf>
    <xf numFmtId="0" fontId="32" fillId="0" borderId="0" xfId="0" applyFont="1"/>
    <xf numFmtId="0" fontId="33" fillId="0" borderId="0" xfId="0" quotePrefix="1" applyFont="1"/>
    <xf numFmtId="169" fontId="27" fillId="0" borderId="0" xfId="495" applyNumberFormat="1" applyFont="1" applyAlignment="1">
      <alignment horizontal="right"/>
    </xf>
    <xf numFmtId="169" fontId="27" fillId="0" borderId="0" xfId="0" applyNumberFormat="1" applyFont="1" applyAlignment="1">
      <alignment horizontal="right"/>
    </xf>
    <xf numFmtId="172" fontId="27" fillId="0" borderId="0" xfId="0" applyNumberFormat="1" applyFont="1"/>
    <xf numFmtId="0" fontId="27" fillId="0" borderId="0" xfId="0" applyFont="1" applyAlignment="1">
      <alignment horizontal="center"/>
    </xf>
    <xf numFmtId="0" fontId="5" fillId="0" borderId="0" xfId="487">
      <alignment vertical="center"/>
    </xf>
    <xf numFmtId="14" fontId="5" fillId="0" borderId="0" xfId="487" applyNumberFormat="1">
      <alignment vertical="center"/>
    </xf>
    <xf numFmtId="14" fontId="34" fillId="33" borderId="0" xfId="0" applyNumberFormat="1" applyFont="1" applyFill="1" applyAlignment="1">
      <alignment horizontal="center"/>
    </xf>
    <xf numFmtId="14" fontId="27" fillId="33" borderId="0" xfId="0" applyNumberFormat="1" applyFont="1" applyFill="1" applyAlignment="1">
      <alignment horizontal="center"/>
    </xf>
    <xf numFmtId="171" fontId="27" fillId="33" borderId="0" xfId="0" applyNumberFormat="1" applyFont="1" applyFill="1" applyAlignment="1">
      <alignment horizontal="center"/>
    </xf>
    <xf numFmtId="0" fontId="34" fillId="33" borderId="0" xfId="0" applyFont="1" applyFill="1" applyAlignment="1">
      <alignment horizontal="center"/>
    </xf>
    <xf numFmtId="174" fontId="29" fillId="33" borderId="3" xfId="0" applyNumberFormat="1" applyFont="1" applyFill="1" applyBorder="1" applyAlignment="1">
      <alignment horizontal="left"/>
    </xf>
    <xf numFmtId="164" fontId="30" fillId="0" borderId="4" xfId="0" applyNumberFormat="1" applyFont="1" applyBorder="1" applyAlignment="1">
      <alignment horizontal="left"/>
    </xf>
    <xf numFmtId="164" fontId="35" fillId="0" borderId="5" xfId="0" applyNumberFormat="1" applyFont="1" applyBorder="1" applyAlignment="1">
      <alignment horizontal="left"/>
    </xf>
    <xf numFmtId="0" fontId="30" fillId="0" borderId="0" xfId="0" applyFont="1" applyAlignment="1">
      <alignment horizontal="center"/>
    </xf>
    <xf numFmtId="170" fontId="30" fillId="0" borderId="0" xfId="0" applyNumberFormat="1" applyFont="1"/>
    <xf numFmtId="168" fontId="30" fillId="0" borderId="0" xfId="0" applyNumberFormat="1" applyFont="1"/>
    <xf numFmtId="173" fontId="30" fillId="0" borderId="1" xfId="0" applyNumberFormat="1" applyFont="1" applyBorder="1"/>
    <xf numFmtId="0" fontId="32" fillId="0" borderId="0" xfId="0" applyFont="1" applyAlignment="1">
      <alignment horizontal="right"/>
    </xf>
    <xf numFmtId="0" fontId="29" fillId="0" borderId="6" xfId="0" applyFont="1" applyBorder="1" applyAlignment="1">
      <alignment horizontal="center"/>
    </xf>
    <xf numFmtId="38" fontId="27" fillId="0" borderId="0" xfId="0" applyNumberFormat="1" applyFont="1" applyAlignment="1">
      <alignment horizontal="right"/>
    </xf>
    <xf numFmtId="0" fontId="30" fillId="34" borderId="0" xfId="0" applyFont="1" applyFill="1" applyAlignment="1">
      <alignment horizontal="center"/>
    </xf>
    <xf numFmtId="167" fontId="30" fillId="0" borderId="1" xfId="0" applyNumberFormat="1" applyFont="1" applyBorder="1"/>
    <xf numFmtId="0" fontId="36" fillId="0" borderId="0" xfId="0" applyFont="1" applyAlignment="1">
      <alignment vertical="center"/>
    </xf>
    <xf numFmtId="164" fontId="30" fillId="0" borderId="4" xfId="0" applyNumberFormat="1" applyFont="1" applyBorder="1" applyAlignment="1">
      <alignment horizontal="left"/>
    </xf>
    <xf numFmtId="164" fontId="35" fillId="0" borderId="5" xfId="0" applyNumberFormat="1" applyFont="1" applyBorder="1" applyAlignment="1">
      <alignment horizontal="left"/>
    </xf>
    <xf numFmtId="0" fontId="29" fillId="0" borderId="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/>
    </xf>
    <xf numFmtId="0" fontId="35" fillId="0" borderId="5" xfId="0" applyFont="1" applyBorder="1" applyAlignment="1">
      <alignment horizontal="center"/>
    </xf>
  </cellXfs>
  <cellStyles count="1094">
    <cellStyle name="20% - 輔色1 10" xfId="1" xr:uid="{00000000-0005-0000-0000-000000000000}"/>
    <cellStyle name="20% - 輔色1 11" xfId="2" xr:uid="{00000000-0005-0000-0000-000001000000}"/>
    <cellStyle name="20% - 輔色1 12" xfId="3" xr:uid="{00000000-0005-0000-0000-000002000000}"/>
    <cellStyle name="20% - 輔色1 13" xfId="4" xr:uid="{00000000-0005-0000-0000-000003000000}"/>
    <cellStyle name="20% - 輔色1 14" xfId="5" xr:uid="{00000000-0005-0000-0000-000004000000}"/>
    <cellStyle name="20% - 輔色1 15" xfId="6" xr:uid="{00000000-0005-0000-0000-000005000000}"/>
    <cellStyle name="20% - 輔色1 16" xfId="7" xr:uid="{00000000-0005-0000-0000-000006000000}"/>
    <cellStyle name="20% - 輔色1 17" xfId="8" xr:uid="{00000000-0005-0000-0000-000007000000}"/>
    <cellStyle name="20% - 輔色1 18" xfId="9" xr:uid="{00000000-0005-0000-0000-000008000000}"/>
    <cellStyle name="20% - 輔色1 19" xfId="10" xr:uid="{00000000-0005-0000-0000-000009000000}"/>
    <cellStyle name="20% - 輔色1 2" xfId="11" xr:uid="{00000000-0005-0000-0000-00000A000000}"/>
    <cellStyle name="20% - 輔色1 20" xfId="12" xr:uid="{00000000-0005-0000-0000-00000B000000}"/>
    <cellStyle name="20% - 輔色1 21" xfId="13" xr:uid="{00000000-0005-0000-0000-00000C000000}"/>
    <cellStyle name="20% - 輔色1 22" xfId="14" xr:uid="{00000000-0005-0000-0000-00000D000000}"/>
    <cellStyle name="20% - 輔色1 23" xfId="15" xr:uid="{00000000-0005-0000-0000-00000E000000}"/>
    <cellStyle name="20% - 輔色1 24" xfId="16" xr:uid="{00000000-0005-0000-0000-00000F000000}"/>
    <cellStyle name="20% - 輔色1 25" xfId="17" xr:uid="{00000000-0005-0000-0000-000010000000}"/>
    <cellStyle name="20% - 輔色1 26" xfId="18" xr:uid="{00000000-0005-0000-0000-000011000000}"/>
    <cellStyle name="20% - 輔色1 27" xfId="19" xr:uid="{00000000-0005-0000-0000-000012000000}"/>
    <cellStyle name="20% - 輔色1 3" xfId="20" xr:uid="{00000000-0005-0000-0000-000013000000}"/>
    <cellStyle name="20% - 輔色1 4" xfId="21" xr:uid="{00000000-0005-0000-0000-000014000000}"/>
    <cellStyle name="20% - 輔色1 5" xfId="22" xr:uid="{00000000-0005-0000-0000-000015000000}"/>
    <cellStyle name="20% - 輔色1 6" xfId="23" xr:uid="{00000000-0005-0000-0000-000016000000}"/>
    <cellStyle name="20% - 輔色1 7" xfId="24" xr:uid="{00000000-0005-0000-0000-000017000000}"/>
    <cellStyle name="20% - 輔色1 8" xfId="25" xr:uid="{00000000-0005-0000-0000-000018000000}"/>
    <cellStyle name="20% - 輔色1 9" xfId="26" xr:uid="{00000000-0005-0000-0000-000019000000}"/>
    <cellStyle name="20% - 輔色2 10" xfId="27" xr:uid="{00000000-0005-0000-0000-00001A000000}"/>
    <cellStyle name="20% - 輔色2 11" xfId="28" xr:uid="{00000000-0005-0000-0000-00001B000000}"/>
    <cellStyle name="20% - 輔色2 12" xfId="29" xr:uid="{00000000-0005-0000-0000-00001C000000}"/>
    <cellStyle name="20% - 輔色2 13" xfId="30" xr:uid="{00000000-0005-0000-0000-00001D000000}"/>
    <cellStyle name="20% - 輔色2 14" xfId="31" xr:uid="{00000000-0005-0000-0000-00001E000000}"/>
    <cellStyle name="20% - 輔色2 15" xfId="32" xr:uid="{00000000-0005-0000-0000-00001F000000}"/>
    <cellStyle name="20% - 輔色2 16" xfId="33" xr:uid="{00000000-0005-0000-0000-000020000000}"/>
    <cellStyle name="20% - 輔色2 17" xfId="34" xr:uid="{00000000-0005-0000-0000-000021000000}"/>
    <cellStyle name="20% - 輔色2 18" xfId="35" xr:uid="{00000000-0005-0000-0000-000022000000}"/>
    <cellStyle name="20% - 輔色2 19" xfId="36" xr:uid="{00000000-0005-0000-0000-000023000000}"/>
    <cellStyle name="20% - 輔色2 2" xfId="37" xr:uid="{00000000-0005-0000-0000-000024000000}"/>
    <cellStyle name="20% - 輔色2 20" xfId="38" xr:uid="{00000000-0005-0000-0000-000025000000}"/>
    <cellStyle name="20% - 輔色2 21" xfId="39" xr:uid="{00000000-0005-0000-0000-000026000000}"/>
    <cellStyle name="20% - 輔色2 22" xfId="40" xr:uid="{00000000-0005-0000-0000-000027000000}"/>
    <cellStyle name="20% - 輔色2 23" xfId="41" xr:uid="{00000000-0005-0000-0000-000028000000}"/>
    <cellStyle name="20% - 輔色2 24" xfId="42" xr:uid="{00000000-0005-0000-0000-000029000000}"/>
    <cellStyle name="20% - 輔色2 25" xfId="43" xr:uid="{00000000-0005-0000-0000-00002A000000}"/>
    <cellStyle name="20% - 輔色2 26" xfId="44" xr:uid="{00000000-0005-0000-0000-00002B000000}"/>
    <cellStyle name="20% - 輔色2 27" xfId="45" xr:uid="{00000000-0005-0000-0000-00002C000000}"/>
    <cellStyle name="20% - 輔色2 3" xfId="46" xr:uid="{00000000-0005-0000-0000-00002D000000}"/>
    <cellStyle name="20% - 輔色2 4" xfId="47" xr:uid="{00000000-0005-0000-0000-00002E000000}"/>
    <cellStyle name="20% - 輔色2 5" xfId="48" xr:uid="{00000000-0005-0000-0000-00002F000000}"/>
    <cellStyle name="20% - 輔色2 6" xfId="49" xr:uid="{00000000-0005-0000-0000-000030000000}"/>
    <cellStyle name="20% - 輔色2 7" xfId="50" xr:uid="{00000000-0005-0000-0000-000031000000}"/>
    <cellStyle name="20% - 輔色2 8" xfId="51" xr:uid="{00000000-0005-0000-0000-000032000000}"/>
    <cellStyle name="20% - 輔色2 9" xfId="52" xr:uid="{00000000-0005-0000-0000-000033000000}"/>
    <cellStyle name="20% - 輔色3 10" xfId="53" xr:uid="{00000000-0005-0000-0000-000034000000}"/>
    <cellStyle name="20% - 輔色3 11" xfId="54" xr:uid="{00000000-0005-0000-0000-000035000000}"/>
    <cellStyle name="20% - 輔色3 12" xfId="55" xr:uid="{00000000-0005-0000-0000-000036000000}"/>
    <cellStyle name="20% - 輔色3 13" xfId="56" xr:uid="{00000000-0005-0000-0000-000037000000}"/>
    <cellStyle name="20% - 輔色3 14" xfId="57" xr:uid="{00000000-0005-0000-0000-000038000000}"/>
    <cellStyle name="20% - 輔色3 15" xfId="58" xr:uid="{00000000-0005-0000-0000-000039000000}"/>
    <cellStyle name="20% - 輔色3 16" xfId="59" xr:uid="{00000000-0005-0000-0000-00003A000000}"/>
    <cellStyle name="20% - 輔色3 17" xfId="60" xr:uid="{00000000-0005-0000-0000-00003B000000}"/>
    <cellStyle name="20% - 輔色3 18" xfId="61" xr:uid="{00000000-0005-0000-0000-00003C000000}"/>
    <cellStyle name="20% - 輔色3 19" xfId="62" xr:uid="{00000000-0005-0000-0000-00003D000000}"/>
    <cellStyle name="20% - 輔色3 2" xfId="63" xr:uid="{00000000-0005-0000-0000-00003E000000}"/>
    <cellStyle name="20% - 輔色3 20" xfId="64" xr:uid="{00000000-0005-0000-0000-00003F000000}"/>
    <cellStyle name="20% - 輔色3 21" xfId="65" xr:uid="{00000000-0005-0000-0000-000040000000}"/>
    <cellStyle name="20% - 輔色3 22" xfId="66" xr:uid="{00000000-0005-0000-0000-000041000000}"/>
    <cellStyle name="20% - 輔色3 23" xfId="67" xr:uid="{00000000-0005-0000-0000-000042000000}"/>
    <cellStyle name="20% - 輔色3 24" xfId="68" xr:uid="{00000000-0005-0000-0000-000043000000}"/>
    <cellStyle name="20% - 輔色3 25" xfId="69" xr:uid="{00000000-0005-0000-0000-000044000000}"/>
    <cellStyle name="20% - 輔色3 26" xfId="70" xr:uid="{00000000-0005-0000-0000-000045000000}"/>
    <cellStyle name="20% - 輔色3 27" xfId="71" xr:uid="{00000000-0005-0000-0000-000046000000}"/>
    <cellStyle name="20% - 輔色3 3" xfId="72" xr:uid="{00000000-0005-0000-0000-000047000000}"/>
    <cellStyle name="20% - 輔色3 4" xfId="73" xr:uid="{00000000-0005-0000-0000-000048000000}"/>
    <cellStyle name="20% - 輔色3 5" xfId="74" xr:uid="{00000000-0005-0000-0000-000049000000}"/>
    <cellStyle name="20% - 輔色3 6" xfId="75" xr:uid="{00000000-0005-0000-0000-00004A000000}"/>
    <cellStyle name="20% - 輔色3 7" xfId="76" xr:uid="{00000000-0005-0000-0000-00004B000000}"/>
    <cellStyle name="20% - 輔色3 8" xfId="77" xr:uid="{00000000-0005-0000-0000-00004C000000}"/>
    <cellStyle name="20% - 輔色3 9" xfId="78" xr:uid="{00000000-0005-0000-0000-00004D000000}"/>
    <cellStyle name="20% - 輔色4 10" xfId="79" xr:uid="{00000000-0005-0000-0000-00004E000000}"/>
    <cellStyle name="20% - 輔色4 11" xfId="80" xr:uid="{00000000-0005-0000-0000-00004F000000}"/>
    <cellStyle name="20% - 輔色4 12" xfId="81" xr:uid="{00000000-0005-0000-0000-000050000000}"/>
    <cellStyle name="20% - 輔色4 13" xfId="82" xr:uid="{00000000-0005-0000-0000-000051000000}"/>
    <cellStyle name="20% - 輔色4 14" xfId="83" xr:uid="{00000000-0005-0000-0000-000052000000}"/>
    <cellStyle name="20% - 輔色4 15" xfId="84" xr:uid="{00000000-0005-0000-0000-000053000000}"/>
    <cellStyle name="20% - 輔色4 16" xfId="85" xr:uid="{00000000-0005-0000-0000-000054000000}"/>
    <cellStyle name="20% - 輔色4 17" xfId="86" xr:uid="{00000000-0005-0000-0000-000055000000}"/>
    <cellStyle name="20% - 輔色4 18" xfId="87" xr:uid="{00000000-0005-0000-0000-000056000000}"/>
    <cellStyle name="20% - 輔色4 19" xfId="88" xr:uid="{00000000-0005-0000-0000-000057000000}"/>
    <cellStyle name="20% - 輔色4 2" xfId="89" xr:uid="{00000000-0005-0000-0000-000058000000}"/>
    <cellStyle name="20% - 輔色4 20" xfId="90" xr:uid="{00000000-0005-0000-0000-000059000000}"/>
    <cellStyle name="20% - 輔色4 21" xfId="91" xr:uid="{00000000-0005-0000-0000-00005A000000}"/>
    <cellStyle name="20% - 輔色4 22" xfId="92" xr:uid="{00000000-0005-0000-0000-00005B000000}"/>
    <cellStyle name="20% - 輔色4 23" xfId="93" xr:uid="{00000000-0005-0000-0000-00005C000000}"/>
    <cellStyle name="20% - 輔色4 24" xfId="94" xr:uid="{00000000-0005-0000-0000-00005D000000}"/>
    <cellStyle name="20% - 輔色4 25" xfId="95" xr:uid="{00000000-0005-0000-0000-00005E000000}"/>
    <cellStyle name="20% - 輔色4 26" xfId="96" xr:uid="{00000000-0005-0000-0000-00005F000000}"/>
    <cellStyle name="20% - 輔色4 27" xfId="97" xr:uid="{00000000-0005-0000-0000-000060000000}"/>
    <cellStyle name="20% - 輔色4 3" xfId="98" xr:uid="{00000000-0005-0000-0000-000061000000}"/>
    <cellStyle name="20% - 輔色4 4" xfId="99" xr:uid="{00000000-0005-0000-0000-000062000000}"/>
    <cellStyle name="20% - 輔色4 5" xfId="100" xr:uid="{00000000-0005-0000-0000-000063000000}"/>
    <cellStyle name="20% - 輔色4 6" xfId="101" xr:uid="{00000000-0005-0000-0000-000064000000}"/>
    <cellStyle name="20% - 輔色4 7" xfId="102" xr:uid="{00000000-0005-0000-0000-000065000000}"/>
    <cellStyle name="20% - 輔色4 8" xfId="103" xr:uid="{00000000-0005-0000-0000-000066000000}"/>
    <cellStyle name="20% - 輔色4 9" xfId="104" xr:uid="{00000000-0005-0000-0000-000067000000}"/>
    <cellStyle name="20% - 輔色5 10" xfId="105" xr:uid="{00000000-0005-0000-0000-000068000000}"/>
    <cellStyle name="20% - 輔色5 11" xfId="106" xr:uid="{00000000-0005-0000-0000-000069000000}"/>
    <cellStyle name="20% - 輔色5 12" xfId="107" xr:uid="{00000000-0005-0000-0000-00006A000000}"/>
    <cellStyle name="20% - 輔色5 13" xfId="108" xr:uid="{00000000-0005-0000-0000-00006B000000}"/>
    <cellStyle name="20% - 輔色5 14" xfId="109" xr:uid="{00000000-0005-0000-0000-00006C000000}"/>
    <cellStyle name="20% - 輔色5 15" xfId="110" xr:uid="{00000000-0005-0000-0000-00006D000000}"/>
    <cellStyle name="20% - 輔色5 16" xfId="111" xr:uid="{00000000-0005-0000-0000-00006E000000}"/>
    <cellStyle name="20% - 輔色5 17" xfId="112" xr:uid="{00000000-0005-0000-0000-00006F000000}"/>
    <cellStyle name="20% - 輔色5 18" xfId="113" xr:uid="{00000000-0005-0000-0000-000070000000}"/>
    <cellStyle name="20% - 輔色5 19" xfId="114" xr:uid="{00000000-0005-0000-0000-000071000000}"/>
    <cellStyle name="20% - 輔色5 2" xfId="115" xr:uid="{00000000-0005-0000-0000-000072000000}"/>
    <cellStyle name="20% - 輔色5 20" xfId="116" xr:uid="{00000000-0005-0000-0000-000073000000}"/>
    <cellStyle name="20% - 輔色5 21" xfId="117" xr:uid="{00000000-0005-0000-0000-000074000000}"/>
    <cellStyle name="20% - 輔色5 22" xfId="118" xr:uid="{00000000-0005-0000-0000-000075000000}"/>
    <cellStyle name="20% - 輔色5 23" xfId="119" xr:uid="{00000000-0005-0000-0000-000076000000}"/>
    <cellStyle name="20% - 輔色5 24" xfId="120" xr:uid="{00000000-0005-0000-0000-000077000000}"/>
    <cellStyle name="20% - 輔色5 25" xfId="121" xr:uid="{00000000-0005-0000-0000-000078000000}"/>
    <cellStyle name="20% - 輔色5 26" xfId="122" xr:uid="{00000000-0005-0000-0000-000079000000}"/>
    <cellStyle name="20% - 輔色5 27" xfId="123" xr:uid="{00000000-0005-0000-0000-00007A000000}"/>
    <cellStyle name="20% - 輔色5 3" xfId="124" xr:uid="{00000000-0005-0000-0000-00007B000000}"/>
    <cellStyle name="20% - 輔色5 4" xfId="125" xr:uid="{00000000-0005-0000-0000-00007C000000}"/>
    <cellStyle name="20% - 輔色5 5" xfId="126" xr:uid="{00000000-0005-0000-0000-00007D000000}"/>
    <cellStyle name="20% - 輔色5 6" xfId="127" xr:uid="{00000000-0005-0000-0000-00007E000000}"/>
    <cellStyle name="20% - 輔色5 7" xfId="128" xr:uid="{00000000-0005-0000-0000-00007F000000}"/>
    <cellStyle name="20% - 輔色5 8" xfId="129" xr:uid="{00000000-0005-0000-0000-000080000000}"/>
    <cellStyle name="20% - 輔色5 9" xfId="130" xr:uid="{00000000-0005-0000-0000-000081000000}"/>
    <cellStyle name="20% - 輔色6 10" xfId="131" xr:uid="{00000000-0005-0000-0000-000082000000}"/>
    <cellStyle name="20% - 輔色6 11" xfId="132" xr:uid="{00000000-0005-0000-0000-000083000000}"/>
    <cellStyle name="20% - 輔色6 12" xfId="133" xr:uid="{00000000-0005-0000-0000-000084000000}"/>
    <cellStyle name="20% - 輔色6 13" xfId="134" xr:uid="{00000000-0005-0000-0000-000085000000}"/>
    <cellStyle name="20% - 輔色6 14" xfId="135" xr:uid="{00000000-0005-0000-0000-000086000000}"/>
    <cellStyle name="20% - 輔色6 15" xfId="136" xr:uid="{00000000-0005-0000-0000-000087000000}"/>
    <cellStyle name="20% - 輔色6 16" xfId="137" xr:uid="{00000000-0005-0000-0000-000088000000}"/>
    <cellStyle name="20% - 輔色6 17" xfId="138" xr:uid="{00000000-0005-0000-0000-000089000000}"/>
    <cellStyle name="20% - 輔色6 18" xfId="139" xr:uid="{00000000-0005-0000-0000-00008A000000}"/>
    <cellStyle name="20% - 輔色6 19" xfId="140" xr:uid="{00000000-0005-0000-0000-00008B000000}"/>
    <cellStyle name="20% - 輔色6 2" xfId="141" xr:uid="{00000000-0005-0000-0000-00008C000000}"/>
    <cellStyle name="20% - 輔色6 20" xfId="142" xr:uid="{00000000-0005-0000-0000-00008D000000}"/>
    <cellStyle name="20% - 輔色6 21" xfId="143" xr:uid="{00000000-0005-0000-0000-00008E000000}"/>
    <cellStyle name="20% - 輔色6 22" xfId="144" xr:uid="{00000000-0005-0000-0000-00008F000000}"/>
    <cellStyle name="20% - 輔色6 23" xfId="145" xr:uid="{00000000-0005-0000-0000-000090000000}"/>
    <cellStyle name="20% - 輔色6 24" xfId="146" xr:uid="{00000000-0005-0000-0000-000091000000}"/>
    <cellStyle name="20% - 輔色6 25" xfId="147" xr:uid="{00000000-0005-0000-0000-000092000000}"/>
    <cellStyle name="20% - 輔色6 26" xfId="148" xr:uid="{00000000-0005-0000-0000-000093000000}"/>
    <cellStyle name="20% - 輔色6 27" xfId="149" xr:uid="{00000000-0005-0000-0000-000094000000}"/>
    <cellStyle name="20% - 輔色6 3" xfId="150" xr:uid="{00000000-0005-0000-0000-000095000000}"/>
    <cellStyle name="20% - 輔色6 4" xfId="151" xr:uid="{00000000-0005-0000-0000-000096000000}"/>
    <cellStyle name="20% - 輔色6 5" xfId="152" xr:uid="{00000000-0005-0000-0000-000097000000}"/>
    <cellStyle name="20% - 輔色6 6" xfId="153" xr:uid="{00000000-0005-0000-0000-000098000000}"/>
    <cellStyle name="20% - 輔色6 7" xfId="154" xr:uid="{00000000-0005-0000-0000-000099000000}"/>
    <cellStyle name="20% - 輔色6 8" xfId="155" xr:uid="{00000000-0005-0000-0000-00009A000000}"/>
    <cellStyle name="20% - 輔色6 9" xfId="156" xr:uid="{00000000-0005-0000-0000-00009B000000}"/>
    <cellStyle name="40% - 輔色1 10" xfId="157" xr:uid="{00000000-0005-0000-0000-00009C000000}"/>
    <cellStyle name="40% - 輔色1 11" xfId="158" xr:uid="{00000000-0005-0000-0000-00009D000000}"/>
    <cellStyle name="40% - 輔色1 12" xfId="159" xr:uid="{00000000-0005-0000-0000-00009E000000}"/>
    <cellStyle name="40% - 輔色1 13" xfId="160" xr:uid="{00000000-0005-0000-0000-00009F000000}"/>
    <cellStyle name="40% - 輔色1 14" xfId="161" xr:uid="{00000000-0005-0000-0000-0000A0000000}"/>
    <cellStyle name="40% - 輔色1 15" xfId="162" xr:uid="{00000000-0005-0000-0000-0000A1000000}"/>
    <cellStyle name="40% - 輔色1 16" xfId="163" xr:uid="{00000000-0005-0000-0000-0000A2000000}"/>
    <cellStyle name="40% - 輔色1 17" xfId="164" xr:uid="{00000000-0005-0000-0000-0000A3000000}"/>
    <cellStyle name="40% - 輔色1 18" xfId="165" xr:uid="{00000000-0005-0000-0000-0000A4000000}"/>
    <cellStyle name="40% - 輔色1 19" xfId="166" xr:uid="{00000000-0005-0000-0000-0000A5000000}"/>
    <cellStyle name="40% - 輔色1 2" xfId="167" xr:uid="{00000000-0005-0000-0000-0000A6000000}"/>
    <cellStyle name="40% - 輔色1 20" xfId="168" xr:uid="{00000000-0005-0000-0000-0000A7000000}"/>
    <cellStyle name="40% - 輔色1 21" xfId="169" xr:uid="{00000000-0005-0000-0000-0000A8000000}"/>
    <cellStyle name="40% - 輔色1 22" xfId="170" xr:uid="{00000000-0005-0000-0000-0000A9000000}"/>
    <cellStyle name="40% - 輔色1 23" xfId="171" xr:uid="{00000000-0005-0000-0000-0000AA000000}"/>
    <cellStyle name="40% - 輔色1 24" xfId="172" xr:uid="{00000000-0005-0000-0000-0000AB000000}"/>
    <cellStyle name="40% - 輔色1 25" xfId="173" xr:uid="{00000000-0005-0000-0000-0000AC000000}"/>
    <cellStyle name="40% - 輔色1 26" xfId="174" xr:uid="{00000000-0005-0000-0000-0000AD000000}"/>
    <cellStyle name="40% - 輔色1 27" xfId="175" xr:uid="{00000000-0005-0000-0000-0000AE000000}"/>
    <cellStyle name="40% - 輔色1 3" xfId="176" xr:uid="{00000000-0005-0000-0000-0000AF000000}"/>
    <cellStyle name="40% - 輔色1 4" xfId="177" xr:uid="{00000000-0005-0000-0000-0000B0000000}"/>
    <cellStyle name="40% - 輔色1 5" xfId="178" xr:uid="{00000000-0005-0000-0000-0000B1000000}"/>
    <cellStyle name="40% - 輔色1 6" xfId="179" xr:uid="{00000000-0005-0000-0000-0000B2000000}"/>
    <cellStyle name="40% - 輔色1 7" xfId="180" xr:uid="{00000000-0005-0000-0000-0000B3000000}"/>
    <cellStyle name="40% - 輔色1 8" xfId="181" xr:uid="{00000000-0005-0000-0000-0000B4000000}"/>
    <cellStyle name="40% - 輔色1 9" xfId="182" xr:uid="{00000000-0005-0000-0000-0000B5000000}"/>
    <cellStyle name="40% - 輔色2 10" xfId="183" xr:uid="{00000000-0005-0000-0000-0000B6000000}"/>
    <cellStyle name="40% - 輔色2 11" xfId="184" xr:uid="{00000000-0005-0000-0000-0000B7000000}"/>
    <cellStyle name="40% - 輔色2 12" xfId="185" xr:uid="{00000000-0005-0000-0000-0000B8000000}"/>
    <cellStyle name="40% - 輔色2 13" xfId="186" xr:uid="{00000000-0005-0000-0000-0000B9000000}"/>
    <cellStyle name="40% - 輔色2 14" xfId="187" xr:uid="{00000000-0005-0000-0000-0000BA000000}"/>
    <cellStyle name="40% - 輔色2 15" xfId="188" xr:uid="{00000000-0005-0000-0000-0000BB000000}"/>
    <cellStyle name="40% - 輔色2 16" xfId="189" xr:uid="{00000000-0005-0000-0000-0000BC000000}"/>
    <cellStyle name="40% - 輔色2 17" xfId="190" xr:uid="{00000000-0005-0000-0000-0000BD000000}"/>
    <cellStyle name="40% - 輔色2 18" xfId="191" xr:uid="{00000000-0005-0000-0000-0000BE000000}"/>
    <cellStyle name="40% - 輔色2 19" xfId="192" xr:uid="{00000000-0005-0000-0000-0000BF000000}"/>
    <cellStyle name="40% - 輔色2 2" xfId="193" xr:uid="{00000000-0005-0000-0000-0000C0000000}"/>
    <cellStyle name="40% - 輔色2 20" xfId="194" xr:uid="{00000000-0005-0000-0000-0000C1000000}"/>
    <cellStyle name="40% - 輔色2 21" xfId="195" xr:uid="{00000000-0005-0000-0000-0000C2000000}"/>
    <cellStyle name="40% - 輔色2 22" xfId="196" xr:uid="{00000000-0005-0000-0000-0000C3000000}"/>
    <cellStyle name="40% - 輔色2 23" xfId="197" xr:uid="{00000000-0005-0000-0000-0000C4000000}"/>
    <cellStyle name="40% - 輔色2 24" xfId="198" xr:uid="{00000000-0005-0000-0000-0000C5000000}"/>
    <cellStyle name="40% - 輔色2 25" xfId="199" xr:uid="{00000000-0005-0000-0000-0000C6000000}"/>
    <cellStyle name="40% - 輔色2 26" xfId="200" xr:uid="{00000000-0005-0000-0000-0000C7000000}"/>
    <cellStyle name="40% - 輔色2 27" xfId="201" xr:uid="{00000000-0005-0000-0000-0000C8000000}"/>
    <cellStyle name="40% - 輔色2 3" xfId="202" xr:uid="{00000000-0005-0000-0000-0000C9000000}"/>
    <cellStyle name="40% - 輔色2 4" xfId="203" xr:uid="{00000000-0005-0000-0000-0000CA000000}"/>
    <cellStyle name="40% - 輔色2 5" xfId="204" xr:uid="{00000000-0005-0000-0000-0000CB000000}"/>
    <cellStyle name="40% - 輔色2 6" xfId="205" xr:uid="{00000000-0005-0000-0000-0000CC000000}"/>
    <cellStyle name="40% - 輔色2 7" xfId="206" xr:uid="{00000000-0005-0000-0000-0000CD000000}"/>
    <cellStyle name="40% - 輔色2 8" xfId="207" xr:uid="{00000000-0005-0000-0000-0000CE000000}"/>
    <cellStyle name="40% - 輔色2 9" xfId="208" xr:uid="{00000000-0005-0000-0000-0000CF000000}"/>
    <cellStyle name="40% - 輔色3 10" xfId="209" xr:uid="{00000000-0005-0000-0000-0000D0000000}"/>
    <cellStyle name="40% - 輔色3 11" xfId="210" xr:uid="{00000000-0005-0000-0000-0000D1000000}"/>
    <cellStyle name="40% - 輔色3 12" xfId="211" xr:uid="{00000000-0005-0000-0000-0000D2000000}"/>
    <cellStyle name="40% - 輔色3 13" xfId="212" xr:uid="{00000000-0005-0000-0000-0000D3000000}"/>
    <cellStyle name="40% - 輔色3 14" xfId="213" xr:uid="{00000000-0005-0000-0000-0000D4000000}"/>
    <cellStyle name="40% - 輔色3 15" xfId="214" xr:uid="{00000000-0005-0000-0000-0000D5000000}"/>
    <cellStyle name="40% - 輔色3 16" xfId="215" xr:uid="{00000000-0005-0000-0000-0000D6000000}"/>
    <cellStyle name="40% - 輔色3 17" xfId="216" xr:uid="{00000000-0005-0000-0000-0000D7000000}"/>
    <cellStyle name="40% - 輔色3 18" xfId="217" xr:uid="{00000000-0005-0000-0000-0000D8000000}"/>
    <cellStyle name="40% - 輔色3 19" xfId="218" xr:uid="{00000000-0005-0000-0000-0000D9000000}"/>
    <cellStyle name="40% - 輔色3 2" xfId="219" xr:uid="{00000000-0005-0000-0000-0000DA000000}"/>
    <cellStyle name="40% - 輔色3 20" xfId="220" xr:uid="{00000000-0005-0000-0000-0000DB000000}"/>
    <cellStyle name="40% - 輔色3 21" xfId="221" xr:uid="{00000000-0005-0000-0000-0000DC000000}"/>
    <cellStyle name="40% - 輔色3 22" xfId="222" xr:uid="{00000000-0005-0000-0000-0000DD000000}"/>
    <cellStyle name="40% - 輔色3 23" xfId="223" xr:uid="{00000000-0005-0000-0000-0000DE000000}"/>
    <cellStyle name="40% - 輔色3 24" xfId="224" xr:uid="{00000000-0005-0000-0000-0000DF000000}"/>
    <cellStyle name="40% - 輔色3 25" xfId="225" xr:uid="{00000000-0005-0000-0000-0000E0000000}"/>
    <cellStyle name="40% - 輔色3 26" xfId="226" xr:uid="{00000000-0005-0000-0000-0000E1000000}"/>
    <cellStyle name="40% - 輔色3 27" xfId="227" xr:uid="{00000000-0005-0000-0000-0000E2000000}"/>
    <cellStyle name="40% - 輔色3 3" xfId="228" xr:uid="{00000000-0005-0000-0000-0000E3000000}"/>
    <cellStyle name="40% - 輔色3 4" xfId="229" xr:uid="{00000000-0005-0000-0000-0000E4000000}"/>
    <cellStyle name="40% - 輔色3 5" xfId="230" xr:uid="{00000000-0005-0000-0000-0000E5000000}"/>
    <cellStyle name="40% - 輔色3 6" xfId="231" xr:uid="{00000000-0005-0000-0000-0000E6000000}"/>
    <cellStyle name="40% - 輔色3 7" xfId="232" xr:uid="{00000000-0005-0000-0000-0000E7000000}"/>
    <cellStyle name="40% - 輔色3 8" xfId="233" xr:uid="{00000000-0005-0000-0000-0000E8000000}"/>
    <cellStyle name="40% - 輔色3 9" xfId="234" xr:uid="{00000000-0005-0000-0000-0000E9000000}"/>
    <cellStyle name="40% - 輔色4 10" xfId="235" xr:uid="{00000000-0005-0000-0000-0000EA000000}"/>
    <cellStyle name="40% - 輔色4 11" xfId="236" xr:uid="{00000000-0005-0000-0000-0000EB000000}"/>
    <cellStyle name="40% - 輔色4 12" xfId="237" xr:uid="{00000000-0005-0000-0000-0000EC000000}"/>
    <cellStyle name="40% - 輔色4 13" xfId="238" xr:uid="{00000000-0005-0000-0000-0000ED000000}"/>
    <cellStyle name="40% - 輔色4 14" xfId="239" xr:uid="{00000000-0005-0000-0000-0000EE000000}"/>
    <cellStyle name="40% - 輔色4 15" xfId="240" xr:uid="{00000000-0005-0000-0000-0000EF000000}"/>
    <cellStyle name="40% - 輔色4 16" xfId="241" xr:uid="{00000000-0005-0000-0000-0000F0000000}"/>
    <cellStyle name="40% - 輔色4 17" xfId="242" xr:uid="{00000000-0005-0000-0000-0000F1000000}"/>
    <cellStyle name="40% - 輔色4 18" xfId="243" xr:uid="{00000000-0005-0000-0000-0000F2000000}"/>
    <cellStyle name="40% - 輔色4 19" xfId="244" xr:uid="{00000000-0005-0000-0000-0000F3000000}"/>
    <cellStyle name="40% - 輔色4 2" xfId="245" xr:uid="{00000000-0005-0000-0000-0000F4000000}"/>
    <cellStyle name="40% - 輔色4 20" xfId="246" xr:uid="{00000000-0005-0000-0000-0000F5000000}"/>
    <cellStyle name="40% - 輔色4 21" xfId="247" xr:uid="{00000000-0005-0000-0000-0000F6000000}"/>
    <cellStyle name="40% - 輔色4 22" xfId="248" xr:uid="{00000000-0005-0000-0000-0000F7000000}"/>
    <cellStyle name="40% - 輔色4 23" xfId="249" xr:uid="{00000000-0005-0000-0000-0000F8000000}"/>
    <cellStyle name="40% - 輔色4 24" xfId="250" xr:uid="{00000000-0005-0000-0000-0000F9000000}"/>
    <cellStyle name="40% - 輔色4 25" xfId="251" xr:uid="{00000000-0005-0000-0000-0000FA000000}"/>
    <cellStyle name="40% - 輔色4 26" xfId="252" xr:uid="{00000000-0005-0000-0000-0000FB000000}"/>
    <cellStyle name="40% - 輔色4 27" xfId="253" xr:uid="{00000000-0005-0000-0000-0000FC000000}"/>
    <cellStyle name="40% - 輔色4 3" xfId="254" xr:uid="{00000000-0005-0000-0000-0000FD000000}"/>
    <cellStyle name="40% - 輔色4 4" xfId="255" xr:uid="{00000000-0005-0000-0000-0000FE000000}"/>
    <cellStyle name="40% - 輔色4 5" xfId="256" xr:uid="{00000000-0005-0000-0000-0000FF000000}"/>
    <cellStyle name="40% - 輔色4 6" xfId="257" xr:uid="{00000000-0005-0000-0000-000000010000}"/>
    <cellStyle name="40% - 輔色4 7" xfId="258" xr:uid="{00000000-0005-0000-0000-000001010000}"/>
    <cellStyle name="40% - 輔色4 8" xfId="259" xr:uid="{00000000-0005-0000-0000-000002010000}"/>
    <cellStyle name="40% - 輔色4 9" xfId="260" xr:uid="{00000000-0005-0000-0000-000003010000}"/>
    <cellStyle name="40% - 輔色5 10" xfId="261" xr:uid="{00000000-0005-0000-0000-000004010000}"/>
    <cellStyle name="40% - 輔色5 11" xfId="262" xr:uid="{00000000-0005-0000-0000-000005010000}"/>
    <cellStyle name="40% - 輔色5 12" xfId="263" xr:uid="{00000000-0005-0000-0000-000006010000}"/>
    <cellStyle name="40% - 輔色5 13" xfId="264" xr:uid="{00000000-0005-0000-0000-000007010000}"/>
    <cellStyle name="40% - 輔色5 14" xfId="265" xr:uid="{00000000-0005-0000-0000-000008010000}"/>
    <cellStyle name="40% - 輔色5 15" xfId="266" xr:uid="{00000000-0005-0000-0000-000009010000}"/>
    <cellStyle name="40% - 輔色5 16" xfId="267" xr:uid="{00000000-0005-0000-0000-00000A010000}"/>
    <cellStyle name="40% - 輔色5 17" xfId="268" xr:uid="{00000000-0005-0000-0000-00000B010000}"/>
    <cellStyle name="40% - 輔色5 18" xfId="269" xr:uid="{00000000-0005-0000-0000-00000C010000}"/>
    <cellStyle name="40% - 輔色5 19" xfId="270" xr:uid="{00000000-0005-0000-0000-00000D010000}"/>
    <cellStyle name="40% - 輔色5 2" xfId="271" xr:uid="{00000000-0005-0000-0000-00000E010000}"/>
    <cellStyle name="40% - 輔色5 20" xfId="272" xr:uid="{00000000-0005-0000-0000-00000F010000}"/>
    <cellStyle name="40% - 輔色5 21" xfId="273" xr:uid="{00000000-0005-0000-0000-000010010000}"/>
    <cellStyle name="40% - 輔色5 22" xfId="274" xr:uid="{00000000-0005-0000-0000-000011010000}"/>
    <cellStyle name="40% - 輔色5 23" xfId="275" xr:uid="{00000000-0005-0000-0000-000012010000}"/>
    <cellStyle name="40% - 輔色5 24" xfId="276" xr:uid="{00000000-0005-0000-0000-000013010000}"/>
    <cellStyle name="40% - 輔色5 25" xfId="277" xr:uid="{00000000-0005-0000-0000-000014010000}"/>
    <cellStyle name="40% - 輔色5 26" xfId="278" xr:uid="{00000000-0005-0000-0000-000015010000}"/>
    <cellStyle name="40% - 輔色5 27" xfId="279" xr:uid="{00000000-0005-0000-0000-000016010000}"/>
    <cellStyle name="40% - 輔色5 3" xfId="280" xr:uid="{00000000-0005-0000-0000-000017010000}"/>
    <cellStyle name="40% - 輔色5 4" xfId="281" xr:uid="{00000000-0005-0000-0000-000018010000}"/>
    <cellStyle name="40% - 輔色5 5" xfId="282" xr:uid="{00000000-0005-0000-0000-000019010000}"/>
    <cellStyle name="40% - 輔色5 6" xfId="283" xr:uid="{00000000-0005-0000-0000-00001A010000}"/>
    <cellStyle name="40% - 輔色5 7" xfId="284" xr:uid="{00000000-0005-0000-0000-00001B010000}"/>
    <cellStyle name="40% - 輔色5 8" xfId="285" xr:uid="{00000000-0005-0000-0000-00001C010000}"/>
    <cellStyle name="40% - 輔色5 9" xfId="286" xr:uid="{00000000-0005-0000-0000-00001D010000}"/>
    <cellStyle name="40% - 輔色6 10" xfId="287" xr:uid="{00000000-0005-0000-0000-00001E010000}"/>
    <cellStyle name="40% - 輔色6 11" xfId="288" xr:uid="{00000000-0005-0000-0000-00001F010000}"/>
    <cellStyle name="40% - 輔色6 12" xfId="289" xr:uid="{00000000-0005-0000-0000-000020010000}"/>
    <cellStyle name="40% - 輔色6 13" xfId="290" xr:uid="{00000000-0005-0000-0000-000021010000}"/>
    <cellStyle name="40% - 輔色6 14" xfId="291" xr:uid="{00000000-0005-0000-0000-000022010000}"/>
    <cellStyle name="40% - 輔色6 15" xfId="292" xr:uid="{00000000-0005-0000-0000-000023010000}"/>
    <cellStyle name="40% - 輔色6 16" xfId="293" xr:uid="{00000000-0005-0000-0000-000024010000}"/>
    <cellStyle name="40% - 輔色6 17" xfId="294" xr:uid="{00000000-0005-0000-0000-000025010000}"/>
    <cellStyle name="40% - 輔色6 18" xfId="295" xr:uid="{00000000-0005-0000-0000-000026010000}"/>
    <cellStyle name="40% - 輔色6 19" xfId="296" xr:uid="{00000000-0005-0000-0000-000027010000}"/>
    <cellStyle name="40% - 輔色6 2" xfId="297" xr:uid="{00000000-0005-0000-0000-000028010000}"/>
    <cellStyle name="40% - 輔色6 20" xfId="298" xr:uid="{00000000-0005-0000-0000-000029010000}"/>
    <cellStyle name="40% - 輔色6 21" xfId="299" xr:uid="{00000000-0005-0000-0000-00002A010000}"/>
    <cellStyle name="40% - 輔色6 22" xfId="300" xr:uid="{00000000-0005-0000-0000-00002B010000}"/>
    <cellStyle name="40% - 輔色6 23" xfId="301" xr:uid="{00000000-0005-0000-0000-00002C010000}"/>
    <cellStyle name="40% - 輔色6 24" xfId="302" xr:uid="{00000000-0005-0000-0000-00002D010000}"/>
    <cellStyle name="40% - 輔色6 25" xfId="303" xr:uid="{00000000-0005-0000-0000-00002E010000}"/>
    <cellStyle name="40% - 輔色6 26" xfId="304" xr:uid="{00000000-0005-0000-0000-00002F010000}"/>
    <cellStyle name="40% - 輔色6 27" xfId="305" xr:uid="{00000000-0005-0000-0000-000030010000}"/>
    <cellStyle name="40% - 輔色6 3" xfId="306" xr:uid="{00000000-0005-0000-0000-000031010000}"/>
    <cellStyle name="40% - 輔色6 4" xfId="307" xr:uid="{00000000-0005-0000-0000-000032010000}"/>
    <cellStyle name="40% - 輔色6 5" xfId="308" xr:uid="{00000000-0005-0000-0000-000033010000}"/>
    <cellStyle name="40% - 輔色6 6" xfId="309" xr:uid="{00000000-0005-0000-0000-000034010000}"/>
    <cellStyle name="40% - 輔色6 7" xfId="310" xr:uid="{00000000-0005-0000-0000-000035010000}"/>
    <cellStyle name="40% - 輔色6 8" xfId="311" xr:uid="{00000000-0005-0000-0000-000036010000}"/>
    <cellStyle name="40% - 輔色6 9" xfId="312" xr:uid="{00000000-0005-0000-0000-000037010000}"/>
    <cellStyle name="60% - 輔色1 10" xfId="313" xr:uid="{00000000-0005-0000-0000-000038010000}"/>
    <cellStyle name="60% - 輔色1 11" xfId="314" xr:uid="{00000000-0005-0000-0000-000039010000}"/>
    <cellStyle name="60% - 輔色1 12" xfId="315" xr:uid="{00000000-0005-0000-0000-00003A010000}"/>
    <cellStyle name="60% - 輔色1 13" xfId="316" xr:uid="{00000000-0005-0000-0000-00003B010000}"/>
    <cellStyle name="60% - 輔色1 14" xfId="317" xr:uid="{00000000-0005-0000-0000-00003C010000}"/>
    <cellStyle name="60% - 輔色1 15" xfId="318" xr:uid="{00000000-0005-0000-0000-00003D010000}"/>
    <cellStyle name="60% - 輔色1 16" xfId="319" xr:uid="{00000000-0005-0000-0000-00003E010000}"/>
    <cellStyle name="60% - 輔色1 17" xfId="320" xr:uid="{00000000-0005-0000-0000-00003F010000}"/>
    <cellStyle name="60% - 輔色1 18" xfId="321" xr:uid="{00000000-0005-0000-0000-000040010000}"/>
    <cellStyle name="60% - 輔色1 19" xfId="322" xr:uid="{00000000-0005-0000-0000-000041010000}"/>
    <cellStyle name="60% - 輔色1 2" xfId="323" xr:uid="{00000000-0005-0000-0000-000042010000}"/>
    <cellStyle name="60% - 輔色1 20" xfId="324" xr:uid="{00000000-0005-0000-0000-000043010000}"/>
    <cellStyle name="60% - 輔色1 21" xfId="325" xr:uid="{00000000-0005-0000-0000-000044010000}"/>
    <cellStyle name="60% - 輔色1 22" xfId="326" xr:uid="{00000000-0005-0000-0000-000045010000}"/>
    <cellStyle name="60% - 輔色1 23" xfId="327" xr:uid="{00000000-0005-0000-0000-000046010000}"/>
    <cellStyle name="60% - 輔色1 24" xfId="328" xr:uid="{00000000-0005-0000-0000-000047010000}"/>
    <cellStyle name="60% - 輔色1 25" xfId="329" xr:uid="{00000000-0005-0000-0000-000048010000}"/>
    <cellStyle name="60% - 輔色1 26" xfId="330" xr:uid="{00000000-0005-0000-0000-000049010000}"/>
    <cellStyle name="60% - 輔色1 27" xfId="331" xr:uid="{00000000-0005-0000-0000-00004A010000}"/>
    <cellStyle name="60% - 輔色1 3" xfId="332" xr:uid="{00000000-0005-0000-0000-00004B010000}"/>
    <cellStyle name="60% - 輔色1 4" xfId="333" xr:uid="{00000000-0005-0000-0000-00004C010000}"/>
    <cellStyle name="60% - 輔色1 5" xfId="334" xr:uid="{00000000-0005-0000-0000-00004D010000}"/>
    <cellStyle name="60% - 輔色1 6" xfId="335" xr:uid="{00000000-0005-0000-0000-00004E010000}"/>
    <cellStyle name="60% - 輔色1 7" xfId="336" xr:uid="{00000000-0005-0000-0000-00004F010000}"/>
    <cellStyle name="60% - 輔色1 8" xfId="337" xr:uid="{00000000-0005-0000-0000-000050010000}"/>
    <cellStyle name="60% - 輔色1 9" xfId="338" xr:uid="{00000000-0005-0000-0000-000051010000}"/>
    <cellStyle name="60% - 輔色2 10" xfId="339" xr:uid="{00000000-0005-0000-0000-000052010000}"/>
    <cellStyle name="60% - 輔色2 11" xfId="340" xr:uid="{00000000-0005-0000-0000-000053010000}"/>
    <cellStyle name="60% - 輔色2 12" xfId="341" xr:uid="{00000000-0005-0000-0000-000054010000}"/>
    <cellStyle name="60% - 輔色2 13" xfId="342" xr:uid="{00000000-0005-0000-0000-000055010000}"/>
    <cellStyle name="60% - 輔色2 14" xfId="343" xr:uid="{00000000-0005-0000-0000-000056010000}"/>
    <cellStyle name="60% - 輔色2 15" xfId="344" xr:uid="{00000000-0005-0000-0000-000057010000}"/>
    <cellStyle name="60% - 輔色2 16" xfId="345" xr:uid="{00000000-0005-0000-0000-000058010000}"/>
    <cellStyle name="60% - 輔色2 17" xfId="346" xr:uid="{00000000-0005-0000-0000-000059010000}"/>
    <cellStyle name="60% - 輔色2 18" xfId="347" xr:uid="{00000000-0005-0000-0000-00005A010000}"/>
    <cellStyle name="60% - 輔色2 19" xfId="348" xr:uid="{00000000-0005-0000-0000-00005B010000}"/>
    <cellStyle name="60% - 輔色2 2" xfId="349" xr:uid="{00000000-0005-0000-0000-00005C010000}"/>
    <cellStyle name="60% - 輔色2 20" xfId="350" xr:uid="{00000000-0005-0000-0000-00005D010000}"/>
    <cellStyle name="60% - 輔色2 21" xfId="351" xr:uid="{00000000-0005-0000-0000-00005E010000}"/>
    <cellStyle name="60% - 輔色2 22" xfId="352" xr:uid="{00000000-0005-0000-0000-00005F010000}"/>
    <cellStyle name="60% - 輔色2 23" xfId="353" xr:uid="{00000000-0005-0000-0000-000060010000}"/>
    <cellStyle name="60% - 輔色2 24" xfId="354" xr:uid="{00000000-0005-0000-0000-000061010000}"/>
    <cellStyle name="60% - 輔色2 25" xfId="355" xr:uid="{00000000-0005-0000-0000-000062010000}"/>
    <cellStyle name="60% - 輔色2 26" xfId="356" xr:uid="{00000000-0005-0000-0000-000063010000}"/>
    <cellStyle name="60% - 輔色2 27" xfId="357" xr:uid="{00000000-0005-0000-0000-000064010000}"/>
    <cellStyle name="60% - 輔色2 3" xfId="358" xr:uid="{00000000-0005-0000-0000-000065010000}"/>
    <cellStyle name="60% - 輔色2 4" xfId="359" xr:uid="{00000000-0005-0000-0000-000066010000}"/>
    <cellStyle name="60% - 輔色2 5" xfId="360" xr:uid="{00000000-0005-0000-0000-000067010000}"/>
    <cellStyle name="60% - 輔色2 6" xfId="361" xr:uid="{00000000-0005-0000-0000-000068010000}"/>
    <cellStyle name="60% - 輔色2 7" xfId="362" xr:uid="{00000000-0005-0000-0000-000069010000}"/>
    <cellStyle name="60% - 輔色2 8" xfId="363" xr:uid="{00000000-0005-0000-0000-00006A010000}"/>
    <cellStyle name="60% - 輔色2 9" xfId="364" xr:uid="{00000000-0005-0000-0000-00006B010000}"/>
    <cellStyle name="60% - 輔色3 10" xfId="365" xr:uid="{00000000-0005-0000-0000-00006C010000}"/>
    <cellStyle name="60% - 輔色3 11" xfId="366" xr:uid="{00000000-0005-0000-0000-00006D010000}"/>
    <cellStyle name="60% - 輔色3 12" xfId="367" xr:uid="{00000000-0005-0000-0000-00006E010000}"/>
    <cellStyle name="60% - 輔色3 13" xfId="368" xr:uid="{00000000-0005-0000-0000-00006F010000}"/>
    <cellStyle name="60% - 輔色3 14" xfId="369" xr:uid="{00000000-0005-0000-0000-000070010000}"/>
    <cellStyle name="60% - 輔色3 15" xfId="370" xr:uid="{00000000-0005-0000-0000-000071010000}"/>
    <cellStyle name="60% - 輔色3 16" xfId="371" xr:uid="{00000000-0005-0000-0000-000072010000}"/>
    <cellStyle name="60% - 輔色3 17" xfId="372" xr:uid="{00000000-0005-0000-0000-000073010000}"/>
    <cellStyle name="60% - 輔色3 18" xfId="373" xr:uid="{00000000-0005-0000-0000-000074010000}"/>
    <cellStyle name="60% - 輔色3 19" xfId="374" xr:uid="{00000000-0005-0000-0000-000075010000}"/>
    <cellStyle name="60% - 輔色3 2" xfId="375" xr:uid="{00000000-0005-0000-0000-000076010000}"/>
    <cellStyle name="60% - 輔色3 20" xfId="376" xr:uid="{00000000-0005-0000-0000-000077010000}"/>
    <cellStyle name="60% - 輔色3 21" xfId="377" xr:uid="{00000000-0005-0000-0000-000078010000}"/>
    <cellStyle name="60% - 輔色3 22" xfId="378" xr:uid="{00000000-0005-0000-0000-000079010000}"/>
    <cellStyle name="60% - 輔色3 23" xfId="379" xr:uid="{00000000-0005-0000-0000-00007A010000}"/>
    <cellStyle name="60% - 輔色3 24" xfId="380" xr:uid="{00000000-0005-0000-0000-00007B010000}"/>
    <cellStyle name="60% - 輔色3 25" xfId="381" xr:uid="{00000000-0005-0000-0000-00007C010000}"/>
    <cellStyle name="60% - 輔色3 26" xfId="382" xr:uid="{00000000-0005-0000-0000-00007D010000}"/>
    <cellStyle name="60% - 輔色3 27" xfId="383" xr:uid="{00000000-0005-0000-0000-00007E010000}"/>
    <cellStyle name="60% - 輔色3 3" xfId="384" xr:uid="{00000000-0005-0000-0000-00007F010000}"/>
    <cellStyle name="60% - 輔色3 4" xfId="385" xr:uid="{00000000-0005-0000-0000-000080010000}"/>
    <cellStyle name="60% - 輔色3 5" xfId="386" xr:uid="{00000000-0005-0000-0000-000081010000}"/>
    <cellStyle name="60% - 輔色3 6" xfId="387" xr:uid="{00000000-0005-0000-0000-000082010000}"/>
    <cellStyle name="60% - 輔色3 7" xfId="388" xr:uid="{00000000-0005-0000-0000-000083010000}"/>
    <cellStyle name="60% - 輔色3 8" xfId="389" xr:uid="{00000000-0005-0000-0000-000084010000}"/>
    <cellStyle name="60% - 輔色3 9" xfId="390" xr:uid="{00000000-0005-0000-0000-000085010000}"/>
    <cellStyle name="60% - 輔色4 10" xfId="391" xr:uid="{00000000-0005-0000-0000-000086010000}"/>
    <cellStyle name="60% - 輔色4 11" xfId="392" xr:uid="{00000000-0005-0000-0000-000087010000}"/>
    <cellStyle name="60% - 輔色4 12" xfId="393" xr:uid="{00000000-0005-0000-0000-000088010000}"/>
    <cellStyle name="60% - 輔色4 13" xfId="394" xr:uid="{00000000-0005-0000-0000-000089010000}"/>
    <cellStyle name="60% - 輔色4 14" xfId="395" xr:uid="{00000000-0005-0000-0000-00008A010000}"/>
    <cellStyle name="60% - 輔色4 15" xfId="396" xr:uid="{00000000-0005-0000-0000-00008B010000}"/>
    <cellStyle name="60% - 輔色4 16" xfId="397" xr:uid="{00000000-0005-0000-0000-00008C010000}"/>
    <cellStyle name="60% - 輔色4 17" xfId="398" xr:uid="{00000000-0005-0000-0000-00008D010000}"/>
    <cellStyle name="60% - 輔色4 18" xfId="399" xr:uid="{00000000-0005-0000-0000-00008E010000}"/>
    <cellStyle name="60% - 輔色4 19" xfId="400" xr:uid="{00000000-0005-0000-0000-00008F010000}"/>
    <cellStyle name="60% - 輔色4 2" xfId="401" xr:uid="{00000000-0005-0000-0000-000090010000}"/>
    <cellStyle name="60% - 輔色4 20" xfId="402" xr:uid="{00000000-0005-0000-0000-000091010000}"/>
    <cellStyle name="60% - 輔色4 21" xfId="403" xr:uid="{00000000-0005-0000-0000-000092010000}"/>
    <cellStyle name="60% - 輔色4 22" xfId="404" xr:uid="{00000000-0005-0000-0000-000093010000}"/>
    <cellStyle name="60% - 輔色4 23" xfId="405" xr:uid="{00000000-0005-0000-0000-000094010000}"/>
    <cellStyle name="60% - 輔色4 24" xfId="406" xr:uid="{00000000-0005-0000-0000-000095010000}"/>
    <cellStyle name="60% - 輔色4 25" xfId="407" xr:uid="{00000000-0005-0000-0000-000096010000}"/>
    <cellStyle name="60% - 輔色4 26" xfId="408" xr:uid="{00000000-0005-0000-0000-000097010000}"/>
    <cellStyle name="60% - 輔色4 27" xfId="409" xr:uid="{00000000-0005-0000-0000-000098010000}"/>
    <cellStyle name="60% - 輔色4 3" xfId="410" xr:uid="{00000000-0005-0000-0000-000099010000}"/>
    <cellStyle name="60% - 輔色4 4" xfId="411" xr:uid="{00000000-0005-0000-0000-00009A010000}"/>
    <cellStyle name="60% - 輔色4 5" xfId="412" xr:uid="{00000000-0005-0000-0000-00009B010000}"/>
    <cellStyle name="60% - 輔色4 6" xfId="413" xr:uid="{00000000-0005-0000-0000-00009C010000}"/>
    <cellStyle name="60% - 輔色4 7" xfId="414" xr:uid="{00000000-0005-0000-0000-00009D010000}"/>
    <cellStyle name="60% - 輔色4 8" xfId="415" xr:uid="{00000000-0005-0000-0000-00009E010000}"/>
    <cellStyle name="60% - 輔色4 9" xfId="416" xr:uid="{00000000-0005-0000-0000-00009F010000}"/>
    <cellStyle name="60% - 輔色5 10" xfId="417" xr:uid="{00000000-0005-0000-0000-0000A0010000}"/>
    <cellStyle name="60% - 輔色5 11" xfId="418" xr:uid="{00000000-0005-0000-0000-0000A1010000}"/>
    <cellStyle name="60% - 輔色5 12" xfId="419" xr:uid="{00000000-0005-0000-0000-0000A2010000}"/>
    <cellStyle name="60% - 輔色5 13" xfId="420" xr:uid="{00000000-0005-0000-0000-0000A3010000}"/>
    <cellStyle name="60% - 輔色5 14" xfId="421" xr:uid="{00000000-0005-0000-0000-0000A4010000}"/>
    <cellStyle name="60% - 輔色5 15" xfId="422" xr:uid="{00000000-0005-0000-0000-0000A5010000}"/>
    <cellStyle name="60% - 輔色5 16" xfId="423" xr:uid="{00000000-0005-0000-0000-0000A6010000}"/>
    <cellStyle name="60% - 輔色5 17" xfId="424" xr:uid="{00000000-0005-0000-0000-0000A7010000}"/>
    <cellStyle name="60% - 輔色5 18" xfId="425" xr:uid="{00000000-0005-0000-0000-0000A8010000}"/>
    <cellStyle name="60% - 輔色5 19" xfId="426" xr:uid="{00000000-0005-0000-0000-0000A9010000}"/>
    <cellStyle name="60% - 輔色5 2" xfId="427" xr:uid="{00000000-0005-0000-0000-0000AA010000}"/>
    <cellStyle name="60% - 輔色5 20" xfId="428" xr:uid="{00000000-0005-0000-0000-0000AB010000}"/>
    <cellStyle name="60% - 輔色5 21" xfId="429" xr:uid="{00000000-0005-0000-0000-0000AC010000}"/>
    <cellStyle name="60% - 輔色5 22" xfId="430" xr:uid="{00000000-0005-0000-0000-0000AD010000}"/>
    <cellStyle name="60% - 輔色5 23" xfId="431" xr:uid="{00000000-0005-0000-0000-0000AE010000}"/>
    <cellStyle name="60% - 輔色5 24" xfId="432" xr:uid="{00000000-0005-0000-0000-0000AF010000}"/>
    <cellStyle name="60% - 輔色5 25" xfId="433" xr:uid="{00000000-0005-0000-0000-0000B0010000}"/>
    <cellStyle name="60% - 輔色5 26" xfId="434" xr:uid="{00000000-0005-0000-0000-0000B1010000}"/>
    <cellStyle name="60% - 輔色5 27" xfId="435" xr:uid="{00000000-0005-0000-0000-0000B2010000}"/>
    <cellStyle name="60% - 輔色5 3" xfId="436" xr:uid="{00000000-0005-0000-0000-0000B3010000}"/>
    <cellStyle name="60% - 輔色5 4" xfId="437" xr:uid="{00000000-0005-0000-0000-0000B4010000}"/>
    <cellStyle name="60% - 輔色5 5" xfId="438" xr:uid="{00000000-0005-0000-0000-0000B5010000}"/>
    <cellStyle name="60% - 輔色5 6" xfId="439" xr:uid="{00000000-0005-0000-0000-0000B6010000}"/>
    <cellStyle name="60% - 輔色5 7" xfId="440" xr:uid="{00000000-0005-0000-0000-0000B7010000}"/>
    <cellStyle name="60% - 輔色5 8" xfId="441" xr:uid="{00000000-0005-0000-0000-0000B8010000}"/>
    <cellStyle name="60% - 輔色5 9" xfId="442" xr:uid="{00000000-0005-0000-0000-0000B9010000}"/>
    <cellStyle name="60% - 輔色6 10" xfId="443" xr:uid="{00000000-0005-0000-0000-0000BA010000}"/>
    <cellStyle name="60% - 輔色6 11" xfId="444" xr:uid="{00000000-0005-0000-0000-0000BB010000}"/>
    <cellStyle name="60% - 輔色6 12" xfId="445" xr:uid="{00000000-0005-0000-0000-0000BC010000}"/>
    <cellStyle name="60% - 輔色6 13" xfId="446" xr:uid="{00000000-0005-0000-0000-0000BD010000}"/>
    <cellStyle name="60% - 輔色6 14" xfId="447" xr:uid="{00000000-0005-0000-0000-0000BE010000}"/>
    <cellStyle name="60% - 輔色6 15" xfId="448" xr:uid="{00000000-0005-0000-0000-0000BF010000}"/>
    <cellStyle name="60% - 輔色6 16" xfId="449" xr:uid="{00000000-0005-0000-0000-0000C0010000}"/>
    <cellStyle name="60% - 輔色6 17" xfId="450" xr:uid="{00000000-0005-0000-0000-0000C1010000}"/>
    <cellStyle name="60% - 輔色6 18" xfId="451" xr:uid="{00000000-0005-0000-0000-0000C2010000}"/>
    <cellStyle name="60% - 輔色6 19" xfId="452" xr:uid="{00000000-0005-0000-0000-0000C3010000}"/>
    <cellStyle name="60% - 輔色6 2" xfId="453" xr:uid="{00000000-0005-0000-0000-0000C4010000}"/>
    <cellStyle name="60% - 輔色6 20" xfId="454" xr:uid="{00000000-0005-0000-0000-0000C5010000}"/>
    <cellStyle name="60% - 輔色6 21" xfId="455" xr:uid="{00000000-0005-0000-0000-0000C6010000}"/>
    <cellStyle name="60% - 輔色6 22" xfId="456" xr:uid="{00000000-0005-0000-0000-0000C7010000}"/>
    <cellStyle name="60% - 輔色6 23" xfId="457" xr:uid="{00000000-0005-0000-0000-0000C8010000}"/>
    <cellStyle name="60% - 輔色6 24" xfId="458" xr:uid="{00000000-0005-0000-0000-0000C9010000}"/>
    <cellStyle name="60% - 輔色6 25" xfId="459" xr:uid="{00000000-0005-0000-0000-0000CA010000}"/>
    <cellStyle name="60% - 輔色6 26" xfId="460" xr:uid="{00000000-0005-0000-0000-0000CB010000}"/>
    <cellStyle name="60% - 輔色6 27" xfId="461" xr:uid="{00000000-0005-0000-0000-0000CC010000}"/>
    <cellStyle name="60% - 輔色6 3" xfId="462" xr:uid="{00000000-0005-0000-0000-0000CD010000}"/>
    <cellStyle name="60% - 輔色6 4" xfId="463" xr:uid="{00000000-0005-0000-0000-0000CE010000}"/>
    <cellStyle name="60% - 輔色6 5" xfId="464" xr:uid="{00000000-0005-0000-0000-0000CF010000}"/>
    <cellStyle name="60% - 輔色6 6" xfId="465" xr:uid="{00000000-0005-0000-0000-0000D0010000}"/>
    <cellStyle name="60% - 輔色6 7" xfId="466" xr:uid="{00000000-0005-0000-0000-0000D1010000}"/>
    <cellStyle name="60% - 輔色6 8" xfId="467" xr:uid="{00000000-0005-0000-0000-0000D2010000}"/>
    <cellStyle name="60% - 輔色6 9" xfId="468" xr:uid="{00000000-0005-0000-0000-0000D3010000}"/>
    <cellStyle name="Comma" xfId="495" builtinId="3"/>
    <cellStyle name="Normal" xfId="0" builtinId="0"/>
    <cellStyle name="一般 10" xfId="469" xr:uid="{00000000-0005-0000-0000-0000D5010000}"/>
    <cellStyle name="一般 11" xfId="470" xr:uid="{00000000-0005-0000-0000-0000D6010000}"/>
    <cellStyle name="一般 12" xfId="471" xr:uid="{00000000-0005-0000-0000-0000D7010000}"/>
    <cellStyle name="一般 13" xfId="472" xr:uid="{00000000-0005-0000-0000-0000D8010000}"/>
    <cellStyle name="一般 14" xfId="473" xr:uid="{00000000-0005-0000-0000-0000D9010000}"/>
    <cellStyle name="一般 15" xfId="474" xr:uid="{00000000-0005-0000-0000-0000DA010000}"/>
    <cellStyle name="一般 16" xfId="475" xr:uid="{00000000-0005-0000-0000-0000DB010000}"/>
    <cellStyle name="一般 17" xfId="476" xr:uid="{00000000-0005-0000-0000-0000DC010000}"/>
    <cellStyle name="一般 18" xfId="477" xr:uid="{00000000-0005-0000-0000-0000DD010000}"/>
    <cellStyle name="一般 19" xfId="478" xr:uid="{00000000-0005-0000-0000-0000DE010000}"/>
    <cellStyle name="一般 2" xfId="479" xr:uid="{00000000-0005-0000-0000-0000DF010000}"/>
    <cellStyle name="一般 20" xfId="480" xr:uid="{00000000-0005-0000-0000-0000E0010000}"/>
    <cellStyle name="一般 21" xfId="481" xr:uid="{00000000-0005-0000-0000-0000E1010000}"/>
    <cellStyle name="一般 22" xfId="482" xr:uid="{00000000-0005-0000-0000-0000E2010000}"/>
    <cellStyle name="一般 23" xfId="483" xr:uid="{00000000-0005-0000-0000-0000E3010000}"/>
    <cellStyle name="一般 24" xfId="484" xr:uid="{00000000-0005-0000-0000-0000E4010000}"/>
    <cellStyle name="一般 25" xfId="485" xr:uid="{00000000-0005-0000-0000-0000E5010000}"/>
    <cellStyle name="一般 26" xfId="486" xr:uid="{00000000-0005-0000-0000-0000E6010000}"/>
    <cellStyle name="一般 27" xfId="487" xr:uid="{00000000-0005-0000-0000-0000E7010000}"/>
    <cellStyle name="一般 3" xfId="488" xr:uid="{00000000-0005-0000-0000-0000E8010000}"/>
    <cellStyle name="一般 4" xfId="489" xr:uid="{00000000-0005-0000-0000-0000E9010000}"/>
    <cellStyle name="一般 5" xfId="490" xr:uid="{00000000-0005-0000-0000-0000EA010000}"/>
    <cellStyle name="一般 6" xfId="491" xr:uid="{00000000-0005-0000-0000-0000EB010000}"/>
    <cellStyle name="一般 7" xfId="492" xr:uid="{00000000-0005-0000-0000-0000EC010000}"/>
    <cellStyle name="一般 8" xfId="493" xr:uid="{00000000-0005-0000-0000-0000ED010000}"/>
    <cellStyle name="一般 9" xfId="494" xr:uid="{00000000-0005-0000-0000-0000EE010000}"/>
    <cellStyle name="中等 10" xfId="496" xr:uid="{00000000-0005-0000-0000-0000F0010000}"/>
    <cellStyle name="中等 11" xfId="497" xr:uid="{00000000-0005-0000-0000-0000F1010000}"/>
    <cellStyle name="中等 12" xfId="498" xr:uid="{00000000-0005-0000-0000-0000F2010000}"/>
    <cellStyle name="中等 13" xfId="499" xr:uid="{00000000-0005-0000-0000-0000F3010000}"/>
    <cellStyle name="中等 14" xfId="500" xr:uid="{00000000-0005-0000-0000-0000F4010000}"/>
    <cellStyle name="中等 15" xfId="501" xr:uid="{00000000-0005-0000-0000-0000F5010000}"/>
    <cellStyle name="中等 16" xfId="502" xr:uid="{00000000-0005-0000-0000-0000F6010000}"/>
    <cellStyle name="中等 17" xfId="503" xr:uid="{00000000-0005-0000-0000-0000F7010000}"/>
    <cellStyle name="中等 18" xfId="504" xr:uid="{00000000-0005-0000-0000-0000F8010000}"/>
    <cellStyle name="中等 19" xfId="505" xr:uid="{00000000-0005-0000-0000-0000F9010000}"/>
    <cellStyle name="中等 2" xfId="506" xr:uid="{00000000-0005-0000-0000-0000FA010000}"/>
    <cellStyle name="中等 20" xfId="507" xr:uid="{00000000-0005-0000-0000-0000FB010000}"/>
    <cellStyle name="中等 21" xfId="508" xr:uid="{00000000-0005-0000-0000-0000FC010000}"/>
    <cellStyle name="中等 22" xfId="509" xr:uid="{00000000-0005-0000-0000-0000FD010000}"/>
    <cellStyle name="中等 23" xfId="510" xr:uid="{00000000-0005-0000-0000-0000FE010000}"/>
    <cellStyle name="中等 24" xfId="511" xr:uid="{00000000-0005-0000-0000-0000FF010000}"/>
    <cellStyle name="中等 25" xfId="512" xr:uid="{00000000-0005-0000-0000-000000020000}"/>
    <cellStyle name="中等 26" xfId="513" xr:uid="{00000000-0005-0000-0000-000001020000}"/>
    <cellStyle name="中等 27" xfId="514" xr:uid="{00000000-0005-0000-0000-000002020000}"/>
    <cellStyle name="中等 3" xfId="515" xr:uid="{00000000-0005-0000-0000-000003020000}"/>
    <cellStyle name="中等 4" xfId="516" xr:uid="{00000000-0005-0000-0000-000004020000}"/>
    <cellStyle name="中等 5" xfId="517" xr:uid="{00000000-0005-0000-0000-000005020000}"/>
    <cellStyle name="中等 6" xfId="518" xr:uid="{00000000-0005-0000-0000-000006020000}"/>
    <cellStyle name="中等 7" xfId="519" xr:uid="{00000000-0005-0000-0000-000007020000}"/>
    <cellStyle name="中等 8" xfId="520" xr:uid="{00000000-0005-0000-0000-000008020000}"/>
    <cellStyle name="中等 9" xfId="521" xr:uid="{00000000-0005-0000-0000-000009020000}"/>
    <cellStyle name="備註 10" xfId="626" xr:uid="{00000000-0005-0000-0000-000072020000}"/>
    <cellStyle name="備註 11" xfId="627" xr:uid="{00000000-0005-0000-0000-000073020000}"/>
    <cellStyle name="備註 12" xfId="628" xr:uid="{00000000-0005-0000-0000-000074020000}"/>
    <cellStyle name="備註 13" xfId="629" xr:uid="{00000000-0005-0000-0000-000075020000}"/>
    <cellStyle name="備註 14" xfId="630" xr:uid="{00000000-0005-0000-0000-000076020000}"/>
    <cellStyle name="備註 15" xfId="631" xr:uid="{00000000-0005-0000-0000-000077020000}"/>
    <cellStyle name="備註 16" xfId="632" xr:uid="{00000000-0005-0000-0000-000078020000}"/>
    <cellStyle name="備註 17" xfId="633" xr:uid="{00000000-0005-0000-0000-000079020000}"/>
    <cellStyle name="備註 18" xfId="634" xr:uid="{00000000-0005-0000-0000-00007A020000}"/>
    <cellStyle name="備註 19" xfId="635" xr:uid="{00000000-0005-0000-0000-00007B020000}"/>
    <cellStyle name="備註 2" xfId="636" xr:uid="{00000000-0005-0000-0000-00007C020000}"/>
    <cellStyle name="備註 20" xfId="637" xr:uid="{00000000-0005-0000-0000-00007D020000}"/>
    <cellStyle name="備註 21" xfId="638" xr:uid="{00000000-0005-0000-0000-00007E020000}"/>
    <cellStyle name="備註 22" xfId="639" xr:uid="{00000000-0005-0000-0000-00007F020000}"/>
    <cellStyle name="備註 23" xfId="640" xr:uid="{00000000-0005-0000-0000-000080020000}"/>
    <cellStyle name="備註 24" xfId="641" xr:uid="{00000000-0005-0000-0000-000081020000}"/>
    <cellStyle name="備註 25" xfId="642" xr:uid="{00000000-0005-0000-0000-000082020000}"/>
    <cellStyle name="備註 26" xfId="643" xr:uid="{00000000-0005-0000-0000-000083020000}"/>
    <cellStyle name="備註 27" xfId="644" xr:uid="{00000000-0005-0000-0000-000084020000}"/>
    <cellStyle name="備註 3" xfId="645" xr:uid="{00000000-0005-0000-0000-000085020000}"/>
    <cellStyle name="備註 4" xfId="646" xr:uid="{00000000-0005-0000-0000-000086020000}"/>
    <cellStyle name="備註 5" xfId="647" xr:uid="{00000000-0005-0000-0000-000087020000}"/>
    <cellStyle name="備註 6" xfId="648" xr:uid="{00000000-0005-0000-0000-000088020000}"/>
    <cellStyle name="備註 7" xfId="649" xr:uid="{00000000-0005-0000-0000-000089020000}"/>
    <cellStyle name="備註 8" xfId="650" xr:uid="{00000000-0005-0000-0000-00008A020000}"/>
    <cellStyle name="備註 9" xfId="651" xr:uid="{00000000-0005-0000-0000-00008B020000}"/>
    <cellStyle name="合計 10" xfId="522" xr:uid="{00000000-0005-0000-0000-00000A020000}"/>
    <cellStyle name="合計 11" xfId="523" xr:uid="{00000000-0005-0000-0000-00000B020000}"/>
    <cellStyle name="合計 12" xfId="524" xr:uid="{00000000-0005-0000-0000-00000C020000}"/>
    <cellStyle name="合計 13" xfId="525" xr:uid="{00000000-0005-0000-0000-00000D020000}"/>
    <cellStyle name="合計 14" xfId="526" xr:uid="{00000000-0005-0000-0000-00000E020000}"/>
    <cellStyle name="合計 15" xfId="527" xr:uid="{00000000-0005-0000-0000-00000F020000}"/>
    <cellStyle name="合計 16" xfId="528" xr:uid="{00000000-0005-0000-0000-000010020000}"/>
    <cellStyle name="合計 17" xfId="529" xr:uid="{00000000-0005-0000-0000-000011020000}"/>
    <cellStyle name="合計 18" xfId="530" xr:uid="{00000000-0005-0000-0000-000012020000}"/>
    <cellStyle name="合計 19" xfId="531" xr:uid="{00000000-0005-0000-0000-000013020000}"/>
    <cellStyle name="合計 2" xfId="532" xr:uid="{00000000-0005-0000-0000-000014020000}"/>
    <cellStyle name="合計 20" xfId="533" xr:uid="{00000000-0005-0000-0000-000015020000}"/>
    <cellStyle name="合計 21" xfId="534" xr:uid="{00000000-0005-0000-0000-000016020000}"/>
    <cellStyle name="合計 22" xfId="535" xr:uid="{00000000-0005-0000-0000-000017020000}"/>
    <cellStyle name="合計 23" xfId="536" xr:uid="{00000000-0005-0000-0000-000018020000}"/>
    <cellStyle name="合計 24" xfId="537" xr:uid="{00000000-0005-0000-0000-000019020000}"/>
    <cellStyle name="合計 25" xfId="538" xr:uid="{00000000-0005-0000-0000-00001A020000}"/>
    <cellStyle name="合計 26" xfId="539" xr:uid="{00000000-0005-0000-0000-00001B020000}"/>
    <cellStyle name="合計 27" xfId="540" xr:uid="{00000000-0005-0000-0000-00001C020000}"/>
    <cellStyle name="合計 3" xfId="541" xr:uid="{00000000-0005-0000-0000-00001D020000}"/>
    <cellStyle name="合計 4" xfId="542" xr:uid="{00000000-0005-0000-0000-00001E020000}"/>
    <cellStyle name="合計 5" xfId="543" xr:uid="{00000000-0005-0000-0000-00001F020000}"/>
    <cellStyle name="合計 6" xfId="544" xr:uid="{00000000-0005-0000-0000-000020020000}"/>
    <cellStyle name="合計 7" xfId="545" xr:uid="{00000000-0005-0000-0000-000021020000}"/>
    <cellStyle name="合計 8" xfId="546" xr:uid="{00000000-0005-0000-0000-000022020000}"/>
    <cellStyle name="合計 9" xfId="547" xr:uid="{00000000-0005-0000-0000-000023020000}"/>
    <cellStyle name="壞 10" xfId="1042" xr:uid="{00000000-0005-0000-0000-000012040000}"/>
    <cellStyle name="壞 11" xfId="1043" xr:uid="{00000000-0005-0000-0000-000013040000}"/>
    <cellStyle name="壞 12" xfId="1044" xr:uid="{00000000-0005-0000-0000-000014040000}"/>
    <cellStyle name="壞 13" xfId="1045" xr:uid="{00000000-0005-0000-0000-000015040000}"/>
    <cellStyle name="壞 14" xfId="1046" xr:uid="{00000000-0005-0000-0000-000016040000}"/>
    <cellStyle name="壞 15" xfId="1047" xr:uid="{00000000-0005-0000-0000-000017040000}"/>
    <cellStyle name="壞 16" xfId="1048" xr:uid="{00000000-0005-0000-0000-000018040000}"/>
    <cellStyle name="壞 17" xfId="1049" xr:uid="{00000000-0005-0000-0000-000019040000}"/>
    <cellStyle name="壞 18" xfId="1050" xr:uid="{00000000-0005-0000-0000-00001A040000}"/>
    <cellStyle name="壞 19" xfId="1051" xr:uid="{00000000-0005-0000-0000-00001B040000}"/>
    <cellStyle name="壞 2" xfId="1052" xr:uid="{00000000-0005-0000-0000-00001C040000}"/>
    <cellStyle name="壞 20" xfId="1053" xr:uid="{00000000-0005-0000-0000-00001D040000}"/>
    <cellStyle name="壞 21" xfId="1054" xr:uid="{00000000-0005-0000-0000-00001E040000}"/>
    <cellStyle name="壞 22" xfId="1055" xr:uid="{00000000-0005-0000-0000-00001F040000}"/>
    <cellStyle name="壞 23" xfId="1056" xr:uid="{00000000-0005-0000-0000-000020040000}"/>
    <cellStyle name="壞 24" xfId="1057" xr:uid="{00000000-0005-0000-0000-000021040000}"/>
    <cellStyle name="壞 25" xfId="1058" xr:uid="{00000000-0005-0000-0000-000022040000}"/>
    <cellStyle name="壞 26" xfId="1059" xr:uid="{00000000-0005-0000-0000-000023040000}"/>
    <cellStyle name="壞 27" xfId="1060" xr:uid="{00000000-0005-0000-0000-000024040000}"/>
    <cellStyle name="壞 3" xfId="1061" xr:uid="{00000000-0005-0000-0000-000025040000}"/>
    <cellStyle name="壞 4" xfId="1062" xr:uid="{00000000-0005-0000-0000-000026040000}"/>
    <cellStyle name="壞 5" xfId="1063" xr:uid="{00000000-0005-0000-0000-000027040000}"/>
    <cellStyle name="壞 6" xfId="1064" xr:uid="{00000000-0005-0000-0000-000028040000}"/>
    <cellStyle name="壞 7" xfId="1065" xr:uid="{00000000-0005-0000-0000-000029040000}"/>
    <cellStyle name="壞 8" xfId="1066" xr:uid="{00000000-0005-0000-0000-00002A040000}"/>
    <cellStyle name="壞 9" xfId="1067" xr:uid="{00000000-0005-0000-0000-00002B040000}"/>
    <cellStyle name="好 10" xfId="548" xr:uid="{00000000-0005-0000-0000-000024020000}"/>
    <cellStyle name="好 11" xfId="549" xr:uid="{00000000-0005-0000-0000-000025020000}"/>
    <cellStyle name="好 12" xfId="550" xr:uid="{00000000-0005-0000-0000-000026020000}"/>
    <cellStyle name="好 13" xfId="551" xr:uid="{00000000-0005-0000-0000-000027020000}"/>
    <cellStyle name="好 14" xfId="552" xr:uid="{00000000-0005-0000-0000-000028020000}"/>
    <cellStyle name="好 15" xfId="553" xr:uid="{00000000-0005-0000-0000-000029020000}"/>
    <cellStyle name="好 16" xfId="554" xr:uid="{00000000-0005-0000-0000-00002A020000}"/>
    <cellStyle name="好 17" xfId="555" xr:uid="{00000000-0005-0000-0000-00002B020000}"/>
    <cellStyle name="好 18" xfId="556" xr:uid="{00000000-0005-0000-0000-00002C020000}"/>
    <cellStyle name="好 19" xfId="557" xr:uid="{00000000-0005-0000-0000-00002D020000}"/>
    <cellStyle name="好 2" xfId="558" xr:uid="{00000000-0005-0000-0000-00002E020000}"/>
    <cellStyle name="好 20" xfId="559" xr:uid="{00000000-0005-0000-0000-00002F020000}"/>
    <cellStyle name="好 21" xfId="560" xr:uid="{00000000-0005-0000-0000-000030020000}"/>
    <cellStyle name="好 22" xfId="561" xr:uid="{00000000-0005-0000-0000-000031020000}"/>
    <cellStyle name="好 23" xfId="562" xr:uid="{00000000-0005-0000-0000-000032020000}"/>
    <cellStyle name="好 24" xfId="563" xr:uid="{00000000-0005-0000-0000-000033020000}"/>
    <cellStyle name="好 25" xfId="564" xr:uid="{00000000-0005-0000-0000-000034020000}"/>
    <cellStyle name="好 26" xfId="565" xr:uid="{00000000-0005-0000-0000-000035020000}"/>
    <cellStyle name="好 27" xfId="566" xr:uid="{00000000-0005-0000-0000-000036020000}"/>
    <cellStyle name="好 3" xfId="567" xr:uid="{00000000-0005-0000-0000-000037020000}"/>
    <cellStyle name="好 4" xfId="568" xr:uid="{00000000-0005-0000-0000-000038020000}"/>
    <cellStyle name="好 5" xfId="569" xr:uid="{00000000-0005-0000-0000-000039020000}"/>
    <cellStyle name="好 6" xfId="570" xr:uid="{00000000-0005-0000-0000-00003A020000}"/>
    <cellStyle name="好 7" xfId="571" xr:uid="{00000000-0005-0000-0000-00003B020000}"/>
    <cellStyle name="好 8" xfId="572" xr:uid="{00000000-0005-0000-0000-00003C020000}"/>
    <cellStyle name="好 9" xfId="573" xr:uid="{00000000-0005-0000-0000-00003D020000}"/>
    <cellStyle name="標題 1 10" xfId="834" xr:uid="{00000000-0005-0000-0000-000042030000}"/>
    <cellStyle name="標題 1 11" xfId="835" xr:uid="{00000000-0005-0000-0000-000043030000}"/>
    <cellStyle name="標題 1 12" xfId="836" xr:uid="{00000000-0005-0000-0000-000044030000}"/>
    <cellStyle name="標題 1 13" xfId="837" xr:uid="{00000000-0005-0000-0000-000045030000}"/>
    <cellStyle name="標題 1 14" xfId="838" xr:uid="{00000000-0005-0000-0000-000046030000}"/>
    <cellStyle name="標題 1 15" xfId="839" xr:uid="{00000000-0005-0000-0000-000047030000}"/>
    <cellStyle name="標題 1 16" xfId="840" xr:uid="{00000000-0005-0000-0000-000048030000}"/>
    <cellStyle name="標題 1 17" xfId="841" xr:uid="{00000000-0005-0000-0000-000049030000}"/>
    <cellStyle name="標題 1 18" xfId="842" xr:uid="{00000000-0005-0000-0000-00004A030000}"/>
    <cellStyle name="標題 1 19" xfId="843" xr:uid="{00000000-0005-0000-0000-00004B030000}"/>
    <cellStyle name="標題 1 2" xfId="844" xr:uid="{00000000-0005-0000-0000-00004C030000}"/>
    <cellStyle name="標題 1 20" xfId="845" xr:uid="{00000000-0005-0000-0000-00004D030000}"/>
    <cellStyle name="標題 1 21" xfId="846" xr:uid="{00000000-0005-0000-0000-00004E030000}"/>
    <cellStyle name="標題 1 22" xfId="847" xr:uid="{00000000-0005-0000-0000-00004F030000}"/>
    <cellStyle name="標題 1 23" xfId="848" xr:uid="{00000000-0005-0000-0000-000050030000}"/>
    <cellStyle name="標題 1 24" xfId="849" xr:uid="{00000000-0005-0000-0000-000051030000}"/>
    <cellStyle name="標題 1 25" xfId="850" xr:uid="{00000000-0005-0000-0000-000052030000}"/>
    <cellStyle name="標題 1 26" xfId="851" xr:uid="{00000000-0005-0000-0000-000053030000}"/>
    <cellStyle name="標題 1 27" xfId="852" xr:uid="{00000000-0005-0000-0000-000054030000}"/>
    <cellStyle name="標題 1 3" xfId="853" xr:uid="{00000000-0005-0000-0000-000055030000}"/>
    <cellStyle name="標題 1 4" xfId="854" xr:uid="{00000000-0005-0000-0000-000056030000}"/>
    <cellStyle name="標題 1 5" xfId="855" xr:uid="{00000000-0005-0000-0000-000057030000}"/>
    <cellStyle name="標題 1 6" xfId="856" xr:uid="{00000000-0005-0000-0000-000058030000}"/>
    <cellStyle name="標題 1 7" xfId="857" xr:uid="{00000000-0005-0000-0000-000059030000}"/>
    <cellStyle name="標題 1 8" xfId="858" xr:uid="{00000000-0005-0000-0000-00005A030000}"/>
    <cellStyle name="標題 1 9" xfId="859" xr:uid="{00000000-0005-0000-0000-00005B030000}"/>
    <cellStyle name="標題 10" xfId="860" xr:uid="{00000000-0005-0000-0000-00005C030000}"/>
    <cellStyle name="標題 11" xfId="861" xr:uid="{00000000-0005-0000-0000-00005D030000}"/>
    <cellStyle name="標題 12" xfId="862" xr:uid="{00000000-0005-0000-0000-00005E030000}"/>
    <cellStyle name="標題 13" xfId="863" xr:uid="{00000000-0005-0000-0000-00005F030000}"/>
    <cellStyle name="標題 14" xfId="864" xr:uid="{00000000-0005-0000-0000-000060030000}"/>
    <cellStyle name="標題 15" xfId="865" xr:uid="{00000000-0005-0000-0000-000061030000}"/>
    <cellStyle name="標題 16" xfId="866" xr:uid="{00000000-0005-0000-0000-000062030000}"/>
    <cellStyle name="標題 17" xfId="867" xr:uid="{00000000-0005-0000-0000-000063030000}"/>
    <cellStyle name="標題 18" xfId="868" xr:uid="{00000000-0005-0000-0000-000064030000}"/>
    <cellStyle name="標題 19" xfId="869" xr:uid="{00000000-0005-0000-0000-000065030000}"/>
    <cellStyle name="標題 2 10" xfId="870" xr:uid="{00000000-0005-0000-0000-000066030000}"/>
    <cellStyle name="標題 2 11" xfId="871" xr:uid="{00000000-0005-0000-0000-000067030000}"/>
    <cellStyle name="標題 2 12" xfId="872" xr:uid="{00000000-0005-0000-0000-000068030000}"/>
    <cellStyle name="標題 2 13" xfId="873" xr:uid="{00000000-0005-0000-0000-000069030000}"/>
    <cellStyle name="標題 2 14" xfId="874" xr:uid="{00000000-0005-0000-0000-00006A030000}"/>
    <cellStyle name="標題 2 15" xfId="875" xr:uid="{00000000-0005-0000-0000-00006B030000}"/>
    <cellStyle name="標題 2 16" xfId="876" xr:uid="{00000000-0005-0000-0000-00006C030000}"/>
    <cellStyle name="標題 2 17" xfId="877" xr:uid="{00000000-0005-0000-0000-00006D030000}"/>
    <cellStyle name="標題 2 18" xfId="878" xr:uid="{00000000-0005-0000-0000-00006E030000}"/>
    <cellStyle name="標題 2 19" xfId="879" xr:uid="{00000000-0005-0000-0000-00006F030000}"/>
    <cellStyle name="標題 2 2" xfId="880" xr:uid="{00000000-0005-0000-0000-000070030000}"/>
    <cellStyle name="標題 2 20" xfId="881" xr:uid="{00000000-0005-0000-0000-000071030000}"/>
    <cellStyle name="標題 2 21" xfId="882" xr:uid="{00000000-0005-0000-0000-000072030000}"/>
    <cellStyle name="標題 2 22" xfId="883" xr:uid="{00000000-0005-0000-0000-000073030000}"/>
    <cellStyle name="標題 2 23" xfId="884" xr:uid="{00000000-0005-0000-0000-000074030000}"/>
    <cellStyle name="標題 2 24" xfId="885" xr:uid="{00000000-0005-0000-0000-000075030000}"/>
    <cellStyle name="標題 2 25" xfId="886" xr:uid="{00000000-0005-0000-0000-000076030000}"/>
    <cellStyle name="標題 2 26" xfId="887" xr:uid="{00000000-0005-0000-0000-000077030000}"/>
    <cellStyle name="標題 2 27" xfId="888" xr:uid="{00000000-0005-0000-0000-000078030000}"/>
    <cellStyle name="標題 2 3" xfId="889" xr:uid="{00000000-0005-0000-0000-000079030000}"/>
    <cellStyle name="標題 2 4" xfId="890" xr:uid="{00000000-0005-0000-0000-00007A030000}"/>
    <cellStyle name="標題 2 5" xfId="891" xr:uid="{00000000-0005-0000-0000-00007B030000}"/>
    <cellStyle name="標題 2 6" xfId="892" xr:uid="{00000000-0005-0000-0000-00007C030000}"/>
    <cellStyle name="標題 2 7" xfId="893" xr:uid="{00000000-0005-0000-0000-00007D030000}"/>
    <cellStyle name="標題 2 8" xfId="894" xr:uid="{00000000-0005-0000-0000-00007E030000}"/>
    <cellStyle name="標題 2 9" xfId="895" xr:uid="{00000000-0005-0000-0000-00007F030000}"/>
    <cellStyle name="標題 20" xfId="896" xr:uid="{00000000-0005-0000-0000-000080030000}"/>
    <cellStyle name="標題 21" xfId="897" xr:uid="{00000000-0005-0000-0000-000081030000}"/>
    <cellStyle name="標題 22" xfId="898" xr:uid="{00000000-0005-0000-0000-000082030000}"/>
    <cellStyle name="標題 23" xfId="899" xr:uid="{00000000-0005-0000-0000-000083030000}"/>
    <cellStyle name="標題 24" xfId="900" xr:uid="{00000000-0005-0000-0000-000084030000}"/>
    <cellStyle name="標題 25" xfId="901" xr:uid="{00000000-0005-0000-0000-000085030000}"/>
    <cellStyle name="標題 26" xfId="902" xr:uid="{00000000-0005-0000-0000-000086030000}"/>
    <cellStyle name="標題 27" xfId="903" xr:uid="{00000000-0005-0000-0000-000087030000}"/>
    <cellStyle name="標題 28" xfId="904" xr:uid="{00000000-0005-0000-0000-000088030000}"/>
    <cellStyle name="標題 29" xfId="905" xr:uid="{00000000-0005-0000-0000-000089030000}"/>
    <cellStyle name="標題 3 10" xfId="906" xr:uid="{00000000-0005-0000-0000-00008A030000}"/>
    <cellStyle name="標題 3 11" xfId="907" xr:uid="{00000000-0005-0000-0000-00008B030000}"/>
    <cellStyle name="標題 3 12" xfId="908" xr:uid="{00000000-0005-0000-0000-00008C030000}"/>
    <cellStyle name="標題 3 13" xfId="909" xr:uid="{00000000-0005-0000-0000-00008D030000}"/>
    <cellStyle name="標題 3 14" xfId="910" xr:uid="{00000000-0005-0000-0000-00008E030000}"/>
    <cellStyle name="標題 3 15" xfId="911" xr:uid="{00000000-0005-0000-0000-00008F030000}"/>
    <cellStyle name="標題 3 16" xfId="912" xr:uid="{00000000-0005-0000-0000-000090030000}"/>
    <cellStyle name="標題 3 17" xfId="913" xr:uid="{00000000-0005-0000-0000-000091030000}"/>
    <cellStyle name="標題 3 18" xfId="914" xr:uid="{00000000-0005-0000-0000-000092030000}"/>
    <cellStyle name="標題 3 19" xfId="915" xr:uid="{00000000-0005-0000-0000-000093030000}"/>
    <cellStyle name="標題 3 2" xfId="916" xr:uid="{00000000-0005-0000-0000-000094030000}"/>
    <cellStyle name="標題 3 20" xfId="917" xr:uid="{00000000-0005-0000-0000-000095030000}"/>
    <cellStyle name="標題 3 21" xfId="918" xr:uid="{00000000-0005-0000-0000-000096030000}"/>
    <cellStyle name="標題 3 22" xfId="919" xr:uid="{00000000-0005-0000-0000-000097030000}"/>
    <cellStyle name="標題 3 23" xfId="920" xr:uid="{00000000-0005-0000-0000-000098030000}"/>
    <cellStyle name="標題 3 24" xfId="921" xr:uid="{00000000-0005-0000-0000-000099030000}"/>
    <cellStyle name="標題 3 25" xfId="922" xr:uid="{00000000-0005-0000-0000-00009A030000}"/>
    <cellStyle name="標題 3 26" xfId="923" xr:uid="{00000000-0005-0000-0000-00009B030000}"/>
    <cellStyle name="標題 3 27" xfId="924" xr:uid="{00000000-0005-0000-0000-00009C030000}"/>
    <cellStyle name="標題 3 3" xfId="925" xr:uid="{00000000-0005-0000-0000-00009D030000}"/>
    <cellStyle name="標題 3 4" xfId="926" xr:uid="{00000000-0005-0000-0000-00009E030000}"/>
    <cellStyle name="標題 3 5" xfId="927" xr:uid="{00000000-0005-0000-0000-00009F030000}"/>
    <cellStyle name="標題 3 6" xfId="928" xr:uid="{00000000-0005-0000-0000-0000A0030000}"/>
    <cellStyle name="標題 3 7" xfId="929" xr:uid="{00000000-0005-0000-0000-0000A1030000}"/>
    <cellStyle name="標題 3 8" xfId="930" xr:uid="{00000000-0005-0000-0000-0000A2030000}"/>
    <cellStyle name="標題 3 9" xfId="931" xr:uid="{00000000-0005-0000-0000-0000A3030000}"/>
    <cellStyle name="標題 30" xfId="932" xr:uid="{00000000-0005-0000-0000-0000A4030000}"/>
    <cellStyle name="標題 4 10" xfId="933" xr:uid="{00000000-0005-0000-0000-0000A5030000}"/>
    <cellStyle name="標題 4 11" xfId="934" xr:uid="{00000000-0005-0000-0000-0000A6030000}"/>
    <cellStyle name="標題 4 12" xfId="935" xr:uid="{00000000-0005-0000-0000-0000A7030000}"/>
    <cellStyle name="標題 4 13" xfId="936" xr:uid="{00000000-0005-0000-0000-0000A8030000}"/>
    <cellStyle name="標題 4 14" xfId="937" xr:uid="{00000000-0005-0000-0000-0000A9030000}"/>
    <cellStyle name="標題 4 15" xfId="938" xr:uid="{00000000-0005-0000-0000-0000AA030000}"/>
    <cellStyle name="標題 4 16" xfId="939" xr:uid="{00000000-0005-0000-0000-0000AB030000}"/>
    <cellStyle name="標題 4 17" xfId="940" xr:uid="{00000000-0005-0000-0000-0000AC030000}"/>
    <cellStyle name="標題 4 18" xfId="941" xr:uid="{00000000-0005-0000-0000-0000AD030000}"/>
    <cellStyle name="標題 4 19" xfId="942" xr:uid="{00000000-0005-0000-0000-0000AE030000}"/>
    <cellStyle name="標題 4 2" xfId="943" xr:uid="{00000000-0005-0000-0000-0000AF030000}"/>
    <cellStyle name="標題 4 20" xfId="944" xr:uid="{00000000-0005-0000-0000-0000B0030000}"/>
    <cellStyle name="標題 4 21" xfId="945" xr:uid="{00000000-0005-0000-0000-0000B1030000}"/>
    <cellStyle name="標題 4 22" xfId="946" xr:uid="{00000000-0005-0000-0000-0000B2030000}"/>
    <cellStyle name="標題 4 23" xfId="947" xr:uid="{00000000-0005-0000-0000-0000B3030000}"/>
    <cellStyle name="標題 4 24" xfId="948" xr:uid="{00000000-0005-0000-0000-0000B4030000}"/>
    <cellStyle name="標題 4 25" xfId="949" xr:uid="{00000000-0005-0000-0000-0000B5030000}"/>
    <cellStyle name="標題 4 26" xfId="950" xr:uid="{00000000-0005-0000-0000-0000B6030000}"/>
    <cellStyle name="標題 4 27" xfId="951" xr:uid="{00000000-0005-0000-0000-0000B7030000}"/>
    <cellStyle name="標題 4 3" xfId="952" xr:uid="{00000000-0005-0000-0000-0000B8030000}"/>
    <cellStyle name="標題 4 4" xfId="953" xr:uid="{00000000-0005-0000-0000-0000B9030000}"/>
    <cellStyle name="標題 4 5" xfId="954" xr:uid="{00000000-0005-0000-0000-0000BA030000}"/>
    <cellStyle name="標題 4 6" xfId="955" xr:uid="{00000000-0005-0000-0000-0000BB030000}"/>
    <cellStyle name="標題 4 7" xfId="956" xr:uid="{00000000-0005-0000-0000-0000BC030000}"/>
    <cellStyle name="標題 4 8" xfId="957" xr:uid="{00000000-0005-0000-0000-0000BD030000}"/>
    <cellStyle name="標題 4 9" xfId="958" xr:uid="{00000000-0005-0000-0000-0000BE030000}"/>
    <cellStyle name="標題 5" xfId="959" xr:uid="{00000000-0005-0000-0000-0000BF030000}"/>
    <cellStyle name="標題 6" xfId="960" xr:uid="{00000000-0005-0000-0000-0000C0030000}"/>
    <cellStyle name="標題 7" xfId="961" xr:uid="{00000000-0005-0000-0000-0000C1030000}"/>
    <cellStyle name="標題 8" xfId="962" xr:uid="{00000000-0005-0000-0000-0000C2030000}"/>
    <cellStyle name="標題 9" xfId="963" xr:uid="{00000000-0005-0000-0000-0000C3030000}"/>
    <cellStyle name="檢查儲存格 10" xfId="1016" xr:uid="{00000000-0005-0000-0000-0000F8030000}"/>
    <cellStyle name="檢查儲存格 11" xfId="1017" xr:uid="{00000000-0005-0000-0000-0000F9030000}"/>
    <cellStyle name="檢查儲存格 12" xfId="1018" xr:uid="{00000000-0005-0000-0000-0000FA030000}"/>
    <cellStyle name="檢查儲存格 13" xfId="1019" xr:uid="{00000000-0005-0000-0000-0000FB030000}"/>
    <cellStyle name="檢查儲存格 14" xfId="1020" xr:uid="{00000000-0005-0000-0000-0000FC030000}"/>
    <cellStyle name="檢查儲存格 15" xfId="1021" xr:uid="{00000000-0005-0000-0000-0000FD030000}"/>
    <cellStyle name="檢查儲存格 16" xfId="1022" xr:uid="{00000000-0005-0000-0000-0000FE030000}"/>
    <cellStyle name="檢查儲存格 17" xfId="1023" xr:uid="{00000000-0005-0000-0000-0000FF030000}"/>
    <cellStyle name="檢查儲存格 18" xfId="1024" xr:uid="{00000000-0005-0000-0000-000000040000}"/>
    <cellStyle name="檢查儲存格 19" xfId="1025" xr:uid="{00000000-0005-0000-0000-000001040000}"/>
    <cellStyle name="檢查儲存格 2" xfId="1026" xr:uid="{00000000-0005-0000-0000-000002040000}"/>
    <cellStyle name="檢查儲存格 20" xfId="1027" xr:uid="{00000000-0005-0000-0000-000003040000}"/>
    <cellStyle name="檢查儲存格 21" xfId="1028" xr:uid="{00000000-0005-0000-0000-000004040000}"/>
    <cellStyle name="檢查儲存格 22" xfId="1029" xr:uid="{00000000-0005-0000-0000-000005040000}"/>
    <cellStyle name="檢查儲存格 23" xfId="1030" xr:uid="{00000000-0005-0000-0000-000006040000}"/>
    <cellStyle name="檢查儲存格 24" xfId="1031" xr:uid="{00000000-0005-0000-0000-000007040000}"/>
    <cellStyle name="檢查儲存格 25" xfId="1032" xr:uid="{00000000-0005-0000-0000-000008040000}"/>
    <cellStyle name="檢查儲存格 26" xfId="1033" xr:uid="{00000000-0005-0000-0000-000009040000}"/>
    <cellStyle name="檢查儲存格 27" xfId="1034" xr:uid="{00000000-0005-0000-0000-00000A040000}"/>
    <cellStyle name="檢查儲存格 3" xfId="1035" xr:uid="{00000000-0005-0000-0000-00000B040000}"/>
    <cellStyle name="檢查儲存格 4" xfId="1036" xr:uid="{00000000-0005-0000-0000-00000C040000}"/>
    <cellStyle name="檢查儲存格 5" xfId="1037" xr:uid="{00000000-0005-0000-0000-00000D040000}"/>
    <cellStyle name="檢查儲存格 6" xfId="1038" xr:uid="{00000000-0005-0000-0000-00000E040000}"/>
    <cellStyle name="檢查儲存格 7" xfId="1039" xr:uid="{00000000-0005-0000-0000-00000F040000}"/>
    <cellStyle name="檢查儲存格 8" xfId="1040" xr:uid="{00000000-0005-0000-0000-000010040000}"/>
    <cellStyle name="檢查儲存格 9" xfId="1041" xr:uid="{00000000-0005-0000-0000-000011040000}"/>
    <cellStyle name="計算方式 10" xfId="574" xr:uid="{00000000-0005-0000-0000-00003E020000}"/>
    <cellStyle name="計算方式 11" xfId="575" xr:uid="{00000000-0005-0000-0000-00003F020000}"/>
    <cellStyle name="計算方式 12" xfId="576" xr:uid="{00000000-0005-0000-0000-000040020000}"/>
    <cellStyle name="計算方式 13" xfId="577" xr:uid="{00000000-0005-0000-0000-000041020000}"/>
    <cellStyle name="計算方式 14" xfId="578" xr:uid="{00000000-0005-0000-0000-000042020000}"/>
    <cellStyle name="計算方式 15" xfId="579" xr:uid="{00000000-0005-0000-0000-000043020000}"/>
    <cellStyle name="計算方式 16" xfId="580" xr:uid="{00000000-0005-0000-0000-000044020000}"/>
    <cellStyle name="計算方式 17" xfId="581" xr:uid="{00000000-0005-0000-0000-000045020000}"/>
    <cellStyle name="計算方式 18" xfId="582" xr:uid="{00000000-0005-0000-0000-000046020000}"/>
    <cellStyle name="計算方式 19" xfId="583" xr:uid="{00000000-0005-0000-0000-000047020000}"/>
    <cellStyle name="計算方式 2" xfId="584" xr:uid="{00000000-0005-0000-0000-000048020000}"/>
    <cellStyle name="計算方式 20" xfId="585" xr:uid="{00000000-0005-0000-0000-000049020000}"/>
    <cellStyle name="計算方式 21" xfId="586" xr:uid="{00000000-0005-0000-0000-00004A020000}"/>
    <cellStyle name="計算方式 22" xfId="587" xr:uid="{00000000-0005-0000-0000-00004B020000}"/>
    <cellStyle name="計算方式 23" xfId="588" xr:uid="{00000000-0005-0000-0000-00004C020000}"/>
    <cellStyle name="計算方式 24" xfId="589" xr:uid="{00000000-0005-0000-0000-00004D020000}"/>
    <cellStyle name="計算方式 25" xfId="590" xr:uid="{00000000-0005-0000-0000-00004E020000}"/>
    <cellStyle name="計算方式 26" xfId="591" xr:uid="{00000000-0005-0000-0000-00004F020000}"/>
    <cellStyle name="計算方式 27" xfId="592" xr:uid="{00000000-0005-0000-0000-000050020000}"/>
    <cellStyle name="計算方式 3" xfId="593" xr:uid="{00000000-0005-0000-0000-000051020000}"/>
    <cellStyle name="計算方式 4" xfId="594" xr:uid="{00000000-0005-0000-0000-000052020000}"/>
    <cellStyle name="計算方式 5" xfId="595" xr:uid="{00000000-0005-0000-0000-000053020000}"/>
    <cellStyle name="計算方式 6" xfId="596" xr:uid="{00000000-0005-0000-0000-000054020000}"/>
    <cellStyle name="計算方式 7" xfId="597" xr:uid="{00000000-0005-0000-0000-000055020000}"/>
    <cellStyle name="計算方式 8" xfId="598" xr:uid="{00000000-0005-0000-0000-000056020000}"/>
    <cellStyle name="計算方式 9" xfId="599" xr:uid="{00000000-0005-0000-0000-000057020000}"/>
    <cellStyle name="說明文字 10" xfId="652" xr:uid="{00000000-0005-0000-0000-00008C020000}"/>
    <cellStyle name="說明文字 11" xfId="653" xr:uid="{00000000-0005-0000-0000-00008D020000}"/>
    <cellStyle name="說明文字 12" xfId="654" xr:uid="{00000000-0005-0000-0000-00008E020000}"/>
    <cellStyle name="說明文字 13" xfId="655" xr:uid="{00000000-0005-0000-0000-00008F020000}"/>
    <cellStyle name="說明文字 14" xfId="656" xr:uid="{00000000-0005-0000-0000-000090020000}"/>
    <cellStyle name="說明文字 15" xfId="657" xr:uid="{00000000-0005-0000-0000-000091020000}"/>
    <cellStyle name="說明文字 16" xfId="658" xr:uid="{00000000-0005-0000-0000-000092020000}"/>
    <cellStyle name="說明文字 17" xfId="659" xr:uid="{00000000-0005-0000-0000-000093020000}"/>
    <cellStyle name="說明文字 18" xfId="660" xr:uid="{00000000-0005-0000-0000-000094020000}"/>
    <cellStyle name="說明文字 19" xfId="661" xr:uid="{00000000-0005-0000-0000-000095020000}"/>
    <cellStyle name="說明文字 2" xfId="662" xr:uid="{00000000-0005-0000-0000-000096020000}"/>
    <cellStyle name="說明文字 20" xfId="663" xr:uid="{00000000-0005-0000-0000-000097020000}"/>
    <cellStyle name="說明文字 21" xfId="664" xr:uid="{00000000-0005-0000-0000-000098020000}"/>
    <cellStyle name="說明文字 22" xfId="665" xr:uid="{00000000-0005-0000-0000-000099020000}"/>
    <cellStyle name="說明文字 23" xfId="666" xr:uid="{00000000-0005-0000-0000-00009A020000}"/>
    <cellStyle name="說明文字 24" xfId="667" xr:uid="{00000000-0005-0000-0000-00009B020000}"/>
    <cellStyle name="說明文字 25" xfId="668" xr:uid="{00000000-0005-0000-0000-00009C020000}"/>
    <cellStyle name="說明文字 26" xfId="669" xr:uid="{00000000-0005-0000-0000-00009D020000}"/>
    <cellStyle name="說明文字 27" xfId="670" xr:uid="{00000000-0005-0000-0000-00009E020000}"/>
    <cellStyle name="說明文字 3" xfId="671" xr:uid="{00000000-0005-0000-0000-00009F020000}"/>
    <cellStyle name="說明文字 4" xfId="672" xr:uid="{00000000-0005-0000-0000-0000A0020000}"/>
    <cellStyle name="說明文字 5" xfId="673" xr:uid="{00000000-0005-0000-0000-0000A1020000}"/>
    <cellStyle name="說明文字 6" xfId="674" xr:uid="{00000000-0005-0000-0000-0000A2020000}"/>
    <cellStyle name="說明文字 7" xfId="675" xr:uid="{00000000-0005-0000-0000-0000A3020000}"/>
    <cellStyle name="說明文字 8" xfId="676" xr:uid="{00000000-0005-0000-0000-0000A4020000}"/>
    <cellStyle name="說明文字 9" xfId="677" xr:uid="{00000000-0005-0000-0000-0000A5020000}"/>
    <cellStyle name="警告文字 10" xfId="1068" xr:uid="{00000000-0005-0000-0000-00002C040000}"/>
    <cellStyle name="警告文字 11" xfId="1069" xr:uid="{00000000-0005-0000-0000-00002D040000}"/>
    <cellStyle name="警告文字 12" xfId="1070" xr:uid="{00000000-0005-0000-0000-00002E040000}"/>
    <cellStyle name="警告文字 13" xfId="1071" xr:uid="{00000000-0005-0000-0000-00002F040000}"/>
    <cellStyle name="警告文字 14" xfId="1072" xr:uid="{00000000-0005-0000-0000-000030040000}"/>
    <cellStyle name="警告文字 15" xfId="1073" xr:uid="{00000000-0005-0000-0000-000031040000}"/>
    <cellStyle name="警告文字 16" xfId="1074" xr:uid="{00000000-0005-0000-0000-000032040000}"/>
    <cellStyle name="警告文字 17" xfId="1075" xr:uid="{00000000-0005-0000-0000-000033040000}"/>
    <cellStyle name="警告文字 18" xfId="1076" xr:uid="{00000000-0005-0000-0000-000034040000}"/>
    <cellStyle name="警告文字 19" xfId="1077" xr:uid="{00000000-0005-0000-0000-000035040000}"/>
    <cellStyle name="警告文字 2" xfId="1078" xr:uid="{00000000-0005-0000-0000-000036040000}"/>
    <cellStyle name="警告文字 20" xfId="1079" xr:uid="{00000000-0005-0000-0000-000037040000}"/>
    <cellStyle name="警告文字 21" xfId="1080" xr:uid="{00000000-0005-0000-0000-000038040000}"/>
    <cellStyle name="警告文字 22" xfId="1081" xr:uid="{00000000-0005-0000-0000-000039040000}"/>
    <cellStyle name="警告文字 23" xfId="1082" xr:uid="{00000000-0005-0000-0000-00003A040000}"/>
    <cellStyle name="警告文字 24" xfId="1083" xr:uid="{00000000-0005-0000-0000-00003B040000}"/>
    <cellStyle name="警告文字 25" xfId="1084" xr:uid="{00000000-0005-0000-0000-00003C040000}"/>
    <cellStyle name="警告文字 26" xfId="1085" xr:uid="{00000000-0005-0000-0000-00003D040000}"/>
    <cellStyle name="警告文字 27" xfId="1086" xr:uid="{00000000-0005-0000-0000-00003E040000}"/>
    <cellStyle name="警告文字 3" xfId="1087" xr:uid="{00000000-0005-0000-0000-00003F040000}"/>
    <cellStyle name="警告文字 4" xfId="1088" xr:uid="{00000000-0005-0000-0000-000040040000}"/>
    <cellStyle name="警告文字 5" xfId="1089" xr:uid="{00000000-0005-0000-0000-000041040000}"/>
    <cellStyle name="警告文字 6" xfId="1090" xr:uid="{00000000-0005-0000-0000-000042040000}"/>
    <cellStyle name="警告文字 7" xfId="1091" xr:uid="{00000000-0005-0000-0000-000043040000}"/>
    <cellStyle name="警告文字 8" xfId="1092" xr:uid="{00000000-0005-0000-0000-000044040000}"/>
    <cellStyle name="警告文字 9" xfId="1093" xr:uid="{00000000-0005-0000-0000-000045040000}"/>
    <cellStyle name="輔色1 10" xfId="678" xr:uid="{00000000-0005-0000-0000-0000A6020000}"/>
    <cellStyle name="輔色1 11" xfId="679" xr:uid="{00000000-0005-0000-0000-0000A7020000}"/>
    <cellStyle name="輔色1 12" xfId="680" xr:uid="{00000000-0005-0000-0000-0000A8020000}"/>
    <cellStyle name="輔色1 13" xfId="681" xr:uid="{00000000-0005-0000-0000-0000A9020000}"/>
    <cellStyle name="輔色1 14" xfId="682" xr:uid="{00000000-0005-0000-0000-0000AA020000}"/>
    <cellStyle name="輔色1 15" xfId="683" xr:uid="{00000000-0005-0000-0000-0000AB020000}"/>
    <cellStyle name="輔色1 16" xfId="684" xr:uid="{00000000-0005-0000-0000-0000AC020000}"/>
    <cellStyle name="輔色1 17" xfId="685" xr:uid="{00000000-0005-0000-0000-0000AD020000}"/>
    <cellStyle name="輔色1 18" xfId="686" xr:uid="{00000000-0005-0000-0000-0000AE020000}"/>
    <cellStyle name="輔色1 19" xfId="687" xr:uid="{00000000-0005-0000-0000-0000AF020000}"/>
    <cellStyle name="輔色1 2" xfId="688" xr:uid="{00000000-0005-0000-0000-0000B0020000}"/>
    <cellStyle name="輔色1 20" xfId="689" xr:uid="{00000000-0005-0000-0000-0000B1020000}"/>
    <cellStyle name="輔色1 21" xfId="690" xr:uid="{00000000-0005-0000-0000-0000B2020000}"/>
    <cellStyle name="輔色1 22" xfId="691" xr:uid="{00000000-0005-0000-0000-0000B3020000}"/>
    <cellStyle name="輔色1 23" xfId="692" xr:uid="{00000000-0005-0000-0000-0000B4020000}"/>
    <cellStyle name="輔色1 24" xfId="693" xr:uid="{00000000-0005-0000-0000-0000B5020000}"/>
    <cellStyle name="輔色1 25" xfId="694" xr:uid="{00000000-0005-0000-0000-0000B6020000}"/>
    <cellStyle name="輔色1 26" xfId="695" xr:uid="{00000000-0005-0000-0000-0000B7020000}"/>
    <cellStyle name="輔色1 27" xfId="696" xr:uid="{00000000-0005-0000-0000-0000B8020000}"/>
    <cellStyle name="輔色1 3" xfId="697" xr:uid="{00000000-0005-0000-0000-0000B9020000}"/>
    <cellStyle name="輔色1 4" xfId="698" xr:uid="{00000000-0005-0000-0000-0000BA020000}"/>
    <cellStyle name="輔色1 5" xfId="699" xr:uid="{00000000-0005-0000-0000-0000BB020000}"/>
    <cellStyle name="輔色1 6" xfId="700" xr:uid="{00000000-0005-0000-0000-0000BC020000}"/>
    <cellStyle name="輔色1 7" xfId="701" xr:uid="{00000000-0005-0000-0000-0000BD020000}"/>
    <cellStyle name="輔色1 8" xfId="702" xr:uid="{00000000-0005-0000-0000-0000BE020000}"/>
    <cellStyle name="輔色1 9" xfId="703" xr:uid="{00000000-0005-0000-0000-0000BF020000}"/>
    <cellStyle name="輔色2 10" xfId="704" xr:uid="{00000000-0005-0000-0000-0000C0020000}"/>
    <cellStyle name="輔色2 11" xfId="705" xr:uid="{00000000-0005-0000-0000-0000C1020000}"/>
    <cellStyle name="輔色2 12" xfId="706" xr:uid="{00000000-0005-0000-0000-0000C2020000}"/>
    <cellStyle name="輔色2 13" xfId="707" xr:uid="{00000000-0005-0000-0000-0000C3020000}"/>
    <cellStyle name="輔色2 14" xfId="708" xr:uid="{00000000-0005-0000-0000-0000C4020000}"/>
    <cellStyle name="輔色2 15" xfId="709" xr:uid="{00000000-0005-0000-0000-0000C5020000}"/>
    <cellStyle name="輔色2 16" xfId="710" xr:uid="{00000000-0005-0000-0000-0000C6020000}"/>
    <cellStyle name="輔色2 17" xfId="711" xr:uid="{00000000-0005-0000-0000-0000C7020000}"/>
    <cellStyle name="輔色2 18" xfId="712" xr:uid="{00000000-0005-0000-0000-0000C8020000}"/>
    <cellStyle name="輔色2 19" xfId="713" xr:uid="{00000000-0005-0000-0000-0000C9020000}"/>
    <cellStyle name="輔色2 2" xfId="714" xr:uid="{00000000-0005-0000-0000-0000CA020000}"/>
    <cellStyle name="輔色2 20" xfId="715" xr:uid="{00000000-0005-0000-0000-0000CB020000}"/>
    <cellStyle name="輔色2 21" xfId="716" xr:uid="{00000000-0005-0000-0000-0000CC020000}"/>
    <cellStyle name="輔色2 22" xfId="717" xr:uid="{00000000-0005-0000-0000-0000CD020000}"/>
    <cellStyle name="輔色2 23" xfId="718" xr:uid="{00000000-0005-0000-0000-0000CE020000}"/>
    <cellStyle name="輔色2 24" xfId="719" xr:uid="{00000000-0005-0000-0000-0000CF020000}"/>
    <cellStyle name="輔色2 25" xfId="720" xr:uid="{00000000-0005-0000-0000-0000D0020000}"/>
    <cellStyle name="輔色2 26" xfId="721" xr:uid="{00000000-0005-0000-0000-0000D1020000}"/>
    <cellStyle name="輔色2 27" xfId="722" xr:uid="{00000000-0005-0000-0000-0000D2020000}"/>
    <cellStyle name="輔色2 3" xfId="723" xr:uid="{00000000-0005-0000-0000-0000D3020000}"/>
    <cellStyle name="輔色2 4" xfId="724" xr:uid="{00000000-0005-0000-0000-0000D4020000}"/>
    <cellStyle name="輔色2 5" xfId="725" xr:uid="{00000000-0005-0000-0000-0000D5020000}"/>
    <cellStyle name="輔色2 6" xfId="726" xr:uid="{00000000-0005-0000-0000-0000D6020000}"/>
    <cellStyle name="輔色2 7" xfId="727" xr:uid="{00000000-0005-0000-0000-0000D7020000}"/>
    <cellStyle name="輔色2 8" xfId="728" xr:uid="{00000000-0005-0000-0000-0000D8020000}"/>
    <cellStyle name="輔色2 9" xfId="729" xr:uid="{00000000-0005-0000-0000-0000D9020000}"/>
    <cellStyle name="輔色3 10" xfId="730" xr:uid="{00000000-0005-0000-0000-0000DA020000}"/>
    <cellStyle name="輔色3 11" xfId="731" xr:uid="{00000000-0005-0000-0000-0000DB020000}"/>
    <cellStyle name="輔色3 12" xfId="732" xr:uid="{00000000-0005-0000-0000-0000DC020000}"/>
    <cellStyle name="輔色3 13" xfId="733" xr:uid="{00000000-0005-0000-0000-0000DD020000}"/>
    <cellStyle name="輔色3 14" xfId="734" xr:uid="{00000000-0005-0000-0000-0000DE020000}"/>
    <cellStyle name="輔色3 15" xfId="735" xr:uid="{00000000-0005-0000-0000-0000DF020000}"/>
    <cellStyle name="輔色3 16" xfId="736" xr:uid="{00000000-0005-0000-0000-0000E0020000}"/>
    <cellStyle name="輔色3 17" xfId="737" xr:uid="{00000000-0005-0000-0000-0000E1020000}"/>
    <cellStyle name="輔色3 18" xfId="738" xr:uid="{00000000-0005-0000-0000-0000E2020000}"/>
    <cellStyle name="輔色3 19" xfId="739" xr:uid="{00000000-0005-0000-0000-0000E3020000}"/>
    <cellStyle name="輔色3 2" xfId="740" xr:uid="{00000000-0005-0000-0000-0000E4020000}"/>
    <cellStyle name="輔色3 20" xfId="741" xr:uid="{00000000-0005-0000-0000-0000E5020000}"/>
    <cellStyle name="輔色3 21" xfId="742" xr:uid="{00000000-0005-0000-0000-0000E6020000}"/>
    <cellStyle name="輔色3 22" xfId="743" xr:uid="{00000000-0005-0000-0000-0000E7020000}"/>
    <cellStyle name="輔色3 23" xfId="744" xr:uid="{00000000-0005-0000-0000-0000E8020000}"/>
    <cellStyle name="輔色3 24" xfId="745" xr:uid="{00000000-0005-0000-0000-0000E9020000}"/>
    <cellStyle name="輔色3 25" xfId="746" xr:uid="{00000000-0005-0000-0000-0000EA020000}"/>
    <cellStyle name="輔色3 26" xfId="747" xr:uid="{00000000-0005-0000-0000-0000EB020000}"/>
    <cellStyle name="輔色3 27" xfId="748" xr:uid="{00000000-0005-0000-0000-0000EC020000}"/>
    <cellStyle name="輔色3 3" xfId="749" xr:uid="{00000000-0005-0000-0000-0000ED020000}"/>
    <cellStyle name="輔色3 4" xfId="750" xr:uid="{00000000-0005-0000-0000-0000EE020000}"/>
    <cellStyle name="輔色3 5" xfId="751" xr:uid="{00000000-0005-0000-0000-0000EF020000}"/>
    <cellStyle name="輔色3 6" xfId="752" xr:uid="{00000000-0005-0000-0000-0000F0020000}"/>
    <cellStyle name="輔色3 7" xfId="753" xr:uid="{00000000-0005-0000-0000-0000F1020000}"/>
    <cellStyle name="輔色3 8" xfId="754" xr:uid="{00000000-0005-0000-0000-0000F2020000}"/>
    <cellStyle name="輔色3 9" xfId="755" xr:uid="{00000000-0005-0000-0000-0000F3020000}"/>
    <cellStyle name="輔色4 10" xfId="756" xr:uid="{00000000-0005-0000-0000-0000F4020000}"/>
    <cellStyle name="輔色4 11" xfId="757" xr:uid="{00000000-0005-0000-0000-0000F5020000}"/>
    <cellStyle name="輔色4 12" xfId="758" xr:uid="{00000000-0005-0000-0000-0000F6020000}"/>
    <cellStyle name="輔色4 13" xfId="759" xr:uid="{00000000-0005-0000-0000-0000F7020000}"/>
    <cellStyle name="輔色4 14" xfId="760" xr:uid="{00000000-0005-0000-0000-0000F8020000}"/>
    <cellStyle name="輔色4 15" xfId="761" xr:uid="{00000000-0005-0000-0000-0000F9020000}"/>
    <cellStyle name="輔色4 16" xfId="762" xr:uid="{00000000-0005-0000-0000-0000FA020000}"/>
    <cellStyle name="輔色4 17" xfId="763" xr:uid="{00000000-0005-0000-0000-0000FB020000}"/>
    <cellStyle name="輔色4 18" xfId="764" xr:uid="{00000000-0005-0000-0000-0000FC020000}"/>
    <cellStyle name="輔色4 19" xfId="765" xr:uid="{00000000-0005-0000-0000-0000FD020000}"/>
    <cellStyle name="輔色4 2" xfId="766" xr:uid="{00000000-0005-0000-0000-0000FE020000}"/>
    <cellStyle name="輔色4 20" xfId="767" xr:uid="{00000000-0005-0000-0000-0000FF020000}"/>
    <cellStyle name="輔色4 21" xfId="768" xr:uid="{00000000-0005-0000-0000-000000030000}"/>
    <cellStyle name="輔色4 22" xfId="769" xr:uid="{00000000-0005-0000-0000-000001030000}"/>
    <cellStyle name="輔色4 23" xfId="770" xr:uid="{00000000-0005-0000-0000-000002030000}"/>
    <cellStyle name="輔色4 24" xfId="771" xr:uid="{00000000-0005-0000-0000-000003030000}"/>
    <cellStyle name="輔色4 25" xfId="772" xr:uid="{00000000-0005-0000-0000-000004030000}"/>
    <cellStyle name="輔色4 26" xfId="773" xr:uid="{00000000-0005-0000-0000-000005030000}"/>
    <cellStyle name="輔色4 27" xfId="774" xr:uid="{00000000-0005-0000-0000-000006030000}"/>
    <cellStyle name="輔色4 3" xfId="775" xr:uid="{00000000-0005-0000-0000-000007030000}"/>
    <cellStyle name="輔色4 4" xfId="776" xr:uid="{00000000-0005-0000-0000-000008030000}"/>
    <cellStyle name="輔色4 5" xfId="777" xr:uid="{00000000-0005-0000-0000-000009030000}"/>
    <cellStyle name="輔色4 6" xfId="778" xr:uid="{00000000-0005-0000-0000-00000A030000}"/>
    <cellStyle name="輔色4 7" xfId="779" xr:uid="{00000000-0005-0000-0000-00000B030000}"/>
    <cellStyle name="輔色4 8" xfId="780" xr:uid="{00000000-0005-0000-0000-00000C030000}"/>
    <cellStyle name="輔色4 9" xfId="781" xr:uid="{00000000-0005-0000-0000-00000D030000}"/>
    <cellStyle name="輔色5 10" xfId="782" xr:uid="{00000000-0005-0000-0000-00000E030000}"/>
    <cellStyle name="輔色5 11" xfId="783" xr:uid="{00000000-0005-0000-0000-00000F030000}"/>
    <cellStyle name="輔色5 12" xfId="784" xr:uid="{00000000-0005-0000-0000-000010030000}"/>
    <cellStyle name="輔色5 13" xfId="785" xr:uid="{00000000-0005-0000-0000-000011030000}"/>
    <cellStyle name="輔色5 14" xfId="786" xr:uid="{00000000-0005-0000-0000-000012030000}"/>
    <cellStyle name="輔色5 15" xfId="787" xr:uid="{00000000-0005-0000-0000-000013030000}"/>
    <cellStyle name="輔色5 16" xfId="788" xr:uid="{00000000-0005-0000-0000-000014030000}"/>
    <cellStyle name="輔色5 17" xfId="789" xr:uid="{00000000-0005-0000-0000-000015030000}"/>
    <cellStyle name="輔色5 18" xfId="790" xr:uid="{00000000-0005-0000-0000-000016030000}"/>
    <cellStyle name="輔色5 19" xfId="791" xr:uid="{00000000-0005-0000-0000-000017030000}"/>
    <cellStyle name="輔色5 2" xfId="792" xr:uid="{00000000-0005-0000-0000-000018030000}"/>
    <cellStyle name="輔色5 20" xfId="793" xr:uid="{00000000-0005-0000-0000-000019030000}"/>
    <cellStyle name="輔色5 21" xfId="794" xr:uid="{00000000-0005-0000-0000-00001A030000}"/>
    <cellStyle name="輔色5 22" xfId="795" xr:uid="{00000000-0005-0000-0000-00001B030000}"/>
    <cellStyle name="輔色5 23" xfId="796" xr:uid="{00000000-0005-0000-0000-00001C030000}"/>
    <cellStyle name="輔色5 24" xfId="797" xr:uid="{00000000-0005-0000-0000-00001D030000}"/>
    <cellStyle name="輔色5 25" xfId="798" xr:uid="{00000000-0005-0000-0000-00001E030000}"/>
    <cellStyle name="輔色5 26" xfId="799" xr:uid="{00000000-0005-0000-0000-00001F030000}"/>
    <cellStyle name="輔色5 27" xfId="800" xr:uid="{00000000-0005-0000-0000-000020030000}"/>
    <cellStyle name="輔色5 3" xfId="801" xr:uid="{00000000-0005-0000-0000-000021030000}"/>
    <cellStyle name="輔色5 4" xfId="802" xr:uid="{00000000-0005-0000-0000-000022030000}"/>
    <cellStyle name="輔色5 5" xfId="803" xr:uid="{00000000-0005-0000-0000-000023030000}"/>
    <cellStyle name="輔色5 6" xfId="804" xr:uid="{00000000-0005-0000-0000-000024030000}"/>
    <cellStyle name="輔色5 7" xfId="805" xr:uid="{00000000-0005-0000-0000-000025030000}"/>
    <cellStyle name="輔色5 8" xfId="806" xr:uid="{00000000-0005-0000-0000-000026030000}"/>
    <cellStyle name="輔色5 9" xfId="807" xr:uid="{00000000-0005-0000-0000-000027030000}"/>
    <cellStyle name="輔色6 10" xfId="808" xr:uid="{00000000-0005-0000-0000-000028030000}"/>
    <cellStyle name="輔色6 11" xfId="809" xr:uid="{00000000-0005-0000-0000-000029030000}"/>
    <cellStyle name="輔色6 12" xfId="810" xr:uid="{00000000-0005-0000-0000-00002A030000}"/>
    <cellStyle name="輔色6 13" xfId="811" xr:uid="{00000000-0005-0000-0000-00002B030000}"/>
    <cellStyle name="輔色6 14" xfId="812" xr:uid="{00000000-0005-0000-0000-00002C030000}"/>
    <cellStyle name="輔色6 15" xfId="813" xr:uid="{00000000-0005-0000-0000-00002D030000}"/>
    <cellStyle name="輔色6 16" xfId="814" xr:uid="{00000000-0005-0000-0000-00002E030000}"/>
    <cellStyle name="輔色6 17" xfId="815" xr:uid="{00000000-0005-0000-0000-00002F030000}"/>
    <cellStyle name="輔色6 18" xfId="816" xr:uid="{00000000-0005-0000-0000-000030030000}"/>
    <cellStyle name="輔色6 19" xfId="817" xr:uid="{00000000-0005-0000-0000-000031030000}"/>
    <cellStyle name="輔色6 2" xfId="818" xr:uid="{00000000-0005-0000-0000-000032030000}"/>
    <cellStyle name="輔色6 20" xfId="819" xr:uid="{00000000-0005-0000-0000-000033030000}"/>
    <cellStyle name="輔色6 21" xfId="820" xr:uid="{00000000-0005-0000-0000-000034030000}"/>
    <cellStyle name="輔色6 22" xfId="821" xr:uid="{00000000-0005-0000-0000-000035030000}"/>
    <cellStyle name="輔色6 23" xfId="822" xr:uid="{00000000-0005-0000-0000-000036030000}"/>
    <cellStyle name="輔色6 24" xfId="823" xr:uid="{00000000-0005-0000-0000-000037030000}"/>
    <cellStyle name="輔色6 25" xfId="824" xr:uid="{00000000-0005-0000-0000-000038030000}"/>
    <cellStyle name="輔色6 26" xfId="825" xr:uid="{00000000-0005-0000-0000-000039030000}"/>
    <cellStyle name="輔色6 27" xfId="826" xr:uid="{00000000-0005-0000-0000-00003A030000}"/>
    <cellStyle name="輔色6 3" xfId="827" xr:uid="{00000000-0005-0000-0000-00003B030000}"/>
    <cellStyle name="輔色6 4" xfId="828" xr:uid="{00000000-0005-0000-0000-00003C030000}"/>
    <cellStyle name="輔色6 5" xfId="829" xr:uid="{00000000-0005-0000-0000-00003D030000}"/>
    <cellStyle name="輔色6 6" xfId="830" xr:uid="{00000000-0005-0000-0000-00003E030000}"/>
    <cellStyle name="輔色6 7" xfId="831" xr:uid="{00000000-0005-0000-0000-00003F030000}"/>
    <cellStyle name="輔色6 8" xfId="832" xr:uid="{00000000-0005-0000-0000-000040030000}"/>
    <cellStyle name="輔色6 9" xfId="833" xr:uid="{00000000-0005-0000-0000-000041030000}"/>
    <cellStyle name="輸入 10" xfId="964" xr:uid="{00000000-0005-0000-0000-0000C4030000}"/>
    <cellStyle name="輸入 11" xfId="965" xr:uid="{00000000-0005-0000-0000-0000C5030000}"/>
    <cellStyle name="輸入 12" xfId="966" xr:uid="{00000000-0005-0000-0000-0000C6030000}"/>
    <cellStyle name="輸入 13" xfId="967" xr:uid="{00000000-0005-0000-0000-0000C7030000}"/>
    <cellStyle name="輸入 14" xfId="968" xr:uid="{00000000-0005-0000-0000-0000C8030000}"/>
    <cellStyle name="輸入 15" xfId="969" xr:uid="{00000000-0005-0000-0000-0000C9030000}"/>
    <cellStyle name="輸入 16" xfId="970" xr:uid="{00000000-0005-0000-0000-0000CA030000}"/>
    <cellStyle name="輸入 17" xfId="971" xr:uid="{00000000-0005-0000-0000-0000CB030000}"/>
    <cellStyle name="輸入 18" xfId="972" xr:uid="{00000000-0005-0000-0000-0000CC030000}"/>
    <cellStyle name="輸入 19" xfId="973" xr:uid="{00000000-0005-0000-0000-0000CD030000}"/>
    <cellStyle name="輸入 2" xfId="974" xr:uid="{00000000-0005-0000-0000-0000CE030000}"/>
    <cellStyle name="輸入 20" xfId="975" xr:uid="{00000000-0005-0000-0000-0000CF030000}"/>
    <cellStyle name="輸入 21" xfId="976" xr:uid="{00000000-0005-0000-0000-0000D0030000}"/>
    <cellStyle name="輸入 22" xfId="977" xr:uid="{00000000-0005-0000-0000-0000D1030000}"/>
    <cellStyle name="輸入 23" xfId="978" xr:uid="{00000000-0005-0000-0000-0000D2030000}"/>
    <cellStyle name="輸入 24" xfId="979" xr:uid="{00000000-0005-0000-0000-0000D3030000}"/>
    <cellStyle name="輸入 25" xfId="980" xr:uid="{00000000-0005-0000-0000-0000D4030000}"/>
    <cellStyle name="輸入 26" xfId="981" xr:uid="{00000000-0005-0000-0000-0000D5030000}"/>
    <cellStyle name="輸入 27" xfId="982" xr:uid="{00000000-0005-0000-0000-0000D6030000}"/>
    <cellStyle name="輸入 3" xfId="983" xr:uid="{00000000-0005-0000-0000-0000D7030000}"/>
    <cellStyle name="輸入 4" xfId="984" xr:uid="{00000000-0005-0000-0000-0000D8030000}"/>
    <cellStyle name="輸入 5" xfId="985" xr:uid="{00000000-0005-0000-0000-0000D9030000}"/>
    <cellStyle name="輸入 6" xfId="986" xr:uid="{00000000-0005-0000-0000-0000DA030000}"/>
    <cellStyle name="輸入 7" xfId="987" xr:uid="{00000000-0005-0000-0000-0000DB030000}"/>
    <cellStyle name="輸入 8" xfId="988" xr:uid="{00000000-0005-0000-0000-0000DC030000}"/>
    <cellStyle name="輸入 9" xfId="989" xr:uid="{00000000-0005-0000-0000-0000DD030000}"/>
    <cellStyle name="輸出 10" xfId="990" xr:uid="{00000000-0005-0000-0000-0000DE030000}"/>
    <cellStyle name="輸出 11" xfId="991" xr:uid="{00000000-0005-0000-0000-0000DF030000}"/>
    <cellStyle name="輸出 12" xfId="992" xr:uid="{00000000-0005-0000-0000-0000E0030000}"/>
    <cellStyle name="輸出 13" xfId="993" xr:uid="{00000000-0005-0000-0000-0000E1030000}"/>
    <cellStyle name="輸出 14" xfId="994" xr:uid="{00000000-0005-0000-0000-0000E2030000}"/>
    <cellStyle name="輸出 15" xfId="995" xr:uid="{00000000-0005-0000-0000-0000E3030000}"/>
    <cellStyle name="輸出 16" xfId="996" xr:uid="{00000000-0005-0000-0000-0000E4030000}"/>
    <cellStyle name="輸出 17" xfId="997" xr:uid="{00000000-0005-0000-0000-0000E5030000}"/>
    <cellStyle name="輸出 18" xfId="998" xr:uid="{00000000-0005-0000-0000-0000E6030000}"/>
    <cellStyle name="輸出 19" xfId="999" xr:uid="{00000000-0005-0000-0000-0000E7030000}"/>
    <cellStyle name="輸出 2" xfId="1000" xr:uid="{00000000-0005-0000-0000-0000E8030000}"/>
    <cellStyle name="輸出 20" xfId="1001" xr:uid="{00000000-0005-0000-0000-0000E9030000}"/>
    <cellStyle name="輸出 21" xfId="1002" xr:uid="{00000000-0005-0000-0000-0000EA030000}"/>
    <cellStyle name="輸出 22" xfId="1003" xr:uid="{00000000-0005-0000-0000-0000EB030000}"/>
    <cellStyle name="輸出 23" xfId="1004" xr:uid="{00000000-0005-0000-0000-0000EC030000}"/>
    <cellStyle name="輸出 24" xfId="1005" xr:uid="{00000000-0005-0000-0000-0000ED030000}"/>
    <cellStyle name="輸出 25" xfId="1006" xr:uid="{00000000-0005-0000-0000-0000EE030000}"/>
    <cellStyle name="輸出 26" xfId="1007" xr:uid="{00000000-0005-0000-0000-0000EF030000}"/>
    <cellStyle name="輸出 27" xfId="1008" xr:uid="{00000000-0005-0000-0000-0000F0030000}"/>
    <cellStyle name="輸出 3" xfId="1009" xr:uid="{00000000-0005-0000-0000-0000F1030000}"/>
    <cellStyle name="輸出 4" xfId="1010" xr:uid="{00000000-0005-0000-0000-0000F2030000}"/>
    <cellStyle name="輸出 5" xfId="1011" xr:uid="{00000000-0005-0000-0000-0000F3030000}"/>
    <cellStyle name="輸出 6" xfId="1012" xr:uid="{00000000-0005-0000-0000-0000F4030000}"/>
    <cellStyle name="輸出 7" xfId="1013" xr:uid="{00000000-0005-0000-0000-0000F5030000}"/>
    <cellStyle name="輸出 8" xfId="1014" xr:uid="{00000000-0005-0000-0000-0000F6030000}"/>
    <cellStyle name="輸出 9" xfId="1015" xr:uid="{00000000-0005-0000-0000-0000F7030000}"/>
    <cellStyle name="連結的儲存格 10" xfId="600" xr:uid="{00000000-0005-0000-0000-000058020000}"/>
    <cellStyle name="連結的儲存格 11" xfId="601" xr:uid="{00000000-0005-0000-0000-000059020000}"/>
    <cellStyle name="連結的儲存格 12" xfId="602" xr:uid="{00000000-0005-0000-0000-00005A020000}"/>
    <cellStyle name="連結的儲存格 13" xfId="603" xr:uid="{00000000-0005-0000-0000-00005B020000}"/>
    <cellStyle name="連結的儲存格 14" xfId="604" xr:uid="{00000000-0005-0000-0000-00005C020000}"/>
    <cellStyle name="連結的儲存格 15" xfId="605" xr:uid="{00000000-0005-0000-0000-00005D020000}"/>
    <cellStyle name="連結的儲存格 16" xfId="606" xr:uid="{00000000-0005-0000-0000-00005E020000}"/>
    <cellStyle name="連結的儲存格 17" xfId="607" xr:uid="{00000000-0005-0000-0000-00005F020000}"/>
    <cellStyle name="連結的儲存格 18" xfId="608" xr:uid="{00000000-0005-0000-0000-000060020000}"/>
    <cellStyle name="連結的儲存格 19" xfId="609" xr:uid="{00000000-0005-0000-0000-000061020000}"/>
    <cellStyle name="連結的儲存格 2" xfId="610" xr:uid="{00000000-0005-0000-0000-000062020000}"/>
    <cellStyle name="連結的儲存格 20" xfId="611" xr:uid="{00000000-0005-0000-0000-000063020000}"/>
    <cellStyle name="連結的儲存格 21" xfId="612" xr:uid="{00000000-0005-0000-0000-000064020000}"/>
    <cellStyle name="連結的儲存格 22" xfId="613" xr:uid="{00000000-0005-0000-0000-000065020000}"/>
    <cellStyle name="連結的儲存格 23" xfId="614" xr:uid="{00000000-0005-0000-0000-000066020000}"/>
    <cellStyle name="連結的儲存格 24" xfId="615" xr:uid="{00000000-0005-0000-0000-000067020000}"/>
    <cellStyle name="連結的儲存格 25" xfId="616" xr:uid="{00000000-0005-0000-0000-000068020000}"/>
    <cellStyle name="連結的儲存格 26" xfId="617" xr:uid="{00000000-0005-0000-0000-000069020000}"/>
    <cellStyle name="連結的儲存格 27" xfId="618" xr:uid="{00000000-0005-0000-0000-00006A020000}"/>
    <cellStyle name="連結的儲存格 3" xfId="619" xr:uid="{00000000-0005-0000-0000-00006B020000}"/>
    <cellStyle name="連結的儲存格 4" xfId="620" xr:uid="{00000000-0005-0000-0000-00006C020000}"/>
    <cellStyle name="連結的儲存格 5" xfId="621" xr:uid="{00000000-0005-0000-0000-00006D020000}"/>
    <cellStyle name="連結的儲存格 6" xfId="622" xr:uid="{00000000-0005-0000-0000-00006E020000}"/>
    <cellStyle name="連結的儲存格 7" xfId="623" xr:uid="{00000000-0005-0000-0000-00006F020000}"/>
    <cellStyle name="連結的儲存格 8" xfId="624" xr:uid="{00000000-0005-0000-0000-000070020000}"/>
    <cellStyle name="連結的儲存格 9" xfId="625" xr:uid="{00000000-0005-0000-0000-00007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3"/>
  <sheetViews>
    <sheetView tabSelected="1" zoomScale="70" zoomScaleNormal="70" workbookViewId="0">
      <selection activeCell="G1" sqref="G1:G1048576"/>
    </sheetView>
  </sheetViews>
  <sheetFormatPr defaultColWidth="9.109375" defaultRowHeight="17.399999999999999"/>
  <cols>
    <col min="1" max="1" width="11.77734375" style="24" customWidth="1"/>
    <col min="2" max="2" width="41.88671875" style="25" customWidth="1"/>
    <col min="3" max="3" width="16.33203125" style="25" customWidth="1"/>
    <col min="4" max="4" width="11.33203125" style="25" customWidth="1"/>
    <col min="5" max="5" width="23.6640625" style="25" customWidth="1"/>
    <col min="6" max="6" width="27.109375" style="25" customWidth="1"/>
    <col min="7" max="7" width="2.77734375" style="25" customWidth="1"/>
    <col min="8" max="8" width="20" style="47" customWidth="1"/>
    <col min="9" max="9" width="20.88671875" style="47" customWidth="1"/>
    <col min="10" max="10" width="2.88671875" style="25" customWidth="1"/>
    <col min="11" max="11" width="16.33203125" style="25" bestFit="1" customWidth="1"/>
    <col min="12" max="12" width="2.21875" style="25" customWidth="1"/>
    <col min="13" max="13" width="17.88671875" style="25" customWidth="1"/>
    <col min="14" max="16384" width="9.109375" style="25"/>
  </cols>
  <sheetData>
    <row r="1" spans="1:13">
      <c r="B1" s="24"/>
    </row>
    <row r="2" spans="1:13" s="26" customFormat="1" ht="20.100000000000001" customHeight="1">
      <c r="A2" s="28" t="s">
        <v>44</v>
      </c>
      <c r="B2" s="54">
        <v>45282</v>
      </c>
      <c r="H2" s="27"/>
      <c r="I2" s="27"/>
    </row>
    <row r="3" spans="1:13" s="26" customFormat="1" ht="12" customHeight="1">
      <c r="A3" s="30"/>
      <c r="B3" s="28"/>
      <c r="H3" s="27"/>
      <c r="I3" s="27"/>
    </row>
    <row r="4" spans="1:13" s="26" customFormat="1" ht="20.100000000000001" customHeight="1">
      <c r="A4" s="28" t="s">
        <v>46</v>
      </c>
      <c r="B4" s="34" t="s">
        <v>47</v>
      </c>
      <c r="H4" s="27"/>
      <c r="I4" s="27"/>
    </row>
    <row r="5" spans="1:13" s="26" customFormat="1" ht="12" customHeight="1">
      <c r="A5" s="30"/>
      <c r="B5" s="28"/>
      <c r="H5" s="27"/>
      <c r="I5" s="27"/>
    </row>
    <row r="6" spans="1:13" s="26" customFormat="1" ht="20.100000000000001" customHeight="1">
      <c r="A6" s="28" t="s">
        <v>45</v>
      </c>
      <c r="B6" s="34" t="s">
        <v>26</v>
      </c>
      <c r="H6" s="27"/>
      <c r="I6" s="27"/>
    </row>
    <row r="7" spans="1:13">
      <c r="B7" s="24"/>
    </row>
    <row r="8" spans="1:13">
      <c r="B8" s="24"/>
    </row>
    <row r="9" spans="1:13" s="26" customFormat="1" ht="21.6" thickBot="1">
      <c r="A9" s="36" t="str">
        <f>"EXCHANGE RATE FOR THE MONTH OF "&amp;UPPER(TEXT(EOMONTH(B2,1),"MMM"))&amp;" "&amp;TEXT(EOMONTH(B2,1),"YYYY")&amp;" (AR-Rate &amp; AP-Rate)"</f>
        <v>EXCHANGE RATE FOR THE MONTH OF JAN 2024 (AR-Rate &amp; AP-Rate)</v>
      </c>
      <c r="B9" s="37"/>
      <c r="C9" s="38"/>
      <c r="D9" s="37"/>
      <c r="E9" s="37"/>
      <c r="H9" s="27"/>
      <c r="I9" s="27"/>
    </row>
    <row r="10" spans="1:13" ht="28.5" customHeight="1" thickBot="1">
      <c r="E10" s="26"/>
      <c r="F10" s="26"/>
      <c r="G10" s="62"/>
      <c r="H10" s="69" t="s">
        <v>71</v>
      </c>
      <c r="I10" s="70"/>
    </row>
    <row r="11" spans="1:13" ht="21" customHeight="1">
      <c r="E11" s="27"/>
      <c r="F11" s="64" t="s">
        <v>101</v>
      </c>
      <c r="G11" s="33"/>
      <c r="H11" s="51">
        <f>+'Pacific Exchange Rate Service'!$B$3</f>
        <v>45281</v>
      </c>
      <c r="I11" s="52" t="s">
        <v>90</v>
      </c>
    </row>
    <row r="12" spans="1:13" ht="26.25" customHeight="1">
      <c r="A12" s="71" t="s">
        <v>27</v>
      </c>
      <c r="B12" s="72"/>
      <c r="C12" s="29"/>
      <c r="D12" s="29" t="s">
        <v>28</v>
      </c>
      <c r="E12" s="29" t="s">
        <v>29</v>
      </c>
      <c r="F12" s="29" t="s">
        <v>100</v>
      </c>
      <c r="G12" s="57"/>
      <c r="H12" s="50" t="s">
        <v>75</v>
      </c>
      <c r="I12" s="53" t="s">
        <v>88</v>
      </c>
      <c r="K12" s="61" t="s">
        <v>89</v>
      </c>
      <c r="M12" s="42" t="s">
        <v>72</v>
      </c>
    </row>
    <row r="13" spans="1:13" ht="30" customHeight="1">
      <c r="A13" s="67" t="s">
        <v>30</v>
      </c>
      <c r="B13" s="68"/>
      <c r="C13" s="29" t="s">
        <v>2</v>
      </c>
      <c r="D13" s="29">
        <v>1</v>
      </c>
      <c r="E13" s="39">
        <f>IF(ROUND(ABS(H13-I13),3)&gt;0.1,H13,I13)</f>
        <v>5.3</v>
      </c>
      <c r="F13" s="39"/>
      <c r="G13" s="58"/>
      <c r="H13" s="44">
        <f>ROUND(VLOOKUP($H$11,'Pacific Exchange Rate Service'!$B$2:$AA$57739,13,FALSE),1)</f>
        <v>5.3</v>
      </c>
      <c r="I13" s="39">
        <v>5</v>
      </c>
      <c r="K13" s="46">
        <f>+E13/I13-1</f>
        <v>6.0000000000000053E-2</v>
      </c>
      <c r="M13" s="43" t="s">
        <v>73</v>
      </c>
    </row>
    <row r="14" spans="1:13" ht="30" customHeight="1">
      <c r="A14" s="67" t="s">
        <v>31</v>
      </c>
      <c r="B14" s="68"/>
      <c r="C14" s="29" t="s">
        <v>6</v>
      </c>
      <c r="D14" s="29">
        <v>1</v>
      </c>
      <c r="E14" s="39">
        <f>IF(ROUND(ABS(H14-I14),3)&gt;0.1,H14,I14)</f>
        <v>5.9</v>
      </c>
      <c r="F14" s="39"/>
      <c r="G14" s="58"/>
      <c r="H14" s="44">
        <f>ROUND(VLOOKUP($H$11,'Pacific Exchange Rate Service'!$B$2:$AA$57739,14,FALSE),1)</f>
        <v>5.9</v>
      </c>
      <c r="I14" s="39">
        <v>5.7</v>
      </c>
      <c r="K14" s="46">
        <f t="shared" ref="K14:K23" si="0">+E14/I14-1</f>
        <v>3.5087719298245723E-2</v>
      </c>
      <c r="M14" s="43" t="s">
        <v>73</v>
      </c>
    </row>
    <row r="15" spans="1:13" ht="30" customHeight="1">
      <c r="A15" s="67" t="s">
        <v>32</v>
      </c>
      <c r="B15" s="68"/>
      <c r="C15" s="29" t="s">
        <v>1</v>
      </c>
      <c r="D15" s="29">
        <v>1</v>
      </c>
      <c r="E15" s="40">
        <f>IF(ROUND(ABS(H15-I15),3)&gt;0.01,H15,I15)</f>
        <v>1.08</v>
      </c>
      <c r="F15" s="60">
        <v>1</v>
      </c>
      <c r="G15" s="59"/>
      <c r="H15" s="41">
        <f>ROUND(VLOOKUP($H$11,'Pacific Exchange Rate Service'!$B$2:$AA$57739,15,FALSE),2)</f>
        <v>1.0900000000000001</v>
      </c>
      <c r="I15" s="40">
        <v>1.08</v>
      </c>
      <c r="K15" s="46">
        <f t="shared" si="0"/>
        <v>0</v>
      </c>
      <c r="M15" s="43" t="s">
        <v>74</v>
      </c>
    </row>
    <row r="16" spans="1:13" ht="30" customHeight="1">
      <c r="A16" s="67" t="s">
        <v>4</v>
      </c>
      <c r="B16" s="68"/>
      <c r="C16" s="29" t="s">
        <v>33</v>
      </c>
      <c r="D16" s="29">
        <v>1</v>
      </c>
      <c r="E16" s="39">
        <f>IF(ROUND(ABS(H16-I16),3)&gt;0.1,H16,I16)</f>
        <v>8.6</v>
      </c>
      <c r="F16" s="39"/>
      <c r="G16" s="58"/>
      <c r="H16" s="44">
        <f>ROUND(VLOOKUP($H$11,'Pacific Exchange Rate Service'!$B$2:$AA$57739,16,FALSE),1)</f>
        <v>8.6</v>
      </c>
      <c r="I16" s="39">
        <v>8.4</v>
      </c>
      <c r="K16" s="46">
        <f t="shared" si="0"/>
        <v>2.3809523809523725E-2</v>
      </c>
      <c r="M16" s="43" t="s">
        <v>73</v>
      </c>
    </row>
    <row r="17" spans="1:13" ht="30" customHeight="1">
      <c r="A17" s="67" t="s">
        <v>34</v>
      </c>
      <c r="B17" s="68"/>
      <c r="C17" s="29" t="s">
        <v>3</v>
      </c>
      <c r="D17" s="29">
        <v>1</v>
      </c>
      <c r="E17" s="39">
        <f>IF(ROUND(ABS(H17-I17),3)&gt;0.1,H17,I17)</f>
        <v>9.8000000000000007</v>
      </c>
      <c r="F17" s="39"/>
      <c r="G17" s="58"/>
      <c r="H17" s="44">
        <f>ROUND(VLOOKUP($H$11,'Pacific Exchange Rate Service'!$B$2:$AA$57739,17,FALSE),1)</f>
        <v>9.9</v>
      </c>
      <c r="I17" s="39">
        <v>9.8000000000000007</v>
      </c>
      <c r="K17" s="46">
        <f t="shared" si="0"/>
        <v>0</v>
      </c>
      <c r="M17" s="43" t="s">
        <v>73</v>
      </c>
    </row>
    <row r="18" spans="1:13" ht="30" customHeight="1">
      <c r="A18" s="67" t="s">
        <v>35</v>
      </c>
      <c r="B18" s="68"/>
      <c r="C18" s="29" t="s">
        <v>7</v>
      </c>
      <c r="D18" s="29">
        <v>1</v>
      </c>
      <c r="E18" s="40">
        <f>IF(ROUND(ABS(H18-I18),3)&gt;0.01,H18,I18)</f>
        <v>0.06</v>
      </c>
      <c r="F18" s="40"/>
      <c r="G18" s="59"/>
      <c r="H18" s="41">
        <f>ROUND(VLOOKUP($H$11,'Pacific Exchange Rate Service'!$B$2:$AA$57739,18,FALSE),2)</f>
        <v>0.05</v>
      </c>
      <c r="I18" s="40">
        <v>0.06</v>
      </c>
      <c r="K18" s="46">
        <f t="shared" si="0"/>
        <v>0</v>
      </c>
      <c r="M18" s="43" t="s">
        <v>74</v>
      </c>
    </row>
    <row r="19" spans="1:13" ht="30" customHeight="1">
      <c r="A19" s="67" t="s">
        <v>36</v>
      </c>
      <c r="B19" s="68"/>
      <c r="C19" s="29" t="s">
        <v>8</v>
      </c>
      <c r="D19" s="29">
        <v>1</v>
      </c>
      <c r="E19" s="40">
        <f>IF(ROUND(ABS(H19-I19),3)&gt;0.01,H19,I19)</f>
        <v>0.25</v>
      </c>
      <c r="F19" s="40"/>
      <c r="G19" s="59"/>
      <c r="H19" s="41">
        <f>ROUND(VLOOKUP($H$11,'Pacific Exchange Rate Service'!$B$2:$AA$57739,19,FALSE),2)</f>
        <v>0.25</v>
      </c>
      <c r="I19" s="40">
        <v>0.25</v>
      </c>
      <c r="K19" s="46">
        <f t="shared" si="0"/>
        <v>0</v>
      </c>
      <c r="M19" s="43" t="s">
        <v>74</v>
      </c>
    </row>
    <row r="20" spans="1:13" ht="30" customHeight="1">
      <c r="A20" s="67" t="s">
        <v>37</v>
      </c>
      <c r="B20" s="68"/>
      <c r="C20" s="29" t="s">
        <v>9</v>
      </c>
      <c r="D20" s="29">
        <v>1</v>
      </c>
      <c r="E20" s="39">
        <f>IF(ROUND(ABS(H20-I20),3)&gt;0.1,H20,I20)</f>
        <v>5.8</v>
      </c>
      <c r="F20" s="39"/>
      <c r="G20" s="58"/>
      <c r="H20" s="44">
        <f>ROUND(VLOOKUP($H$11,'Pacific Exchange Rate Service'!$B$2:$AA$57739,20,FALSE),1)</f>
        <v>5.9</v>
      </c>
      <c r="I20" s="39">
        <v>5.8</v>
      </c>
      <c r="K20" s="46">
        <f t="shared" si="0"/>
        <v>0</v>
      </c>
      <c r="M20" s="43" t="s">
        <v>73</v>
      </c>
    </row>
    <row r="21" spans="1:13" ht="30" customHeight="1">
      <c r="A21" s="67" t="s">
        <v>38</v>
      </c>
      <c r="B21" s="68"/>
      <c r="C21" s="29" t="s">
        <v>10</v>
      </c>
      <c r="D21" s="29">
        <v>1</v>
      </c>
      <c r="E21" s="40">
        <f>IF(ROUND(ABS(H21-I21),3)&gt;0.01,H21,I21)</f>
        <v>0.22</v>
      </c>
      <c r="F21" s="40"/>
      <c r="G21" s="59"/>
      <c r="H21" s="41">
        <f>ROUND(VLOOKUP($H$11,'Pacific Exchange Rate Service'!$B$2:$AA$57739,21,FALSE),2)</f>
        <v>0.22</v>
      </c>
      <c r="I21" s="40">
        <v>0.22</v>
      </c>
      <c r="K21" s="46">
        <f t="shared" si="0"/>
        <v>0</v>
      </c>
      <c r="M21" s="43" t="s">
        <v>74</v>
      </c>
    </row>
    <row r="22" spans="1:13" ht="30" customHeight="1">
      <c r="A22" s="55" t="s">
        <v>98</v>
      </c>
      <c r="B22" s="56"/>
      <c r="C22" s="29" t="s">
        <v>99</v>
      </c>
      <c r="D22" s="29">
        <v>1</v>
      </c>
      <c r="E22" s="39">
        <f>IF(ROUND(ABS(H22-I22),3)&gt;0.1,H22,I22)</f>
        <v>9.1</v>
      </c>
      <c r="F22" s="39"/>
      <c r="G22" s="58"/>
      <c r="H22" s="44">
        <f>ROUND(VLOOKUP($H$11,'Pacific Exchange Rate Service'!$B$2:$AA$57739,22,FALSE),1)</f>
        <v>9.1</v>
      </c>
      <c r="I22" s="39">
        <v>8.8000000000000007</v>
      </c>
      <c r="K22" s="46">
        <f t="shared" si="0"/>
        <v>3.409090909090895E-2</v>
      </c>
      <c r="M22" s="43" t="s">
        <v>73</v>
      </c>
    </row>
    <row r="23" spans="1:13" ht="30" customHeight="1">
      <c r="A23" s="67" t="s">
        <v>39</v>
      </c>
      <c r="B23" s="68"/>
      <c r="C23" s="29" t="s">
        <v>5</v>
      </c>
      <c r="D23" s="29">
        <v>1</v>
      </c>
      <c r="E23" s="39">
        <v>7.8</v>
      </c>
      <c r="F23" s="39"/>
      <c r="G23" s="58"/>
      <c r="H23" s="45">
        <v>7.8</v>
      </c>
      <c r="I23" s="39">
        <v>7.8</v>
      </c>
      <c r="K23" s="46">
        <f t="shared" si="0"/>
        <v>0</v>
      </c>
      <c r="M23" s="43" t="s">
        <v>73</v>
      </c>
    </row>
    <row r="24" spans="1:13" ht="30" customHeight="1">
      <c r="A24" s="67" t="s">
        <v>102</v>
      </c>
      <c r="B24" s="68"/>
      <c r="C24" s="29" t="s">
        <v>103</v>
      </c>
      <c r="D24" s="29">
        <v>1</v>
      </c>
      <c r="E24" s="60">
        <v>1</v>
      </c>
      <c r="F24" s="65">
        <f>ROUND(+E24/$E$15,4)</f>
        <v>0.92589999999999995</v>
      </c>
      <c r="G24" s="58"/>
      <c r="H24" s="63">
        <v>1</v>
      </c>
      <c r="I24" s="60">
        <v>1</v>
      </c>
      <c r="K24" s="46">
        <f>+E24/I24-1</f>
        <v>0</v>
      </c>
      <c r="M24" s="43" t="s">
        <v>73</v>
      </c>
    </row>
    <row r="27" spans="1:13" s="32" customFormat="1" ht="19.2">
      <c r="A27" s="35" t="s">
        <v>40</v>
      </c>
      <c r="B27" s="31"/>
      <c r="H27" s="33"/>
      <c r="I27" s="33"/>
    </row>
    <row r="28" spans="1:13" s="32" customFormat="1" ht="12" customHeight="1">
      <c r="A28" s="35"/>
      <c r="H28" s="33"/>
      <c r="I28" s="33"/>
    </row>
    <row r="29" spans="1:13" s="32" customFormat="1" ht="19.2">
      <c r="A29" s="35" t="s">
        <v>41</v>
      </c>
      <c r="B29" s="31"/>
      <c r="H29" s="33"/>
      <c r="I29" s="33"/>
    </row>
    <row r="30" spans="1:13" s="32" customFormat="1" ht="12" customHeight="1">
      <c r="A30" s="35"/>
      <c r="H30" s="33"/>
      <c r="I30" s="33"/>
    </row>
    <row r="31" spans="1:13" s="32" customFormat="1" ht="19.2">
      <c r="A31" s="35" t="s">
        <v>42</v>
      </c>
      <c r="B31" s="31"/>
      <c r="H31" s="33"/>
      <c r="I31" s="33"/>
    </row>
    <row r="32" spans="1:13" s="32" customFormat="1" ht="12" customHeight="1">
      <c r="A32" s="35"/>
      <c r="H32" s="33"/>
      <c r="I32" s="33"/>
    </row>
    <row r="33" spans="1:9" s="32" customFormat="1" ht="19.2">
      <c r="A33" s="35" t="s">
        <v>43</v>
      </c>
      <c r="B33" s="31"/>
      <c r="H33" s="33"/>
      <c r="I33" s="33"/>
    </row>
  </sheetData>
  <mergeCells count="13">
    <mergeCell ref="A23:B23"/>
    <mergeCell ref="A24:B24"/>
    <mergeCell ref="H10:I10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</mergeCells>
  <phoneticPr fontId="3" type="noConversion"/>
  <pageMargins left="0.56000000000000005" right="0.2" top="0.74803149606299213" bottom="0.74803149606299213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3" topLeftCell="A16" activePane="bottomLeft" state="frozen"/>
      <selection activeCell="B13" sqref="B13"/>
      <selection pane="bottomLeft" activeCell="B13" sqref="B13"/>
    </sheetView>
  </sheetViews>
  <sheetFormatPr defaultColWidth="14.109375" defaultRowHeight="18.75" customHeight="1"/>
  <cols>
    <col min="2" max="2" width="11.33203125" customWidth="1"/>
    <col min="3" max="3" width="11.21875" customWidth="1"/>
    <col min="4" max="4" width="11.33203125" customWidth="1"/>
    <col min="5" max="5" width="11.88671875" customWidth="1"/>
  </cols>
  <sheetData>
    <row r="1" spans="1:6" ht="18.75" customHeight="1">
      <c r="B1" s="3" t="s">
        <v>24</v>
      </c>
    </row>
    <row r="3" spans="1:6" ht="24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4" customHeight="1">
      <c r="A4" s="11" t="s">
        <v>11</v>
      </c>
      <c r="B4" s="12">
        <v>1.1499999999999999</v>
      </c>
      <c r="C4" s="12">
        <v>5.8</v>
      </c>
      <c r="D4" s="12">
        <v>10</v>
      </c>
      <c r="E4" s="12">
        <v>9.1</v>
      </c>
      <c r="F4" s="13">
        <v>7.8</v>
      </c>
    </row>
    <row r="5" spans="1:6" ht="24" customHeight="1">
      <c r="A5" s="10" t="s">
        <v>12</v>
      </c>
      <c r="B5" s="8">
        <v>1.1399999999999999</v>
      </c>
      <c r="C5" s="8">
        <v>5.6</v>
      </c>
      <c r="D5" s="8">
        <v>9.9</v>
      </c>
      <c r="E5" s="8">
        <v>8.9</v>
      </c>
      <c r="F5" s="9">
        <v>7.8</v>
      </c>
    </row>
    <row r="6" spans="1:6" ht="24" customHeight="1">
      <c r="A6" s="11" t="s">
        <v>13</v>
      </c>
      <c r="B6" s="12">
        <v>1.1599999999999999</v>
      </c>
      <c r="C6" s="12">
        <v>5.6</v>
      </c>
      <c r="D6" s="12">
        <v>10.3</v>
      </c>
      <c r="E6" s="12">
        <v>8.9</v>
      </c>
      <c r="F6" s="13">
        <v>7.8</v>
      </c>
    </row>
    <row r="7" spans="1:6" ht="24" customHeight="1">
      <c r="A7" s="10" t="s">
        <v>14</v>
      </c>
      <c r="B7" s="8">
        <v>1.17</v>
      </c>
      <c r="C7" s="8">
        <v>5.6</v>
      </c>
      <c r="D7" s="8">
        <v>10.4</v>
      </c>
      <c r="E7" s="8">
        <v>8.9</v>
      </c>
      <c r="F7" s="9">
        <v>7.8</v>
      </c>
    </row>
    <row r="8" spans="1:6" ht="24" customHeight="1">
      <c r="A8" s="14" t="s">
        <v>15</v>
      </c>
      <c r="B8" s="12">
        <v>1.1599999999999999</v>
      </c>
      <c r="C8" s="12">
        <v>5.6</v>
      </c>
      <c r="D8" s="12">
        <v>10.3</v>
      </c>
      <c r="E8" s="12">
        <v>8.8000000000000007</v>
      </c>
      <c r="F8" s="13">
        <v>7.8</v>
      </c>
    </row>
    <row r="9" spans="1:6" ht="24" customHeight="1">
      <c r="A9" s="10" t="s">
        <v>16</v>
      </c>
      <c r="B9" s="8">
        <v>1.1599999999999999</v>
      </c>
      <c r="C9" s="8">
        <v>5.5</v>
      </c>
      <c r="D9" s="8">
        <v>10.1</v>
      </c>
      <c r="E9" s="8">
        <v>8.8000000000000007</v>
      </c>
      <c r="F9" s="9">
        <v>7.8</v>
      </c>
    </row>
    <row r="10" spans="1:6" ht="24" customHeight="1">
      <c r="A10" s="14" t="s">
        <v>17</v>
      </c>
      <c r="B10" s="12">
        <v>1.1299999999999999</v>
      </c>
      <c r="C10" s="12">
        <v>5.5</v>
      </c>
      <c r="D10" s="12">
        <v>9.8000000000000007</v>
      </c>
      <c r="E10" s="12">
        <v>8.8000000000000007</v>
      </c>
      <c r="F10" s="13">
        <v>7.8</v>
      </c>
    </row>
    <row r="11" spans="1:6" ht="24" customHeight="1">
      <c r="A11" s="10" t="s">
        <v>18</v>
      </c>
      <c r="B11" s="8">
        <v>1.1299999999999999</v>
      </c>
      <c r="C11" s="8">
        <v>5.5</v>
      </c>
      <c r="D11" s="8">
        <v>9.8000000000000007</v>
      </c>
      <c r="E11" s="8">
        <v>8.8000000000000007</v>
      </c>
      <c r="F11" s="9">
        <v>7.8</v>
      </c>
    </row>
    <row r="12" spans="1:6" ht="24" customHeight="1">
      <c r="A12" s="14" t="s">
        <v>19</v>
      </c>
      <c r="B12" s="12">
        <v>1.1299999999999999</v>
      </c>
      <c r="C12" s="12">
        <v>5.5</v>
      </c>
      <c r="D12" s="12">
        <v>9.8000000000000007</v>
      </c>
      <c r="E12" s="12">
        <v>8.8000000000000007</v>
      </c>
      <c r="F12" s="13">
        <v>7.8</v>
      </c>
    </row>
    <row r="13" spans="1:6" ht="24" customHeight="1">
      <c r="A13" s="10" t="s">
        <v>20</v>
      </c>
      <c r="B13" s="8">
        <v>1.0900000000000001</v>
      </c>
      <c r="C13" s="8">
        <v>5.3</v>
      </c>
      <c r="D13" s="8">
        <v>9.5</v>
      </c>
      <c r="E13" s="8">
        <v>8.6</v>
      </c>
      <c r="F13" s="9">
        <v>7.8</v>
      </c>
    </row>
    <row r="14" spans="1:6" ht="24" customHeight="1">
      <c r="A14" s="14" t="s">
        <v>21</v>
      </c>
      <c r="B14" s="12">
        <v>1.0900000000000001</v>
      </c>
      <c r="C14" s="12">
        <v>5.3</v>
      </c>
      <c r="D14" s="12">
        <v>9.5</v>
      </c>
      <c r="E14" s="12">
        <v>8.6</v>
      </c>
      <c r="F14" s="13">
        <v>7.8</v>
      </c>
    </row>
    <row r="15" spans="1:6" ht="24" customHeight="1">
      <c r="A15" s="10" t="s">
        <v>22</v>
      </c>
      <c r="B15" s="8">
        <v>1.0900000000000001</v>
      </c>
      <c r="C15" s="8">
        <v>5.3</v>
      </c>
      <c r="D15" s="8">
        <v>10</v>
      </c>
      <c r="E15" s="8">
        <v>8.6</v>
      </c>
      <c r="F15" s="9">
        <v>7.8</v>
      </c>
    </row>
    <row r="16" spans="1:6" ht="24" customHeight="1">
      <c r="A16" s="14" t="s">
        <v>23</v>
      </c>
      <c r="B16" s="12">
        <v>1.1100000000000001</v>
      </c>
      <c r="C16" s="12">
        <v>5.3</v>
      </c>
      <c r="D16" s="12">
        <v>10</v>
      </c>
      <c r="E16" s="12">
        <v>8.6</v>
      </c>
      <c r="F16" s="13">
        <v>7.8</v>
      </c>
    </row>
    <row r="17" spans="1:6" ht="23.25" customHeight="1">
      <c r="A17" s="10" t="s">
        <v>76</v>
      </c>
      <c r="B17" s="8">
        <v>1.1100000000000001</v>
      </c>
      <c r="C17" s="8">
        <v>5.3</v>
      </c>
      <c r="D17" s="8">
        <v>10.199999999999999</v>
      </c>
      <c r="E17" s="8">
        <v>8.6</v>
      </c>
      <c r="F17" s="9">
        <v>7.8</v>
      </c>
    </row>
    <row r="18" spans="1:6" ht="23.25" customHeight="1">
      <c r="A18" s="11" t="s">
        <v>77</v>
      </c>
      <c r="B18" s="12">
        <v>1.1399999999999999</v>
      </c>
      <c r="C18" s="12">
        <v>5.3</v>
      </c>
      <c r="D18" s="12">
        <v>10.199999999999999</v>
      </c>
      <c r="E18" s="12">
        <v>8.6</v>
      </c>
      <c r="F18" s="13">
        <v>7.8</v>
      </c>
    </row>
    <row r="19" spans="1:6" ht="23.25" customHeight="1">
      <c r="A19" s="10" t="s">
        <v>78</v>
      </c>
      <c r="B19" s="8">
        <v>1.1100000000000001</v>
      </c>
      <c r="C19" s="8">
        <v>5.3</v>
      </c>
      <c r="D19" s="8">
        <v>10.199999999999999</v>
      </c>
      <c r="E19" s="8">
        <v>8.6</v>
      </c>
      <c r="F19" s="9">
        <v>7.8</v>
      </c>
    </row>
    <row r="20" spans="1:6" ht="23.25" customHeight="1">
      <c r="A20" s="14" t="s">
        <v>79</v>
      </c>
      <c r="B20" s="12"/>
      <c r="C20" s="12"/>
      <c r="D20" s="12"/>
      <c r="E20" s="12"/>
      <c r="F20" s="13">
        <v>7.8</v>
      </c>
    </row>
    <row r="21" spans="1:6" ht="23.25" customHeight="1">
      <c r="A21" s="10" t="s">
        <v>80</v>
      </c>
      <c r="B21" s="8"/>
      <c r="C21" s="8"/>
      <c r="D21" s="8"/>
      <c r="E21" s="8"/>
      <c r="F21" s="9">
        <v>7.8</v>
      </c>
    </row>
    <row r="22" spans="1:6" ht="23.25" customHeight="1">
      <c r="A22" s="14" t="s">
        <v>81</v>
      </c>
      <c r="B22" s="12"/>
      <c r="C22" s="12"/>
      <c r="D22" s="12"/>
      <c r="E22" s="12"/>
      <c r="F22" s="13">
        <v>7.8</v>
      </c>
    </row>
    <row r="23" spans="1:6" ht="23.25" customHeight="1">
      <c r="A23" s="10" t="s">
        <v>82</v>
      </c>
      <c r="B23" s="8"/>
      <c r="C23" s="8"/>
      <c r="D23" s="8"/>
      <c r="E23" s="8"/>
      <c r="F23" s="9">
        <v>7.8</v>
      </c>
    </row>
    <row r="24" spans="1:6" ht="23.25" customHeight="1">
      <c r="A24" s="14" t="s">
        <v>83</v>
      </c>
      <c r="B24" s="12"/>
      <c r="C24" s="12"/>
      <c r="D24" s="12"/>
      <c r="E24" s="12"/>
      <c r="F24" s="13">
        <v>7.8</v>
      </c>
    </row>
    <row r="25" spans="1:6" ht="23.25" customHeight="1">
      <c r="A25" s="10" t="s">
        <v>84</v>
      </c>
      <c r="B25" s="8"/>
      <c r="C25" s="8"/>
      <c r="D25" s="8"/>
      <c r="E25" s="8"/>
      <c r="F25" s="9">
        <v>7.8</v>
      </c>
    </row>
    <row r="26" spans="1:6" ht="23.25" customHeight="1">
      <c r="A26" s="14" t="s">
        <v>85</v>
      </c>
      <c r="B26" s="12"/>
      <c r="C26" s="12"/>
      <c r="D26" s="12"/>
      <c r="E26" s="12"/>
      <c r="F26" s="13">
        <v>7.8</v>
      </c>
    </row>
    <row r="27" spans="1:6" ht="23.25" customHeight="1">
      <c r="A27" s="10" t="s">
        <v>86</v>
      </c>
      <c r="B27" s="8"/>
      <c r="C27" s="8"/>
      <c r="D27" s="8"/>
      <c r="E27" s="8"/>
      <c r="F27" s="9">
        <v>7.8</v>
      </c>
    </row>
    <row r="28" spans="1:6" ht="23.25" customHeight="1">
      <c r="A28" s="14" t="s">
        <v>87</v>
      </c>
      <c r="B28" s="12"/>
      <c r="C28" s="12"/>
      <c r="D28" s="12"/>
      <c r="E28" s="12"/>
      <c r="F28" s="13">
        <v>7.8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13" sqref="B13"/>
    </sheetView>
  </sheetViews>
  <sheetFormatPr defaultRowHeight="14.4"/>
  <cols>
    <col min="1" max="1" width="11.109375" customWidth="1"/>
    <col min="2" max="6" width="16.109375" customWidth="1"/>
  </cols>
  <sheetData>
    <row r="1" spans="1:6" ht="18">
      <c r="C1" s="4" t="s">
        <v>25</v>
      </c>
    </row>
    <row r="4" spans="1:6" s="5" customFormat="1" ht="18">
      <c r="A4" s="4"/>
      <c r="B4" s="1" t="s">
        <v>2</v>
      </c>
      <c r="C4" s="1" t="s">
        <v>6</v>
      </c>
      <c r="D4" s="1" t="s">
        <v>1</v>
      </c>
      <c r="E4" s="1" t="s">
        <v>4</v>
      </c>
      <c r="F4" s="1" t="s">
        <v>3</v>
      </c>
    </row>
    <row r="5" spans="1:6" ht="18">
      <c r="A5" s="6">
        <v>2018</v>
      </c>
      <c r="B5" s="7">
        <v>6</v>
      </c>
      <c r="C5" s="7">
        <v>6.1</v>
      </c>
      <c r="D5" s="7">
        <v>1.2</v>
      </c>
      <c r="E5" s="7">
        <v>9.3000000000000007</v>
      </c>
      <c r="F5" s="7">
        <v>10.3</v>
      </c>
    </row>
    <row r="6" spans="1:6" ht="18">
      <c r="A6" s="6">
        <v>2019</v>
      </c>
      <c r="B6" s="7">
        <v>5.6</v>
      </c>
      <c r="C6" s="7">
        <v>5.8</v>
      </c>
      <c r="D6" s="7">
        <v>1.1399999999999999</v>
      </c>
      <c r="E6" s="7">
        <v>8.9</v>
      </c>
      <c r="F6" s="7">
        <v>9.9</v>
      </c>
    </row>
    <row r="7" spans="1:6" ht="18">
      <c r="A7" s="6">
        <v>2020</v>
      </c>
      <c r="B7" s="7">
        <v>5.34</v>
      </c>
      <c r="C7" s="7">
        <v>5.93</v>
      </c>
      <c r="D7" s="7">
        <v>1.1100000000000001</v>
      </c>
      <c r="E7" s="7">
        <v>8.6999999999999993</v>
      </c>
      <c r="F7" s="7">
        <v>10.25</v>
      </c>
    </row>
    <row r="8" spans="1:6">
      <c r="B8" s="15"/>
      <c r="C8" s="15"/>
      <c r="D8" s="15"/>
      <c r="E8" s="15"/>
      <c r="F8" s="15"/>
    </row>
    <row r="9" spans="1:6">
      <c r="B9" s="15"/>
      <c r="C9" s="15"/>
      <c r="D9" s="15"/>
      <c r="E9" s="15"/>
      <c r="F9" s="15"/>
    </row>
    <row r="10" spans="1:6" ht="18">
      <c r="A10" s="2"/>
      <c r="B10" s="16" t="s">
        <v>7</v>
      </c>
      <c r="C10" s="16" t="s">
        <v>8</v>
      </c>
      <c r="D10" s="16" t="s">
        <v>9</v>
      </c>
      <c r="E10" s="16" t="s">
        <v>10</v>
      </c>
      <c r="F10" s="16" t="s">
        <v>5</v>
      </c>
    </row>
    <row r="11" spans="1:6" ht="18">
      <c r="A11" s="6">
        <v>2018</v>
      </c>
      <c r="B11" s="7">
        <v>6.8000000000000005E-2</v>
      </c>
      <c r="C11" s="7">
        <v>0.26</v>
      </c>
      <c r="D11" s="7">
        <v>5.8</v>
      </c>
      <c r="E11" s="7">
        <v>0.24</v>
      </c>
      <c r="F11" s="7">
        <v>7.8</v>
      </c>
    </row>
    <row r="12" spans="1:6" ht="18">
      <c r="A12" s="6">
        <v>2019</v>
      </c>
      <c r="B12" s="7">
        <v>6.9000000000000006E-2</v>
      </c>
      <c r="C12" s="7">
        <v>0.26</v>
      </c>
      <c r="D12" s="7">
        <v>5.7</v>
      </c>
      <c r="E12" s="7">
        <v>0.24</v>
      </c>
      <c r="F12" s="7">
        <v>7.8</v>
      </c>
    </row>
    <row r="13" spans="1:6" ht="18">
      <c r="A13" s="6">
        <v>2020</v>
      </c>
      <c r="B13" s="7">
        <v>7.1999999999999995E-2</v>
      </c>
      <c r="C13" s="7">
        <v>0.26</v>
      </c>
      <c r="D13" s="7">
        <v>5.75</v>
      </c>
      <c r="E13" s="7">
        <v>0.26</v>
      </c>
      <c r="F13" s="7">
        <v>7.8</v>
      </c>
    </row>
  </sheetData>
  <phoneticPr fontId="1" type="noConversion"/>
  <pageMargins left="0.2" right="0.2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833"/>
  <sheetViews>
    <sheetView workbookViewId="0">
      <pane ySplit="2" topLeftCell="A3" activePane="bottomLeft" state="frozen"/>
      <selection pane="bottomLeft" activeCell="A4" sqref="A4:IV21"/>
    </sheetView>
  </sheetViews>
  <sheetFormatPr defaultColWidth="9.109375" defaultRowHeight="14.4"/>
  <cols>
    <col min="1" max="1" width="8.33203125" customWidth="1"/>
    <col min="2" max="2" width="14.6640625" customWidth="1"/>
    <col min="3" max="3" width="5.6640625" bestFit="1" customWidth="1"/>
    <col min="4" max="4" width="9.21875" customWidth="1"/>
    <col min="5" max="5" width="8.33203125" customWidth="1"/>
    <col min="6" max="6" width="8.109375" customWidth="1"/>
    <col min="7" max="7" width="9" customWidth="1"/>
    <col min="8" max="8" width="9.21875" customWidth="1"/>
    <col min="9" max="9" width="8.88671875" customWidth="1"/>
    <col min="10" max="10" width="9.21875" bestFit="1" customWidth="1"/>
    <col min="11" max="11" width="10.109375" bestFit="1" customWidth="1"/>
    <col min="12" max="12" width="9.33203125" bestFit="1" customWidth="1"/>
    <col min="13" max="13" width="9.33203125" customWidth="1"/>
    <col min="14" max="22" width="9.6640625" customWidth="1"/>
    <col min="23" max="23" width="8.88671875" customWidth="1"/>
  </cols>
  <sheetData>
    <row r="1" spans="1:23">
      <c r="A1" s="66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1" t="s">
        <v>61</v>
      </c>
    </row>
    <row r="2" spans="1:23">
      <c r="A2" s="66" t="s">
        <v>49</v>
      </c>
      <c r="B2" s="17" t="s">
        <v>50</v>
      </c>
      <c r="C2" s="17" t="s">
        <v>51</v>
      </c>
      <c r="D2" s="20" t="s">
        <v>52</v>
      </c>
      <c r="E2" s="20" t="s">
        <v>53</v>
      </c>
      <c r="F2" s="20" t="s">
        <v>54</v>
      </c>
      <c r="G2" s="20" t="s">
        <v>55</v>
      </c>
      <c r="H2" s="20" t="s">
        <v>56</v>
      </c>
      <c r="I2" s="20" t="s">
        <v>57</v>
      </c>
      <c r="J2" s="20" t="s">
        <v>58</v>
      </c>
      <c r="K2" s="20" t="s">
        <v>96</v>
      </c>
      <c r="L2" s="20" t="s">
        <v>59</v>
      </c>
      <c r="M2" s="20" t="s">
        <v>60</v>
      </c>
      <c r="N2" s="22" t="s">
        <v>62</v>
      </c>
      <c r="O2" s="18" t="s">
        <v>63</v>
      </c>
      <c r="P2" s="18" t="s">
        <v>64</v>
      </c>
      <c r="Q2" s="18" t="s">
        <v>65</v>
      </c>
      <c r="R2" s="18" t="s">
        <v>66</v>
      </c>
      <c r="S2" s="18" t="s">
        <v>67</v>
      </c>
      <c r="T2" s="18" t="s">
        <v>68</v>
      </c>
      <c r="U2" s="18" t="s">
        <v>69</v>
      </c>
      <c r="V2" s="18" t="s">
        <v>70</v>
      </c>
      <c r="W2" s="18" t="s">
        <v>97</v>
      </c>
    </row>
    <row r="3" spans="1:23">
      <c r="A3" s="66">
        <v>2460300</v>
      </c>
      <c r="B3" s="49">
        <v>45281</v>
      </c>
      <c r="C3" s="48" t="s">
        <v>93</v>
      </c>
      <c r="D3" s="48">
        <v>0.75126000000000004</v>
      </c>
      <c r="E3" s="48">
        <v>1.0989</v>
      </c>
      <c r="F3" s="48">
        <v>1.2670999999999999</v>
      </c>
      <c r="G3" s="48">
        <v>7.0242999999999998E-3</v>
      </c>
      <c r="H3" s="48">
        <v>0.67845999999999995</v>
      </c>
      <c r="I3" s="48">
        <v>0.14002999999999999</v>
      </c>
      <c r="J3" s="48">
        <v>0.75336000000000003</v>
      </c>
      <c r="K3" s="48">
        <v>1.1657999999999999</v>
      </c>
      <c r="L3" s="48">
        <v>3.2018999999999999E-2</v>
      </c>
      <c r="M3" s="48">
        <v>2.8788999999999999E-2</v>
      </c>
      <c r="N3" s="23">
        <f>IF(M3="","",ROUND(+H3*7.8,4))</f>
        <v>5.2919999999999998</v>
      </c>
      <c r="O3" s="19">
        <f>IF(M3="","",ROUND(+D3*7.8,4))</f>
        <v>5.8597999999999999</v>
      </c>
      <c r="P3" s="19">
        <f>IF(M3="","",ROUND(+I3*7.8,4))</f>
        <v>1.0922000000000001</v>
      </c>
      <c r="Q3" s="19">
        <f>IF(M3="","",ROUND(+E3*7.8,4))</f>
        <v>8.5714000000000006</v>
      </c>
      <c r="R3" s="19">
        <f>IF(M3="","",ROUND(+F3*7.8,4))</f>
        <v>9.8834</v>
      </c>
      <c r="S3" s="19">
        <f>IF(M3="","",ROUND(+G3*7.8,4))</f>
        <v>5.4800000000000001E-2</v>
      </c>
      <c r="T3" s="19">
        <f>IF(M3="","",ROUND(+L3*7.8,4))</f>
        <v>0.24970000000000001</v>
      </c>
      <c r="U3" s="19">
        <f>IF(M3="","",ROUND(+J3*7.8,4))</f>
        <v>5.8761999999999999</v>
      </c>
      <c r="V3" s="19">
        <f>IF(M3="","",ROUND(+M3*7.8,4))</f>
        <v>0.22459999999999999</v>
      </c>
      <c r="W3" s="19">
        <f>IF(M3="","",ROUND(+K3*7.8,4))</f>
        <v>9.0931999999999995</v>
      </c>
    </row>
    <row r="4" spans="1:23">
      <c r="A4" s="66"/>
      <c r="B4" s="49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23">
      <c r="A5" s="66"/>
      <c r="B5" s="49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23">
      <c r="A6" s="66"/>
      <c r="B6" s="49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23">
      <c r="A7" s="66"/>
      <c r="B7" s="49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23">
      <c r="A8" s="66"/>
      <c r="B8" s="49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23">
      <c r="A9" s="66"/>
      <c r="B9" s="49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23">
      <c r="A10" s="66"/>
      <c r="B10" s="49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23">
      <c r="A11" s="66"/>
      <c r="B11" s="49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23">
      <c r="A12" s="66"/>
      <c r="B12" s="49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23">
      <c r="A13" s="66"/>
      <c r="B13" s="49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23">
      <c r="A14" s="66"/>
      <c r="B14" s="49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23">
      <c r="A15" s="66"/>
      <c r="B15" s="49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23">
      <c r="A16" s="66"/>
      <c r="B16" s="49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spans="1:13">
      <c r="A17" s="66"/>
      <c r="B17" s="49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spans="1:13">
      <c r="A18" s="66"/>
      <c r="B18" s="49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>
      <c r="A19" s="66"/>
      <c r="B19" s="49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>
      <c r="A20" s="66"/>
      <c r="B20" s="49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>
      <c r="A21" s="66"/>
      <c r="B21" s="49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>
      <c r="A22" s="66"/>
      <c r="B22" s="49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>
      <c r="A23" s="66"/>
      <c r="B23" s="49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>
      <c r="A24" s="66"/>
      <c r="B24" s="49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>
      <c r="A25" s="66"/>
      <c r="B25" s="49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>
      <c r="A26" s="66"/>
      <c r="B26" s="49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1:13">
      <c r="A27" s="66"/>
      <c r="B27" s="49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>
      <c r="A28" s="66"/>
      <c r="B28" s="49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>
      <c r="A29" s="66"/>
      <c r="B29" s="49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>
      <c r="A30" s="66"/>
      <c r="B30" s="49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>
      <c r="A31" s="66"/>
      <c r="B31" s="49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>
      <c r="A32" s="66"/>
      <c r="B32" s="49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66"/>
      <c r="B33" s="49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>
      <c r="A34" s="66"/>
      <c r="B34" s="49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>
      <c r="A35" s="66"/>
      <c r="B35" s="49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>
      <c r="A36" s="66"/>
      <c r="B36" s="49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>
      <c r="A37" s="66"/>
      <c r="B37" s="49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>
      <c r="A38" s="66"/>
      <c r="B38" s="49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>
      <c r="A39" s="66"/>
      <c r="B39" s="49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>
      <c r="A40" s="66"/>
      <c r="B40" s="49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>
      <c r="A41" s="66"/>
      <c r="B41" s="49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>
      <c r="A42" s="66"/>
      <c r="B42" s="49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>
      <c r="A43" s="66"/>
      <c r="B43" s="49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pans="1:13">
      <c r="A44" s="66"/>
      <c r="B44" s="49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>
      <c r="A45" s="66"/>
      <c r="B45" s="49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>
      <c r="A46" s="66"/>
      <c r="B46" s="49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>
      <c r="A47" s="66"/>
      <c r="B47" s="49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>
      <c r="A48" s="66"/>
      <c r="B48" s="49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>
      <c r="A49" s="66"/>
      <c r="B49" s="49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>
      <c r="A50" s="66"/>
      <c r="B50" s="49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>
      <c r="A51" s="66"/>
      <c r="B51" s="49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>
      <c r="A52" s="66"/>
      <c r="B52" s="49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1:13">
      <c r="A53" s="66"/>
      <c r="B53" s="49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>
      <c r="A54" s="66"/>
      <c r="B54" s="49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>
      <c r="A55" s="66"/>
      <c r="B55" s="49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>
      <c r="A56" s="66"/>
      <c r="B56" s="49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7" spans="1:13">
      <c r="A57" s="66"/>
      <c r="B57" s="49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</row>
    <row r="58" spans="1:13">
      <c r="A58" s="6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</row>
    <row r="59" spans="1:13">
      <c r="A59" s="66"/>
      <c r="B59" s="49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</row>
    <row r="60" spans="1:13">
      <c r="A60" s="66"/>
      <c r="B60" s="49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</row>
    <row r="61" spans="1:13">
      <c r="A61" s="66"/>
      <c r="B61" s="49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</row>
    <row r="62" spans="1:13">
      <c r="A62" s="66"/>
      <c r="B62" s="49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</row>
    <row r="63" spans="1:13">
      <c r="A63" s="66"/>
      <c r="B63" s="49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</row>
    <row r="64" spans="1:13">
      <c r="A64" s="66"/>
      <c r="B64" s="49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</row>
    <row r="65" spans="1:13">
      <c r="A65" s="66"/>
      <c r="B65" s="49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</row>
    <row r="66" spans="1:13">
      <c r="A66" s="66"/>
      <c r="B66" s="49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</row>
    <row r="67" spans="1:13">
      <c r="A67" s="66"/>
      <c r="B67" s="49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</row>
    <row r="68" spans="1:13">
      <c r="A68" s="66"/>
      <c r="B68" s="49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</row>
    <row r="69" spans="1:13">
      <c r="A69" s="66"/>
      <c r="B69" s="49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</row>
    <row r="70" spans="1:13">
      <c r="A70" s="66"/>
      <c r="B70" s="49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</row>
    <row r="71" spans="1:13">
      <c r="A71" s="66"/>
      <c r="B71" s="49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</row>
    <row r="72" spans="1:13">
      <c r="A72" s="66"/>
      <c r="B72" s="49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</row>
    <row r="73" spans="1:13">
      <c r="A73" s="66"/>
      <c r="B73" s="49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</row>
    <row r="74" spans="1:13">
      <c r="A74" s="66"/>
      <c r="B74" s="49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</row>
    <row r="75" spans="1:13">
      <c r="A75" s="66"/>
      <c r="B75" s="49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>
      <c r="A76" s="66"/>
      <c r="B76" s="49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</row>
    <row r="77" spans="1:13">
      <c r="A77" s="66"/>
      <c r="B77" s="49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  <row r="78" spans="1:13">
      <c r="A78" s="66"/>
      <c r="B78" s="49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</row>
    <row r="79" spans="1:13">
      <c r="A79" s="66"/>
      <c r="B79" s="49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</row>
    <row r="80" spans="1:13">
      <c r="A80" s="66"/>
      <c r="B80" s="49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</row>
    <row r="81" spans="1:13">
      <c r="A81" s="66"/>
      <c r="B81" s="49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</row>
    <row r="82" spans="1:13">
      <c r="A82" s="66"/>
      <c r="B82" s="49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</row>
    <row r="83" spans="1:13">
      <c r="A83" s="66"/>
      <c r="B83" s="49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</row>
    <row r="84" spans="1:13">
      <c r="A84" s="66"/>
      <c r="B84" s="49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</row>
    <row r="85" spans="1:13">
      <c r="A85" s="66"/>
      <c r="B85" s="49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</row>
    <row r="86" spans="1:13">
      <c r="A86" s="66"/>
      <c r="B86" s="49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</row>
    <row r="87" spans="1:13">
      <c r="A87" s="66"/>
      <c r="B87" s="49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</row>
    <row r="88" spans="1:13">
      <c r="A88" s="66"/>
      <c r="B88" s="49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</row>
    <row r="89" spans="1:13">
      <c r="A89" s="66"/>
      <c r="B89" s="49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</row>
    <row r="90" spans="1:13">
      <c r="A90" s="66"/>
      <c r="B90" s="49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</row>
    <row r="91" spans="1:13">
      <c r="A91" s="66"/>
      <c r="B91" s="49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</row>
    <row r="92" spans="1:13">
      <c r="A92" s="66"/>
      <c r="B92" s="49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</row>
    <row r="93" spans="1:13">
      <c r="A93" s="66"/>
      <c r="B93" s="49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</row>
    <row r="94" spans="1:13">
      <c r="A94" s="66"/>
      <c r="B94" s="49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</row>
    <row r="95" spans="1:13">
      <c r="A95" s="66"/>
      <c r="B95" s="49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</row>
    <row r="96" spans="1:13">
      <c r="A96" s="66"/>
      <c r="B96" s="49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</row>
    <row r="97" spans="1:13">
      <c r="A97" s="66"/>
      <c r="B97" s="49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</row>
    <row r="98" spans="1:13">
      <c r="A98" s="66"/>
      <c r="B98" s="49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</row>
    <row r="99" spans="1:13">
      <c r="A99" s="66"/>
      <c r="B99" s="49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</row>
    <row r="100" spans="1:13">
      <c r="A100" s="66"/>
      <c r="B100" s="49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</row>
    <row r="101" spans="1:13">
      <c r="A101" s="66"/>
      <c r="B101" s="49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</row>
    <row r="102" spans="1:13">
      <c r="A102" s="66"/>
      <c r="B102" s="49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13">
      <c r="A103" s="66"/>
      <c r="B103" s="49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</row>
    <row r="104" spans="1:13">
      <c r="A104" s="66"/>
      <c r="B104" s="49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</row>
    <row r="105" spans="1:13">
      <c r="A105" s="66"/>
      <c r="B105" s="49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13">
      <c r="A106" s="66"/>
      <c r="B106" s="49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</row>
    <row r="107" spans="1:13">
      <c r="A107" s="66"/>
      <c r="B107" s="49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</row>
    <row r="108" spans="1:13">
      <c r="A108" s="66"/>
      <c r="B108" s="49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13">
      <c r="A109" s="66"/>
      <c r="B109" s="49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</row>
    <row r="110" spans="1:13">
      <c r="A110" s="66"/>
      <c r="B110" s="49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</row>
    <row r="111" spans="1:13">
      <c r="A111" s="66"/>
      <c r="B111" s="49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1:13">
      <c r="A112" s="66"/>
      <c r="B112" s="49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</row>
    <row r="113" spans="1:13">
      <c r="A113" s="66"/>
      <c r="B113" s="49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</row>
    <row r="114" spans="1:13">
      <c r="A114" s="66"/>
      <c r="B114" s="49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</row>
    <row r="115" spans="1:13">
      <c r="A115" s="66"/>
      <c r="B115" s="49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</row>
    <row r="116" spans="1:13">
      <c r="A116" s="66"/>
      <c r="B116" s="49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</row>
    <row r="117" spans="1:13">
      <c r="A117" s="48" t="s">
        <v>104</v>
      </c>
      <c r="B117" s="49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</row>
    <row r="118" spans="1:13">
      <c r="A118" s="48">
        <v>2459906</v>
      </c>
      <c r="B118" s="49">
        <v>44887</v>
      </c>
      <c r="C118" s="48" t="s">
        <v>95</v>
      </c>
      <c r="D118" s="48">
        <v>0.74648999999999999</v>
      </c>
      <c r="E118" s="48">
        <v>1.0281400000000001</v>
      </c>
      <c r="F118" s="48">
        <v>1.1879999999999999</v>
      </c>
      <c r="G118" s="48">
        <v>7.0768000000000003E-3</v>
      </c>
      <c r="H118" s="48">
        <v>0.66363000000000005</v>
      </c>
      <c r="I118" s="48">
        <v>0.14004</v>
      </c>
      <c r="J118" s="48">
        <v>0.72514000000000001</v>
      </c>
      <c r="K118" s="48">
        <v>1.04979</v>
      </c>
      <c r="L118" s="48">
        <v>3.2092000000000002E-2</v>
      </c>
      <c r="M118" s="48">
        <v>2.7688999999999998E-2</v>
      </c>
    </row>
    <row r="119" spans="1:13">
      <c r="A119" s="48">
        <v>2459905</v>
      </c>
      <c r="B119" s="49">
        <v>44886</v>
      </c>
      <c r="C119" s="48" t="s">
        <v>91</v>
      </c>
      <c r="D119" s="48">
        <v>0.74338000000000004</v>
      </c>
      <c r="E119" s="48">
        <v>1.02423</v>
      </c>
      <c r="F119" s="48">
        <v>1.1806000000000001</v>
      </c>
      <c r="G119" s="48">
        <v>7.0473000000000003E-3</v>
      </c>
      <c r="H119" s="48">
        <v>0.66049999999999998</v>
      </c>
      <c r="I119" s="48">
        <v>0.13952999999999999</v>
      </c>
      <c r="J119" s="48">
        <v>0.72353999999999996</v>
      </c>
      <c r="K119" s="48">
        <v>1.0431900000000001</v>
      </c>
      <c r="L119" s="48">
        <v>3.2024999999999998E-2</v>
      </c>
      <c r="M119" s="48">
        <v>2.7576E-2</v>
      </c>
    </row>
    <row r="120" spans="1:13">
      <c r="A120" s="48">
        <v>2459902</v>
      </c>
      <c r="B120" s="49">
        <v>44883</v>
      </c>
      <c r="C120" s="48" t="s">
        <v>92</v>
      </c>
      <c r="D120" s="48">
        <v>0.74711000000000005</v>
      </c>
      <c r="E120" s="48">
        <v>1.03444</v>
      </c>
      <c r="F120" s="48">
        <v>1.1897</v>
      </c>
      <c r="G120" s="48">
        <v>7.1348999999999996E-3</v>
      </c>
      <c r="H120" s="48">
        <v>0.66820999999999997</v>
      </c>
      <c r="I120" s="48">
        <v>0.14046</v>
      </c>
      <c r="J120" s="48">
        <v>0.72782999999999998</v>
      </c>
      <c r="K120" s="48">
        <v>1.0492300000000001</v>
      </c>
      <c r="L120" s="48">
        <v>3.2118000000000001E-2</v>
      </c>
      <c r="M120" s="48">
        <v>2.7896000000000001E-2</v>
      </c>
    </row>
    <row r="121" spans="1:13">
      <c r="A121" s="48">
        <v>2459901</v>
      </c>
      <c r="B121" s="49">
        <v>44882</v>
      </c>
      <c r="C121" s="48" t="s">
        <v>93</v>
      </c>
      <c r="D121" s="48">
        <v>0.74905999999999995</v>
      </c>
      <c r="E121" s="48">
        <v>1.0343800000000001</v>
      </c>
      <c r="F121" s="48">
        <v>1.1819</v>
      </c>
      <c r="G121" s="48">
        <v>7.1235999999999999E-3</v>
      </c>
      <c r="H121" s="48">
        <v>0.66666000000000003</v>
      </c>
      <c r="I121" s="48">
        <v>0.13969999999999999</v>
      </c>
      <c r="J121" s="48">
        <v>0.72628999999999999</v>
      </c>
      <c r="K121" s="48">
        <v>1.04966</v>
      </c>
      <c r="L121" s="48">
        <v>3.2052999999999998E-2</v>
      </c>
      <c r="M121" s="48">
        <v>2.7886000000000001E-2</v>
      </c>
    </row>
    <row r="122" spans="1:13">
      <c r="A122" s="48">
        <v>2459900</v>
      </c>
      <c r="B122" s="49">
        <v>44881</v>
      </c>
      <c r="C122" s="48" t="s">
        <v>94</v>
      </c>
      <c r="D122" s="48">
        <v>0.75126000000000004</v>
      </c>
      <c r="E122" s="48">
        <v>1.03891</v>
      </c>
      <c r="F122" s="48">
        <v>1.1887000000000001</v>
      </c>
      <c r="G122" s="48">
        <v>7.1669999999999998E-3</v>
      </c>
      <c r="H122" s="48">
        <v>0.67432999999999998</v>
      </c>
      <c r="I122" s="48">
        <v>0.14108999999999999</v>
      </c>
      <c r="J122" s="48">
        <v>0.72970000000000002</v>
      </c>
      <c r="K122" s="48">
        <v>1.0599499999999999</v>
      </c>
      <c r="L122" s="48">
        <v>3.2124E-2</v>
      </c>
      <c r="M122" s="48">
        <v>2.7944E-2</v>
      </c>
    </row>
    <row r="123" spans="1:13">
      <c r="A123" s="48">
        <v>2459899</v>
      </c>
      <c r="B123" s="49">
        <v>44880</v>
      </c>
      <c r="C123" s="48" t="s">
        <v>95</v>
      </c>
      <c r="D123" s="48">
        <v>0.75244999999999995</v>
      </c>
      <c r="E123" s="48">
        <v>1.03762</v>
      </c>
      <c r="F123" s="48">
        <v>1.1889000000000001</v>
      </c>
      <c r="G123" s="48">
        <v>7.1859000000000003E-3</v>
      </c>
      <c r="H123" s="48">
        <v>0.67576999999999998</v>
      </c>
      <c r="I123" s="48">
        <v>0.14199000000000001</v>
      </c>
      <c r="J123" s="48">
        <v>0.72987000000000002</v>
      </c>
      <c r="K123" s="48">
        <v>1.0594399999999999</v>
      </c>
      <c r="L123" s="48">
        <v>3.2190000000000003E-2</v>
      </c>
      <c r="M123" s="48">
        <v>2.8143000000000001E-2</v>
      </c>
    </row>
    <row r="124" spans="1:13">
      <c r="A124" s="48">
        <v>2459898</v>
      </c>
      <c r="B124" s="49">
        <v>44879</v>
      </c>
      <c r="C124" s="48" t="s">
        <v>91</v>
      </c>
      <c r="D124" s="48">
        <v>0.75256000000000001</v>
      </c>
      <c r="E124" s="48">
        <v>1.03349</v>
      </c>
      <c r="F124" s="48">
        <v>1.1758999999999999</v>
      </c>
      <c r="G124" s="48">
        <v>7.1266999999999997E-3</v>
      </c>
      <c r="H124" s="48">
        <v>0.67045999999999994</v>
      </c>
      <c r="I124" s="48">
        <v>0.14141000000000001</v>
      </c>
      <c r="J124" s="48">
        <v>0.72848000000000002</v>
      </c>
      <c r="K124" s="48">
        <v>1.05968</v>
      </c>
      <c r="L124" s="48">
        <v>3.2292000000000001E-2</v>
      </c>
      <c r="M124" s="48">
        <v>2.7893999999999999E-2</v>
      </c>
    </row>
    <row r="125" spans="1:13">
      <c r="A125" s="48">
        <v>2459894</v>
      </c>
      <c r="B125" s="49">
        <v>44875</v>
      </c>
      <c r="C125" s="48" t="s">
        <v>93</v>
      </c>
      <c r="D125" s="48">
        <v>0.74750000000000005</v>
      </c>
      <c r="E125" s="48">
        <v>1.01495</v>
      </c>
      <c r="F125" s="48">
        <v>1.1648000000000001</v>
      </c>
      <c r="G125" s="48">
        <v>7.0264999999999998E-3</v>
      </c>
      <c r="H125" s="48">
        <v>0.65637999999999996</v>
      </c>
      <c r="I125" s="48">
        <v>0.13902999999999999</v>
      </c>
      <c r="J125" s="48">
        <v>0.72065999999999997</v>
      </c>
      <c r="K125" s="48">
        <v>1.0311699999999999</v>
      </c>
      <c r="L125" s="48">
        <v>3.1709000000000001E-2</v>
      </c>
      <c r="M125" s="48">
        <v>2.7428999999999999E-2</v>
      </c>
    </row>
    <row r="126" spans="1:13">
      <c r="A126" s="48">
        <v>2459893</v>
      </c>
      <c r="B126" s="49">
        <v>44874</v>
      </c>
      <c r="C126" s="48" t="s">
        <v>94</v>
      </c>
      <c r="D126" s="48">
        <v>0.74184000000000005</v>
      </c>
      <c r="E126" s="48">
        <v>1.0025200000000001</v>
      </c>
      <c r="F126" s="48">
        <v>1.1383000000000001</v>
      </c>
      <c r="G126" s="48">
        <v>6.8323000000000004E-3</v>
      </c>
      <c r="H126" s="48">
        <v>0.64451000000000003</v>
      </c>
      <c r="I126" s="48">
        <v>0.13805999999999999</v>
      </c>
      <c r="J126" s="48">
        <v>0.71342000000000005</v>
      </c>
      <c r="K126" s="48">
        <v>1.01573</v>
      </c>
      <c r="L126" s="48">
        <v>3.141E-2</v>
      </c>
      <c r="M126" s="48">
        <v>2.707E-2</v>
      </c>
    </row>
    <row r="127" spans="1:13">
      <c r="A127" s="48">
        <v>2459892</v>
      </c>
      <c r="B127" s="49">
        <v>44873</v>
      </c>
      <c r="C127" s="48" t="s">
        <v>95</v>
      </c>
      <c r="D127" s="48">
        <v>0.74399000000000004</v>
      </c>
      <c r="E127" s="48">
        <v>1.0055000000000001</v>
      </c>
      <c r="F127" s="48">
        <v>1.1529</v>
      </c>
      <c r="G127" s="48">
        <v>6.8596000000000004E-3</v>
      </c>
      <c r="H127" s="48">
        <v>0.65076999999999996</v>
      </c>
      <c r="I127" s="48">
        <v>0.13794000000000001</v>
      </c>
      <c r="J127" s="48">
        <v>0.71445999999999998</v>
      </c>
      <c r="K127" s="48">
        <v>1.0134700000000001</v>
      </c>
      <c r="L127" s="48">
        <v>3.1322000000000003E-2</v>
      </c>
      <c r="M127" s="48">
        <v>2.6963000000000001E-2</v>
      </c>
    </row>
    <row r="128" spans="1:13">
      <c r="A128" s="48">
        <v>2459891</v>
      </c>
      <c r="B128" s="49">
        <v>44872</v>
      </c>
      <c r="C128" s="48" t="s">
        <v>91</v>
      </c>
      <c r="D128" s="48">
        <v>0.74112999999999996</v>
      </c>
      <c r="E128" s="48">
        <v>1.0008900000000001</v>
      </c>
      <c r="F128" s="48">
        <v>1.1492</v>
      </c>
      <c r="G128" s="48">
        <v>6.8256999999999996E-3</v>
      </c>
      <c r="H128" s="48">
        <v>0.64737</v>
      </c>
      <c r="I128" s="48">
        <v>0.13836999999999999</v>
      </c>
      <c r="J128" s="48">
        <v>0.71311000000000002</v>
      </c>
      <c r="K128" s="48">
        <v>1.01119</v>
      </c>
      <c r="L128" s="48">
        <v>3.1260999999999997E-2</v>
      </c>
      <c r="M128" s="48">
        <v>2.6764E-2</v>
      </c>
    </row>
    <row r="129" spans="1:13">
      <c r="A129" s="48">
        <v>2459888</v>
      </c>
      <c r="B129" s="49">
        <v>44869</v>
      </c>
      <c r="C129" s="48" t="s">
        <v>92</v>
      </c>
      <c r="D129" s="48">
        <v>0.73980999999999997</v>
      </c>
      <c r="E129" s="48">
        <v>0.99023000000000005</v>
      </c>
      <c r="F129" s="48">
        <v>1.1303000000000001</v>
      </c>
      <c r="G129" s="48">
        <v>6.7987999999999998E-3</v>
      </c>
      <c r="H129" s="48">
        <v>0.64459999999999995</v>
      </c>
      <c r="I129" s="48">
        <v>0.13908000000000001</v>
      </c>
      <c r="J129" s="48">
        <v>0.71103000000000005</v>
      </c>
      <c r="K129" s="48">
        <v>1.0022200000000001</v>
      </c>
      <c r="L129" s="48">
        <v>3.1227000000000001E-2</v>
      </c>
      <c r="M129" s="48">
        <v>2.6762999999999999E-2</v>
      </c>
    </row>
    <row r="130" spans="1:13">
      <c r="A130" s="48">
        <v>2459887</v>
      </c>
      <c r="B130" s="49">
        <v>44868</v>
      </c>
      <c r="C130" s="48" t="s">
        <v>93</v>
      </c>
      <c r="D130" s="48">
        <v>0.72733000000000003</v>
      </c>
      <c r="E130" s="48">
        <v>0.97570999999999997</v>
      </c>
      <c r="F130" s="48">
        <v>1.1186</v>
      </c>
      <c r="G130" s="48">
        <v>6.7495999999999997E-3</v>
      </c>
      <c r="H130" s="48">
        <v>0.62965000000000004</v>
      </c>
      <c r="I130" s="48">
        <v>0.13688</v>
      </c>
      <c r="J130" s="48">
        <v>0.70340000000000003</v>
      </c>
      <c r="K130" s="48">
        <v>0.98748999999999998</v>
      </c>
      <c r="L130" s="48">
        <v>3.1005999999999999E-2</v>
      </c>
      <c r="M130" s="48">
        <v>2.6377999999999999E-2</v>
      </c>
    </row>
    <row r="131" spans="1:13">
      <c r="A131" s="48">
        <v>2459886</v>
      </c>
      <c r="B131" s="49">
        <v>44867</v>
      </c>
      <c r="C131" s="48" t="s">
        <v>94</v>
      </c>
      <c r="D131" s="48">
        <v>0.73368</v>
      </c>
      <c r="E131" s="48">
        <v>0.98841000000000001</v>
      </c>
      <c r="F131" s="48">
        <v>1.1477999999999999</v>
      </c>
      <c r="G131" s="48">
        <v>6.8012000000000003E-3</v>
      </c>
      <c r="H131" s="48">
        <v>0.64131000000000005</v>
      </c>
      <c r="I131" s="48">
        <v>0.13719999999999999</v>
      </c>
      <c r="J131" s="48">
        <v>0.70799999999999996</v>
      </c>
      <c r="K131" s="48">
        <v>1.0022</v>
      </c>
      <c r="L131" s="48">
        <v>3.1057000000000001E-2</v>
      </c>
      <c r="M131" s="48">
        <v>2.6485000000000002E-2</v>
      </c>
    </row>
    <row r="132" spans="1:13">
      <c r="A132" s="48">
        <v>2459885</v>
      </c>
      <c r="B132" s="49">
        <v>44866</v>
      </c>
      <c r="C132" s="48" t="s">
        <v>95</v>
      </c>
      <c r="D132" s="48">
        <v>0.73453999999999997</v>
      </c>
      <c r="E132" s="48">
        <v>0.98928000000000005</v>
      </c>
      <c r="F132" s="48">
        <v>1.1491</v>
      </c>
      <c r="G132" s="48">
        <v>6.7577000000000002E-3</v>
      </c>
      <c r="H132" s="48">
        <v>0.64080999999999999</v>
      </c>
      <c r="I132" s="48">
        <v>0.13750999999999999</v>
      </c>
      <c r="J132" s="48">
        <v>0.70728999999999997</v>
      </c>
      <c r="K132" s="48">
        <v>1.0019100000000001</v>
      </c>
      <c r="L132" s="48">
        <v>3.1092999999999999E-2</v>
      </c>
      <c r="M132" s="48">
        <v>2.6418000000000001E-2</v>
      </c>
    </row>
    <row r="133" spans="1:13">
      <c r="A133" s="48">
        <v>2459884</v>
      </c>
      <c r="B133" s="49">
        <v>44865</v>
      </c>
      <c r="C133" s="48" t="s">
        <v>91</v>
      </c>
      <c r="D133" s="48">
        <v>0.73265000000000002</v>
      </c>
      <c r="E133" s="48">
        <v>0.98923000000000005</v>
      </c>
      <c r="F133" s="48">
        <v>1.1492</v>
      </c>
      <c r="G133" s="48">
        <v>6.7257999999999997E-3</v>
      </c>
      <c r="H133" s="48">
        <v>0.63873000000000002</v>
      </c>
      <c r="I133" s="48">
        <v>0.13693</v>
      </c>
      <c r="J133" s="48">
        <v>0.70635000000000003</v>
      </c>
      <c r="K133" s="48">
        <v>0.99853000000000003</v>
      </c>
      <c r="L133" s="48">
        <v>3.0991000000000001E-2</v>
      </c>
      <c r="M133" s="48">
        <v>2.6304999999999999E-2</v>
      </c>
    </row>
    <row r="134" spans="1:13">
      <c r="A134" s="48">
        <v>2459881</v>
      </c>
      <c r="B134" s="49">
        <v>44862</v>
      </c>
      <c r="C134" s="48" t="s">
        <v>92</v>
      </c>
      <c r="D134" s="48">
        <v>0.73448000000000002</v>
      </c>
      <c r="E134" s="48">
        <v>0.99514999999999998</v>
      </c>
      <c r="F134" s="48">
        <v>1.1580999999999999</v>
      </c>
      <c r="G134" s="48">
        <v>6.7793000000000003E-3</v>
      </c>
      <c r="H134" s="48">
        <v>0.64090999999999998</v>
      </c>
      <c r="I134" s="48">
        <v>0.13786000000000001</v>
      </c>
      <c r="J134" s="48">
        <v>0.70840999999999998</v>
      </c>
      <c r="K134" s="48">
        <v>1.00353</v>
      </c>
      <c r="L134" s="48">
        <v>3.1134999999999999E-2</v>
      </c>
      <c r="M134" s="48">
        <v>2.6366000000000001E-2</v>
      </c>
    </row>
    <row r="135" spans="1:13">
      <c r="A135" s="48">
        <v>2459880</v>
      </c>
      <c r="B135" s="49">
        <v>44861</v>
      </c>
      <c r="C135" s="48" t="s">
        <v>93</v>
      </c>
      <c r="D135" s="48">
        <v>0.73816999999999999</v>
      </c>
      <c r="E135" s="48">
        <v>0.99904000000000004</v>
      </c>
      <c r="F135" s="48">
        <v>1.1580999999999999</v>
      </c>
      <c r="G135" s="48">
        <v>6.8427999999999996E-3</v>
      </c>
      <c r="H135" s="48">
        <v>0.64715999999999996</v>
      </c>
      <c r="I135" s="48">
        <v>0.13833000000000001</v>
      </c>
      <c r="J135" s="48">
        <v>0.71011999999999997</v>
      </c>
      <c r="K135" s="48">
        <v>1.0097400000000001</v>
      </c>
      <c r="L135" s="48">
        <v>3.1203000000000002E-2</v>
      </c>
      <c r="M135" s="48">
        <v>2.6575999999999999E-2</v>
      </c>
    </row>
    <row r="136" spans="1:13">
      <c r="A136" s="48">
        <v>2459879</v>
      </c>
      <c r="B136" s="49">
        <v>44860</v>
      </c>
      <c r="C136" s="48" t="s">
        <v>94</v>
      </c>
      <c r="D136" s="48">
        <v>0.73719000000000001</v>
      </c>
      <c r="E136" s="48">
        <v>1.00553</v>
      </c>
      <c r="F136" s="48">
        <v>1.1599999999999999</v>
      </c>
      <c r="G136" s="48">
        <v>6.8190000000000004E-3</v>
      </c>
      <c r="H136" s="48">
        <v>0.64851000000000003</v>
      </c>
      <c r="I136" s="48">
        <v>0.13933000000000001</v>
      </c>
      <c r="J136" s="48">
        <v>0.71123999999999998</v>
      </c>
      <c r="K136" s="48">
        <v>1.0123800000000001</v>
      </c>
      <c r="L136" s="48">
        <v>3.1123999999999999E-2</v>
      </c>
      <c r="M136" s="48">
        <v>2.6418000000000001E-2</v>
      </c>
    </row>
    <row r="137" spans="1:13">
      <c r="A137" s="48">
        <v>2459878</v>
      </c>
      <c r="B137" s="49">
        <v>44859</v>
      </c>
      <c r="C137" s="48" t="s">
        <v>95</v>
      </c>
      <c r="D137" s="48">
        <v>0.73324999999999996</v>
      </c>
      <c r="E137" s="48">
        <v>0.99450000000000005</v>
      </c>
      <c r="F137" s="48">
        <v>1.1451</v>
      </c>
      <c r="G137" s="48">
        <v>6.7532E-3</v>
      </c>
      <c r="H137" s="48">
        <v>0.63800000000000001</v>
      </c>
      <c r="I137" s="48">
        <v>0.13741</v>
      </c>
      <c r="J137" s="48">
        <v>0.70508999999999999</v>
      </c>
      <c r="K137" s="48">
        <v>1.00308</v>
      </c>
      <c r="L137" s="48">
        <v>3.0972E-2</v>
      </c>
      <c r="M137" s="48">
        <v>2.6287999999999999E-2</v>
      </c>
    </row>
    <row r="138" spans="1:13">
      <c r="A138" s="48">
        <v>2459877</v>
      </c>
      <c r="B138" s="49">
        <v>44858</v>
      </c>
      <c r="C138" s="48" t="s">
        <v>91</v>
      </c>
      <c r="D138" s="48">
        <v>0.72875999999999996</v>
      </c>
      <c r="E138" s="48">
        <v>0.98673999999999995</v>
      </c>
      <c r="F138" s="48">
        <v>1.1292</v>
      </c>
      <c r="G138" s="48">
        <v>6.7118000000000004E-3</v>
      </c>
      <c r="H138" s="48">
        <v>0.63000999999999996</v>
      </c>
      <c r="I138" s="48">
        <v>0.13766</v>
      </c>
      <c r="J138" s="48">
        <v>0.70296000000000003</v>
      </c>
      <c r="K138" s="48">
        <v>0.99883</v>
      </c>
      <c r="L138" s="48">
        <v>3.0907E-2</v>
      </c>
      <c r="M138" s="48">
        <v>2.6169000000000001E-2</v>
      </c>
    </row>
    <row r="139" spans="1:13">
      <c r="A139" s="48">
        <v>2459874</v>
      </c>
      <c r="B139" s="49">
        <v>44855</v>
      </c>
      <c r="C139" s="48" t="s">
        <v>92</v>
      </c>
      <c r="D139" s="48">
        <v>0.72923000000000004</v>
      </c>
      <c r="E139" s="48">
        <v>0.98119000000000001</v>
      </c>
      <c r="F139" s="48">
        <v>1.1214999999999999</v>
      </c>
      <c r="G139" s="48">
        <v>6.7089000000000003E-3</v>
      </c>
      <c r="H139" s="48">
        <v>0.63268999999999997</v>
      </c>
      <c r="I139" s="48">
        <v>0.13804</v>
      </c>
      <c r="J139" s="48">
        <v>0.70342000000000005</v>
      </c>
      <c r="K139" s="48">
        <v>0.99656999999999996</v>
      </c>
      <c r="L139" s="48">
        <v>3.1102000000000001E-2</v>
      </c>
      <c r="M139" s="48">
        <v>2.6290000000000001E-2</v>
      </c>
    </row>
    <row r="140" spans="1:13">
      <c r="A140" s="48">
        <v>2459873</v>
      </c>
      <c r="B140" s="49">
        <v>44854</v>
      </c>
      <c r="C140" s="48" t="s">
        <v>93</v>
      </c>
      <c r="D140" s="48">
        <v>0.72838000000000003</v>
      </c>
      <c r="E140" s="48">
        <v>0.98026000000000002</v>
      </c>
      <c r="F140" s="48">
        <v>1.1257999999999999</v>
      </c>
      <c r="G140" s="48">
        <v>6.672E-3</v>
      </c>
      <c r="H140" s="48">
        <v>0.63085000000000002</v>
      </c>
      <c r="I140" s="48">
        <v>0.13854</v>
      </c>
      <c r="J140" s="48">
        <v>0.70318000000000003</v>
      </c>
      <c r="K140" s="48">
        <v>0.99716000000000005</v>
      </c>
      <c r="L140" s="48">
        <v>3.1189000000000001E-2</v>
      </c>
      <c r="M140" s="48">
        <v>2.6244E-2</v>
      </c>
    </row>
    <row r="141" spans="1:13">
      <c r="A141" s="48">
        <v>2459872</v>
      </c>
      <c r="B141" s="49">
        <v>44853</v>
      </c>
      <c r="C141" s="48" t="s">
        <v>94</v>
      </c>
      <c r="D141" s="48">
        <v>0.72574000000000005</v>
      </c>
      <c r="E141" s="48">
        <v>0.97765000000000002</v>
      </c>
      <c r="F141" s="48">
        <v>1.1228</v>
      </c>
      <c r="G141" s="48">
        <v>6.6768000000000001E-3</v>
      </c>
      <c r="H141" s="48">
        <v>0.62733000000000005</v>
      </c>
      <c r="I141" s="48">
        <v>0.13833000000000001</v>
      </c>
      <c r="J141" s="48">
        <v>0.70179000000000002</v>
      </c>
      <c r="K141" s="48">
        <v>0.99572000000000005</v>
      </c>
      <c r="L141" s="48">
        <v>3.1149E-2</v>
      </c>
      <c r="M141" s="48">
        <v>2.6107999999999999E-2</v>
      </c>
    </row>
    <row r="142" spans="1:13">
      <c r="A142" s="48">
        <v>2459871</v>
      </c>
      <c r="B142" s="49">
        <v>44852</v>
      </c>
      <c r="C142" s="48" t="s">
        <v>95</v>
      </c>
      <c r="D142" s="48">
        <v>0.72696000000000005</v>
      </c>
      <c r="E142" s="48">
        <v>0.98487999999999998</v>
      </c>
      <c r="F142" s="48">
        <v>1.1313</v>
      </c>
      <c r="G142" s="48">
        <v>6.7025000000000001E-3</v>
      </c>
      <c r="H142" s="48">
        <v>0.63012000000000001</v>
      </c>
      <c r="I142" s="48">
        <v>0.13885</v>
      </c>
      <c r="J142" s="48">
        <v>0.70377000000000001</v>
      </c>
      <c r="K142" s="48">
        <v>1.00465</v>
      </c>
      <c r="L142" s="48">
        <v>3.1237000000000001E-2</v>
      </c>
      <c r="M142" s="48">
        <v>2.6214999999999999E-2</v>
      </c>
    </row>
    <row r="143" spans="1:13">
      <c r="A143" s="48">
        <v>2459870</v>
      </c>
      <c r="B143" s="49">
        <v>44851</v>
      </c>
      <c r="C143" s="48" t="s">
        <v>91</v>
      </c>
      <c r="D143" s="48">
        <v>0.72833000000000003</v>
      </c>
      <c r="E143" s="48">
        <v>0.98172000000000004</v>
      </c>
      <c r="F143" s="48">
        <v>1.1374</v>
      </c>
      <c r="G143" s="48">
        <v>6.7225000000000002E-3</v>
      </c>
      <c r="H143" s="48">
        <v>0.62877000000000005</v>
      </c>
      <c r="I143" s="48">
        <v>0.13897000000000001</v>
      </c>
      <c r="J143" s="48">
        <v>0.70342000000000005</v>
      </c>
      <c r="K143" s="48">
        <v>1.0032799999999999</v>
      </c>
      <c r="L143" s="48">
        <v>3.1274999999999997E-2</v>
      </c>
      <c r="M143" s="48">
        <v>2.6359E-2</v>
      </c>
    </row>
    <row r="144" spans="1:13">
      <c r="A144" s="48">
        <v>2459867</v>
      </c>
      <c r="B144" s="49">
        <v>44848</v>
      </c>
      <c r="C144" s="48" t="s">
        <v>92</v>
      </c>
      <c r="D144" s="48">
        <v>0.72170999999999996</v>
      </c>
      <c r="E144" s="48">
        <v>0.97330000000000005</v>
      </c>
      <c r="F144" s="48">
        <v>1.1192</v>
      </c>
      <c r="G144" s="48">
        <v>6.7407999999999999E-3</v>
      </c>
      <c r="H144" s="48">
        <v>0.62341000000000002</v>
      </c>
      <c r="I144" s="48">
        <v>0.13907</v>
      </c>
      <c r="J144" s="48">
        <v>0.70150000000000001</v>
      </c>
      <c r="K144" s="48">
        <v>0.99553000000000003</v>
      </c>
      <c r="L144" s="48">
        <v>3.1293000000000001E-2</v>
      </c>
      <c r="M144" s="48">
        <v>2.6110999999999999E-2</v>
      </c>
    </row>
    <row r="145" spans="1:13">
      <c r="A145" s="48">
        <v>2459866</v>
      </c>
      <c r="B145" s="49">
        <v>44847</v>
      </c>
      <c r="C145" s="48" t="s">
        <v>93</v>
      </c>
      <c r="D145" s="48">
        <v>0.72431999999999996</v>
      </c>
      <c r="E145" s="48">
        <v>0.97458</v>
      </c>
      <c r="F145" s="48">
        <v>1.1281000000000001</v>
      </c>
      <c r="G145" s="48">
        <v>6.7941E-3</v>
      </c>
      <c r="H145" s="48">
        <v>0.62617999999999996</v>
      </c>
      <c r="I145" s="48">
        <v>0.13921</v>
      </c>
      <c r="J145" s="48">
        <v>0.69752000000000003</v>
      </c>
      <c r="K145" s="48">
        <v>0.99899000000000004</v>
      </c>
      <c r="L145" s="48">
        <v>3.1349000000000002E-2</v>
      </c>
      <c r="M145" s="48">
        <v>2.6429000000000001E-2</v>
      </c>
    </row>
    <row r="146" spans="1:13">
      <c r="A146" s="48">
        <v>2459865</v>
      </c>
      <c r="B146" s="49">
        <v>44846</v>
      </c>
      <c r="C146" s="48" t="s">
        <v>94</v>
      </c>
      <c r="D146" s="48">
        <v>0.72453000000000001</v>
      </c>
      <c r="E146" s="48">
        <v>0.96970999999999996</v>
      </c>
      <c r="F146" s="48">
        <v>1.1072</v>
      </c>
      <c r="G146" s="48">
        <v>6.8106E-3</v>
      </c>
      <c r="H146" s="48">
        <v>0.62678999999999996</v>
      </c>
      <c r="I146" s="48">
        <v>0.1394</v>
      </c>
      <c r="J146" s="48">
        <v>0.69642000000000004</v>
      </c>
      <c r="K146" s="48">
        <v>1.00254</v>
      </c>
      <c r="L146" s="48">
        <v>3.1400999999999998E-2</v>
      </c>
      <c r="M146" s="48">
        <v>2.63E-2</v>
      </c>
    </row>
    <row r="147" spans="1:13">
      <c r="A147" s="48">
        <v>2459864</v>
      </c>
      <c r="B147" s="49">
        <v>44845</v>
      </c>
      <c r="C147" s="48" t="s">
        <v>95</v>
      </c>
      <c r="D147" s="48">
        <v>0.72594999999999998</v>
      </c>
      <c r="E147" s="48">
        <v>0.97292000000000001</v>
      </c>
      <c r="F147" s="48">
        <v>1.1095999999999999</v>
      </c>
      <c r="G147" s="48">
        <v>6.8675000000000003E-3</v>
      </c>
      <c r="H147" s="48">
        <v>0.63005</v>
      </c>
      <c r="I147" s="48">
        <v>0.13952999999999999</v>
      </c>
      <c r="J147" s="48">
        <v>0.69618999999999998</v>
      </c>
      <c r="K147" s="48">
        <v>1.0044999999999999</v>
      </c>
      <c r="L147" s="48">
        <v>3.1390000000000001E-2</v>
      </c>
      <c r="M147" s="48">
        <v>2.6273999999999999E-2</v>
      </c>
    </row>
    <row r="148" spans="1:13">
      <c r="A148" s="48">
        <v>2459860</v>
      </c>
      <c r="B148" s="49">
        <v>44841</v>
      </c>
      <c r="C148" s="48" t="s">
        <v>92</v>
      </c>
      <c r="D148" s="48">
        <v>0.72928999999999999</v>
      </c>
      <c r="E148" s="48">
        <v>0.97607999999999995</v>
      </c>
      <c r="F148" s="48">
        <v>1.111</v>
      </c>
      <c r="G148" s="48">
        <v>6.8845E-3</v>
      </c>
      <c r="H148" s="48">
        <v>0.63856999999999997</v>
      </c>
      <c r="I148" s="48">
        <v>0.14052999999999999</v>
      </c>
      <c r="J148" s="48">
        <v>0.69828999999999997</v>
      </c>
      <c r="K148" s="48">
        <v>1.00671</v>
      </c>
      <c r="L148" s="48">
        <v>3.1549000000000001E-2</v>
      </c>
      <c r="M148" s="48">
        <v>2.6773000000000002E-2</v>
      </c>
    </row>
    <row r="149" spans="1:13">
      <c r="A149" s="48">
        <v>2459859</v>
      </c>
      <c r="B149" s="49">
        <v>44840</v>
      </c>
      <c r="C149" s="48" t="s">
        <v>93</v>
      </c>
      <c r="D149" s="48">
        <v>0.72892000000000001</v>
      </c>
      <c r="E149" s="48">
        <v>0.98221000000000003</v>
      </c>
      <c r="F149" s="48">
        <v>1.1191</v>
      </c>
      <c r="G149" s="48">
        <v>6.9027999999999997E-3</v>
      </c>
      <c r="H149" s="48">
        <v>0.64283000000000001</v>
      </c>
      <c r="I149" s="48">
        <v>0.14054</v>
      </c>
      <c r="J149" s="48">
        <v>0.70048999999999995</v>
      </c>
      <c r="K149" s="48">
        <v>1.01122</v>
      </c>
      <c r="L149" s="48">
        <v>3.1692999999999999E-2</v>
      </c>
      <c r="M149" s="48">
        <v>2.6671E-2</v>
      </c>
    </row>
    <row r="150" spans="1:13">
      <c r="A150" s="48">
        <v>2459858</v>
      </c>
      <c r="B150" s="49">
        <v>44839</v>
      </c>
      <c r="C150" s="48" t="s">
        <v>94</v>
      </c>
      <c r="D150" s="48">
        <v>0.73307999999999995</v>
      </c>
      <c r="E150" s="48">
        <v>0.98775999999999997</v>
      </c>
      <c r="F150" s="48">
        <v>1.1304000000000001</v>
      </c>
      <c r="G150" s="48">
        <v>6.9129999999999999E-3</v>
      </c>
      <c r="H150" s="48">
        <v>0.64649999999999996</v>
      </c>
      <c r="I150" s="48">
        <v>0.14052999999999999</v>
      </c>
      <c r="J150" s="48">
        <v>0.70111999999999997</v>
      </c>
      <c r="K150" s="48">
        <v>1.01613</v>
      </c>
      <c r="L150" s="48">
        <v>3.1647000000000002E-2</v>
      </c>
      <c r="M150" s="48">
        <v>2.666E-2</v>
      </c>
    </row>
    <row r="151" spans="1:13">
      <c r="A151" s="48">
        <v>2459857</v>
      </c>
      <c r="B151" s="49">
        <v>44838</v>
      </c>
      <c r="C151" s="48" t="s">
        <v>95</v>
      </c>
      <c r="D151" s="48">
        <v>0.73670000000000002</v>
      </c>
      <c r="E151" s="48">
        <v>0.99573</v>
      </c>
      <c r="F151" s="48">
        <v>1.1426000000000001</v>
      </c>
      <c r="G151" s="48">
        <v>6.9249999999999997E-3</v>
      </c>
      <c r="H151" s="48">
        <v>0.64851999999999999</v>
      </c>
      <c r="I151" s="48">
        <v>0.14055999999999999</v>
      </c>
      <c r="J151" s="48">
        <v>0.70140999999999998</v>
      </c>
      <c r="K151" s="48">
        <v>1.01827</v>
      </c>
      <c r="L151" s="48">
        <v>3.159E-2</v>
      </c>
      <c r="M151" s="48">
        <v>2.6769999999999999E-2</v>
      </c>
    </row>
    <row r="152" spans="1:13">
      <c r="A152" s="48">
        <v>2459856</v>
      </c>
      <c r="B152" s="49">
        <v>44837</v>
      </c>
      <c r="C152" s="48" t="s">
        <v>91</v>
      </c>
      <c r="D152" s="48">
        <v>0.73196000000000006</v>
      </c>
      <c r="E152" s="48">
        <v>0.98002</v>
      </c>
      <c r="F152" s="48">
        <v>1.1271</v>
      </c>
      <c r="G152" s="48">
        <v>6.9097000000000004E-3</v>
      </c>
      <c r="H152" s="48">
        <v>0.64983000000000002</v>
      </c>
      <c r="I152" s="48">
        <v>0.14054</v>
      </c>
      <c r="J152" s="48">
        <v>0.69828999999999997</v>
      </c>
      <c r="K152" s="48">
        <v>1.0084900000000001</v>
      </c>
      <c r="L152" s="48">
        <v>3.1415999999999999E-2</v>
      </c>
      <c r="M152" s="48">
        <v>2.6402999999999999E-2</v>
      </c>
    </row>
    <row r="153" spans="1:13">
      <c r="A153" s="48">
        <v>2459852</v>
      </c>
      <c r="B153" s="49">
        <v>44833</v>
      </c>
      <c r="C153" s="48" t="s">
        <v>93</v>
      </c>
      <c r="D153" s="48">
        <v>0.72955000000000003</v>
      </c>
      <c r="E153" s="48">
        <v>0.97636000000000001</v>
      </c>
      <c r="F153" s="48">
        <v>1.1014999999999999</v>
      </c>
      <c r="G153" s="48">
        <v>6.9162E-3</v>
      </c>
      <c r="H153" s="48">
        <v>0.64798999999999995</v>
      </c>
      <c r="I153" s="48">
        <v>0.14029</v>
      </c>
      <c r="J153" s="48">
        <v>0.69672000000000001</v>
      </c>
      <c r="K153" s="48">
        <v>1.0203500000000001</v>
      </c>
      <c r="L153" s="48">
        <v>3.1531000000000003E-2</v>
      </c>
      <c r="M153" s="48">
        <v>2.6251E-2</v>
      </c>
    </row>
    <row r="154" spans="1:13">
      <c r="A154" s="48">
        <v>2459851</v>
      </c>
      <c r="B154" s="49">
        <v>44832</v>
      </c>
      <c r="C154" s="48" t="s">
        <v>94</v>
      </c>
      <c r="D154" s="48">
        <v>0.73206000000000004</v>
      </c>
      <c r="E154" s="48">
        <v>0.96662000000000003</v>
      </c>
      <c r="F154" s="48">
        <v>1.0784</v>
      </c>
      <c r="G154" s="48">
        <v>6.9325999999999997E-3</v>
      </c>
      <c r="H154" s="48">
        <v>0.64868000000000003</v>
      </c>
      <c r="I154" s="48">
        <v>0.13872999999999999</v>
      </c>
      <c r="J154" s="48">
        <v>0.69516999999999995</v>
      </c>
      <c r="K154" s="48">
        <v>1.0204200000000001</v>
      </c>
      <c r="L154" s="48">
        <v>3.1501000000000001E-2</v>
      </c>
      <c r="M154" s="48">
        <v>2.6254E-2</v>
      </c>
    </row>
    <row r="155" spans="1:13">
      <c r="A155" s="48">
        <v>2459850</v>
      </c>
      <c r="B155" s="49">
        <v>44831</v>
      </c>
      <c r="C155" s="48" t="s">
        <v>95</v>
      </c>
      <c r="D155" s="48">
        <v>0.72853999999999997</v>
      </c>
      <c r="E155" s="48">
        <v>0.96057999999999999</v>
      </c>
      <c r="F155" s="48">
        <v>1.0738000000000001</v>
      </c>
      <c r="G155" s="48">
        <v>6.9065999999999997E-3</v>
      </c>
      <c r="H155" s="48">
        <v>0.64468999999999999</v>
      </c>
      <c r="I155" s="48">
        <v>0.13936999999999999</v>
      </c>
      <c r="J155" s="48">
        <v>0.69532000000000005</v>
      </c>
      <c r="K155" s="48">
        <v>1.0100499999999999</v>
      </c>
      <c r="L155" s="48">
        <v>3.1517000000000003E-2</v>
      </c>
      <c r="M155" s="48">
        <v>2.6291999999999999E-2</v>
      </c>
    </row>
    <row r="156" spans="1:13">
      <c r="A156" s="48">
        <v>2459849</v>
      </c>
      <c r="B156" s="49">
        <v>44830</v>
      </c>
      <c r="C156" s="48" t="s">
        <v>91</v>
      </c>
      <c r="D156" s="48">
        <v>0.72907999999999995</v>
      </c>
      <c r="E156" s="48">
        <v>0.96333000000000002</v>
      </c>
      <c r="F156" s="48">
        <v>1.0744</v>
      </c>
      <c r="G156" s="48">
        <v>6.9262000000000004E-3</v>
      </c>
      <c r="H156" s="48">
        <v>0.64749000000000001</v>
      </c>
      <c r="I156" s="48">
        <v>0.14005999999999999</v>
      </c>
      <c r="J156" s="48">
        <v>0.69633999999999996</v>
      </c>
      <c r="K156" s="48">
        <v>1.0079499999999999</v>
      </c>
      <c r="L156" s="48">
        <v>3.143E-2</v>
      </c>
      <c r="M156" s="48">
        <v>2.6359E-2</v>
      </c>
    </row>
    <row r="157" spans="1:13">
      <c r="A157" s="48">
        <v>2459846</v>
      </c>
      <c r="B157" s="49">
        <v>44827</v>
      </c>
      <c r="C157" s="48" t="s">
        <v>92</v>
      </c>
      <c r="D157" s="48">
        <v>0.73692000000000002</v>
      </c>
      <c r="E157" s="48">
        <v>0.97177999999999998</v>
      </c>
      <c r="F157" s="48">
        <v>1.0941000000000001</v>
      </c>
      <c r="G157" s="48">
        <v>6.986E-3</v>
      </c>
      <c r="H157" s="48">
        <v>0.65468000000000004</v>
      </c>
      <c r="I157" s="48">
        <v>0.14030999999999999</v>
      </c>
      <c r="J157" s="48">
        <v>0.70037000000000005</v>
      </c>
      <c r="K157" s="48">
        <v>1.0198199999999999</v>
      </c>
      <c r="L157" s="48">
        <v>3.1421999999999999E-2</v>
      </c>
      <c r="M157" s="48">
        <v>2.6505000000000001E-2</v>
      </c>
    </row>
    <row r="158" spans="1:13">
      <c r="A158" s="48">
        <v>2459845</v>
      </c>
      <c r="B158" s="49">
        <v>44826</v>
      </c>
      <c r="C158" s="48" t="s">
        <v>93</v>
      </c>
      <c r="D158" s="48">
        <v>0.74184000000000005</v>
      </c>
      <c r="E158" s="48">
        <v>0.98441999999999996</v>
      </c>
      <c r="F158" s="48">
        <v>1.1273</v>
      </c>
      <c r="G158" s="48">
        <v>7.0400999999999997E-3</v>
      </c>
      <c r="H158" s="48">
        <v>0.66417000000000004</v>
      </c>
      <c r="I158" s="48">
        <v>0.14138999999999999</v>
      </c>
      <c r="J158" s="48">
        <v>0.70511999999999997</v>
      </c>
      <c r="K158" s="48">
        <v>1.02085</v>
      </c>
      <c r="L158" s="48">
        <v>3.1654000000000002E-2</v>
      </c>
      <c r="M158" s="48">
        <v>2.6765000000000001E-2</v>
      </c>
    </row>
    <row r="159" spans="1:13">
      <c r="A159" s="48">
        <v>2459844</v>
      </c>
      <c r="B159" s="49">
        <v>44825</v>
      </c>
      <c r="C159" s="48" t="s">
        <v>94</v>
      </c>
      <c r="D159" s="48">
        <v>0.74643999999999999</v>
      </c>
      <c r="E159" s="48">
        <v>0.98843000000000003</v>
      </c>
      <c r="F159" s="48">
        <v>1.1324000000000001</v>
      </c>
      <c r="G159" s="48">
        <v>6.9417999999999997E-3</v>
      </c>
      <c r="H159" s="48">
        <v>0.66612000000000005</v>
      </c>
      <c r="I159" s="48">
        <v>0.1419</v>
      </c>
      <c r="J159" s="48">
        <v>0.70665</v>
      </c>
      <c r="K159" s="48">
        <v>1.0362</v>
      </c>
      <c r="L159" s="48">
        <v>3.1843000000000003E-2</v>
      </c>
      <c r="M159" s="48">
        <v>2.691E-2</v>
      </c>
    </row>
    <row r="160" spans="1:13">
      <c r="A160" s="48">
        <v>2459843</v>
      </c>
      <c r="B160" s="49">
        <v>44824</v>
      </c>
      <c r="C160" s="48" t="s">
        <v>95</v>
      </c>
      <c r="D160" s="48">
        <v>0.74934000000000001</v>
      </c>
      <c r="E160" s="48">
        <v>0.99768000000000001</v>
      </c>
      <c r="F160" s="48">
        <v>1.139</v>
      </c>
      <c r="G160" s="48">
        <v>6.9614000000000004E-3</v>
      </c>
      <c r="H160" s="48">
        <v>0.66930999999999996</v>
      </c>
      <c r="I160" s="48">
        <v>0.14252999999999999</v>
      </c>
      <c r="J160" s="48">
        <v>0.70903000000000005</v>
      </c>
      <c r="K160" s="48">
        <v>1.03634</v>
      </c>
      <c r="L160" s="48">
        <v>3.1870000000000002E-2</v>
      </c>
      <c r="M160" s="48">
        <v>2.6894000000000001E-2</v>
      </c>
    </row>
    <row r="161" spans="1:13">
      <c r="A161" s="48">
        <v>2459842</v>
      </c>
      <c r="B161" s="49">
        <v>44823</v>
      </c>
      <c r="C161" s="48" t="s">
        <v>91</v>
      </c>
      <c r="D161" s="48">
        <v>0.75256000000000001</v>
      </c>
      <c r="E161" s="48">
        <v>1.00038</v>
      </c>
      <c r="F161" s="48">
        <v>1.1404000000000001</v>
      </c>
      <c r="G161" s="48">
        <v>6.9762000000000001E-3</v>
      </c>
      <c r="H161" s="48">
        <v>0.67008000000000001</v>
      </c>
      <c r="I161" s="48">
        <v>0.14269000000000001</v>
      </c>
      <c r="J161" s="48">
        <v>0.70989000000000002</v>
      </c>
      <c r="K161" s="48">
        <v>1.03529</v>
      </c>
      <c r="L161" s="48">
        <v>3.1863000000000002E-2</v>
      </c>
      <c r="M161" s="48">
        <v>2.7052E-2</v>
      </c>
    </row>
    <row r="162" spans="1:13">
      <c r="A162" s="48">
        <v>2459839</v>
      </c>
      <c r="B162" s="49">
        <v>44820</v>
      </c>
      <c r="C162" s="48" t="s">
        <v>92</v>
      </c>
      <c r="D162" s="48">
        <v>0.75273000000000001</v>
      </c>
      <c r="E162" s="48">
        <v>0.99955000000000005</v>
      </c>
      <c r="F162" s="48">
        <v>1.1405000000000001</v>
      </c>
      <c r="G162" s="48">
        <v>6.9928000000000004E-3</v>
      </c>
      <c r="H162" s="48">
        <v>0.66962999999999995</v>
      </c>
      <c r="I162" s="48">
        <v>0.14302000000000001</v>
      </c>
      <c r="J162" s="48">
        <v>0.71035000000000004</v>
      </c>
      <c r="K162" s="48">
        <v>1.0373399999999999</v>
      </c>
      <c r="L162" s="48">
        <v>3.1931000000000001E-2</v>
      </c>
      <c r="M162" s="48">
        <v>2.7053000000000001E-2</v>
      </c>
    </row>
    <row r="163" spans="1:13">
      <c r="A163" s="48">
        <v>2459838</v>
      </c>
      <c r="B163" s="49">
        <v>44819</v>
      </c>
      <c r="C163" s="48" t="s">
        <v>93</v>
      </c>
      <c r="D163" s="48">
        <v>0.75758000000000003</v>
      </c>
      <c r="E163" s="48">
        <v>0.99970000000000003</v>
      </c>
      <c r="F163" s="48">
        <v>1.1486000000000001</v>
      </c>
      <c r="G163" s="48">
        <v>6.9696999999999997E-3</v>
      </c>
      <c r="H163" s="48">
        <v>0.67190000000000005</v>
      </c>
      <c r="I163" s="48">
        <v>0.14302999999999999</v>
      </c>
      <c r="J163" s="48">
        <v>0.71</v>
      </c>
      <c r="K163" s="48">
        <v>1.0421199999999999</v>
      </c>
      <c r="L163" s="48">
        <v>3.2015000000000002E-2</v>
      </c>
      <c r="M163" s="48">
        <v>2.7104E-2</v>
      </c>
    </row>
    <row r="164" spans="1:13">
      <c r="A164" s="48">
        <v>2459837</v>
      </c>
      <c r="B164" s="49">
        <v>44818</v>
      </c>
      <c r="C164" s="48" t="s">
        <v>94</v>
      </c>
      <c r="D164" s="48">
        <v>0.75953000000000004</v>
      </c>
      <c r="E164" s="48">
        <v>0.99900999999999995</v>
      </c>
      <c r="F164" s="48">
        <v>1.1558999999999999</v>
      </c>
      <c r="G164" s="48">
        <v>6.9953000000000003E-3</v>
      </c>
      <c r="H164" s="48">
        <v>0.67415999999999998</v>
      </c>
      <c r="I164" s="48">
        <v>0.14363000000000001</v>
      </c>
      <c r="J164" s="48">
        <v>0.71160999999999996</v>
      </c>
      <c r="K164" s="48">
        <v>1.0399499999999999</v>
      </c>
      <c r="L164" s="48">
        <v>3.2166E-2</v>
      </c>
      <c r="M164" s="48">
        <v>2.7338999999999999E-2</v>
      </c>
    </row>
    <row r="165" spans="1:13">
      <c r="A165" s="48">
        <v>2459836</v>
      </c>
      <c r="B165" s="49">
        <v>44817</v>
      </c>
      <c r="C165" s="48" t="s">
        <v>95</v>
      </c>
      <c r="D165" s="48">
        <v>0.76278000000000001</v>
      </c>
      <c r="E165" s="48">
        <v>1.0013700000000001</v>
      </c>
      <c r="F165" s="48">
        <v>1.1543000000000001</v>
      </c>
      <c r="G165" s="48">
        <v>6.9413000000000001E-3</v>
      </c>
      <c r="H165" s="48">
        <v>0.67757000000000001</v>
      </c>
      <c r="I165" s="48">
        <v>0.14438999999999999</v>
      </c>
      <c r="J165" s="48">
        <v>0.71182000000000001</v>
      </c>
      <c r="K165" s="48">
        <v>1.04172</v>
      </c>
      <c r="L165" s="48">
        <v>3.2166E-2</v>
      </c>
      <c r="M165" s="48">
        <v>2.7317000000000001E-2</v>
      </c>
    </row>
    <row r="166" spans="1:13">
      <c r="A166" s="48">
        <v>2459835</v>
      </c>
      <c r="B166" s="49">
        <v>44816</v>
      </c>
      <c r="C166" s="48" t="s">
        <v>91</v>
      </c>
      <c r="D166" s="48">
        <v>0.77041999999999999</v>
      </c>
      <c r="E166" s="48">
        <v>1.0128699999999999</v>
      </c>
      <c r="F166" s="48">
        <v>1.1693</v>
      </c>
      <c r="G166" s="48">
        <v>7.0185000000000004E-3</v>
      </c>
      <c r="H166" s="48">
        <v>0.68844000000000005</v>
      </c>
      <c r="I166" s="48">
        <v>0.14438000000000001</v>
      </c>
      <c r="J166" s="48">
        <v>0.71657000000000004</v>
      </c>
      <c r="K166" s="48">
        <v>1.0495399999999999</v>
      </c>
      <c r="L166" s="48">
        <v>3.2388E-2</v>
      </c>
      <c r="M166" s="48">
        <v>2.7567000000000001E-2</v>
      </c>
    </row>
    <row r="167" spans="1:13">
      <c r="A167" s="48">
        <v>2459832</v>
      </c>
      <c r="B167" s="49">
        <v>44813</v>
      </c>
      <c r="C167" s="48" t="s">
        <v>92</v>
      </c>
      <c r="D167" s="48">
        <v>0.76715999999999995</v>
      </c>
      <c r="E167" s="48">
        <v>1.0045299999999999</v>
      </c>
      <c r="F167" s="48">
        <v>1.1585000000000001</v>
      </c>
      <c r="G167" s="48">
        <v>7.0118999999999997E-3</v>
      </c>
      <c r="H167" s="48">
        <v>0.68408000000000002</v>
      </c>
      <c r="I167" s="48">
        <v>0.14438000000000001</v>
      </c>
      <c r="J167" s="48">
        <v>0.71469000000000005</v>
      </c>
      <c r="K167" s="48">
        <v>1.04074</v>
      </c>
      <c r="L167" s="48">
        <v>3.2427999999999998E-2</v>
      </c>
      <c r="M167" s="48">
        <v>2.7465E-2</v>
      </c>
    </row>
    <row r="168" spans="1:13">
      <c r="A168" s="48">
        <v>2459831</v>
      </c>
      <c r="B168" s="49">
        <v>44812</v>
      </c>
      <c r="C168" s="48" t="s">
        <v>93</v>
      </c>
      <c r="D168" s="48">
        <v>0.76243000000000005</v>
      </c>
      <c r="E168" s="48">
        <v>0.99778999999999995</v>
      </c>
      <c r="F168" s="48">
        <v>1.1497999999999999</v>
      </c>
      <c r="G168" s="48">
        <v>6.9457E-3</v>
      </c>
      <c r="H168" s="48">
        <v>0.67413999999999996</v>
      </c>
      <c r="I168" s="48">
        <v>0.14371999999999999</v>
      </c>
      <c r="J168" s="48">
        <v>0.71135000000000004</v>
      </c>
      <c r="K168" s="48">
        <v>1.02867</v>
      </c>
      <c r="L168" s="48">
        <v>3.2335000000000003E-2</v>
      </c>
      <c r="M168" s="48">
        <v>2.7497000000000001E-2</v>
      </c>
    </row>
    <row r="169" spans="1:13">
      <c r="A169" s="48">
        <v>2459830</v>
      </c>
      <c r="B169" s="49">
        <v>44811</v>
      </c>
      <c r="C169" s="48" t="s">
        <v>94</v>
      </c>
      <c r="D169" s="48">
        <v>0.75965000000000005</v>
      </c>
      <c r="E169" s="48">
        <v>0.99505999999999994</v>
      </c>
      <c r="F169" s="48">
        <v>1.1474</v>
      </c>
      <c r="G169" s="48">
        <v>6.9280000000000001E-3</v>
      </c>
      <c r="H169" s="48">
        <v>0.67335</v>
      </c>
      <c r="I169" s="48">
        <v>0.14349999999999999</v>
      </c>
      <c r="J169" s="48">
        <v>0.71072999999999997</v>
      </c>
      <c r="K169" s="48">
        <v>1.01945</v>
      </c>
      <c r="L169" s="48">
        <v>3.2376000000000002E-2</v>
      </c>
      <c r="M169" s="48">
        <v>2.7265999999999999E-2</v>
      </c>
    </row>
    <row r="170" spans="1:13">
      <c r="A170" s="48">
        <v>2459829</v>
      </c>
      <c r="B170" s="49">
        <v>44810</v>
      </c>
      <c r="C170" s="48" t="s">
        <v>95</v>
      </c>
      <c r="D170" s="48">
        <v>0.76109000000000004</v>
      </c>
      <c r="E170" s="48">
        <v>0.99056</v>
      </c>
      <c r="F170" s="48">
        <v>1.1533</v>
      </c>
      <c r="G170" s="48">
        <v>7.0096000000000004E-3</v>
      </c>
      <c r="H170" s="48">
        <v>0.67454999999999998</v>
      </c>
      <c r="I170" s="48">
        <v>0.14377000000000001</v>
      </c>
      <c r="J170" s="48">
        <v>0.71101999999999999</v>
      </c>
      <c r="K170" s="48">
        <v>1.0162100000000001</v>
      </c>
      <c r="L170" s="48">
        <v>3.2438000000000002E-2</v>
      </c>
      <c r="M170" s="48">
        <v>2.7361E-2</v>
      </c>
    </row>
    <row r="171" spans="1:13">
      <c r="A171" s="48">
        <v>2459825</v>
      </c>
      <c r="B171" s="49">
        <v>44806</v>
      </c>
      <c r="C171" s="48" t="s">
        <v>92</v>
      </c>
      <c r="D171" s="48">
        <v>0.76214000000000004</v>
      </c>
      <c r="E171" s="48">
        <v>0.99885999999999997</v>
      </c>
      <c r="F171" s="48">
        <v>1.1539999999999999</v>
      </c>
      <c r="G171" s="48">
        <v>7.1336000000000004E-3</v>
      </c>
      <c r="H171" s="48">
        <v>0.68210999999999999</v>
      </c>
      <c r="I171" s="48">
        <v>0.14488000000000001</v>
      </c>
      <c r="J171" s="48">
        <v>0.71365999999999996</v>
      </c>
      <c r="K171" s="48">
        <v>1.0188999999999999</v>
      </c>
      <c r="L171" s="48">
        <v>3.2680000000000001E-2</v>
      </c>
      <c r="M171" s="48">
        <v>2.7324999999999999E-2</v>
      </c>
    </row>
    <row r="172" spans="1:13">
      <c r="A172" s="48">
        <v>2459824</v>
      </c>
      <c r="B172" s="49">
        <v>44805</v>
      </c>
      <c r="C172" s="48" t="s">
        <v>93</v>
      </c>
      <c r="D172" s="48">
        <v>0.75953000000000004</v>
      </c>
      <c r="E172" s="48">
        <v>0.99575000000000002</v>
      </c>
      <c r="F172" s="48">
        <v>1.1545000000000001</v>
      </c>
      <c r="G172" s="48">
        <v>7.1472000000000003E-3</v>
      </c>
      <c r="H172" s="48">
        <v>0.67956000000000005</v>
      </c>
      <c r="I172" s="48">
        <v>0.14484</v>
      </c>
      <c r="J172" s="48">
        <v>0.71335000000000004</v>
      </c>
      <c r="K172" s="48">
        <v>1.01823</v>
      </c>
      <c r="L172" s="48">
        <v>3.2682999999999997E-2</v>
      </c>
      <c r="M172" s="48">
        <v>2.7247E-2</v>
      </c>
    </row>
    <row r="173" spans="1:13">
      <c r="A173" s="48">
        <v>2459823</v>
      </c>
      <c r="B173" s="49">
        <v>44804</v>
      </c>
      <c r="C173" s="48" t="s">
        <v>94</v>
      </c>
      <c r="D173" s="48">
        <v>0.76271999999999995</v>
      </c>
      <c r="E173" s="48">
        <v>1.0038100000000001</v>
      </c>
      <c r="F173" s="48">
        <v>1.1625000000000001</v>
      </c>
      <c r="G173" s="48">
        <v>7.2077E-3</v>
      </c>
      <c r="H173" s="48">
        <v>0.68552999999999997</v>
      </c>
      <c r="I173" s="48">
        <v>0.14515</v>
      </c>
      <c r="J173" s="48">
        <v>0.71604000000000001</v>
      </c>
      <c r="K173" s="48">
        <v>1.0238</v>
      </c>
      <c r="L173" s="48">
        <v>3.2896000000000002E-2</v>
      </c>
      <c r="M173" s="48">
        <v>2.7435000000000001E-2</v>
      </c>
    </row>
    <row r="174" spans="1:13">
      <c r="A174" s="48">
        <v>2459822</v>
      </c>
      <c r="B174" s="49">
        <v>44803</v>
      </c>
      <c r="C174" s="48" t="s">
        <v>95</v>
      </c>
      <c r="D174" s="48">
        <v>0.76476</v>
      </c>
      <c r="E174" s="48">
        <v>1.0019100000000001</v>
      </c>
      <c r="F174" s="48">
        <v>1.1667000000000001</v>
      </c>
      <c r="G174" s="48">
        <v>7.2116999999999997E-3</v>
      </c>
      <c r="H174" s="48">
        <v>0.68774999999999997</v>
      </c>
      <c r="I174" s="48">
        <v>0.14477000000000001</v>
      </c>
      <c r="J174" s="48">
        <v>0.71557999999999999</v>
      </c>
      <c r="K174" s="48">
        <v>1.02738</v>
      </c>
      <c r="L174" s="48">
        <v>3.2822999999999998E-2</v>
      </c>
      <c r="M174" s="48">
        <v>2.7341000000000001E-2</v>
      </c>
    </row>
    <row r="175" spans="1:13">
      <c r="A175" s="48">
        <v>2459821</v>
      </c>
      <c r="B175" s="49">
        <v>44802</v>
      </c>
      <c r="C175" s="48" t="s">
        <v>91</v>
      </c>
      <c r="D175" s="48">
        <v>0.76870000000000005</v>
      </c>
      <c r="E175" s="48">
        <v>1.00031</v>
      </c>
      <c r="F175" s="48">
        <v>1.1713</v>
      </c>
      <c r="G175" s="48">
        <v>7.2103999999999996E-3</v>
      </c>
      <c r="H175" s="48">
        <v>0.69028999999999996</v>
      </c>
      <c r="I175" s="48">
        <v>0.14474999999999999</v>
      </c>
      <c r="J175" s="48">
        <v>0.71657999999999999</v>
      </c>
      <c r="K175" s="48">
        <v>1.0328200000000001</v>
      </c>
      <c r="L175" s="48">
        <v>3.2908E-2</v>
      </c>
      <c r="M175" s="48">
        <v>2.7508999999999999E-2</v>
      </c>
    </row>
    <row r="176" spans="1:13">
      <c r="A176" s="48">
        <v>2459818</v>
      </c>
      <c r="B176" s="49">
        <v>44799</v>
      </c>
      <c r="C176" s="48" t="s">
        <v>92</v>
      </c>
      <c r="D176" s="48">
        <v>0.76988000000000001</v>
      </c>
      <c r="E176" s="48">
        <v>0.99992000000000003</v>
      </c>
      <c r="F176" s="48">
        <v>1.1788000000000001</v>
      </c>
      <c r="G176" s="48">
        <v>7.2908000000000001E-3</v>
      </c>
      <c r="H176" s="48">
        <v>0.69335999999999998</v>
      </c>
      <c r="I176" s="48">
        <v>0.14566000000000001</v>
      </c>
      <c r="J176" s="48">
        <v>0.71836999999999995</v>
      </c>
      <c r="K176" s="48">
        <v>1.0373399999999999</v>
      </c>
      <c r="L176" s="48">
        <v>3.3058999999999998E-2</v>
      </c>
      <c r="M176" s="48">
        <v>2.7654999999999999E-2</v>
      </c>
    </row>
    <row r="177" spans="1:13">
      <c r="A177" s="48">
        <v>2459817</v>
      </c>
      <c r="B177" s="49">
        <v>44798</v>
      </c>
      <c r="C177" s="48" t="s">
        <v>93</v>
      </c>
      <c r="D177" s="48">
        <v>0.77298</v>
      </c>
      <c r="E177" s="48">
        <v>0.99690999999999996</v>
      </c>
      <c r="F177" s="48">
        <v>1.1820999999999999</v>
      </c>
      <c r="G177" s="48">
        <v>7.3201000000000004E-3</v>
      </c>
      <c r="H177" s="48">
        <v>0.69676000000000005</v>
      </c>
      <c r="I177" s="48">
        <v>0.14593999999999999</v>
      </c>
      <c r="J177" s="48">
        <v>0.71948999999999996</v>
      </c>
      <c r="K177" s="48">
        <v>1.03718</v>
      </c>
      <c r="L177" s="48">
        <v>3.3068E-2</v>
      </c>
      <c r="M177" s="48">
        <v>2.7865000000000001E-2</v>
      </c>
    </row>
    <row r="178" spans="1:13">
      <c r="A178" s="48">
        <v>2459816</v>
      </c>
      <c r="B178" s="49">
        <v>44797</v>
      </c>
      <c r="C178" s="48" t="s">
        <v>94</v>
      </c>
      <c r="D178" s="48">
        <v>0.77024000000000004</v>
      </c>
      <c r="E178" s="48">
        <v>0.99514999999999998</v>
      </c>
      <c r="F178" s="48">
        <v>1.1788000000000001</v>
      </c>
      <c r="G178" s="48">
        <v>7.3019000000000001E-3</v>
      </c>
      <c r="H178" s="48">
        <v>0.69028999999999996</v>
      </c>
      <c r="I178" s="48">
        <v>0.14573</v>
      </c>
      <c r="J178" s="48">
        <v>0.71709000000000001</v>
      </c>
      <c r="K178" s="48">
        <v>1.0346599999999999</v>
      </c>
      <c r="L178" s="48">
        <v>3.3050999999999997E-2</v>
      </c>
      <c r="M178" s="48">
        <v>2.7689999999999999E-2</v>
      </c>
    </row>
    <row r="179" spans="1:13">
      <c r="A179" s="48">
        <v>2459815</v>
      </c>
      <c r="B179" s="49">
        <v>44796</v>
      </c>
      <c r="C179" s="48" t="s">
        <v>95</v>
      </c>
      <c r="D179" s="48">
        <v>0.77088999999999996</v>
      </c>
      <c r="E179" s="48">
        <v>0.99653000000000003</v>
      </c>
      <c r="F179" s="48">
        <v>1.1821999999999999</v>
      </c>
      <c r="G179" s="48">
        <v>7.3157999999999999E-3</v>
      </c>
      <c r="H179" s="48">
        <v>0.69211</v>
      </c>
      <c r="I179" s="48">
        <v>0.14624000000000001</v>
      </c>
      <c r="J179" s="48">
        <v>0.71777999999999997</v>
      </c>
      <c r="K179" s="48">
        <v>1.03677</v>
      </c>
      <c r="L179" s="48">
        <v>3.3133000000000003E-2</v>
      </c>
      <c r="M179" s="48">
        <v>2.7795E-2</v>
      </c>
    </row>
    <row r="180" spans="1:13">
      <c r="A180" s="48">
        <v>2459814</v>
      </c>
      <c r="B180" s="49">
        <v>44795</v>
      </c>
      <c r="C180" s="48" t="s">
        <v>91</v>
      </c>
      <c r="D180" s="48">
        <v>0.76715999999999995</v>
      </c>
      <c r="E180" s="48">
        <v>0.99570000000000003</v>
      </c>
      <c r="F180" s="48">
        <v>1.1778</v>
      </c>
      <c r="G180" s="48">
        <v>7.2804000000000002E-3</v>
      </c>
      <c r="H180" s="48">
        <v>0.68815000000000004</v>
      </c>
      <c r="I180" s="48">
        <v>0.14607000000000001</v>
      </c>
      <c r="J180" s="48">
        <v>0.71560999999999997</v>
      </c>
      <c r="K180" s="48">
        <v>1.0388200000000001</v>
      </c>
      <c r="L180" s="48">
        <v>3.3172E-2</v>
      </c>
      <c r="M180" s="48">
        <v>2.7604E-2</v>
      </c>
    </row>
    <row r="181" spans="1:13">
      <c r="A181" s="48">
        <v>2459811</v>
      </c>
      <c r="B181" s="49">
        <v>44792</v>
      </c>
      <c r="C181" s="48" t="s">
        <v>92</v>
      </c>
      <c r="D181" s="48">
        <v>0.76976</v>
      </c>
      <c r="E181" s="48">
        <v>1.00447</v>
      </c>
      <c r="F181" s="48">
        <v>1.1821999999999999</v>
      </c>
      <c r="G181" s="48">
        <v>7.3051000000000001E-3</v>
      </c>
      <c r="H181" s="48">
        <v>0.68786000000000003</v>
      </c>
      <c r="I181" s="48">
        <v>0.14671999999999999</v>
      </c>
      <c r="J181" s="48">
        <v>0.71887999999999996</v>
      </c>
      <c r="K181" s="48">
        <v>1.0433399999999999</v>
      </c>
      <c r="L181" s="48">
        <v>3.3215000000000001E-2</v>
      </c>
      <c r="M181" s="48">
        <v>2.7938999999999999E-2</v>
      </c>
    </row>
    <row r="182" spans="1:13">
      <c r="A182" s="48">
        <v>2459810</v>
      </c>
      <c r="B182" s="49">
        <v>44791</v>
      </c>
      <c r="C182" s="48" t="s">
        <v>93</v>
      </c>
      <c r="D182" s="48">
        <v>0.77351000000000003</v>
      </c>
      <c r="E182" s="48">
        <v>1.01176</v>
      </c>
      <c r="F182" s="48">
        <v>1.198</v>
      </c>
      <c r="G182" s="48">
        <v>7.3870999999999997E-3</v>
      </c>
      <c r="H182" s="48">
        <v>0.69323000000000001</v>
      </c>
      <c r="I182" s="48">
        <v>0.14735000000000001</v>
      </c>
      <c r="J182" s="48">
        <v>0.72253999999999996</v>
      </c>
      <c r="K182" s="48">
        <v>1.0475699999999999</v>
      </c>
      <c r="L182" s="48">
        <v>3.3322999999999998E-2</v>
      </c>
      <c r="M182" s="48">
        <v>2.7989E-2</v>
      </c>
    </row>
    <row r="183" spans="1:13">
      <c r="A183" s="48">
        <v>2459809</v>
      </c>
      <c r="B183" s="49">
        <v>44790</v>
      </c>
      <c r="C183" s="48" t="s">
        <v>94</v>
      </c>
      <c r="D183" s="48">
        <v>0.77446999999999999</v>
      </c>
      <c r="E183" s="48">
        <v>1.01719</v>
      </c>
      <c r="F183" s="48">
        <v>1.2055</v>
      </c>
      <c r="G183" s="48">
        <v>7.3962000000000003E-3</v>
      </c>
      <c r="H183" s="48">
        <v>0.69308000000000003</v>
      </c>
      <c r="I183" s="48">
        <v>0.14746000000000001</v>
      </c>
      <c r="J183" s="48">
        <v>0.72311999999999999</v>
      </c>
      <c r="K183" s="48">
        <v>1.0498000000000001</v>
      </c>
      <c r="L183" s="48">
        <v>3.3341000000000003E-2</v>
      </c>
      <c r="M183" s="48">
        <v>2.8178000000000002E-2</v>
      </c>
    </row>
    <row r="184" spans="1:13">
      <c r="A184" s="48">
        <v>2459808</v>
      </c>
      <c r="B184" s="49">
        <v>44789</v>
      </c>
      <c r="C184" s="48" t="s">
        <v>95</v>
      </c>
      <c r="D184" s="48">
        <v>0.77717999999999998</v>
      </c>
      <c r="E184" s="48">
        <v>1.0166299999999999</v>
      </c>
      <c r="F184" s="48">
        <v>1.2081</v>
      </c>
      <c r="G184" s="48">
        <v>7.4453999999999996E-3</v>
      </c>
      <c r="H184" s="48">
        <v>0.70140999999999998</v>
      </c>
      <c r="I184" s="48">
        <v>0.14735000000000001</v>
      </c>
      <c r="J184" s="48">
        <v>0.72511000000000003</v>
      </c>
      <c r="K184" s="48">
        <v>1.05246</v>
      </c>
      <c r="L184" s="48">
        <v>3.3341000000000003E-2</v>
      </c>
      <c r="M184" s="48">
        <v>2.8284E-2</v>
      </c>
    </row>
    <row r="185" spans="1:13">
      <c r="A185" s="48">
        <v>2459807</v>
      </c>
      <c r="B185" s="49">
        <v>44788</v>
      </c>
      <c r="C185" s="48" t="s">
        <v>91</v>
      </c>
      <c r="D185" s="48">
        <v>0.77471000000000001</v>
      </c>
      <c r="E185" s="48">
        <v>1.01813</v>
      </c>
      <c r="F185" s="48">
        <v>1.2077</v>
      </c>
      <c r="G185" s="48">
        <v>7.5147E-3</v>
      </c>
      <c r="H185" s="48">
        <v>0.70289999999999997</v>
      </c>
      <c r="I185" s="48">
        <v>0.14766000000000001</v>
      </c>
      <c r="J185" s="48">
        <v>0.72597999999999996</v>
      </c>
      <c r="K185" s="48">
        <v>1.05803</v>
      </c>
      <c r="L185" s="48">
        <v>3.3320000000000002E-2</v>
      </c>
      <c r="M185" s="48">
        <v>2.8164999999999999E-2</v>
      </c>
    </row>
    <row r="186" spans="1:13">
      <c r="A186" s="48">
        <v>2459804</v>
      </c>
      <c r="B186" s="49">
        <v>44785</v>
      </c>
      <c r="C186" s="48" t="s">
        <v>92</v>
      </c>
      <c r="D186" s="48">
        <v>0.78229000000000004</v>
      </c>
      <c r="E186" s="48">
        <v>1.02644</v>
      </c>
      <c r="F186" s="48">
        <v>1.2131000000000001</v>
      </c>
      <c r="G186" s="48">
        <v>7.4865000000000001E-3</v>
      </c>
      <c r="H186" s="48">
        <v>0.71109999999999995</v>
      </c>
      <c r="I186" s="48">
        <v>0.14832000000000001</v>
      </c>
      <c r="J186" s="48">
        <v>0.72916999999999998</v>
      </c>
      <c r="K186" s="48">
        <v>1.0613300000000001</v>
      </c>
      <c r="L186" s="48">
        <v>3.3364999999999999E-2</v>
      </c>
      <c r="M186" s="48">
        <v>2.8261999999999999E-2</v>
      </c>
    </row>
    <row r="187" spans="1:13">
      <c r="A187" s="48">
        <v>2459803</v>
      </c>
      <c r="B187" s="49">
        <v>44784</v>
      </c>
      <c r="C187" s="48" t="s">
        <v>93</v>
      </c>
      <c r="D187" s="48">
        <v>0.78412999999999999</v>
      </c>
      <c r="E187" s="48">
        <v>1.0333300000000001</v>
      </c>
      <c r="F187" s="48">
        <v>1.2218</v>
      </c>
      <c r="G187" s="48">
        <v>7.5433000000000002E-3</v>
      </c>
      <c r="H187" s="48">
        <v>0.71152000000000004</v>
      </c>
      <c r="I187" s="48">
        <v>0.14835999999999999</v>
      </c>
      <c r="J187" s="48">
        <v>0.73050000000000004</v>
      </c>
      <c r="K187" s="48">
        <v>1.0639099999999999</v>
      </c>
      <c r="L187" s="48">
        <v>3.3356999999999998E-2</v>
      </c>
      <c r="M187" s="48">
        <v>2.8483999999999999E-2</v>
      </c>
    </row>
    <row r="188" spans="1:13">
      <c r="A188" s="48">
        <v>2459802</v>
      </c>
      <c r="B188" s="49">
        <v>44783</v>
      </c>
      <c r="C188" s="48" t="s">
        <v>94</v>
      </c>
      <c r="D188" s="48">
        <v>0.78191999999999995</v>
      </c>
      <c r="E188" s="48">
        <v>1.0319799999999999</v>
      </c>
      <c r="F188" s="48">
        <v>1.2230000000000001</v>
      </c>
      <c r="G188" s="48">
        <v>7.5299E-3</v>
      </c>
      <c r="H188" s="48">
        <v>0.70803000000000005</v>
      </c>
      <c r="I188" s="48">
        <v>0.14863999999999999</v>
      </c>
      <c r="J188" s="48">
        <v>0.73007999999999995</v>
      </c>
      <c r="K188" s="48">
        <v>1.0617700000000001</v>
      </c>
      <c r="L188" s="48">
        <v>3.3411000000000003E-2</v>
      </c>
      <c r="M188" s="48">
        <v>2.8355000000000002E-2</v>
      </c>
    </row>
    <row r="189" spans="1:13">
      <c r="A189" s="48">
        <v>2459801</v>
      </c>
      <c r="B189" s="49">
        <v>44782</v>
      </c>
      <c r="C189" s="48" t="s">
        <v>95</v>
      </c>
      <c r="D189" s="48">
        <v>0.77639999999999998</v>
      </c>
      <c r="E189" s="48">
        <v>1.0223599999999999</v>
      </c>
      <c r="F189" s="48">
        <v>1.2090000000000001</v>
      </c>
      <c r="G189" s="48">
        <v>7.4067999999999998E-3</v>
      </c>
      <c r="H189" s="48">
        <v>0.69681000000000004</v>
      </c>
      <c r="I189" s="48">
        <v>0.14813999999999999</v>
      </c>
      <c r="J189" s="48">
        <v>0.72545999999999999</v>
      </c>
      <c r="K189" s="48">
        <v>1.04915</v>
      </c>
      <c r="L189" s="48">
        <v>3.3300000000000003E-2</v>
      </c>
      <c r="M189" s="48">
        <v>2.8181000000000001E-2</v>
      </c>
    </row>
    <row r="190" spans="1:13">
      <c r="A190" s="48">
        <v>2459800</v>
      </c>
      <c r="B190" s="49">
        <v>44781</v>
      </c>
      <c r="C190" s="48" t="s">
        <v>91</v>
      </c>
      <c r="D190" s="48">
        <v>0.77778999999999998</v>
      </c>
      <c r="E190" s="48">
        <v>1.01999</v>
      </c>
      <c r="F190" s="48">
        <v>1.2098</v>
      </c>
      <c r="G190" s="48">
        <v>7.4200999999999998E-3</v>
      </c>
      <c r="H190" s="48">
        <v>0.69876000000000005</v>
      </c>
      <c r="I190" s="48">
        <v>0.14809</v>
      </c>
      <c r="J190" s="48">
        <v>0.72543999999999997</v>
      </c>
      <c r="K190" s="48">
        <v>1.0467500000000001</v>
      </c>
      <c r="L190" s="48">
        <v>3.3297E-2</v>
      </c>
      <c r="M190" s="48">
        <v>2.8080000000000001E-2</v>
      </c>
    </row>
    <row r="191" spans="1:13">
      <c r="A191" s="48">
        <v>2459797</v>
      </c>
      <c r="B191" s="49">
        <v>44778</v>
      </c>
      <c r="C191" s="48" t="s">
        <v>92</v>
      </c>
      <c r="D191" s="48">
        <v>0.77315999999999996</v>
      </c>
      <c r="E191" s="48">
        <v>1.01763</v>
      </c>
      <c r="F191" s="48">
        <v>1.2065999999999999</v>
      </c>
      <c r="G191" s="48">
        <v>7.4067999999999998E-3</v>
      </c>
      <c r="H191" s="48">
        <v>0.69074000000000002</v>
      </c>
      <c r="I191" s="48">
        <v>0.1479</v>
      </c>
      <c r="J191" s="48">
        <v>0.72397999999999996</v>
      </c>
      <c r="K191" s="48">
        <v>1.0395099999999999</v>
      </c>
      <c r="L191" s="48">
        <v>3.3354000000000002E-2</v>
      </c>
      <c r="M191" s="48">
        <v>2.8025999999999999E-2</v>
      </c>
    </row>
    <row r="192" spans="1:13">
      <c r="A192" s="48">
        <v>2459796</v>
      </c>
      <c r="B192" s="49">
        <v>44777</v>
      </c>
      <c r="C192" s="48" t="s">
        <v>93</v>
      </c>
      <c r="D192" s="48">
        <v>0.77797000000000005</v>
      </c>
      <c r="E192" s="48">
        <v>1.02186</v>
      </c>
      <c r="F192" s="48">
        <v>1.2136</v>
      </c>
      <c r="G192" s="48">
        <v>7.5074E-3</v>
      </c>
      <c r="H192" s="48">
        <v>0.69674999999999998</v>
      </c>
      <c r="I192" s="48">
        <v>0.14813000000000001</v>
      </c>
      <c r="J192" s="48">
        <v>0.72607999999999995</v>
      </c>
      <c r="K192" s="48">
        <v>1.04504</v>
      </c>
      <c r="L192" s="48">
        <v>3.3359E-2</v>
      </c>
      <c r="M192" s="48">
        <v>2.7777E-2</v>
      </c>
    </row>
    <row r="193" spans="1:13">
      <c r="A193" s="48">
        <v>2459795</v>
      </c>
      <c r="B193" s="49">
        <v>44776</v>
      </c>
      <c r="C193" s="48" t="s">
        <v>94</v>
      </c>
      <c r="D193" s="48">
        <v>0.77803</v>
      </c>
      <c r="E193" s="48">
        <v>1.01579</v>
      </c>
      <c r="F193" s="48">
        <v>1.2144999999999999</v>
      </c>
      <c r="G193" s="48">
        <v>7.4612999999999997E-3</v>
      </c>
      <c r="H193" s="48">
        <v>0.69345000000000001</v>
      </c>
      <c r="I193" s="48">
        <v>0.14798</v>
      </c>
      <c r="J193" s="48">
        <v>0.72387000000000001</v>
      </c>
      <c r="K193" s="48">
        <v>1.03945</v>
      </c>
      <c r="L193" s="48">
        <v>3.3354000000000002E-2</v>
      </c>
      <c r="M193" s="48">
        <v>2.7542000000000001E-2</v>
      </c>
    </row>
    <row r="194" spans="1:13">
      <c r="A194" s="48">
        <v>2459794</v>
      </c>
      <c r="B194" s="49">
        <v>44775</v>
      </c>
      <c r="C194" s="48" t="s">
        <v>95</v>
      </c>
      <c r="D194" s="48">
        <v>0.77785000000000004</v>
      </c>
      <c r="E194" s="48">
        <v>1.0196799999999999</v>
      </c>
      <c r="F194" s="48">
        <v>1.2203999999999999</v>
      </c>
      <c r="G194" s="48">
        <v>7.5763000000000002E-3</v>
      </c>
      <c r="H194" s="48">
        <v>0.69376000000000004</v>
      </c>
      <c r="I194" s="48">
        <v>0.14802000000000001</v>
      </c>
      <c r="J194" s="48">
        <v>0.72433000000000003</v>
      </c>
      <c r="K194" s="48">
        <v>1.0476000000000001</v>
      </c>
      <c r="L194" s="48">
        <v>3.3392999999999999E-2</v>
      </c>
      <c r="M194" s="48">
        <v>2.7709000000000001E-2</v>
      </c>
    </row>
    <row r="195" spans="1:13">
      <c r="A195" s="48">
        <v>2459790</v>
      </c>
      <c r="B195" s="49">
        <v>44771</v>
      </c>
      <c r="C195" s="48" t="s">
        <v>92</v>
      </c>
      <c r="D195" s="48">
        <v>0.77978999999999998</v>
      </c>
      <c r="E195" s="48">
        <v>1.0193399999999999</v>
      </c>
      <c r="F195" s="48">
        <v>1.2144999999999999</v>
      </c>
      <c r="G195" s="48">
        <v>7.4859000000000002E-3</v>
      </c>
      <c r="H195" s="48">
        <v>0.69681999999999999</v>
      </c>
      <c r="I195" s="48">
        <v>0.14824000000000001</v>
      </c>
      <c r="J195" s="48">
        <v>0.72341</v>
      </c>
      <c r="K195" s="48">
        <v>1.0483499999999999</v>
      </c>
      <c r="L195" s="48">
        <v>3.3273999999999998E-2</v>
      </c>
      <c r="M195" s="48">
        <v>2.7625E-2</v>
      </c>
    </row>
    <row r="196" spans="1:13">
      <c r="A196" s="48">
        <v>2459789</v>
      </c>
      <c r="B196" s="49">
        <v>44770</v>
      </c>
      <c r="C196" s="48" t="s">
        <v>93</v>
      </c>
      <c r="D196" s="48">
        <v>0.77912000000000003</v>
      </c>
      <c r="E196" s="48">
        <v>1.01589</v>
      </c>
      <c r="F196" s="48">
        <v>1.2134</v>
      </c>
      <c r="G196" s="48">
        <v>7.4327999999999998E-3</v>
      </c>
      <c r="H196" s="48">
        <v>0.69708000000000003</v>
      </c>
      <c r="I196" s="48">
        <v>0.14818999999999999</v>
      </c>
      <c r="J196" s="48">
        <v>0.72396000000000005</v>
      </c>
      <c r="K196" s="48">
        <v>1.0450299999999999</v>
      </c>
      <c r="L196" s="48">
        <v>3.3384999999999998E-2</v>
      </c>
      <c r="M196" s="48">
        <v>2.7274E-2</v>
      </c>
    </row>
    <row r="197" spans="1:13">
      <c r="A197" s="48">
        <v>2459788</v>
      </c>
      <c r="B197" s="49">
        <v>44769</v>
      </c>
      <c r="C197" s="48" t="s">
        <v>94</v>
      </c>
      <c r="D197" s="48">
        <v>0.77688000000000001</v>
      </c>
      <c r="E197" s="48">
        <v>1.01406</v>
      </c>
      <c r="F197" s="48">
        <v>1.2062999999999999</v>
      </c>
      <c r="G197" s="48">
        <v>7.2949E-3</v>
      </c>
      <c r="H197" s="48">
        <v>0.69399</v>
      </c>
      <c r="I197" s="48">
        <v>0.14799999999999999</v>
      </c>
      <c r="J197" s="48">
        <v>0.72101999999999999</v>
      </c>
      <c r="K197" s="48">
        <v>1.0383800000000001</v>
      </c>
      <c r="L197" s="48">
        <v>3.3367000000000001E-2</v>
      </c>
      <c r="M197" s="48">
        <v>2.7106000000000002E-2</v>
      </c>
    </row>
    <row r="198" spans="1:13">
      <c r="A198" s="48">
        <v>2459787</v>
      </c>
      <c r="B198" s="49">
        <v>44768</v>
      </c>
      <c r="C198" s="48" t="s">
        <v>95</v>
      </c>
      <c r="D198" s="48">
        <v>0.77622000000000002</v>
      </c>
      <c r="E198" s="48">
        <v>1.01281</v>
      </c>
      <c r="F198" s="48">
        <v>1.2020999999999999</v>
      </c>
      <c r="G198" s="48">
        <v>7.3197000000000002E-3</v>
      </c>
      <c r="H198" s="48">
        <v>0.69386000000000003</v>
      </c>
      <c r="I198" s="48">
        <v>0.14787</v>
      </c>
      <c r="J198" s="48">
        <v>0.71979000000000004</v>
      </c>
      <c r="K198" s="48">
        <v>1.0381899999999999</v>
      </c>
      <c r="L198" s="48">
        <v>3.3376999999999997E-2</v>
      </c>
      <c r="M198" s="48">
        <v>2.7213999999999999E-2</v>
      </c>
    </row>
    <row r="199" spans="1:13">
      <c r="A199" s="48">
        <v>2459786</v>
      </c>
      <c r="B199" s="49">
        <v>44767</v>
      </c>
      <c r="C199" s="48" t="s">
        <v>91</v>
      </c>
      <c r="D199" s="48">
        <v>0.77808999999999995</v>
      </c>
      <c r="E199" s="48">
        <v>1.02264</v>
      </c>
      <c r="F199" s="48">
        <v>1.2054</v>
      </c>
      <c r="G199" s="48">
        <v>7.3217999999999998E-3</v>
      </c>
      <c r="H199" s="48">
        <v>0.69560999999999995</v>
      </c>
      <c r="I199" s="48">
        <v>0.14815</v>
      </c>
      <c r="J199" s="48">
        <v>0.72152000000000005</v>
      </c>
      <c r="K199" s="48">
        <v>1.0366500000000001</v>
      </c>
      <c r="L199" s="48">
        <v>3.3433999999999998E-2</v>
      </c>
      <c r="M199" s="48">
        <v>2.7303999999999998E-2</v>
      </c>
    </row>
    <row r="200" spans="1:13">
      <c r="A200" s="48">
        <v>2459783</v>
      </c>
      <c r="B200" s="49">
        <v>44764</v>
      </c>
      <c r="C200" s="48" t="s">
        <v>92</v>
      </c>
      <c r="D200" s="48">
        <v>0.77664</v>
      </c>
      <c r="E200" s="48">
        <v>1.02136</v>
      </c>
      <c r="F200" s="48">
        <v>1.2000999999999999</v>
      </c>
      <c r="G200" s="48">
        <v>7.3391999999999997E-3</v>
      </c>
      <c r="H200" s="48">
        <v>0.69393000000000005</v>
      </c>
      <c r="I200" s="48">
        <v>0.14810999999999999</v>
      </c>
      <c r="J200" s="48">
        <v>0.72063999999999995</v>
      </c>
      <c r="K200" s="48">
        <v>1.0388299999999999</v>
      </c>
      <c r="L200" s="48">
        <v>3.3473000000000003E-2</v>
      </c>
      <c r="M200" s="48">
        <v>2.7219E-2</v>
      </c>
    </row>
    <row r="201" spans="1:13">
      <c r="A201" s="48">
        <v>2459782</v>
      </c>
      <c r="B201" s="49">
        <v>44763</v>
      </c>
      <c r="C201" s="48" t="s">
        <v>93</v>
      </c>
      <c r="D201" s="48">
        <v>0.77549000000000001</v>
      </c>
      <c r="E201" s="48">
        <v>1.0198499999999999</v>
      </c>
      <c r="F201" s="48">
        <v>1.1953</v>
      </c>
      <c r="G201" s="48">
        <v>7.2430999999999997E-3</v>
      </c>
      <c r="H201" s="48">
        <v>0.68957000000000002</v>
      </c>
      <c r="I201" s="48">
        <v>0.14781</v>
      </c>
      <c r="J201" s="48">
        <v>0.71826000000000001</v>
      </c>
      <c r="K201" s="48">
        <v>1.0313300000000001</v>
      </c>
      <c r="L201" s="48">
        <v>3.3416000000000001E-2</v>
      </c>
      <c r="M201" s="48">
        <v>2.7136E-2</v>
      </c>
    </row>
    <row r="202" spans="1:13">
      <c r="A202" s="48">
        <v>2459781</v>
      </c>
      <c r="B202" s="49">
        <v>44762</v>
      </c>
      <c r="C202" s="48" t="s">
        <v>94</v>
      </c>
      <c r="D202" s="48">
        <v>0.77615999999999996</v>
      </c>
      <c r="E202" s="48">
        <v>1.01956</v>
      </c>
      <c r="F202" s="48">
        <v>1.1977</v>
      </c>
      <c r="G202" s="48">
        <v>7.2338000000000003E-3</v>
      </c>
      <c r="H202" s="48">
        <v>0.68922000000000005</v>
      </c>
      <c r="I202" s="48">
        <v>0.14801</v>
      </c>
      <c r="J202" s="48">
        <v>0.71801999999999999</v>
      </c>
      <c r="K202" s="48">
        <v>1.0292600000000001</v>
      </c>
      <c r="L202" s="48">
        <v>3.3413999999999999E-2</v>
      </c>
      <c r="M202" s="48">
        <v>2.7248999999999999E-2</v>
      </c>
    </row>
    <row r="203" spans="1:13">
      <c r="A203" s="48">
        <v>2459780</v>
      </c>
      <c r="B203" s="49">
        <v>44761</v>
      </c>
      <c r="C203" s="48" t="s">
        <v>95</v>
      </c>
      <c r="D203" s="48">
        <v>0.77495000000000003</v>
      </c>
      <c r="E203" s="48">
        <v>1.02379</v>
      </c>
      <c r="F203" s="48">
        <v>1.2011000000000001</v>
      </c>
      <c r="G203" s="48">
        <v>7.2535000000000004E-3</v>
      </c>
      <c r="H203" s="48">
        <v>0.68986999999999998</v>
      </c>
      <c r="I203" s="48">
        <v>0.14824999999999999</v>
      </c>
      <c r="J203" s="48">
        <v>0.71845999999999999</v>
      </c>
      <c r="K203" s="48">
        <v>1.03278</v>
      </c>
      <c r="L203" s="48">
        <v>3.3486000000000002E-2</v>
      </c>
      <c r="M203" s="48">
        <v>2.7415999999999999E-2</v>
      </c>
    </row>
    <row r="204" spans="1:13">
      <c r="A204" s="48">
        <v>2459779</v>
      </c>
      <c r="B204" s="49">
        <v>44760</v>
      </c>
      <c r="C204" s="48" t="s">
        <v>91</v>
      </c>
      <c r="D204" s="48">
        <v>0.77232000000000001</v>
      </c>
      <c r="E204" s="48">
        <v>1.0157499999999999</v>
      </c>
      <c r="F204" s="48">
        <v>1.1979</v>
      </c>
      <c r="G204" s="48">
        <v>7.2366000000000002E-3</v>
      </c>
      <c r="H204" s="48">
        <v>0.68296000000000001</v>
      </c>
      <c r="I204" s="48">
        <v>0.14829000000000001</v>
      </c>
      <c r="J204" s="48">
        <v>0.71616999999999997</v>
      </c>
      <c r="K204" s="48">
        <v>1.0241</v>
      </c>
      <c r="L204" s="48">
        <v>3.3440999999999999E-2</v>
      </c>
      <c r="M204" s="48">
        <v>2.7355000000000001E-2</v>
      </c>
    </row>
    <row r="205" spans="1:13">
      <c r="A205" s="48">
        <v>2459776</v>
      </c>
      <c r="B205" s="49">
        <v>44757</v>
      </c>
      <c r="C205" s="48" t="s">
        <v>92</v>
      </c>
      <c r="D205" s="48">
        <v>0.76698999999999995</v>
      </c>
      <c r="E205" s="48">
        <v>1.00759</v>
      </c>
      <c r="F205" s="48">
        <v>1.1852</v>
      </c>
      <c r="G205" s="48">
        <v>7.2173999999999997E-3</v>
      </c>
      <c r="H205" s="48">
        <v>0.67854999999999999</v>
      </c>
      <c r="I205" s="48">
        <v>0.14802999999999999</v>
      </c>
      <c r="J205" s="48">
        <v>0.71406999999999998</v>
      </c>
      <c r="K205" s="48">
        <v>1.0220100000000001</v>
      </c>
      <c r="L205" s="48">
        <v>3.3410000000000002E-2</v>
      </c>
      <c r="M205" s="48">
        <v>2.7352000000000001E-2</v>
      </c>
    </row>
    <row r="206" spans="1:13">
      <c r="A206" s="48">
        <v>2459775</v>
      </c>
      <c r="B206" s="49">
        <v>44756</v>
      </c>
      <c r="C206" s="48" t="s">
        <v>93</v>
      </c>
      <c r="D206" s="48">
        <v>0.76114999999999999</v>
      </c>
      <c r="E206" s="48">
        <v>1.00068</v>
      </c>
      <c r="F206" s="48">
        <v>1.1808000000000001</v>
      </c>
      <c r="G206" s="48">
        <v>7.1929000000000003E-3</v>
      </c>
      <c r="H206" s="48">
        <v>0.6724</v>
      </c>
      <c r="I206" s="48">
        <v>0.14796999999999999</v>
      </c>
      <c r="J206" s="48">
        <v>0.71182999999999996</v>
      </c>
      <c r="K206" s="48">
        <v>1.01576</v>
      </c>
      <c r="L206" s="48">
        <v>3.3369000000000003E-2</v>
      </c>
      <c r="M206" s="48">
        <v>2.7348000000000001E-2</v>
      </c>
    </row>
    <row r="207" spans="1:13">
      <c r="A207" s="48">
        <v>2459774</v>
      </c>
      <c r="B207" s="49">
        <v>44755</v>
      </c>
      <c r="C207" s="48" t="s">
        <v>94</v>
      </c>
      <c r="D207" s="48">
        <v>0.77064999999999995</v>
      </c>
      <c r="E207" s="48">
        <v>1.00647</v>
      </c>
      <c r="F207" s="48">
        <v>1.1904999999999999</v>
      </c>
      <c r="G207" s="48">
        <v>7.2826999999999996E-3</v>
      </c>
      <c r="H207" s="48">
        <v>0.67725000000000002</v>
      </c>
      <c r="I207" s="48">
        <v>0.14874000000000001</v>
      </c>
      <c r="J207" s="48">
        <v>0.71155000000000002</v>
      </c>
      <c r="K207" s="48">
        <v>1.02189</v>
      </c>
      <c r="L207" s="48">
        <v>3.3538999999999999E-2</v>
      </c>
      <c r="M207" s="48">
        <v>2.7695000000000001E-2</v>
      </c>
    </row>
    <row r="208" spans="1:13">
      <c r="A208" s="48">
        <v>2459773</v>
      </c>
      <c r="B208" s="49">
        <v>44754</v>
      </c>
      <c r="C208" s="48" t="s">
        <v>95</v>
      </c>
      <c r="D208" s="48">
        <v>0.76834000000000002</v>
      </c>
      <c r="E208" s="48">
        <v>1.00522</v>
      </c>
      <c r="F208" s="48">
        <v>1.1887000000000001</v>
      </c>
      <c r="G208" s="48">
        <v>7.3146000000000001E-3</v>
      </c>
      <c r="H208" s="48">
        <v>0.67598999999999998</v>
      </c>
      <c r="I208" s="48">
        <v>0.14867</v>
      </c>
      <c r="J208" s="48">
        <v>0.71094999999999997</v>
      </c>
      <c r="K208" s="48">
        <v>1.0182899999999999</v>
      </c>
      <c r="L208" s="48">
        <v>3.3484E-2</v>
      </c>
      <c r="M208" s="48">
        <v>2.7644999999999999E-2</v>
      </c>
    </row>
    <row r="209" spans="1:13">
      <c r="A209" s="48">
        <v>2459772</v>
      </c>
      <c r="B209" s="49">
        <v>44753</v>
      </c>
      <c r="C209" s="48" t="s">
        <v>91</v>
      </c>
      <c r="D209" s="48">
        <v>0.76922999999999997</v>
      </c>
      <c r="E209" s="48">
        <v>1.00708</v>
      </c>
      <c r="F209" s="48">
        <v>1.1898</v>
      </c>
      <c r="G209" s="48">
        <v>7.2769000000000002E-3</v>
      </c>
      <c r="H209" s="48">
        <v>0.67415000000000003</v>
      </c>
      <c r="I209" s="48">
        <v>0.14885000000000001</v>
      </c>
      <c r="J209" s="48">
        <v>0.71177000000000001</v>
      </c>
      <c r="K209" s="48">
        <v>1.0198499999999999</v>
      </c>
      <c r="L209" s="48">
        <v>3.3485000000000001E-2</v>
      </c>
      <c r="M209" s="48">
        <v>2.7628E-2</v>
      </c>
    </row>
    <row r="210" spans="1:13">
      <c r="A210" s="48">
        <v>2459769</v>
      </c>
      <c r="B210" s="49">
        <v>44750</v>
      </c>
      <c r="C210" s="48" t="s">
        <v>92</v>
      </c>
      <c r="D210" s="48">
        <v>0.77112999999999998</v>
      </c>
      <c r="E210" s="48">
        <v>1.0166599999999999</v>
      </c>
      <c r="F210" s="48">
        <v>1.2017</v>
      </c>
      <c r="G210" s="48">
        <v>7.3410999999999997E-3</v>
      </c>
      <c r="H210" s="48">
        <v>0.68445999999999996</v>
      </c>
      <c r="I210" s="48">
        <v>0.14929000000000001</v>
      </c>
      <c r="J210" s="48">
        <v>0.71460000000000001</v>
      </c>
      <c r="K210" s="48">
        <v>1.0230600000000001</v>
      </c>
      <c r="L210" s="48">
        <v>3.3590000000000002E-2</v>
      </c>
      <c r="M210" s="48">
        <v>2.7812E-2</v>
      </c>
    </row>
    <row r="211" spans="1:13">
      <c r="A211" s="48">
        <v>2459768</v>
      </c>
      <c r="B211" s="49">
        <v>44749</v>
      </c>
      <c r="C211" s="48" t="s">
        <v>93</v>
      </c>
      <c r="D211" s="48">
        <v>0.77005999999999997</v>
      </c>
      <c r="E211" s="48">
        <v>1.01671</v>
      </c>
      <c r="F211" s="48">
        <v>1.2</v>
      </c>
      <c r="G211" s="48">
        <v>7.3540999999999997E-3</v>
      </c>
      <c r="H211" s="48">
        <v>0.68350999999999995</v>
      </c>
      <c r="I211" s="48">
        <v>0.14924000000000001</v>
      </c>
      <c r="J211" s="48">
        <v>0.71416000000000002</v>
      </c>
      <c r="K211" s="48">
        <v>1.0272600000000001</v>
      </c>
      <c r="L211" s="48">
        <v>3.3605000000000003E-2</v>
      </c>
      <c r="M211" s="48">
        <v>2.7723000000000001E-2</v>
      </c>
    </row>
    <row r="212" spans="1:13">
      <c r="A212" s="48">
        <v>2459767</v>
      </c>
      <c r="B212" s="49">
        <v>44748</v>
      </c>
      <c r="C212" s="48" t="s">
        <v>94</v>
      </c>
      <c r="D212" s="48">
        <v>0.76646000000000003</v>
      </c>
      <c r="E212" s="48">
        <v>1.0180899999999999</v>
      </c>
      <c r="F212" s="48">
        <v>1.1913</v>
      </c>
      <c r="G212" s="48">
        <v>7.3733999999999996E-3</v>
      </c>
      <c r="H212" s="48">
        <v>0.67878000000000005</v>
      </c>
      <c r="I212" s="48">
        <v>0.14907999999999999</v>
      </c>
      <c r="J212" s="48">
        <v>0.71157999999999999</v>
      </c>
      <c r="K212" s="48">
        <v>1.0294300000000001</v>
      </c>
      <c r="L212" s="48">
        <v>3.354E-2</v>
      </c>
      <c r="M212" s="48">
        <v>2.7661999999999999E-2</v>
      </c>
    </row>
    <row r="213" spans="1:13">
      <c r="A213" s="48">
        <v>2459766</v>
      </c>
      <c r="B213" s="49">
        <v>44747</v>
      </c>
      <c r="C213" s="48" t="s">
        <v>95</v>
      </c>
      <c r="D213" s="48">
        <v>0.76698999999999995</v>
      </c>
      <c r="E213" s="48">
        <v>1.0260800000000001</v>
      </c>
      <c r="F213" s="48">
        <v>1.1942999999999999</v>
      </c>
      <c r="G213" s="48">
        <v>7.3631E-3</v>
      </c>
      <c r="H213" s="48">
        <v>0.67779</v>
      </c>
      <c r="I213" s="48">
        <v>0.14887</v>
      </c>
      <c r="J213" s="48">
        <v>0.71114999999999995</v>
      </c>
      <c r="K213" s="48">
        <v>1.03267</v>
      </c>
      <c r="L213" s="48">
        <v>3.3494000000000003E-2</v>
      </c>
      <c r="M213" s="48">
        <v>2.7793999999999999E-2</v>
      </c>
    </row>
    <row r="214" spans="1:13">
      <c r="A214" s="48">
        <v>2459765</v>
      </c>
      <c r="B214" s="49">
        <v>44746</v>
      </c>
      <c r="C214" s="48" t="s">
        <v>91</v>
      </c>
      <c r="D214" s="48">
        <v>0.77717999999999998</v>
      </c>
      <c r="E214" s="48">
        <v>1.0432900000000001</v>
      </c>
      <c r="F214" s="48">
        <v>1.212</v>
      </c>
      <c r="G214" s="48">
        <v>7.3755000000000001E-3</v>
      </c>
      <c r="H214" s="48">
        <v>0.68640000000000001</v>
      </c>
      <c r="I214" s="48">
        <v>0.14929999999999999</v>
      </c>
      <c r="J214" s="48">
        <v>0.71648000000000001</v>
      </c>
      <c r="K214" s="48">
        <v>1.04057</v>
      </c>
      <c r="L214" s="48">
        <v>3.3644E-2</v>
      </c>
      <c r="M214" s="48">
        <v>2.7994999999999999E-2</v>
      </c>
    </row>
    <row r="215" spans="1:13">
      <c r="A215" s="48">
        <v>2459761</v>
      </c>
      <c r="B215" s="49">
        <v>44742</v>
      </c>
      <c r="C215" s="48" t="s">
        <v>93</v>
      </c>
      <c r="D215" s="48">
        <v>0.77603999999999995</v>
      </c>
      <c r="E215" s="48">
        <v>1.0450900000000001</v>
      </c>
      <c r="F215" s="48">
        <v>1.2159</v>
      </c>
      <c r="G215" s="48">
        <v>7.3645999999999998E-3</v>
      </c>
      <c r="H215" s="48">
        <v>0.69005000000000005</v>
      </c>
      <c r="I215" s="48">
        <v>0.14931</v>
      </c>
      <c r="J215" s="48">
        <v>0.71892</v>
      </c>
      <c r="K215" s="48">
        <v>1.0467900000000001</v>
      </c>
      <c r="L215" s="48">
        <v>3.3618000000000002E-2</v>
      </c>
      <c r="M215" s="48">
        <v>2.8346E-2</v>
      </c>
    </row>
    <row r="216" spans="1:13">
      <c r="A216" s="48">
        <v>2459760</v>
      </c>
      <c r="B216" s="49">
        <v>44741</v>
      </c>
      <c r="C216" s="48" t="s">
        <v>94</v>
      </c>
      <c r="D216" s="48">
        <v>0.77651999999999999</v>
      </c>
      <c r="E216" s="48">
        <v>1.0470600000000001</v>
      </c>
      <c r="F216" s="48">
        <v>1.2132000000000001</v>
      </c>
      <c r="G216" s="48">
        <v>7.3225E-3</v>
      </c>
      <c r="H216" s="48">
        <v>0.68806999999999996</v>
      </c>
      <c r="I216" s="48">
        <v>0.14924999999999999</v>
      </c>
      <c r="J216" s="48">
        <v>0.71843000000000001</v>
      </c>
      <c r="K216" s="48">
        <v>1.0484500000000001</v>
      </c>
      <c r="L216" s="48">
        <v>3.3647000000000003E-2</v>
      </c>
      <c r="M216" s="48">
        <v>2.8417000000000001E-2</v>
      </c>
    </row>
    <row r="217" spans="1:13">
      <c r="A217" s="48">
        <v>2459759</v>
      </c>
      <c r="B217" s="49">
        <v>44740</v>
      </c>
      <c r="C217" s="48" t="s">
        <v>95</v>
      </c>
      <c r="D217" s="48">
        <v>0.77736000000000005</v>
      </c>
      <c r="E217" s="48">
        <v>1.05294</v>
      </c>
      <c r="F217" s="48">
        <v>1.2201</v>
      </c>
      <c r="G217" s="48">
        <v>7.3461000000000004E-3</v>
      </c>
      <c r="H217" s="48">
        <v>0.69232000000000005</v>
      </c>
      <c r="I217" s="48">
        <v>0.14910000000000001</v>
      </c>
      <c r="J217" s="48">
        <v>0.72077000000000002</v>
      </c>
      <c r="K217" s="48">
        <v>1.0450900000000001</v>
      </c>
      <c r="L217" s="48">
        <v>3.3644E-2</v>
      </c>
      <c r="M217" s="48">
        <v>2.8382000000000001E-2</v>
      </c>
    </row>
    <row r="218" spans="1:13">
      <c r="A218" s="48">
        <v>2459758</v>
      </c>
      <c r="B218" s="49">
        <v>44739</v>
      </c>
      <c r="C218" s="48" t="s">
        <v>91</v>
      </c>
      <c r="D218" s="48">
        <v>0.77598</v>
      </c>
      <c r="E218" s="48">
        <v>1.05874</v>
      </c>
      <c r="F218" s="48">
        <v>1.2281</v>
      </c>
      <c r="G218" s="48">
        <v>7.3873000000000003E-3</v>
      </c>
      <c r="H218" s="48">
        <v>0.69294999999999995</v>
      </c>
      <c r="I218" s="48">
        <v>0.14945</v>
      </c>
      <c r="J218" s="48">
        <v>0.72204999999999997</v>
      </c>
      <c r="K218" s="48">
        <v>1.0452399999999999</v>
      </c>
      <c r="L218" s="48">
        <v>3.3731999999999998E-2</v>
      </c>
      <c r="M218" s="48">
        <v>2.8327999999999999E-2</v>
      </c>
    </row>
    <row r="219" spans="1:13">
      <c r="A219" s="48">
        <v>2459755</v>
      </c>
      <c r="B219" s="49">
        <v>44736</v>
      </c>
      <c r="C219" s="48" t="s">
        <v>92</v>
      </c>
      <c r="D219" s="48">
        <v>0.77322000000000002</v>
      </c>
      <c r="E219" s="48">
        <v>1.05443</v>
      </c>
      <c r="F219" s="48">
        <v>1.2278</v>
      </c>
      <c r="G219" s="48">
        <v>7.3997000000000004E-3</v>
      </c>
      <c r="H219" s="48">
        <v>0.69342000000000004</v>
      </c>
      <c r="I219" s="48">
        <v>0.14946000000000001</v>
      </c>
      <c r="J219" s="48">
        <v>0.72101999999999999</v>
      </c>
      <c r="K219" s="48">
        <v>1.0452300000000001</v>
      </c>
      <c r="L219" s="48">
        <v>3.3658E-2</v>
      </c>
      <c r="M219" s="48">
        <v>2.8264999999999998E-2</v>
      </c>
    </row>
    <row r="220" spans="1:13">
      <c r="A220" s="48">
        <v>2459754</v>
      </c>
      <c r="B220" s="49">
        <v>44735</v>
      </c>
      <c r="C220" s="48" t="s">
        <v>93</v>
      </c>
      <c r="D220" s="48">
        <v>0.77029999999999998</v>
      </c>
      <c r="E220" s="48">
        <v>1.05169</v>
      </c>
      <c r="F220" s="48">
        <v>1.2248000000000001</v>
      </c>
      <c r="G220" s="48">
        <v>7.4180000000000001E-3</v>
      </c>
      <c r="H220" s="48">
        <v>0.68972</v>
      </c>
      <c r="I220" s="48">
        <v>0.14921000000000001</v>
      </c>
      <c r="J220" s="48">
        <v>0.71953</v>
      </c>
      <c r="K220" s="48">
        <v>1.0408999999999999</v>
      </c>
      <c r="L220" s="48">
        <v>3.3599999999999998E-2</v>
      </c>
      <c r="M220" s="48">
        <v>2.8115000000000001E-2</v>
      </c>
    </row>
    <row r="221" spans="1:13">
      <c r="A221" s="48">
        <v>2459753</v>
      </c>
      <c r="B221" s="49">
        <v>44734</v>
      </c>
      <c r="C221" s="48" t="s">
        <v>94</v>
      </c>
      <c r="D221" s="48">
        <v>0.77268000000000003</v>
      </c>
      <c r="E221" s="48">
        <v>1.0567899999999999</v>
      </c>
      <c r="F221" s="48">
        <v>1.2273000000000001</v>
      </c>
      <c r="G221" s="48">
        <v>7.3482E-3</v>
      </c>
      <c r="H221" s="48">
        <v>0.69294</v>
      </c>
      <c r="I221" s="48">
        <v>0.1492</v>
      </c>
      <c r="J221" s="48">
        <v>0.72075</v>
      </c>
      <c r="K221" s="48">
        <v>1.0398700000000001</v>
      </c>
      <c r="L221" s="48">
        <v>3.3581E-2</v>
      </c>
      <c r="M221" s="48">
        <v>2.8310999999999999E-2</v>
      </c>
    </row>
    <row r="222" spans="1:13">
      <c r="A222" s="48">
        <v>2459752</v>
      </c>
      <c r="B222" s="49">
        <v>44733</v>
      </c>
      <c r="C222" s="48" t="s">
        <v>95</v>
      </c>
      <c r="D222" s="48">
        <v>0.77346000000000004</v>
      </c>
      <c r="E222" s="48">
        <v>1.05437</v>
      </c>
      <c r="F222" s="48">
        <v>1.2272000000000001</v>
      </c>
      <c r="G222" s="48">
        <v>7.3400999999999996E-3</v>
      </c>
      <c r="H222" s="48">
        <v>0.69726999999999995</v>
      </c>
      <c r="I222" s="48">
        <v>0.14943000000000001</v>
      </c>
      <c r="J222" s="48">
        <v>0.72194000000000003</v>
      </c>
      <c r="K222" s="48">
        <v>1.03511</v>
      </c>
      <c r="L222" s="48">
        <v>3.3621999999999999E-2</v>
      </c>
      <c r="M222" s="48">
        <v>2.8330000000000001E-2</v>
      </c>
    </row>
    <row r="223" spans="1:13">
      <c r="A223" s="48">
        <v>2459751</v>
      </c>
      <c r="B223" s="49">
        <v>44732</v>
      </c>
      <c r="C223" s="48" t="s">
        <v>91</v>
      </c>
      <c r="D223" s="48">
        <v>0.76959</v>
      </c>
      <c r="E223" s="48">
        <v>1.0518700000000001</v>
      </c>
      <c r="F223" s="48">
        <v>1.2245999999999999</v>
      </c>
      <c r="G223" s="48">
        <v>7.4034000000000001E-3</v>
      </c>
      <c r="H223" s="48">
        <v>0.69655</v>
      </c>
      <c r="I223" s="48">
        <v>0.14945</v>
      </c>
      <c r="J223" s="48">
        <v>0.72057000000000004</v>
      </c>
      <c r="K223" s="48">
        <v>1.0339400000000001</v>
      </c>
      <c r="L223" s="48">
        <v>3.3654000000000003E-2</v>
      </c>
      <c r="M223" s="48">
        <v>2.8296000000000002E-2</v>
      </c>
    </row>
    <row r="224" spans="1:13">
      <c r="A224" s="48">
        <v>2459748</v>
      </c>
      <c r="B224" s="49">
        <v>44729</v>
      </c>
      <c r="C224" s="48" t="s">
        <v>92</v>
      </c>
      <c r="D224" s="48">
        <v>0.76715999999999995</v>
      </c>
      <c r="E224" s="48">
        <v>1.0481</v>
      </c>
      <c r="F224" s="48">
        <v>1.2219</v>
      </c>
      <c r="G224" s="48">
        <v>7.4108000000000004E-3</v>
      </c>
      <c r="H224" s="48">
        <v>0.69389999999999996</v>
      </c>
      <c r="I224" s="48">
        <v>0.14898</v>
      </c>
      <c r="J224" s="48">
        <v>0.71997999999999995</v>
      </c>
      <c r="K224" s="48">
        <v>1.03207</v>
      </c>
      <c r="L224" s="48">
        <v>3.3610000000000001E-2</v>
      </c>
      <c r="M224" s="48">
        <v>2.8282999999999999E-2</v>
      </c>
    </row>
    <row r="225" spans="1:13">
      <c r="A225" s="48">
        <v>2459747</v>
      </c>
      <c r="B225" s="49">
        <v>44728</v>
      </c>
      <c r="C225" s="48" t="s">
        <v>93</v>
      </c>
      <c r="D225" s="48">
        <v>0.77351000000000003</v>
      </c>
      <c r="E225" s="48">
        <v>1.05152</v>
      </c>
      <c r="F225" s="48">
        <v>1.2310000000000001</v>
      </c>
      <c r="G225" s="48">
        <v>7.5573000000000003E-3</v>
      </c>
      <c r="H225" s="48">
        <v>0.70096000000000003</v>
      </c>
      <c r="I225" s="48">
        <v>0.14913000000000001</v>
      </c>
      <c r="J225" s="48">
        <v>0.72192000000000001</v>
      </c>
      <c r="K225" s="48">
        <v>1.0327999999999999</v>
      </c>
      <c r="L225" s="48">
        <v>3.3593999999999999E-2</v>
      </c>
      <c r="M225" s="48">
        <v>2.8444000000000001E-2</v>
      </c>
    </row>
    <row r="226" spans="1:13">
      <c r="A226" s="48">
        <v>2459746</v>
      </c>
      <c r="B226" s="49">
        <v>44727</v>
      </c>
      <c r="C226" s="48" t="s">
        <v>94</v>
      </c>
      <c r="D226" s="48">
        <v>0.77232000000000001</v>
      </c>
      <c r="E226" s="48">
        <v>1.0411600000000001</v>
      </c>
      <c r="F226" s="48">
        <v>1.2087000000000001</v>
      </c>
      <c r="G226" s="48">
        <v>7.4374999999999997E-3</v>
      </c>
      <c r="H226" s="48">
        <v>0.69525000000000003</v>
      </c>
      <c r="I226" s="48">
        <v>0.14898</v>
      </c>
      <c r="J226" s="48">
        <v>0.71855999999999998</v>
      </c>
      <c r="K226" s="48">
        <v>0.99953999999999998</v>
      </c>
      <c r="L226" s="48">
        <v>3.3665E-2</v>
      </c>
      <c r="M226" s="48">
        <v>2.8538000000000001E-2</v>
      </c>
    </row>
    <row r="227" spans="1:13">
      <c r="A227" s="48">
        <v>2459745</v>
      </c>
      <c r="B227" s="49">
        <v>44726</v>
      </c>
      <c r="C227" s="48" t="s">
        <v>95</v>
      </c>
      <c r="D227" s="48">
        <v>0.77280000000000004</v>
      </c>
      <c r="E227" s="48">
        <v>1.04274</v>
      </c>
      <c r="F227" s="48">
        <v>1.2017</v>
      </c>
      <c r="G227" s="48">
        <v>7.4187999999999997E-3</v>
      </c>
      <c r="H227" s="48">
        <v>0.68810000000000004</v>
      </c>
      <c r="I227" s="48">
        <v>0.14838000000000001</v>
      </c>
      <c r="J227" s="48">
        <v>0.71792999999999996</v>
      </c>
      <c r="K227" s="48">
        <v>1.0006200000000001</v>
      </c>
      <c r="L227" s="48">
        <v>3.3686000000000001E-2</v>
      </c>
      <c r="M227" s="48">
        <v>2.8577999999999999E-2</v>
      </c>
    </row>
    <row r="228" spans="1:13">
      <c r="A228" s="48">
        <v>2459744</v>
      </c>
      <c r="B228" s="49">
        <v>44725</v>
      </c>
      <c r="C228" s="48" t="s">
        <v>91</v>
      </c>
      <c r="D228" s="48">
        <v>0.77766999999999997</v>
      </c>
      <c r="E228" s="48">
        <v>1.0440199999999999</v>
      </c>
      <c r="F228" s="48">
        <v>1.2166999999999999</v>
      </c>
      <c r="G228" s="48">
        <v>7.4577999999999997E-3</v>
      </c>
      <c r="H228" s="48">
        <v>0.69491999999999998</v>
      </c>
      <c r="I228" s="48">
        <v>0.14815</v>
      </c>
      <c r="J228" s="48">
        <v>0.71848000000000001</v>
      </c>
      <c r="K228" s="48">
        <v>1.00482</v>
      </c>
      <c r="L228" s="48">
        <v>3.3603000000000001E-2</v>
      </c>
      <c r="M228" s="48">
        <v>2.8683E-2</v>
      </c>
    </row>
    <row r="229" spans="1:13">
      <c r="A229" s="48">
        <v>2459741</v>
      </c>
      <c r="B229" s="49">
        <v>44722</v>
      </c>
      <c r="C229" s="48" t="s">
        <v>92</v>
      </c>
      <c r="D229" s="48">
        <v>0.78266000000000002</v>
      </c>
      <c r="E229" s="48">
        <v>1.05267</v>
      </c>
      <c r="F229" s="48">
        <v>1.2342</v>
      </c>
      <c r="G229" s="48">
        <v>7.4508999999999999E-3</v>
      </c>
      <c r="H229" s="48">
        <v>0.70587999999999995</v>
      </c>
      <c r="I229" s="48">
        <v>0.14910000000000001</v>
      </c>
      <c r="J229" s="48">
        <v>0.72130000000000005</v>
      </c>
      <c r="K229" s="48">
        <v>1.01237</v>
      </c>
      <c r="L229" s="48">
        <v>3.3731999999999998E-2</v>
      </c>
      <c r="M229" s="48">
        <v>2.8698000000000001E-2</v>
      </c>
    </row>
    <row r="230" spans="1:13">
      <c r="A230" s="48">
        <v>2459740</v>
      </c>
      <c r="B230" s="49">
        <v>44721</v>
      </c>
      <c r="C230" s="48" t="s">
        <v>93</v>
      </c>
      <c r="D230" s="48">
        <v>0.79088999999999998</v>
      </c>
      <c r="E230" s="48">
        <v>1.0662799999999999</v>
      </c>
      <c r="F230" s="48">
        <v>1.2523</v>
      </c>
      <c r="G230" s="48">
        <v>7.4580999999999996E-3</v>
      </c>
      <c r="H230" s="48">
        <v>0.71250999999999998</v>
      </c>
      <c r="I230" s="48">
        <v>0.14948</v>
      </c>
      <c r="J230" s="48">
        <v>0.72468999999999995</v>
      </c>
      <c r="K230" s="48">
        <v>1.02278</v>
      </c>
      <c r="L230" s="48">
        <v>3.3811000000000001E-2</v>
      </c>
      <c r="M230" s="48">
        <v>2.8808E-2</v>
      </c>
    </row>
    <row r="231" spans="1:13">
      <c r="A231" s="48">
        <v>2459739</v>
      </c>
      <c r="B231" s="49">
        <v>44720</v>
      </c>
      <c r="C231" s="48" t="s">
        <v>94</v>
      </c>
      <c r="D231" s="48">
        <v>0.79744999999999999</v>
      </c>
      <c r="E231" s="48">
        <v>1.07297</v>
      </c>
      <c r="F231" s="48">
        <v>1.2544999999999999</v>
      </c>
      <c r="G231" s="48">
        <v>7.4561000000000002E-3</v>
      </c>
      <c r="H231" s="48">
        <v>0.72048999999999996</v>
      </c>
      <c r="I231" s="48">
        <v>0.14960000000000001</v>
      </c>
      <c r="J231" s="48">
        <v>0.72702999999999995</v>
      </c>
      <c r="K231" s="48">
        <v>1.0244800000000001</v>
      </c>
      <c r="L231" s="48">
        <v>3.3891999999999999E-2</v>
      </c>
      <c r="M231" s="48">
        <v>2.8965000000000001E-2</v>
      </c>
    </row>
    <row r="232" spans="1:13">
      <c r="A232" s="48">
        <v>2459738</v>
      </c>
      <c r="B232" s="49">
        <v>44719</v>
      </c>
      <c r="C232" s="48" t="s">
        <v>95</v>
      </c>
      <c r="D232" s="48">
        <v>0.79649000000000003</v>
      </c>
      <c r="E232" s="48">
        <v>1.0692200000000001</v>
      </c>
      <c r="F232" s="48">
        <v>1.2562</v>
      </c>
      <c r="G232" s="48">
        <v>7.5427999999999997E-3</v>
      </c>
      <c r="H232" s="48">
        <v>0.72067000000000003</v>
      </c>
      <c r="I232" s="48">
        <v>0.14990000000000001</v>
      </c>
      <c r="J232" s="48">
        <v>0.72728000000000004</v>
      </c>
      <c r="K232" s="48">
        <v>1.0269999999999999</v>
      </c>
      <c r="L232" s="48">
        <v>3.3883000000000003E-2</v>
      </c>
      <c r="M232" s="48">
        <v>2.9107999999999998E-2</v>
      </c>
    </row>
    <row r="233" spans="1:13">
      <c r="A233" s="48">
        <v>2459737</v>
      </c>
      <c r="B233" s="49">
        <v>44718</v>
      </c>
      <c r="C233" s="48" t="s">
        <v>91</v>
      </c>
      <c r="D233" s="48">
        <v>0.79591999999999996</v>
      </c>
      <c r="E233" s="48">
        <v>1.0702799999999999</v>
      </c>
      <c r="F233" s="48">
        <v>1.2542</v>
      </c>
      <c r="G233" s="48">
        <v>7.6090000000000003E-3</v>
      </c>
      <c r="H233" s="48">
        <v>0.72070999999999996</v>
      </c>
      <c r="I233" s="48">
        <v>0.15035000000000001</v>
      </c>
      <c r="J233" s="48">
        <v>0.72707999999999995</v>
      </c>
      <c r="K233" s="48">
        <v>1.0332699999999999</v>
      </c>
      <c r="L233" s="48">
        <v>3.4034000000000002E-2</v>
      </c>
      <c r="M233" s="48">
        <v>2.9139000000000002E-2</v>
      </c>
    </row>
    <row r="234" spans="1:13">
      <c r="A234" s="48">
        <v>2459734</v>
      </c>
      <c r="B234" s="49">
        <v>44715</v>
      </c>
      <c r="C234" s="48" t="s">
        <v>92</v>
      </c>
      <c r="D234" s="48">
        <v>0.79498000000000002</v>
      </c>
      <c r="E234" s="48">
        <v>1.0723400000000001</v>
      </c>
      <c r="F234" s="48">
        <v>1.2518</v>
      </c>
      <c r="G234" s="48">
        <v>7.6477000000000003E-3</v>
      </c>
      <c r="H234" s="48">
        <v>0.72199999999999998</v>
      </c>
      <c r="I234" s="48">
        <v>0.15017</v>
      </c>
      <c r="J234" s="48">
        <v>0.72709000000000001</v>
      </c>
      <c r="K234" s="48">
        <v>1.03911</v>
      </c>
      <c r="L234" s="48">
        <v>3.4072999999999999E-2</v>
      </c>
      <c r="M234" s="48">
        <v>2.9146999999999999E-2</v>
      </c>
    </row>
    <row r="235" spans="1:13">
      <c r="A235" s="48">
        <v>2459733</v>
      </c>
      <c r="B235" s="49">
        <v>44714</v>
      </c>
      <c r="C235" s="48" t="s">
        <v>93</v>
      </c>
      <c r="D235" s="48">
        <v>0.79383999999999999</v>
      </c>
      <c r="E235" s="48">
        <v>1.07264</v>
      </c>
      <c r="F235" s="48">
        <v>1.2562</v>
      </c>
      <c r="G235" s="48">
        <v>7.7001999999999999E-3</v>
      </c>
      <c r="H235" s="48">
        <v>0.72453999999999996</v>
      </c>
      <c r="I235" s="48">
        <v>0.15004000000000001</v>
      </c>
      <c r="J235" s="48">
        <v>0.72875000000000001</v>
      </c>
      <c r="K235" s="48">
        <v>1.0426299999999999</v>
      </c>
      <c r="L235" s="48">
        <v>3.4190999999999999E-2</v>
      </c>
      <c r="M235" s="48">
        <v>2.9201999999999999E-2</v>
      </c>
    </row>
    <row r="236" spans="1:13">
      <c r="A236" s="48">
        <v>2459732</v>
      </c>
      <c r="B236" s="49">
        <v>44713</v>
      </c>
      <c r="C236" s="48" t="s">
        <v>94</v>
      </c>
      <c r="D236" s="48">
        <v>0.79120000000000001</v>
      </c>
      <c r="E236" s="48">
        <v>1.06694</v>
      </c>
      <c r="F236" s="48">
        <v>1.2508999999999999</v>
      </c>
      <c r="G236" s="48">
        <v>7.6984000000000002E-3</v>
      </c>
      <c r="H236" s="48">
        <v>0.71889000000000003</v>
      </c>
      <c r="I236" s="48">
        <v>0.14962</v>
      </c>
      <c r="J236" s="48">
        <v>0.72806000000000004</v>
      </c>
      <c r="K236" s="48">
        <v>1.0386899999999999</v>
      </c>
      <c r="L236" s="48">
        <v>3.4243000000000003E-2</v>
      </c>
      <c r="M236" s="48">
        <v>2.9101999999999999E-2</v>
      </c>
    </row>
    <row r="237" spans="1:13">
      <c r="A237" s="48">
        <v>2459731</v>
      </c>
      <c r="B237" s="49">
        <v>44712</v>
      </c>
      <c r="C237" s="48" t="s">
        <v>95</v>
      </c>
      <c r="D237" s="48">
        <v>0.79064000000000001</v>
      </c>
      <c r="E237" s="48">
        <v>1.07219</v>
      </c>
      <c r="F237" s="48">
        <v>1.26</v>
      </c>
      <c r="G237" s="48">
        <v>7.7799000000000002E-3</v>
      </c>
      <c r="H237" s="48">
        <v>0.71774000000000004</v>
      </c>
      <c r="I237" s="48">
        <v>0.14990999999999999</v>
      </c>
      <c r="J237" s="48">
        <v>0.72968</v>
      </c>
      <c r="K237" s="48">
        <v>1.0430900000000001</v>
      </c>
      <c r="L237" s="48">
        <v>3.4456000000000001E-2</v>
      </c>
      <c r="M237" s="48">
        <v>2.92E-2</v>
      </c>
    </row>
    <row r="238" spans="1:13">
      <c r="A238" s="48">
        <v>2459730</v>
      </c>
      <c r="B238" s="49">
        <v>44711</v>
      </c>
      <c r="C238" s="48" t="s">
        <v>91</v>
      </c>
      <c r="D238" s="48">
        <v>0.78976999999999997</v>
      </c>
      <c r="E238" s="48">
        <v>1.0775600000000001</v>
      </c>
      <c r="F238" s="48">
        <v>1.2648999999999999</v>
      </c>
      <c r="G238" s="48">
        <v>7.8344999999999995E-3</v>
      </c>
      <c r="H238" s="48">
        <v>0.71916000000000002</v>
      </c>
      <c r="I238" s="48">
        <v>0.15006</v>
      </c>
      <c r="J238" s="48">
        <v>0.73163999999999996</v>
      </c>
      <c r="K238" s="48">
        <v>1.0436700000000001</v>
      </c>
      <c r="L238" s="48">
        <v>3.4505000000000001E-2</v>
      </c>
      <c r="M238" s="48">
        <v>2.9367999999999998E-2</v>
      </c>
    </row>
    <row r="239" spans="1:13">
      <c r="A239" s="48">
        <v>2459727</v>
      </c>
      <c r="B239" s="49">
        <v>44708</v>
      </c>
      <c r="C239" s="48" t="s">
        <v>92</v>
      </c>
      <c r="D239" s="48">
        <v>0.78505000000000003</v>
      </c>
      <c r="E239" s="48">
        <v>1.0720700000000001</v>
      </c>
      <c r="F239" s="48">
        <v>1.2622</v>
      </c>
      <c r="G239" s="48">
        <v>7.8741000000000002E-3</v>
      </c>
      <c r="H239" s="48">
        <v>0.71518999999999999</v>
      </c>
      <c r="I239" s="48">
        <v>0.14932000000000001</v>
      </c>
      <c r="J239" s="48">
        <v>0.73041</v>
      </c>
      <c r="K239" s="48">
        <v>1.04467</v>
      </c>
      <c r="L239" s="48">
        <v>3.415E-2</v>
      </c>
      <c r="M239" s="48">
        <v>2.9311E-2</v>
      </c>
    </row>
    <row r="240" spans="1:13">
      <c r="A240" s="48">
        <v>2459726</v>
      </c>
      <c r="B240" s="49">
        <v>44707</v>
      </c>
      <c r="C240" s="48" t="s">
        <v>93</v>
      </c>
      <c r="D240" s="48">
        <v>0.78173999999999999</v>
      </c>
      <c r="E240" s="48">
        <v>1.07145</v>
      </c>
      <c r="F240" s="48">
        <v>1.2581</v>
      </c>
      <c r="G240" s="48">
        <v>7.8642999999999994E-3</v>
      </c>
      <c r="H240" s="48">
        <v>0.70857000000000003</v>
      </c>
      <c r="I240" s="48">
        <v>0.14845</v>
      </c>
      <c r="J240" s="48">
        <v>0.72787999999999997</v>
      </c>
      <c r="K240" s="48">
        <v>1.0416700000000001</v>
      </c>
      <c r="L240" s="48">
        <v>3.3989999999999999E-2</v>
      </c>
      <c r="M240" s="48">
        <v>2.9302999999999999E-2</v>
      </c>
    </row>
    <row r="241" spans="1:13">
      <c r="A241" s="48">
        <v>2459725</v>
      </c>
      <c r="B241" s="49">
        <v>44706</v>
      </c>
      <c r="C241" s="48" t="s">
        <v>94</v>
      </c>
      <c r="D241" s="48">
        <v>0.77900000000000003</v>
      </c>
      <c r="E241" s="48">
        <v>1.06684</v>
      </c>
      <c r="F241" s="48">
        <v>1.2539</v>
      </c>
      <c r="G241" s="48">
        <v>7.8601000000000001E-3</v>
      </c>
      <c r="H241" s="48">
        <v>0.70670999999999995</v>
      </c>
      <c r="I241" s="48">
        <v>0.14940999999999999</v>
      </c>
      <c r="J241" s="48">
        <v>0.72657000000000005</v>
      </c>
      <c r="K241" s="48">
        <v>1.03895</v>
      </c>
      <c r="L241" s="48">
        <v>3.3847000000000002E-2</v>
      </c>
      <c r="M241" s="48">
        <v>2.9242000000000001E-2</v>
      </c>
    </row>
    <row r="242" spans="1:13">
      <c r="A242" s="48">
        <v>2459724</v>
      </c>
      <c r="B242" s="49">
        <v>44705</v>
      </c>
      <c r="C242" s="48" t="s">
        <v>95</v>
      </c>
      <c r="D242" s="48">
        <v>0.77966999999999997</v>
      </c>
      <c r="E242" s="48">
        <v>1.0728200000000001</v>
      </c>
      <c r="F242" s="48">
        <v>1.2521</v>
      </c>
      <c r="G242" s="48">
        <v>7.8902E-3</v>
      </c>
      <c r="H242" s="48">
        <v>0.70831999999999995</v>
      </c>
      <c r="I242" s="48">
        <v>0.15024000000000001</v>
      </c>
      <c r="J242" s="48">
        <v>0.72875999999999996</v>
      </c>
      <c r="K242" s="48">
        <v>1.0407</v>
      </c>
      <c r="L242" s="48">
        <v>3.3774999999999999E-2</v>
      </c>
      <c r="M242" s="48">
        <v>2.9207E-2</v>
      </c>
    </row>
    <row r="243" spans="1:13">
      <c r="A243" s="48">
        <v>2459720</v>
      </c>
      <c r="B243" s="49">
        <v>44701</v>
      </c>
      <c r="C243" s="48" t="s">
        <v>92</v>
      </c>
      <c r="D243" s="48">
        <v>0.77947999999999995</v>
      </c>
      <c r="E243" s="48">
        <v>1.05558</v>
      </c>
      <c r="F243" s="48">
        <v>1.2476</v>
      </c>
      <c r="G243" s="48">
        <v>7.8182000000000008E-3</v>
      </c>
      <c r="H243" s="48">
        <v>0.70348999999999995</v>
      </c>
      <c r="I243" s="48">
        <v>0.14951</v>
      </c>
      <c r="J243" s="48">
        <v>0.72430000000000005</v>
      </c>
      <c r="K243" s="48">
        <v>1.02596</v>
      </c>
      <c r="L243" s="48">
        <v>3.3666000000000001E-2</v>
      </c>
      <c r="M243" s="48">
        <v>2.9058E-2</v>
      </c>
    </row>
    <row r="244" spans="1:13">
      <c r="A244" s="48">
        <v>2459719</v>
      </c>
      <c r="B244" s="49">
        <v>44700</v>
      </c>
      <c r="C244" s="48" t="s">
        <v>93</v>
      </c>
      <c r="D244" s="48">
        <v>0.78069999999999995</v>
      </c>
      <c r="E244" s="48">
        <v>1.05769</v>
      </c>
      <c r="F244" s="48">
        <v>1.2484999999999999</v>
      </c>
      <c r="G244" s="48">
        <v>7.8382E-3</v>
      </c>
      <c r="H244" s="48">
        <v>0.70489999999999997</v>
      </c>
      <c r="I244" s="48">
        <v>0.14879999999999999</v>
      </c>
      <c r="J244" s="48">
        <v>0.72426000000000001</v>
      </c>
      <c r="K244" s="48">
        <v>1.0286500000000001</v>
      </c>
      <c r="L244" s="48">
        <v>3.3655999999999998E-2</v>
      </c>
      <c r="M244" s="48">
        <v>2.8978E-2</v>
      </c>
    </row>
    <row r="245" spans="1:13">
      <c r="A245" s="48">
        <v>2459718</v>
      </c>
      <c r="B245" s="49">
        <v>44699</v>
      </c>
      <c r="C245" s="48" t="s">
        <v>94</v>
      </c>
      <c r="D245" s="48">
        <v>0.77876000000000001</v>
      </c>
      <c r="E245" s="48">
        <v>1.04976</v>
      </c>
      <c r="F245" s="48">
        <v>1.2387999999999999</v>
      </c>
      <c r="G245" s="48">
        <v>7.7876000000000004E-3</v>
      </c>
      <c r="H245" s="48">
        <v>0.69940000000000002</v>
      </c>
      <c r="I245" s="48">
        <v>0.14812</v>
      </c>
      <c r="J245" s="48">
        <v>0.72035000000000005</v>
      </c>
      <c r="K245" s="48">
        <v>1.0095799999999999</v>
      </c>
      <c r="L245" s="48">
        <v>3.3603000000000001E-2</v>
      </c>
      <c r="M245" s="48">
        <v>2.8858000000000002E-2</v>
      </c>
    </row>
    <row r="246" spans="1:13">
      <c r="A246" s="48">
        <v>2459717</v>
      </c>
      <c r="B246" s="49">
        <v>44698</v>
      </c>
      <c r="C246" s="48" t="s">
        <v>95</v>
      </c>
      <c r="D246" s="48">
        <v>0.77917999999999998</v>
      </c>
      <c r="E246" s="48">
        <v>1.05392</v>
      </c>
      <c r="F246" s="48">
        <v>1.2476</v>
      </c>
      <c r="G246" s="48">
        <v>7.7295000000000003E-3</v>
      </c>
      <c r="H246" s="48">
        <v>0.70172999999999996</v>
      </c>
      <c r="I246" s="48">
        <v>0.14851</v>
      </c>
      <c r="J246" s="48">
        <v>0.72199000000000002</v>
      </c>
      <c r="K246" s="48">
        <v>1.0068600000000001</v>
      </c>
      <c r="L246" s="48">
        <v>3.3745999999999998E-2</v>
      </c>
      <c r="M246" s="48">
        <v>2.8965999999999999E-2</v>
      </c>
    </row>
    <row r="247" spans="1:13">
      <c r="A247" s="48">
        <v>2459716</v>
      </c>
      <c r="B247" s="49">
        <v>44697</v>
      </c>
      <c r="C247" s="48" t="s">
        <v>91</v>
      </c>
      <c r="D247" s="48">
        <v>0.77592000000000005</v>
      </c>
      <c r="E247" s="48">
        <v>1.04213</v>
      </c>
      <c r="F247" s="48">
        <v>1.2274</v>
      </c>
      <c r="G247" s="48">
        <v>7.7437000000000001E-3</v>
      </c>
      <c r="H247" s="48">
        <v>0.69443999999999995</v>
      </c>
      <c r="I247" s="48">
        <v>0.14735000000000001</v>
      </c>
      <c r="J247" s="48">
        <v>0.71757000000000004</v>
      </c>
      <c r="K247" s="48">
        <v>0.99634999999999996</v>
      </c>
      <c r="L247" s="48">
        <v>3.3582000000000001E-2</v>
      </c>
      <c r="M247" s="48">
        <v>2.8819000000000001E-2</v>
      </c>
    </row>
    <row r="248" spans="1:13">
      <c r="A248" s="48">
        <v>2459713</v>
      </c>
      <c r="B248" s="49">
        <v>44694</v>
      </c>
      <c r="C248" s="48" t="s">
        <v>92</v>
      </c>
      <c r="D248" s="48">
        <v>0.77202000000000004</v>
      </c>
      <c r="E248" s="48">
        <v>1.0395300000000001</v>
      </c>
      <c r="F248" s="48">
        <v>1.222</v>
      </c>
      <c r="G248" s="48">
        <v>7.7356999999999999E-3</v>
      </c>
      <c r="H248" s="48">
        <v>0.69103999999999999</v>
      </c>
      <c r="I248" s="48">
        <v>0.14721999999999999</v>
      </c>
      <c r="J248" s="48">
        <v>0.71721000000000001</v>
      </c>
      <c r="K248" s="48">
        <v>0.99792000000000003</v>
      </c>
      <c r="L248" s="48">
        <v>3.3543999999999997E-2</v>
      </c>
      <c r="M248" s="48">
        <v>2.8874E-2</v>
      </c>
    </row>
    <row r="249" spans="1:13">
      <c r="A249" s="48">
        <v>2459712</v>
      </c>
      <c r="B249" s="49">
        <v>44693</v>
      </c>
      <c r="C249" s="48" t="s">
        <v>93</v>
      </c>
      <c r="D249" s="48">
        <v>0.76693</v>
      </c>
      <c r="E249" s="48">
        <v>1.03911</v>
      </c>
      <c r="F249" s="48">
        <v>1.2204999999999999</v>
      </c>
      <c r="G249" s="48">
        <v>7.7996999999999997E-3</v>
      </c>
      <c r="H249" s="48">
        <v>0.68586999999999998</v>
      </c>
      <c r="I249" s="48">
        <v>0.14732999999999999</v>
      </c>
      <c r="J249" s="48">
        <v>0.71608000000000005</v>
      </c>
      <c r="K249" s="48">
        <v>0.99907999999999997</v>
      </c>
      <c r="L249" s="48">
        <v>3.3484E-2</v>
      </c>
      <c r="M249" s="48">
        <v>2.8787E-2</v>
      </c>
    </row>
    <row r="250" spans="1:13">
      <c r="A250" s="48">
        <v>2459711</v>
      </c>
      <c r="B250" s="49">
        <v>44692</v>
      </c>
      <c r="C250" s="48" t="s">
        <v>94</v>
      </c>
      <c r="D250" s="48">
        <v>0.77100999999999997</v>
      </c>
      <c r="E250" s="48">
        <v>1.05382</v>
      </c>
      <c r="F250" s="48">
        <v>1.2311000000000001</v>
      </c>
      <c r="G250" s="48">
        <v>7.6870000000000003E-3</v>
      </c>
      <c r="H250" s="48">
        <v>0.69760999999999995</v>
      </c>
      <c r="I250" s="48">
        <v>0.14879999999999999</v>
      </c>
      <c r="J250" s="48">
        <v>0.72065999999999997</v>
      </c>
      <c r="K250" s="48">
        <v>1.0084</v>
      </c>
      <c r="L250" s="48">
        <v>3.3654999999999997E-2</v>
      </c>
      <c r="M250" s="48">
        <v>2.8913999999999999E-2</v>
      </c>
    </row>
    <row r="251" spans="1:13">
      <c r="A251" s="48">
        <v>2459710</v>
      </c>
      <c r="B251" s="49">
        <v>44691</v>
      </c>
      <c r="C251" s="48" t="s">
        <v>95</v>
      </c>
      <c r="D251" s="48">
        <v>0.76851999999999998</v>
      </c>
      <c r="E251" s="48">
        <v>1.0541</v>
      </c>
      <c r="F251" s="48">
        <v>1.232</v>
      </c>
      <c r="G251" s="48">
        <v>7.6775000000000003E-3</v>
      </c>
      <c r="H251" s="48">
        <v>0.69466000000000006</v>
      </c>
      <c r="I251" s="48">
        <v>0.14854999999999999</v>
      </c>
      <c r="J251" s="48">
        <v>0.71926000000000001</v>
      </c>
      <c r="K251" s="48">
        <v>1.0058400000000001</v>
      </c>
      <c r="L251" s="48">
        <v>3.3683999999999999E-2</v>
      </c>
      <c r="M251" s="48">
        <v>2.8902000000000001E-2</v>
      </c>
    </row>
    <row r="252" spans="1:13">
      <c r="A252" s="48">
        <v>2459709</v>
      </c>
      <c r="B252" s="49">
        <v>44690</v>
      </c>
      <c r="C252" s="48" t="s">
        <v>91</v>
      </c>
      <c r="D252" s="48">
        <v>0.77137</v>
      </c>
      <c r="E252" s="48">
        <v>1.0554600000000001</v>
      </c>
      <c r="F252" s="48">
        <v>1.2344999999999999</v>
      </c>
      <c r="G252" s="48">
        <v>7.6674000000000004E-3</v>
      </c>
      <c r="H252" s="48">
        <v>0.69862999999999997</v>
      </c>
      <c r="I252" s="48">
        <v>0.14863999999999999</v>
      </c>
      <c r="J252" s="48">
        <v>0.71914</v>
      </c>
      <c r="K252" s="48">
        <v>1.00725</v>
      </c>
      <c r="L252" s="48">
        <v>3.3554E-2</v>
      </c>
      <c r="M252" s="48">
        <v>2.8861999999999999E-2</v>
      </c>
    </row>
    <row r="253" spans="1:13">
      <c r="A253" s="48">
        <v>2459706</v>
      </c>
      <c r="B253" s="49">
        <v>44687</v>
      </c>
      <c r="C253" s="48" t="s">
        <v>92</v>
      </c>
      <c r="D253" s="48">
        <v>0.77627999999999997</v>
      </c>
      <c r="E253" s="48">
        <v>1.05667</v>
      </c>
      <c r="F253" s="48">
        <v>1.2343</v>
      </c>
      <c r="G253" s="48">
        <v>7.6619000000000001E-3</v>
      </c>
      <c r="H253" s="48">
        <v>0.70896999999999999</v>
      </c>
      <c r="I253" s="48">
        <v>0.14998</v>
      </c>
      <c r="J253" s="48">
        <v>0.72209000000000001</v>
      </c>
      <c r="K253" s="48">
        <v>1.0135799999999999</v>
      </c>
      <c r="L253" s="48">
        <v>3.3714000000000001E-2</v>
      </c>
      <c r="M253" s="48">
        <v>2.8996000000000001E-2</v>
      </c>
    </row>
    <row r="254" spans="1:13">
      <c r="A254" s="48">
        <v>2459705</v>
      </c>
      <c r="B254" s="49">
        <v>44686</v>
      </c>
      <c r="C254" s="48" t="s">
        <v>93</v>
      </c>
      <c r="D254" s="48">
        <v>0.77990999999999999</v>
      </c>
      <c r="E254" s="48">
        <v>1.05288</v>
      </c>
      <c r="F254" s="48">
        <v>1.2359</v>
      </c>
      <c r="G254" s="48">
        <v>7.6743000000000002E-3</v>
      </c>
      <c r="H254" s="48">
        <v>0.71236999999999995</v>
      </c>
      <c r="I254" s="48">
        <v>0.15043999999999999</v>
      </c>
      <c r="J254" s="48">
        <v>0.72250999999999999</v>
      </c>
      <c r="K254" s="48">
        <v>1.01451</v>
      </c>
      <c r="L254" s="48">
        <v>3.3723000000000003E-2</v>
      </c>
      <c r="M254" s="48">
        <v>2.9189E-2</v>
      </c>
    </row>
    <row r="255" spans="1:13">
      <c r="A255" s="48">
        <v>2459704</v>
      </c>
      <c r="B255" s="49">
        <v>44685</v>
      </c>
      <c r="C255" s="48" t="s">
        <v>94</v>
      </c>
      <c r="D255" s="48">
        <v>0.78064</v>
      </c>
      <c r="E255" s="48">
        <v>1.0552699999999999</v>
      </c>
      <c r="F255" s="48">
        <v>1.2512000000000001</v>
      </c>
      <c r="G255" s="48">
        <v>7.6971000000000001E-3</v>
      </c>
      <c r="H255" s="48">
        <v>0.71560999999999997</v>
      </c>
      <c r="I255" s="48">
        <v>0.15129000000000001</v>
      </c>
      <c r="J255" s="48">
        <v>0.72419999999999995</v>
      </c>
      <c r="K255" s="48">
        <v>1.01928</v>
      </c>
      <c r="L255" s="48">
        <v>3.3888000000000001E-2</v>
      </c>
      <c r="M255" s="48">
        <v>2.9159000000000001E-2</v>
      </c>
    </row>
    <row r="256" spans="1:13">
      <c r="A256" s="48">
        <v>2459703</v>
      </c>
      <c r="B256" s="49">
        <v>44684</v>
      </c>
      <c r="C256" s="48" t="s">
        <v>95</v>
      </c>
      <c r="D256" s="48">
        <v>0.77839000000000003</v>
      </c>
      <c r="E256" s="48">
        <v>1.0537099999999999</v>
      </c>
      <c r="F256" s="48">
        <v>1.2514000000000001</v>
      </c>
      <c r="G256" s="48">
        <v>7.6905000000000003E-3</v>
      </c>
      <c r="H256" s="48">
        <v>0.71013000000000004</v>
      </c>
      <c r="I256" s="48">
        <v>0.15132000000000001</v>
      </c>
      <c r="J256" s="48">
        <v>0.72258</v>
      </c>
      <c r="K256" s="48">
        <v>1.0232000000000001</v>
      </c>
      <c r="L256" s="48">
        <v>3.3898999999999999E-2</v>
      </c>
      <c r="M256" s="48">
        <v>2.9028999999999999E-2</v>
      </c>
    </row>
    <row r="257" spans="1:13">
      <c r="A257" s="48">
        <v>2459702</v>
      </c>
      <c r="B257" s="49">
        <v>44683</v>
      </c>
      <c r="C257" s="48" t="s">
        <v>91</v>
      </c>
      <c r="D257" s="48">
        <v>0.77549000000000001</v>
      </c>
      <c r="E257" s="48">
        <v>1.0512600000000001</v>
      </c>
      <c r="F257" s="48">
        <v>1.2515000000000001</v>
      </c>
      <c r="G257" s="48">
        <v>7.6851999999999997E-3</v>
      </c>
      <c r="H257" s="48">
        <v>0.70484999999999998</v>
      </c>
      <c r="I257" s="48">
        <v>0.15129999999999999</v>
      </c>
      <c r="J257" s="48">
        <v>0.72113000000000005</v>
      </c>
      <c r="K257" s="48">
        <v>1.0235000000000001</v>
      </c>
      <c r="L257" s="48">
        <v>3.3866E-2</v>
      </c>
      <c r="M257" s="48">
        <v>2.9041999999999998E-2</v>
      </c>
    </row>
    <row r="258" spans="1:13">
      <c r="A258" s="48">
        <v>2459699</v>
      </c>
      <c r="B258" s="49">
        <v>44680</v>
      </c>
      <c r="C258" s="48" t="s">
        <v>92</v>
      </c>
      <c r="D258" s="48">
        <v>0.78173999999999999</v>
      </c>
      <c r="E258" s="48">
        <v>1.0547200000000001</v>
      </c>
      <c r="F258" s="48">
        <v>1.2569999999999999</v>
      </c>
      <c r="G258" s="48">
        <v>7.7000999999999997E-3</v>
      </c>
      <c r="H258" s="48">
        <v>0.71138000000000001</v>
      </c>
      <c r="I258" s="48">
        <v>0.15142</v>
      </c>
      <c r="J258" s="48">
        <v>0.72389000000000003</v>
      </c>
      <c r="K258" s="48">
        <v>1.02939</v>
      </c>
      <c r="L258" s="48">
        <v>3.3973999999999997E-2</v>
      </c>
      <c r="M258" s="48">
        <v>2.9132999999999999E-2</v>
      </c>
    </row>
    <row r="259" spans="1:13">
      <c r="A259" s="48">
        <v>2459698</v>
      </c>
      <c r="B259" s="49">
        <v>44679</v>
      </c>
      <c r="C259" s="48" t="s">
        <v>93</v>
      </c>
      <c r="D259" s="48">
        <v>0.77947999999999995</v>
      </c>
      <c r="E259" s="48">
        <v>1.0505100000000001</v>
      </c>
      <c r="F259" s="48">
        <v>1.2450000000000001</v>
      </c>
      <c r="G259" s="48">
        <v>7.6388999999999997E-3</v>
      </c>
      <c r="H259" s="48">
        <v>0.70877999999999997</v>
      </c>
      <c r="I259" s="48">
        <v>0.15099000000000001</v>
      </c>
      <c r="J259" s="48">
        <v>0.72070999999999996</v>
      </c>
      <c r="K259" s="48">
        <v>1.02837</v>
      </c>
      <c r="L259" s="48">
        <v>3.3845E-2</v>
      </c>
      <c r="M259" s="48">
        <v>2.9103E-2</v>
      </c>
    </row>
    <row r="260" spans="1:13">
      <c r="A260" s="48">
        <v>2459697</v>
      </c>
      <c r="B260" s="49">
        <v>44678</v>
      </c>
      <c r="C260" s="48" t="s">
        <v>94</v>
      </c>
      <c r="D260" s="48">
        <v>0.77954999999999997</v>
      </c>
      <c r="E260" s="48">
        <v>1.0555000000000001</v>
      </c>
      <c r="F260" s="48">
        <v>1.2547999999999999</v>
      </c>
      <c r="G260" s="48">
        <v>7.7955000000000003E-3</v>
      </c>
      <c r="H260" s="48">
        <v>0.71282000000000001</v>
      </c>
      <c r="I260" s="48">
        <v>0.15248</v>
      </c>
      <c r="J260" s="48">
        <v>0.72443000000000002</v>
      </c>
      <c r="K260" s="48">
        <v>1.0323500000000001</v>
      </c>
      <c r="L260" s="48">
        <v>3.3995999999999998E-2</v>
      </c>
      <c r="M260" s="48">
        <v>2.9121000000000001E-2</v>
      </c>
    </row>
    <row r="261" spans="1:13">
      <c r="A261" s="48">
        <v>2459696</v>
      </c>
      <c r="B261" s="49">
        <v>44677</v>
      </c>
      <c r="C261" s="48" t="s">
        <v>95</v>
      </c>
      <c r="D261" s="48">
        <v>0.78142999999999996</v>
      </c>
      <c r="E261" s="48">
        <v>1.0658700000000001</v>
      </c>
      <c r="F261" s="48">
        <v>1.2627999999999999</v>
      </c>
      <c r="G261" s="48">
        <v>7.8455999999999994E-3</v>
      </c>
      <c r="H261" s="48">
        <v>0.71609999999999996</v>
      </c>
      <c r="I261" s="48">
        <v>0.15254000000000001</v>
      </c>
      <c r="J261" s="48">
        <v>0.72633999999999999</v>
      </c>
      <c r="K261" s="48">
        <v>1.04149</v>
      </c>
      <c r="L261" s="48">
        <v>3.4077999999999997E-2</v>
      </c>
      <c r="M261" s="48">
        <v>2.9068E-2</v>
      </c>
    </row>
    <row r="262" spans="1:13">
      <c r="A262" s="48">
        <v>2459695</v>
      </c>
      <c r="B262" s="49">
        <v>44676</v>
      </c>
      <c r="C262" s="48" t="s">
        <v>91</v>
      </c>
      <c r="D262" s="48">
        <v>0.78381999999999996</v>
      </c>
      <c r="E262" s="48">
        <v>1.0718799999999999</v>
      </c>
      <c r="F262" s="48">
        <v>1.2728999999999999</v>
      </c>
      <c r="G262" s="48">
        <v>7.8226000000000007E-3</v>
      </c>
      <c r="H262" s="48">
        <v>0.71601999999999999</v>
      </c>
      <c r="I262" s="48">
        <v>0.15245</v>
      </c>
      <c r="J262" s="48">
        <v>0.72755000000000003</v>
      </c>
      <c r="K262" s="48">
        <v>1.0440499999999999</v>
      </c>
      <c r="L262" s="48">
        <v>3.4127999999999999E-2</v>
      </c>
      <c r="M262" s="48">
        <v>2.9406000000000002E-2</v>
      </c>
    </row>
    <row r="263" spans="1:13">
      <c r="A263" s="48">
        <v>2459692</v>
      </c>
      <c r="B263" s="49">
        <v>44673</v>
      </c>
      <c r="C263" s="48" t="s">
        <v>92</v>
      </c>
      <c r="D263" s="48">
        <v>0.78727999999999998</v>
      </c>
      <c r="E263" s="48">
        <v>1.0796699999999999</v>
      </c>
      <c r="F263" s="48">
        <v>1.2851999999999999</v>
      </c>
      <c r="G263" s="48">
        <v>7.7783000000000001E-3</v>
      </c>
      <c r="H263" s="48">
        <v>0.72609999999999997</v>
      </c>
      <c r="I263" s="48">
        <v>0.15382999999999999</v>
      </c>
      <c r="J263" s="48">
        <v>0.72996000000000005</v>
      </c>
      <c r="K263" s="48">
        <v>1.0448</v>
      </c>
      <c r="L263" s="48">
        <v>3.4120999999999999E-2</v>
      </c>
      <c r="M263" s="48">
        <v>2.9399999999999999E-2</v>
      </c>
    </row>
    <row r="264" spans="1:13">
      <c r="A264" s="48">
        <v>2459691</v>
      </c>
      <c r="B264" s="49">
        <v>44672</v>
      </c>
      <c r="C264" s="48" t="s">
        <v>93</v>
      </c>
      <c r="D264" s="48">
        <v>0.79815000000000003</v>
      </c>
      <c r="E264" s="48">
        <v>1.0858000000000001</v>
      </c>
      <c r="F264" s="48">
        <v>1.3042</v>
      </c>
      <c r="G264" s="48">
        <v>7.7898999999999998E-3</v>
      </c>
      <c r="H264" s="48">
        <v>0.73933000000000004</v>
      </c>
      <c r="I264" s="48">
        <v>0.15508</v>
      </c>
      <c r="J264" s="48">
        <v>0.73380999999999996</v>
      </c>
      <c r="K264" s="48">
        <v>1.0506</v>
      </c>
      <c r="L264" s="48">
        <v>3.4176999999999999E-2</v>
      </c>
      <c r="M264" s="48">
        <v>2.9423999999999999E-2</v>
      </c>
    </row>
    <row r="265" spans="1:13">
      <c r="A265" s="48">
        <v>2459690</v>
      </c>
      <c r="B265" s="49">
        <v>44671</v>
      </c>
      <c r="C265" s="48" t="s">
        <v>94</v>
      </c>
      <c r="D265" s="48">
        <v>0.79986999999999997</v>
      </c>
      <c r="E265" s="48">
        <v>1.08463</v>
      </c>
      <c r="F265" s="48">
        <v>1.3052999999999999</v>
      </c>
      <c r="G265" s="48">
        <v>7.8227999999999995E-3</v>
      </c>
      <c r="H265" s="48">
        <v>0.74428000000000005</v>
      </c>
      <c r="I265" s="48">
        <v>0.15581999999999999</v>
      </c>
      <c r="J265" s="48">
        <v>0.73324</v>
      </c>
      <c r="K265" s="48">
        <v>1.0549500000000001</v>
      </c>
      <c r="L265" s="48">
        <v>3.4195000000000003E-2</v>
      </c>
      <c r="M265" s="48">
        <v>2.9703E-2</v>
      </c>
    </row>
    <row r="266" spans="1:13">
      <c r="A266" s="48">
        <v>2459689</v>
      </c>
      <c r="B266" s="49">
        <v>44670</v>
      </c>
      <c r="C266" s="48" t="s">
        <v>95</v>
      </c>
      <c r="D266" s="48">
        <v>0.79213999999999996</v>
      </c>
      <c r="E266" s="48">
        <v>1.0792900000000001</v>
      </c>
      <c r="F266" s="48">
        <v>1.3001</v>
      </c>
      <c r="G266" s="48">
        <v>7.7708999999999999E-3</v>
      </c>
      <c r="H266" s="48">
        <v>0.73724999999999996</v>
      </c>
      <c r="I266" s="48">
        <v>0.15645000000000001</v>
      </c>
      <c r="J266" s="48">
        <v>0.73129999999999995</v>
      </c>
      <c r="K266" s="48">
        <v>1.0541</v>
      </c>
      <c r="L266" s="48">
        <v>3.4132999999999997E-2</v>
      </c>
      <c r="M266" s="48">
        <v>2.9610000000000001E-2</v>
      </c>
    </row>
    <row r="267" spans="1:13">
      <c r="A267" s="48">
        <v>2459688</v>
      </c>
      <c r="B267" s="49">
        <v>44669</v>
      </c>
      <c r="C267" s="48" t="s">
        <v>91</v>
      </c>
      <c r="D267" s="48">
        <v>0.79252</v>
      </c>
      <c r="E267" s="48">
        <v>1.07894</v>
      </c>
      <c r="F267" s="48">
        <v>1.3019000000000001</v>
      </c>
      <c r="G267" s="48">
        <v>7.8855000000000001E-3</v>
      </c>
      <c r="H267" s="48">
        <v>0.73577999999999999</v>
      </c>
      <c r="I267" s="48">
        <v>0.15708</v>
      </c>
      <c r="J267" s="48">
        <v>0.73451</v>
      </c>
      <c r="K267" s="48">
        <v>1.0593600000000001</v>
      </c>
      <c r="L267" s="48">
        <v>3.4188999999999997E-2</v>
      </c>
      <c r="M267" s="48"/>
    </row>
    <row r="268" spans="1:13">
      <c r="A268" s="48">
        <v>2459684</v>
      </c>
      <c r="B268" s="49">
        <v>44665</v>
      </c>
      <c r="C268" s="48" t="s">
        <v>93</v>
      </c>
      <c r="D268" s="48">
        <v>0.79359000000000002</v>
      </c>
      <c r="E268" s="48">
        <v>1.08206</v>
      </c>
      <c r="F268" s="48">
        <v>1.3071999999999999</v>
      </c>
      <c r="G268" s="48">
        <v>7.9438000000000009E-3</v>
      </c>
      <c r="H268" s="48">
        <v>0.74209000000000003</v>
      </c>
      <c r="I268" s="48">
        <v>0.15681</v>
      </c>
      <c r="J268" s="48">
        <v>0.73701000000000005</v>
      </c>
      <c r="K268" s="48">
        <v>1.0622199999999999</v>
      </c>
      <c r="L268" s="48">
        <v>3.4410000000000003E-2</v>
      </c>
      <c r="M268" s="48">
        <v>2.9613E-2</v>
      </c>
    </row>
    <row r="269" spans="1:13">
      <c r="A269" s="48">
        <v>2459683</v>
      </c>
      <c r="B269" s="49">
        <v>44664</v>
      </c>
      <c r="C269" s="48" t="s">
        <v>94</v>
      </c>
      <c r="D269" s="48">
        <v>0.79320999999999997</v>
      </c>
      <c r="E269" s="48">
        <v>1.0859000000000001</v>
      </c>
      <c r="F269" s="48">
        <v>1.3061</v>
      </c>
      <c r="G269" s="48">
        <v>7.9559000000000001E-3</v>
      </c>
      <c r="H269" s="48">
        <v>0.74275999999999998</v>
      </c>
      <c r="I269" s="48">
        <v>0.15706000000000001</v>
      </c>
      <c r="J269" s="48">
        <v>0.73348000000000002</v>
      </c>
      <c r="K269" s="48">
        <v>1.0705199999999999</v>
      </c>
      <c r="L269" s="48">
        <v>3.4449E-2</v>
      </c>
      <c r="M269" s="48">
        <v>2.9932E-2</v>
      </c>
    </row>
    <row r="270" spans="1:13">
      <c r="A270" s="48">
        <v>2459682</v>
      </c>
      <c r="B270" s="49">
        <v>44663</v>
      </c>
      <c r="C270" s="48" t="s">
        <v>95</v>
      </c>
      <c r="D270" s="48">
        <v>0.79257999999999995</v>
      </c>
      <c r="E270" s="48">
        <v>1.08544</v>
      </c>
      <c r="F270" s="48">
        <v>1.3026</v>
      </c>
      <c r="G270" s="48">
        <v>7.9813000000000002E-3</v>
      </c>
      <c r="H270" s="48">
        <v>0.74707999999999997</v>
      </c>
      <c r="I270" s="48">
        <v>0.15709000000000001</v>
      </c>
      <c r="J270" s="48">
        <v>0.73377000000000003</v>
      </c>
      <c r="K270" s="48">
        <v>1.07426</v>
      </c>
      <c r="L270" s="48">
        <v>3.4349999999999999E-2</v>
      </c>
      <c r="M270" s="48">
        <v>2.9776E-2</v>
      </c>
    </row>
    <row r="271" spans="1:13">
      <c r="A271" s="48">
        <v>2459681</v>
      </c>
      <c r="B271" s="49">
        <v>44662</v>
      </c>
      <c r="C271" s="48" t="s">
        <v>91</v>
      </c>
      <c r="D271" s="48">
        <v>0.79232999999999998</v>
      </c>
      <c r="E271" s="48">
        <v>1.08874</v>
      </c>
      <c r="F271" s="48">
        <v>1.3030999999999999</v>
      </c>
      <c r="G271" s="48">
        <v>7.9629000000000002E-3</v>
      </c>
      <c r="H271" s="48">
        <v>0.74256999999999995</v>
      </c>
      <c r="I271" s="48">
        <v>0.15695999999999999</v>
      </c>
      <c r="J271" s="48">
        <v>0.73250999999999999</v>
      </c>
      <c r="K271" s="48">
        <v>1.0730500000000001</v>
      </c>
      <c r="L271" s="48">
        <v>3.4410999999999997E-2</v>
      </c>
      <c r="M271" s="48">
        <v>2.9729999999999999E-2</v>
      </c>
    </row>
    <row r="272" spans="1:13">
      <c r="A272" s="48">
        <v>2459678</v>
      </c>
      <c r="B272" s="49">
        <v>44659</v>
      </c>
      <c r="C272" s="48" t="s">
        <v>92</v>
      </c>
      <c r="D272" s="48">
        <v>0.79434000000000005</v>
      </c>
      <c r="E272" s="48">
        <v>1.08666</v>
      </c>
      <c r="F272" s="48">
        <v>1.3022</v>
      </c>
      <c r="G272" s="48">
        <v>8.0388000000000005E-3</v>
      </c>
      <c r="H272" s="48">
        <v>0.74533000000000005</v>
      </c>
      <c r="I272" s="48">
        <v>0.15712000000000001</v>
      </c>
      <c r="J272" s="48">
        <v>0.73341999999999996</v>
      </c>
      <c r="K272" s="48">
        <v>1.0699799999999999</v>
      </c>
      <c r="L272" s="48">
        <v>3.4569999999999997E-2</v>
      </c>
      <c r="M272" s="48">
        <v>2.9770000000000001E-2</v>
      </c>
    </row>
    <row r="273" spans="1:13">
      <c r="A273" s="48">
        <v>2459677</v>
      </c>
      <c r="B273" s="49">
        <v>44658</v>
      </c>
      <c r="C273" s="48" t="s">
        <v>93</v>
      </c>
      <c r="D273" s="48">
        <v>0.79466000000000003</v>
      </c>
      <c r="E273" s="48">
        <v>1.08972</v>
      </c>
      <c r="F273" s="48">
        <v>1.3068</v>
      </c>
      <c r="G273" s="48">
        <v>8.0657999999999997E-3</v>
      </c>
      <c r="H273" s="48">
        <v>0.74777000000000005</v>
      </c>
      <c r="I273" s="48">
        <v>0.15717999999999999</v>
      </c>
      <c r="J273" s="48">
        <v>0.73482000000000003</v>
      </c>
      <c r="K273" s="48">
        <v>1.0713600000000001</v>
      </c>
      <c r="L273" s="48">
        <v>3.4662999999999999E-2</v>
      </c>
      <c r="M273" s="48">
        <v>2.9801999999999999E-2</v>
      </c>
    </row>
    <row r="274" spans="1:13">
      <c r="A274" s="48">
        <v>2459676</v>
      </c>
      <c r="B274" s="49">
        <v>44657</v>
      </c>
      <c r="C274" s="48" t="s">
        <v>94</v>
      </c>
      <c r="D274" s="48">
        <v>0.79942000000000002</v>
      </c>
      <c r="E274" s="48">
        <v>1.0910500000000001</v>
      </c>
      <c r="F274" s="48">
        <v>1.3079000000000001</v>
      </c>
      <c r="G274" s="48">
        <v>8.0742000000000001E-3</v>
      </c>
      <c r="H274" s="48">
        <v>0.75385000000000002</v>
      </c>
      <c r="I274" s="48">
        <v>0.15725</v>
      </c>
      <c r="J274" s="48">
        <v>0.73563000000000001</v>
      </c>
      <c r="K274" s="48">
        <v>1.0718700000000001</v>
      </c>
      <c r="L274" s="48">
        <v>3.4798999999999997E-2</v>
      </c>
      <c r="M274" s="48">
        <v>2.9725999999999999E-2</v>
      </c>
    </row>
    <row r="275" spans="1:13">
      <c r="A275" s="48">
        <v>2459675</v>
      </c>
      <c r="B275" s="49">
        <v>44656</v>
      </c>
      <c r="C275" s="48" t="s">
        <v>95</v>
      </c>
      <c r="D275" s="48">
        <v>0.80315000000000003</v>
      </c>
      <c r="E275" s="48">
        <v>1.0930800000000001</v>
      </c>
      <c r="F275" s="48">
        <v>1.3109</v>
      </c>
      <c r="G275" s="48">
        <v>8.1118000000000006E-3</v>
      </c>
      <c r="H275" s="48">
        <v>0.76090000000000002</v>
      </c>
      <c r="I275" s="48">
        <v>0.15717999999999999</v>
      </c>
      <c r="J275" s="48">
        <v>0.73665000000000003</v>
      </c>
      <c r="K275" s="48">
        <v>1.0777399999999999</v>
      </c>
      <c r="L275" s="48">
        <v>3.4873000000000001E-2</v>
      </c>
      <c r="M275" s="48">
        <v>2.9867999999999999E-2</v>
      </c>
    </row>
    <row r="276" spans="1:13">
      <c r="A276" s="48">
        <v>2459674</v>
      </c>
      <c r="B276" s="49">
        <v>44655</v>
      </c>
      <c r="C276" s="48" t="s">
        <v>91</v>
      </c>
      <c r="D276" s="48">
        <v>0.80064000000000002</v>
      </c>
      <c r="E276" s="48">
        <v>1.09832</v>
      </c>
      <c r="F276" s="48">
        <v>1.3110999999999999</v>
      </c>
      <c r="G276" s="48">
        <v>8.1425000000000004E-3</v>
      </c>
      <c r="H276" s="48">
        <v>0.75348000000000004</v>
      </c>
      <c r="I276" s="48">
        <v>0.15717</v>
      </c>
      <c r="J276" s="48">
        <v>0.73690999999999995</v>
      </c>
      <c r="K276" s="48">
        <v>1.0796600000000001</v>
      </c>
      <c r="L276" s="48">
        <v>3.4916000000000003E-2</v>
      </c>
      <c r="M276" s="48">
        <v>2.9836999999999999E-2</v>
      </c>
    </row>
    <row r="277" spans="1:13">
      <c r="A277" s="48">
        <v>2459671</v>
      </c>
      <c r="B277" s="49">
        <v>44652</v>
      </c>
      <c r="C277" s="48" t="s">
        <v>92</v>
      </c>
      <c r="D277" s="48">
        <v>0.79923</v>
      </c>
      <c r="E277" s="48">
        <v>1.10422</v>
      </c>
      <c r="F277" s="48">
        <v>1.3107</v>
      </c>
      <c r="G277" s="48">
        <v>8.1522000000000001E-3</v>
      </c>
      <c r="H277" s="48">
        <v>0.74983999999999995</v>
      </c>
      <c r="I277" s="48">
        <v>0.15712999999999999</v>
      </c>
      <c r="J277" s="48">
        <v>0.73706000000000005</v>
      </c>
      <c r="K277" s="48">
        <v>1.0800799999999999</v>
      </c>
      <c r="L277" s="48">
        <v>3.4861999999999997E-2</v>
      </c>
      <c r="M277" s="48">
        <v>2.9867999999999999E-2</v>
      </c>
    </row>
    <row r="278" spans="1:13">
      <c r="A278" s="48">
        <v>2459670</v>
      </c>
      <c r="B278" s="49">
        <v>44651</v>
      </c>
      <c r="C278" s="48" t="s">
        <v>93</v>
      </c>
      <c r="D278" s="48">
        <v>0.80025999999999997</v>
      </c>
      <c r="E278" s="48">
        <v>1.1086</v>
      </c>
      <c r="F278" s="48">
        <v>1.3138000000000001</v>
      </c>
      <c r="G278" s="48">
        <v>8.2266000000000006E-3</v>
      </c>
      <c r="H278" s="48">
        <v>0.74936000000000003</v>
      </c>
      <c r="I278" s="48">
        <v>0.15773000000000001</v>
      </c>
      <c r="J278" s="48">
        <v>0.73831999999999998</v>
      </c>
      <c r="K278" s="48">
        <v>1.08371</v>
      </c>
      <c r="L278" s="48">
        <v>3.4915000000000002E-2</v>
      </c>
      <c r="M278" s="48">
        <v>3.0127999999999999E-2</v>
      </c>
    </row>
    <row r="279" spans="1:13">
      <c r="A279" s="48">
        <v>2459669</v>
      </c>
      <c r="B279" s="49">
        <v>44650</v>
      </c>
      <c r="C279" s="48" t="s">
        <v>94</v>
      </c>
      <c r="D279" s="48">
        <v>0.80191999999999997</v>
      </c>
      <c r="E279" s="48">
        <v>1.1151599999999999</v>
      </c>
      <c r="F279" s="48">
        <v>1.3149</v>
      </c>
      <c r="G279" s="48">
        <v>8.2036999999999995E-3</v>
      </c>
      <c r="H279" s="48">
        <v>0.75148999999999999</v>
      </c>
      <c r="I279" s="48">
        <v>0.1575</v>
      </c>
      <c r="J279" s="48">
        <v>0.73904999999999998</v>
      </c>
      <c r="K279" s="48">
        <v>1.0825199999999999</v>
      </c>
      <c r="L279" s="48">
        <v>3.4979999999999997E-2</v>
      </c>
      <c r="M279" s="48">
        <v>2.9989999999999999E-2</v>
      </c>
    </row>
    <row r="280" spans="1:13">
      <c r="A280" s="48">
        <v>2459668</v>
      </c>
      <c r="B280" s="49">
        <v>44649</v>
      </c>
      <c r="C280" s="48" t="s">
        <v>95</v>
      </c>
      <c r="D280" s="48">
        <v>0.79942000000000002</v>
      </c>
      <c r="E280" s="48">
        <v>1.10968</v>
      </c>
      <c r="F280" s="48">
        <v>1.3112999999999999</v>
      </c>
      <c r="G280" s="48">
        <v>8.1460999999999999E-3</v>
      </c>
      <c r="H280" s="48">
        <v>0.74953999999999998</v>
      </c>
      <c r="I280" s="48">
        <v>0.15709000000000001</v>
      </c>
      <c r="J280" s="48">
        <v>0.73731000000000002</v>
      </c>
      <c r="K280" s="48">
        <v>1.0732299999999999</v>
      </c>
      <c r="L280" s="48">
        <v>3.4839000000000002E-2</v>
      </c>
      <c r="M280" s="48">
        <v>2.9735000000000001E-2</v>
      </c>
    </row>
    <row r="281" spans="1:13">
      <c r="A281" s="48">
        <v>2459667</v>
      </c>
      <c r="B281" s="49">
        <v>44648</v>
      </c>
      <c r="C281" s="48" t="s">
        <v>91</v>
      </c>
      <c r="D281" s="48">
        <v>0.79739000000000004</v>
      </c>
      <c r="E281" s="48">
        <v>1.0977600000000001</v>
      </c>
      <c r="F281" s="48">
        <v>1.3091999999999999</v>
      </c>
      <c r="G281" s="48">
        <v>8.0935E-3</v>
      </c>
      <c r="H281" s="48">
        <v>0.74905999999999995</v>
      </c>
      <c r="I281" s="48">
        <v>0.15692999999999999</v>
      </c>
      <c r="J281" s="48">
        <v>0.73479000000000005</v>
      </c>
      <c r="K281" s="48">
        <v>1.0695300000000001</v>
      </c>
      <c r="L281" s="48">
        <v>3.4686000000000002E-2</v>
      </c>
      <c r="M281" s="48">
        <v>2.9508E-2</v>
      </c>
    </row>
    <row r="282" spans="1:13">
      <c r="A282" s="48">
        <v>2459664</v>
      </c>
      <c r="B282" s="49">
        <v>44645</v>
      </c>
      <c r="C282" s="48" t="s">
        <v>92</v>
      </c>
      <c r="D282" s="48">
        <v>0.79986999999999997</v>
      </c>
      <c r="E282" s="48">
        <v>1.0999000000000001</v>
      </c>
      <c r="F282" s="48">
        <v>1.3192999999999999</v>
      </c>
      <c r="G282" s="48">
        <v>8.1986999999999997E-3</v>
      </c>
      <c r="H282" s="48">
        <v>0.75156000000000001</v>
      </c>
      <c r="I282" s="48">
        <v>0.15709000000000001</v>
      </c>
      <c r="J282" s="48">
        <v>0.73675999999999997</v>
      </c>
      <c r="K282" s="48">
        <v>1.07575</v>
      </c>
      <c r="L282" s="48">
        <v>3.4882000000000003E-2</v>
      </c>
      <c r="M282" s="48">
        <v>2.9867999999999999E-2</v>
      </c>
    </row>
    <row r="283" spans="1:13">
      <c r="A283" s="48">
        <v>2459663</v>
      </c>
      <c r="B283" s="49">
        <v>44644</v>
      </c>
      <c r="C283" s="48" t="s">
        <v>93</v>
      </c>
      <c r="D283" s="48">
        <v>0.79713000000000001</v>
      </c>
      <c r="E283" s="48">
        <v>1.09924</v>
      </c>
      <c r="F283" s="48">
        <v>1.3185</v>
      </c>
      <c r="G283" s="48">
        <v>8.1945000000000004E-3</v>
      </c>
      <c r="H283" s="48">
        <v>0.75034000000000001</v>
      </c>
      <c r="I283" s="48">
        <v>0.15703</v>
      </c>
      <c r="J283" s="48">
        <v>0.73655000000000004</v>
      </c>
      <c r="K283" s="48">
        <v>1.0739700000000001</v>
      </c>
      <c r="L283" s="48">
        <v>3.4866000000000001E-2</v>
      </c>
      <c r="M283" s="48">
        <v>2.9874999999999999E-2</v>
      </c>
    </row>
    <row r="284" spans="1:13">
      <c r="A284" s="48">
        <v>2459662</v>
      </c>
      <c r="B284" s="49">
        <v>44643</v>
      </c>
      <c r="C284" s="48" t="s">
        <v>94</v>
      </c>
      <c r="D284" s="48">
        <v>0.79547999999999996</v>
      </c>
      <c r="E284" s="48">
        <v>1.0995200000000001</v>
      </c>
      <c r="F284" s="48">
        <v>1.3201000000000001</v>
      </c>
      <c r="G284" s="48">
        <v>8.2650999999999992E-3</v>
      </c>
      <c r="H284" s="48">
        <v>0.74863000000000002</v>
      </c>
      <c r="I284" s="48">
        <v>0.15695000000000001</v>
      </c>
      <c r="J284" s="48">
        <v>0.73653999999999997</v>
      </c>
      <c r="K284" s="48">
        <v>1.07239</v>
      </c>
      <c r="L284" s="48">
        <v>3.4952999999999998E-2</v>
      </c>
      <c r="M284" s="48">
        <v>2.9784000000000001E-2</v>
      </c>
    </row>
    <row r="285" spans="1:13">
      <c r="A285" s="48">
        <v>2459661</v>
      </c>
      <c r="B285" s="49">
        <v>44642</v>
      </c>
      <c r="C285" s="48" t="s">
        <v>95</v>
      </c>
      <c r="D285" s="48">
        <v>0.79440999999999995</v>
      </c>
      <c r="E285" s="48">
        <v>1.10256</v>
      </c>
      <c r="F285" s="48">
        <v>1.3251999999999999</v>
      </c>
      <c r="G285" s="48">
        <v>8.2857E-3</v>
      </c>
      <c r="H285" s="48">
        <v>0.74451999999999996</v>
      </c>
      <c r="I285" s="48">
        <v>0.15712999999999999</v>
      </c>
      <c r="J285" s="48">
        <v>0.73689000000000004</v>
      </c>
      <c r="K285" s="48">
        <v>1.0722100000000001</v>
      </c>
      <c r="L285" s="48">
        <v>3.5048999999999997E-2</v>
      </c>
      <c r="M285" s="48">
        <v>2.9869E-2</v>
      </c>
    </row>
    <row r="286" spans="1:13">
      <c r="A286" s="48">
        <v>2459660</v>
      </c>
      <c r="B286" s="49">
        <v>44641</v>
      </c>
      <c r="C286" s="48" t="s">
        <v>91</v>
      </c>
      <c r="D286" s="48">
        <v>0.79408999999999996</v>
      </c>
      <c r="E286" s="48">
        <v>1.10331</v>
      </c>
      <c r="F286" s="48">
        <v>1.3177000000000001</v>
      </c>
      <c r="G286" s="48">
        <v>8.3856E-3</v>
      </c>
      <c r="H286" s="48">
        <v>0.74024999999999996</v>
      </c>
      <c r="I286" s="48">
        <v>0.15731000000000001</v>
      </c>
      <c r="J286" s="48">
        <v>0.73731000000000002</v>
      </c>
      <c r="K286" s="48">
        <v>1.07361</v>
      </c>
      <c r="L286" s="48">
        <v>3.5090999999999997E-2</v>
      </c>
      <c r="M286" s="48">
        <v>2.9797000000000001E-2</v>
      </c>
    </row>
    <row r="287" spans="1:13">
      <c r="A287" s="48">
        <v>2459657</v>
      </c>
      <c r="B287" s="49">
        <v>44638</v>
      </c>
      <c r="C287" s="48" t="s">
        <v>92</v>
      </c>
      <c r="D287" s="48">
        <v>0.79257999999999995</v>
      </c>
      <c r="E287" s="48">
        <v>1.1040700000000001</v>
      </c>
      <c r="F287" s="48">
        <v>1.3162</v>
      </c>
      <c r="G287" s="48">
        <v>8.3934000000000005E-3</v>
      </c>
      <c r="H287" s="48">
        <v>0.73987000000000003</v>
      </c>
      <c r="I287" s="48">
        <v>0.15717</v>
      </c>
      <c r="J287" s="48">
        <v>0.73734</v>
      </c>
      <c r="K287" s="48">
        <v>1.0706199999999999</v>
      </c>
      <c r="L287" s="48">
        <v>3.5270000000000003E-2</v>
      </c>
      <c r="M287" s="48">
        <v>3.0006000000000001E-2</v>
      </c>
    </row>
    <row r="288" spans="1:13">
      <c r="A288" s="48">
        <v>2459656</v>
      </c>
      <c r="B288" s="49">
        <v>44637</v>
      </c>
      <c r="C288" s="48" t="s">
        <v>93</v>
      </c>
      <c r="D288" s="48">
        <v>0.79044999999999999</v>
      </c>
      <c r="E288" s="48">
        <v>1.1090800000000001</v>
      </c>
      <c r="F288" s="48">
        <v>1.3137000000000001</v>
      </c>
      <c r="G288" s="48">
        <v>8.4340999999999999E-3</v>
      </c>
      <c r="H288" s="48">
        <v>0.73662000000000005</v>
      </c>
      <c r="I288" s="48">
        <v>0.15754000000000001</v>
      </c>
      <c r="J288" s="48">
        <v>0.73836000000000002</v>
      </c>
      <c r="K288" s="48">
        <v>1.0671900000000001</v>
      </c>
      <c r="L288" s="48">
        <v>3.5428000000000001E-2</v>
      </c>
      <c r="M288" s="48">
        <v>3.0093999999999999E-2</v>
      </c>
    </row>
    <row r="289" spans="1:13">
      <c r="A289" s="48">
        <v>2459655</v>
      </c>
      <c r="B289" s="49">
        <v>44636</v>
      </c>
      <c r="C289" s="48" t="s">
        <v>94</v>
      </c>
      <c r="D289" s="48">
        <v>0.78610000000000002</v>
      </c>
      <c r="E289" s="48">
        <v>1.1000700000000001</v>
      </c>
      <c r="F289" s="48">
        <v>1.31</v>
      </c>
      <c r="G289" s="48">
        <v>8.4426999999999992E-3</v>
      </c>
      <c r="H289" s="48">
        <v>0.72541</v>
      </c>
      <c r="I289" s="48">
        <v>0.15745999999999999</v>
      </c>
      <c r="J289" s="48">
        <v>0.73492999999999997</v>
      </c>
      <c r="K289" s="48">
        <v>1.0619499999999999</v>
      </c>
      <c r="L289" s="48">
        <v>3.5083999999999997E-2</v>
      </c>
      <c r="M289" s="48">
        <v>2.9932E-2</v>
      </c>
    </row>
    <row r="290" spans="1:13">
      <c r="A290" s="48">
        <v>2459654</v>
      </c>
      <c r="B290" s="49">
        <v>44635</v>
      </c>
      <c r="C290" s="48" t="s">
        <v>95</v>
      </c>
      <c r="D290" s="48">
        <v>0.78107000000000004</v>
      </c>
      <c r="E290" s="48">
        <v>1.0965400000000001</v>
      </c>
      <c r="F290" s="48">
        <v>1.3056000000000001</v>
      </c>
      <c r="G290" s="48">
        <v>8.4589999999999995E-3</v>
      </c>
      <c r="H290" s="48">
        <v>0.72021999999999997</v>
      </c>
      <c r="I290" s="48">
        <v>0.15692</v>
      </c>
      <c r="J290" s="48">
        <v>0.73233000000000004</v>
      </c>
      <c r="K290" s="48">
        <v>1.0629500000000001</v>
      </c>
      <c r="L290" s="48">
        <v>3.5000000000000003E-2</v>
      </c>
      <c r="M290" s="48">
        <v>2.9891000000000001E-2</v>
      </c>
    </row>
    <row r="291" spans="1:13">
      <c r="A291" s="48">
        <v>2459653</v>
      </c>
      <c r="B291" s="49">
        <v>44634</v>
      </c>
      <c r="C291" s="48" t="s">
        <v>91</v>
      </c>
      <c r="D291" s="48">
        <v>0.78266000000000002</v>
      </c>
      <c r="E291" s="48">
        <v>1.0965</v>
      </c>
      <c r="F291" s="48">
        <v>1.3042</v>
      </c>
      <c r="G291" s="48">
        <v>8.4761999999999997E-3</v>
      </c>
      <c r="H291" s="48">
        <v>0.72270999999999996</v>
      </c>
      <c r="I291" s="48">
        <v>0.15708</v>
      </c>
      <c r="J291" s="48">
        <v>0.73272000000000004</v>
      </c>
      <c r="K291" s="48">
        <v>1.0684</v>
      </c>
      <c r="L291" s="48">
        <v>3.5094E-2</v>
      </c>
      <c r="M291" s="48">
        <v>2.9898999999999998E-2</v>
      </c>
    </row>
    <row r="292" spans="1:13">
      <c r="A292" s="48">
        <v>2459650</v>
      </c>
      <c r="B292" s="49">
        <v>44631</v>
      </c>
      <c r="C292" s="48" t="s">
        <v>92</v>
      </c>
      <c r="D292" s="48">
        <v>0.78615999999999997</v>
      </c>
      <c r="E292" s="48">
        <v>1.0943400000000001</v>
      </c>
      <c r="F292" s="48">
        <v>1.3063</v>
      </c>
      <c r="G292" s="48">
        <v>8.5377000000000005E-3</v>
      </c>
      <c r="H292" s="48">
        <v>0.73106000000000004</v>
      </c>
      <c r="I292" s="48">
        <v>0.15778</v>
      </c>
      <c r="J292" s="48">
        <v>0.73443999999999998</v>
      </c>
      <c r="K292" s="48">
        <v>1.0714600000000001</v>
      </c>
      <c r="L292" s="48">
        <v>3.5203999999999999E-2</v>
      </c>
      <c r="M292" s="48">
        <v>3.0171E-2</v>
      </c>
    </row>
    <row r="293" spans="1:13">
      <c r="A293" s="48">
        <v>2459649</v>
      </c>
      <c r="B293" s="49">
        <v>44630</v>
      </c>
      <c r="C293" s="48" t="s">
        <v>93</v>
      </c>
      <c r="D293" s="48">
        <v>0.78271999999999997</v>
      </c>
      <c r="E293" s="48">
        <v>1.1010500000000001</v>
      </c>
      <c r="F293" s="48">
        <v>1.3122</v>
      </c>
      <c r="G293" s="48">
        <v>8.6177000000000007E-3</v>
      </c>
      <c r="H293" s="48">
        <v>0.73551999999999995</v>
      </c>
      <c r="I293" s="48">
        <v>0.15819</v>
      </c>
      <c r="J293" s="48">
        <v>0.73590999999999995</v>
      </c>
      <c r="K293" s="48">
        <v>1.07585</v>
      </c>
      <c r="L293" s="48">
        <v>3.5300999999999999E-2</v>
      </c>
      <c r="M293" s="48">
        <v>3.0252999999999999E-2</v>
      </c>
    </row>
    <row r="294" spans="1:13">
      <c r="A294" s="48">
        <v>2459648</v>
      </c>
      <c r="B294" s="49">
        <v>44629</v>
      </c>
      <c r="C294" s="48" t="s">
        <v>94</v>
      </c>
      <c r="D294" s="48">
        <v>0.77997000000000005</v>
      </c>
      <c r="E294" s="48">
        <v>1.10545</v>
      </c>
      <c r="F294" s="48">
        <v>1.3170999999999999</v>
      </c>
      <c r="G294" s="48">
        <v>8.6342999999999993E-3</v>
      </c>
      <c r="H294" s="48">
        <v>0.73238999999999999</v>
      </c>
      <c r="I294" s="48">
        <v>0.15826000000000001</v>
      </c>
      <c r="J294" s="48">
        <v>0.73597999999999997</v>
      </c>
      <c r="K294" s="48">
        <v>1.0789299999999999</v>
      </c>
      <c r="L294" s="48">
        <v>3.5300999999999999E-2</v>
      </c>
      <c r="M294" s="48">
        <v>3.0291999999999999E-2</v>
      </c>
    </row>
    <row r="295" spans="1:13">
      <c r="A295" s="48">
        <v>2459647</v>
      </c>
      <c r="B295" s="49">
        <v>44628</v>
      </c>
      <c r="C295" s="48" t="s">
        <v>95</v>
      </c>
      <c r="D295" s="48">
        <v>0.77717999999999998</v>
      </c>
      <c r="E295" s="48">
        <v>1.09046</v>
      </c>
      <c r="F295" s="48">
        <v>1.3110999999999999</v>
      </c>
      <c r="G295" s="48">
        <v>8.6499999999999997E-3</v>
      </c>
      <c r="H295" s="48">
        <v>0.72743999999999998</v>
      </c>
      <c r="I295" s="48">
        <v>0.15823000000000001</v>
      </c>
      <c r="J295" s="48">
        <v>0.73304000000000002</v>
      </c>
      <c r="K295" s="48">
        <v>1.0765499999999999</v>
      </c>
      <c r="L295" s="48">
        <v>3.5276000000000002E-2</v>
      </c>
      <c r="M295" s="48">
        <v>3.0046E-2</v>
      </c>
    </row>
    <row r="296" spans="1:13">
      <c r="A296" s="48">
        <v>2459646</v>
      </c>
      <c r="B296" s="49">
        <v>44627</v>
      </c>
      <c r="C296" s="48" t="s">
        <v>91</v>
      </c>
      <c r="D296" s="48">
        <v>0.78290000000000004</v>
      </c>
      <c r="E296" s="48">
        <v>1.0880000000000001</v>
      </c>
      <c r="F296" s="48">
        <v>1.3136000000000001</v>
      </c>
      <c r="G296" s="48">
        <v>8.6666999999999994E-3</v>
      </c>
      <c r="H296" s="48">
        <v>0.73389000000000004</v>
      </c>
      <c r="I296" s="48">
        <v>0.15822</v>
      </c>
      <c r="J296" s="48">
        <v>0.73443999999999998</v>
      </c>
      <c r="K296" s="48">
        <v>1.0802499999999999</v>
      </c>
      <c r="L296" s="48">
        <v>3.5379000000000001E-2</v>
      </c>
      <c r="M296" s="48">
        <v>3.0263000000000002E-2</v>
      </c>
    </row>
    <row r="297" spans="1:13">
      <c r="A297" s="48">
        <v>2459643</v>
      </c>
      <c r="B297" s="49">
        <v>44624</v>
      </c>
      <c r="C297" s="48" t="s">
        <v>92</v>
      </c>
      <c r="D297" s="48">
        <v>0.78430999999999995</v>
      </c>
      <c r="E297" s="48">
        <v>1.0920000000000001</v>
      </c>
      <c r="F297" s="48">
        <v>1.3230999999999999</v>
      </c>
      <c r="G297" s="48">
        <v>8.6979999999999991E-3</v>
      </c>
      <c r="H297" s="48">
        <v>0.73577000000000004</v>
      </c>
      <c r="I297" s="48">
        <v>0.15826999999999999</v>
      </c>
      <c r="J297" s="48">
        <v>0.73475000000000001</v>
      </c>
      <c r="K297" s="48">
        <v>1.08847</v>
      </c>
      <c r="L297" s="48">
        <v>3.5490000000000001E-2</v>
      </c>
      <c r="M297" s="48">
        <v>3.0554000000000001E-2</v>
      </c>
    </row>
    <row r="298" spans="1:13">
      <c r="A298" s="48">
        <v>2459642</v>
      </c>
      <c r="B298" s="49">
        <v>44623</v>
      </c>
      <c r="C298" s="48" t="s">
        <v>93</v>
      </c>
      <c r="D298" s="48">
        <v>0.78964000000000001</v>
      </c>
      <c r="E298" s="48">
        <v>1.1064400000000001</v>
      </c>
      <c r="F298" s="48">
        <v>1.3351</v>
      </c>
      <c r="G298" s="48">
        <v>8.6545000000000007E-3</v>
      </c>
      <c r="H298" s="48">
        <v>0.73238999999999999</v>
      </c>
      <c r="I298" s="48">
        <v>0.15823999999999999</v>
      </c>
      <c r="J298" s="48">
        <v>0.73658000000000001</v>
      </c>
      <c r="K298" s="48">
        <v>1.08741</v>
      </c>
      <c r="L298" s="48">
        <v>3.5629000000000001E-2</v>
      </c>
      <c r="M298" s="48">
        <v>3.0637000000000001E-2</v>
      </c>
    </row>
    <row r="299" spans="1:13">
      <c r="A299" s="48">
        <v>2459641</v>
      </c>
      <c r="B299" s="49">
        <v>44622</v>
      </c>
      <c r="C299" s="48" t="s">
        <v>94</v>
      </c>
      <c r="D299" s="48">
        <v>0.78939000000000004</v>
      </c>
      <c r="E299" s="48">
        <v>1.11036</v>
      </c>
      <c r="F299" s="48">
        <v>1.3355999999999999</v>
      </c>
      <c r="G299" s="48">
        <v>8.6595999999999999E-3</v>
      </c>
      <c r="H299" s="48">
        <v>0.72813000000000005</v>
      </c>
      <c r="I299" s="48">
        <v>0.15819</v>
      </c>
      <c r="J299" s="48">
        <v>0.73736999999999997</v>
      </c>
      <c r="K299" s="48">
        <v>1.08541</v>
      </c>
      <c r="L299" s="48">
        <v>3.5687999999999998E-2</v>
      </c>
      <c r="M299" s="48">
        <v>3.0603000000000002E-2</v>
      </c>
    </row>
    <row r="300" spans="1:13">
      <c r="A300" s="48">
        <v>2459640</v>
      </c>
      <c r="B300" s="49">
        <v>44621</v>
      </c>
      <c r="C300" s="48" t="s">
        <v>95</v>
      </c>
      <c r="D300" s="48">
        <v>0.78691</v>
      </c>
      <c r="E300" s="48">
        <v>1.1129199999999999</v>
      </c>
      <c r="F300" s="48">
        <v>1.3345</v>
      </c>
      <c r="G300" s="48">
        <v>8.7110999999999994E-3</v>
      </c>
      <c r="H300" s="48">
        <v>0.72568999999999995</v>
      </c>
      <c r="I300" s="48">
        <v>0.15840000000000001</v>
      </c>
      <c r="J300" s="48">
        <v>0.73653999999999997</v>
      </c>
      <c r="K300" s="48">
        <v>1.0879799999999999</v>
      </c>
      <c r="L300" s="48">
        <v>3.5623000000000002E-2</v>
      </c>
      <c r="M300" s="48">
        <v>3.0519000000000001E-2</v>
      </c>
    </row>
    <row r="301" spans="1:13">
      <c r="A301" s="48">
        <v>2459639</v>
      </c>
      <c r="B301" s="49">
        <v>44620</v>
      </c>
      <c r="C301" s="48" t="s">
        <v>91</v>
      </c>
      <c r="D301" s="48">
        <v>0.78752999999999995</v>
      </c>
      <c r="E301" s="48">
        <v>1.1212800000000001</v>
      </c>
      <c r="F301" s="48">
        <v>1.3407</v>
      </c>
      <c r="G301" s="48">
        <v>8.6864000000000004E-3</v>
      </c>
      <c r="H301" s="48">
        <v>0.72475999999999996</v>
      </c>
      <c r="I301" s="48">
        <v>0.15845000000000001</v>
      </c>
      <c r="J301" s="48">
        <v>0.73712</v>
      </c>
      <c r="K301" s="48">
        <v>1.0886800000000001</v>
      </c>
      <c r="L301" s="48">
        <v>3.5659000000000003E-2</v>
      </c>
      <c r="M301" s="48">
        <v>3.0698E-2</v>
      </c>
    </row>
    <row r="302" spans="1:13">
      <c r="A302" s="48">
        <v>2459636</v>
      </c>
      <c r="B302" s="49">
        <v>44617</v>
      </c>
      <c r="C302" s="48" t="s">
        <v>92</v>
      </c>
      <c r="D302" s="48">
        <v>0.78449999999999998</v>
      </c>
      <c r="E302" s="48">
        <v>1.1245799999999999</v>
      </c>
      <c r="F302" s="48">
        <v>1.3399000000000001</v>
      </c>
      <c r="G302" s="48">
        <v>8.6529999999999992E-3</v>
      </c>
      <c r="H302" s="48">
        <v>0.72221000000000002</v>
      </c>
      <c r="I302" s="48">
        <v>0.15831000000000001</v>
      </c>
      <c r="J302" s="48">
        <v>0.73875999999999997</v>
      </c>
      <c r="K302" s="48">
        <v>1.07853</v>
      </c>
      <c r="L302" s="48">
        <v>3.5718E-2</v>
      </c>
      <c r="M302" s="48">
        <v>3.0838999999999998E-2</v>
      </c>
    </row>
    <row r="303" spans="1:13">
      <c r="A303" s="48">
        <v>2459635</v>
      </c>
      <c r="B303" s="49">
        <v>44616</v>
      </c>
      <c r="C303" s="48" t="s">
        <v>93</v>
      </c>
      <c r="D303" s="48">
        <v>0.77929999999999999</v>
      </c>
      <c r="E303" s="48">
        <v>1.1165799999999999</v>
      </c>
      <c r="F303" s="48">
        <v>1.3361000000000001</v>
      </c>
      <c r="G303" s="48">
        <v>8.6736000000000001E-3</v>
      </c>
      <c r="H303" s="48">
        <v>0.71453999999999995</v>
      </c>
      <c r="I303" s="48">
        <v>0.15804000000000001</v>
      </c>
      <c r="J303" s="48">
        <v>0.73690999999999995</v>
      </c>
      <c r="K303" s="48">
        <v>1.08081</v>
      </c>
      <c r="L303" s="48">
        <v>3.5575000000000002E-2</v>
      </c>
      <c r="M303" s="48">
        <v>3.0554000000000001E-2</v>
      </c>
    </row>
    <row r="304" spans="1:13">
      <c r="A304" s="48">
        <v>2459634</v>
      </c>
      <c r="B304" s="49">
        <v>44615</v>
      </c>
      <c r="C304" s="48" t="s">
        <v>94</v>
      </c>
      <c r="D304" s="48">
        <v>0.78629000000000004</v>
      </c>
      <c r="E304" s="48">
        <v>1.13202</v>
      </c>
      <c r="F304" s="48">
        <v>1.3561000000000001</v>
      </c>
      <c r="G304" s="48">
        <v>8.6885E-3</v>
      </c>
      <c r="H304" s="48">
        <v>0.72504000000000002</v>
      </c>
      <c r="I304" s="48">
        <v>0.15836</v>
      </c>
      <c r="J304" s="48">
        <v>0.74319999999999997</v>
      </c>
      <c r="K304" s="48">
        <v>1.08924</v>
      </c>
      <c r="L304" s="48">
        <v>3.5862999999999999E-2</v>
      </c>
      <c r="M304" s="48">
        <v>3.0922000000000002E-2</v>
      </c>
    </row>
    <row r="305" spans="1:13">
      <c r="A305" s="48">
        <v>2459633</v>
      </c>
      <c r="B305" s="49">
        <v>44614</v>
      </c>
      <c r="C305" s="48" t="s">
        <v>95</v>
      </c>
      <c r="D305" s="48">
        <v>0.78474999999999995</v>
      </c>
      <c r="E305" s="48">
        <v>1.1337999999999999</v>
      </c>
      <c r="F305" s="48">
        <v>1.3577999999999999</v>
      </c>
      <c r="G305" s="48">
        <v>8.6949999999999996E-3</v>
      </c>
      <c r="H305" s="48">
        <v>0.72180999999999995</v>
      </c>
      <c r="I305" s="48">
        <v>0.15805</v>
      </c>
      <c r="J305" s="48">
        <v>0.74331000000000003</v>
      </c>
      <c r="K305" s="48">
        <v>1.0862400000000001</v>
      </c>
      <c r="L305" s="48">
        <v>3.5878E-2</v>
      </c>
      <c r="M305" s="48">
        <v>3.0838000000000001E-2</v>
      </c>
    </row>
    <row r="306" spans="1:13">
      <c r="A306" s="48">
        <v>2459629</v>
      </c>
      <c r="B306" s="49">
        <v>44610</v>
      </c>
      <c r="C306" s="48" t="s">
        <v>92</v>
      </c>
      <c r="D306" s="48">
        <v>0.7853</v>
      </c>
      <c r="E306" s="48">
        <v>1.1335</v>
      </c>
      <c r="F306" s="48">
        <v>1.3595999999999999</v>
      </c>
      <c r="G306" s="48">
        <v>8.6932999999999993E-3</v>
      </c>
      <c r="H306" s="48">
        <v>0.71862000000000004</v>
      </c>
      <c r="I306" s="48">
        <v>0.15808</v>
      </c>
      <c r="J306" s="48">
        <v>0.74336999999999998</v>
      </c>
      <c r="K306" s="48">
        <v>1.08599</v>
      </c>
      <c r="L306" s="48">
        <v>3.5880000000000002E-2</v>
      </c>
      <c r="M306" s="48">
        <v>3.1088999999999999E-2</v>
      </c>
    </row>
    <row r="307" spans="1:13">
      <c r="A307" s="48">
        <v>2459628</v>
      </c>
      <c r="B307" s="49">
        <v>44609</v>
      </c>
      <c r="C307" s="48" t="s">
        <v>93</v>
      </c>
      <c r="D307" s="48">
        <v>0.78771000000000002</v>
      </c>
      <c r="E307" s="48">
        <v>1.1364300000000001</v>
      </c>
      <c r="F307" s="48">
        <v>1.3623000000000001</v>
      </c>
      <c r="G307" s="48">
        <v>8.6963000000000006E-3</v>
      </c>
      <c r="H307" s="48">
        <v>0.71989000000000003</v>
      </c>
      <c r="I307" s="48">
        <v>0.15778</v>
      </c>
      <c r="J307" s="48">
        <v>0.74446999999999997</v>
      </c>
      <c r="K307" s="48">
        <v>1.0866499999999999</v>
      </c>
      <c r="L307" s="48">
        <v>3.5880000000000002E-2</v>
      </c>
      <c r="M307" s="48">
        <v>3.1129E-2</v>
      </c>
    </row>
    <row r="308" spans="1:13">
      <c r="A308" s="48">
        <v>2459627</v>
      </c>
      <c r="B308" s="49">
        <v>44608</v>
      </c>
      <c r="C308" s="48" t="s">
        <v>94</v>
      </c>
      <c r="D308" s="48">
        <v>0.78827000000000003</v>
      </c>
      <c r="E308" s="48">
        <v>1.13747</v>
      </c>
      <c r="F308" s="48">
        <v>1.3579000000000001</v>
      </c>
      <c r="G308" s="48">
        <v>8.6631E-3</v>
      </c>
      <c r="H308" s="48">
        <v>0.71802999999999995</v>
      </c>
      <c r="I308" s="48">
        <v>0.15781000000000001</v>
      </c>
      <c r="J308" s="48">
        <v>0.74428000000000005</v>
      </c>
      <c r="K308" s="48">
        <v>1.08395</v>
      </c>
      <c r="L308" s="48">
        <v>3.5897999999999999E-2</v>
      </c>
      <c r="M308" s="48">
        <v>3.0904000000000001E-2</v>
      </c>
    </row>
    <row r="309" spans="1:13">
      <c r="A309" s="48">
        <v>2459626</v>
      </c>
      <c r="B309" s="49">
        <v>44607</v>
      </c>
      <c r="C309" s="48" t="s">
        <v>95</v>
      </c>
      <c r="D309" s="48">
        <v>0.78486999999999996</v>
      </c>
      <c r="E309" s="48">
        <v>1.1355500000000001</v>
      </c>
      <c r="F309" s="48">
        <v>1.3532999999999999</v>
      </c>
      <c r="G309" s="48">
        <v>8.6491999999999992E-3</v>
      </c>
      <c r="H309" s="48">
        <v>0.71445999999999998</v>
      </c>
      <c r="I309" s="48">
        <v>0.15776000000000001</v>
      </c>
      <c r="J309" s="48">
        <v>0.74343000000000004</v>
      </c>
      <c r="K309" s="48">
        <v>1.0806100000000001</v>
      </c>
      <c r="L309" s="48">
        <v>3.5900000000000001E-2</v>
      </c>
      <c r="M309" s="48">
        <v>3.0845999999999998E-2</v>
      </c>
    </row>
    <row r="310" spans="1:13">
      <c r="A310" s="48">
        <v>2459625</v>
      </c>
      <c r="B310" s="49">
        <v>44606</v>
      </c>
      <c r="C310" s="48" t="s">
        <v>91</v>
      </c>
      <c r="D310" s="48">
        <v>0.78505000000000003</v>
      </c>
      <c r="E310" s="48">
        <v>1.13063</v>
      </c>
      <c r="F310" s="48">
        <v>1.3525</v>
      </c>
      <c r="G310" s="48">
        <v>8.6513000000000007E-3</v>
      </c>
      <c r="H310" s="48">
        <v>0.71235999999999999</v>
      </c>
      <c r="I310" s="48">
        <v>0.15731999999999999</v>
      </c>
      <c r="J310" s="48">
        <v>0.74219000000000002</v>
      </c>
      <c r="K310" s="48">
        <v>1.0801499999999999</v>
      </c>
      <c r="L310" s="48">
        <v>3.5853000000000003E-2</v>
      </c>
      <c r="M310" s="48">
        <v>3.0786000000000001E-2</v>
      </c>
    </row>
    <row r="311" spans="1:13">
      <c r="A311" s="48">
        <v>2459622</v>
      </c>
      <c r="B311" s="49">
        <v>44603</v>
      </c>
      <c r="C311" s="48" t="s">
        <v>92</v>
      </c>
      <c r="D311" s="48">
        <v>0.78727999999999998</v>
      </c>
      <c r="E311" s="48">
        <v>1.13832</v>
      </c>
      <c r="F311" s="48">
        <v>1.3581000000000001</v>
      </c>
      <c r="G311" s="48">
        <v>8.6443000000000006E-3</v>
      </c>
      <c r="H311" s="48">
        <v>0.71618999999999999</v>
      </c>
      <c r="I311" s="48">
        <v>0.15737999999999999</v>
      </c>
      <c r="J311" s="48">
        <v>0.74365999999999999</v>
      </c>
      <c r="K311" s="48">
        <v>1.0803</v>
      </c>
      <c r="L311" s="48">
        <v>3.5892E-2</v>
      </c>
      <c r="M311" s="48">
        <v>3.0615E-2</v>
      </c>
    </row>
    <row r="312" spans="1:13">
      <c r="A312" s="48">
        <v>2459621</v>
      </c>
      <c r="B312" s="49">
        <v>44602</v>
      </c>
      <c r="C312" s="48" t="s">
        <v>93</v>
      </c>
      <c r="D312" s="48">
        <v>0.78852</v>
      </c>
      <c r="E312" s="48">
        <v>1.1448499999999999</v>
      </c>
      <c r="F312" s="48">
        <v>1.3589</v>
      </c>
      <c r="G312" s="48">
        <v>8.6263999999999993E-3</v>
      </c>
      <c r="H312" s="48">
        <v>0.72</v>
      </c>
      <c r="I312" s="48">
        <v>0.15731000000000001</v>
      </c>
      <c r="J312" s="48">
        <v>0.74475999999999998</v>
      </c>
      <c r="K312" s="48">
        <v>1.0808199999999999</v>
      </c>
      <c r="L312" s="48">
        <v>3.5916999999999998E-2</v>
      </c>
      <c r="M312" s="48">
        <v>3.0623000000000001E-2</v>
      </c>
    </row>
    <row r="313" spans="1:13">
      <c r="A313" s="48">
        <v>2459620</v>
      </c>
      <c r="B313" s="49">
        <v>44601</v>
      </c>
      <c r="C313" s="48" t="s">
        <v>94</v>
      </c>
      <c r="D313" s="48">
        <v>0.78864000000000001</v>
      </c>
      <c r="E313" s="48">
        <v>1.1432199999999999</v>
      </c>
      <c r="F313" s="48">
        <v>1.3549</v>
      </c>
      <c r="G313" s="48">
        <v>8.6593E-3</v>
      </c>
      <c r="H313" s="48">
        <v>0.71821999999999997</v>
      </c>
      <c r="I313" s="48">
        <v>0.15717999999999999</v>
      </c>
      <c r="J313" s="48">
        <v>0.74526999999999999</v>
      </c>
      <c r="K313" s="48">
        <v>1.0828899999999999</v>
      </c>
      <c r="L313" s="48">
        <v>3.5970000000000002E-2</v>
      </c>
      <c r="M313" s="48">
        <v>3.0602000000000001E-2</v>
      </c>
    </row>
    <row r="314" spans="1:13">
      <c r="A314" s="48">
        <v>2459619</v>
      </c>
      <c r="B314" s="49">
        <v>44600</v>
      </c>
      <c r="C314" s="48" t="s">
        <v>95</v>
      </c>
      <c r="D314" s="48">
        <v>0.78683999999999998</v>
      </c>
      <c r="E314" s="48">
        <v>1.1415500000000001</v>
      </c>
      <c r="F314" s="48">
        <v>1.3546</v>
      </c>
      <c r="G314" s="48">
        <v>8.6552999999999995E-3</v>
      </c>
      <c r="H314" s="48">
        <v>0.71318999999999999</v>
      </c>
      <c r="I314" s="48">
        <v>0.15705</v>
      </c>
      <c r="J314" s="48">
        <v>0.74341000000000002</v>
      </c>
      <c r="K314" s="48">
        <v>1.08152</v>
      </c>
      <c r="L314" s="48">
        <v>3.5943000000000003E-2</v>
      </c>
      <c r="M314" s="48">
        <v>3.0349000000000001E-2</v>
      </c>
    </row>
    <row r="315" spans="1:13">
      <c r="A315" s="48">
        <v>2459618</v>
      </c>
      <c r="B315" s="49">
        <v>44599</v>
      </c>
      <c r="C315" s="48" t="s">
        <v>91</v>
      </c>
      <c r="D315" s="48">
        <v>0.78815000000000002</v>
      </c>
      <c r="E315" s="48">
        <v>1.1433599999999999</v>
      </c>
      <c r="F315" s="48">
        <v>1.3524</v>
      </c>
      <c r="G315" s="48">
        <v>8.6932999999999993E-3</v>
      </c>
      <c r="H315" s="48">
        <v>0.71145999999999998</v>
      </c>
      <c r="I315" s="48">
        <v>0.15715999999999999</v>
      </c>
      <c r="J315" s="48">
        <v>0.74392999999999998</v>
      </c>
      <c r="K315" s="48">
        <v>1.0824400000000001</v>
      </c>
      <c r="L315" s="48">
        <v>3.5900000000000001E-2</v>
      </c>
      <c r="M315" s="48">
        <v>3.0380999999999998E-2</v>
      </c>
    </row>
    <row r="316" spans="1:13">
      <c r="A316" s="48">
        <v>2459615</v>
      </c>
      <c r="B316" s="49">
        <v>44596</v>
      </c>
      <c r="C316" s="48" t="s">
        <v>92</v>
      </c>
      <c r="D316" s="48">
        <v>0.78381999999999996</v>
      </c>
      <c r="E316" s="48">
        <v>1.1448499999999999</v>
      </c>
      <c r="F316" s="48">
        <v>1.3534999999999999</v>
      </c>
      <c r="G316" s="48">
        <v>8.6768999999999995E-3</v>
      </c>
      <c r="H316" s="48">
        <v>0.70709</v>
      </c>
      <c r="I316" s="48">
        <v>0.15723000000000001</v>
      </c>
      <c r="J316" s="48">
        <v>0.74314000000000002</v>
      </c>
      <c r="K316" s="48">
        <v>1.08152</v>
      </c>
      <c r="L316" s="48">
        <v>3.5954E-2</v>
      </c>
      <c r="M316" s="48">
        <v>3.0242000000000002E-2</v>
      </c>
    </row>
    <row r="317" spans="1:13">
      <c r="A317" s="48">
        <v>2459614</v>
      </c>
      <c r="B317" s="49">
        <v>44595</v>
      </c>
      <c r="C317" s="48" t="s">
        <v>93</v>
      </c>
      <c r="D317" s="48">
        <v>0.78871000000000002</v>
      </c>
      <c r="E317" s="48">
        <v>1.1411</v>
      </c>
      <c r="F317" s="48">
        <v>1.3596999999999999</v>
      </c>
      <c r="G317" s="48">
        <v>8.7072999999999994E-3</v>
      </c>
      <c r="H317" s="48">
        <v>0.71401000000000003</v>
      </c>
      <c r="I317" s="48">
        <v>0.15719</v>
      </c>
      <c r="J317" s="48">
        <v>0.74367000000000005</v>
      </c>
      <c r="K317" s="48">
        <v>1.0869200000000001</v>
      </c>
      <c r="L317" s="48">
        <v>3.5964999999999997E-2</v>
      </c>
      <c r="M317" s="48">
        <v>3.0209E-2</v>
      </c>
    </row>
    <row r="318" spans="1:13">
      <c r="A318" s="48">
        <v>2459613</v>
      </c>
      <c r="B318" s="49">
        <v>44594</v>
      </c>
      <c r="C318" s="48" t="s">
        <v>94</v>
      </c>
      <c r="D318" s="48">
        <v>0.78883000000000003</v>
      </c>
      <c r="E318" s="48">
        <v>1.13087</v>
      </c>
      <c r="F318" s="48">
        <v>1.3573</v>
      </c>
      <c r="G318" s="48">
        <v>8.7481E-3</v>
      </c>
      <c r="H318" s="48">
        <v>0.71365000000000001</v>
      </c>
      <c r="I318" s="48">
        <v>0.15720999999999999</v>
      </c>
      <c r="J318" s="48">
        <v>0.74229000000000001</v>
      </c>
      <c r="K318" s="48">
        <v>1.08843</v>
      </c>
      <c r="L318" s="48">
        <v>3.5971000000000003E-2</v>
      </c>
      <c r="M318" s="48">
        <v>3.0084E-2</v>
      </c>
    </row>
    <row r="319" spans="1:13">
      <c r="A319" s="48">
        <v>2459612</v>
      </c>
      <c r="B319" s="49">
        <v>44593</v>
      </c>
      <c r="C319" s="48" t="s">
        <v>95</v>
      </c>
      <c r="D319" s="48">
        <v>0.78776999999999997</v>
      </c>
      <c r="E319" s="48">
        <v>1.1254900000000001</v>
      </c>
      <c r="F319" s="48">
        <v>1.3507</v>
      </c>
      <c r="G319" s="48">
        <v>8.7127999999999997E-3</v>
      </c>
      <c r="H319" s="48">
        <v>0.71081000000000005</v>
      </c>
      <c r="I319" s="48">
        <v>0.15723999999999999</v>
      </c>
      <c r="J319" s="48">
        <v>0.74106000000000005</v>
      </c>
      <c r="K319" s="48">
        <v>1.0846100000000001</v>
      </c>
      <c r="L319" s="48">
        <v>3.5962000000000001E-2</v>
      </c>
      <c r="M319" s="48">
        <v>3.0136E-2</v>
      </c>
    </row>
    <row r="320" spans="1:13">
      <c r="A320" s="48">
        <v>2459611</v>
      </c>
      <c r="B320" s="49">
        <v>44592</v>
      </c>
      <c r="C320" s="48" t="s">
        <v>91</v>
      </c>
      <c r="D320" s="48">
        <v>0.78622000000000003</v>
      </c>
      <c r="E320" s="48">
        <v>1.1211599999999999</v>
      </c>
      <c r="F320" s="48">
        <v>1.3438000000000001</v>
      </c>
      <c r="G320" s="48">
        <v>8.6799000000000008E-3</v>
      </c>
      <c r="H320" s="48">
        <v>0.70633999999999997</v>
      </c>
      <c r="I320" s="48">
        <v>0.15717</v>
      </c>
      <c r="J320" s="48">
        <v>0.73968</v>
      </c>
      <c r="K320" s="48">
        <v>1.0763400000000001</v>
      </c>
      <c r="L320" s="48">
        <v>3.5945999999999999E-2</v>
      </c>
      <c r="M320" s="48">
        <v>3.0127000000000001E-2</v>
      </c>
    </row>
    <row r="321" spans="1:13">
      <c r="A321" s="48">
        <v>2459608</v>
      </c>
      <c r="B321" s="49">
        <v>44589</v>
      </c>
      <c r="C321" s="48" t="s">
        <v>92</v>
      </c>
      <c r="D321" s="48">
        <v>0.78295999999999999</v>
      </c>
      <c r="E321" s="48">
        <v>1.11517</v>
      </c>
      <c r="F321" s="48">
        <v>1.3401000000000001</v>
      </c>
      <c r="G321" s="48">
        <v>8.6751999999999992E-3</v>
      </c>
      <c r="H321" s="48">
        <v>0.69894999999999996</v>
      </c>
      <c r="I321" s="48">
        <v>0.15722</v>
      </c>
      <c r="J321" s="48">
        <v>0.73755000000000004</v>
      </c>
      <c r="K321" s="48">
        <v>1.07423</v>
      </c>
      <c r="L321" s="48">
        <v>3.5922000000000003E-2</v>
      </c>
      <c r="M321" s="48">
        <v>2.9946E-2</v>
      </c>
    </row>
    <row r="322" spans="1:13">
      <c r="A322" s="48">
        <v>2459607</v>
      </c>
      <c r="B322" s="49">
        <v>44588</v>
      </c>
      <c r="C322" s="48" t="s">
        <v>93</v>
      </c>
      <c r="D322" s="48">
        <v>0.78666000000000003</v>
      </c>
      <c r="E322" s="48">
        <v>1.11469</v>
      </c>
      <c r="F322" s="48">
        <v>1.3383</v>
      </c>
      <c r="G322" s="48">
        <v>8.6689999999999996E-3</v>
      </c>
      <c r="H322" s="48">
        <v>0.70491999999999999</v>
      </c>
      <c r="I322" s="48">
        <v>0.15701999999999999</v>
      </c>
      <c r="J322" s="48">
        <v>0.73914999999999997</v>
      </c>
      <c r="K322" s="48">
        <v>1.0737099999999999</v>
      </c>
      <c r="L322" s="48">
        <v>3.5942000000000002E-2</v>
      </c>
      <c r="M322" s="48">
        <v>3.0006999999999999E-2</v>
      </c>
    </row>
    <row r="323" spans="1:13">
      <c r="A323" s="48">
        <v>2459606</v>
      </c>
      <c r="B323" s="49">
        <v>44587</v>
      </c>
      <c r="C323" s="48" t="s">
        <v>94</v>
      </c>
      <c r="D323" s="48">
        <v>0.79327000000000003</v>
      </c>
      <c r="E323" s="48">
        <v>1.12788</v>
      </c>
      <c r="F323" s="48">
        <v>1.3502000000000001</v>
      </c>
      <c r="G323" s="48">
        <v>8.7419000000000004E-3</v>
      </c>
      <c r="H323" s="48">
        <v>0.71569000000000005</v>
      </c>
      <c r="I323" s="48">
        <v>0.15817999999999999</v>
      </c>
      <c r="J323" s="48">
        <v>0.74329000000000001</v>
      </c>
      <c r="K323" s="48">
        <v>1.08552</v>
      </c>
      <c r="L323" s="48">
        <v>3.6031000000000001E-2</v>
      </c>
      <c r="M323" s="48">
        <v>3.0249000000000002E-2</v>
      </c>
    </row>
    <row r="324" spans="1:13">
      <c r="A324" s="48">
        <v>2459605</v>
      </c>
      <c r="B324" s="49">
        <v>44586</v>
      </c>
      <c r="C324" s="48" t="s">
        <v>95</v>
      </c>
      <c r="D324" s="48">
        <v>0.79183000000000003</v>
      </c>
      <c r="E324" s="48">
        <v>1.1285099999999999</v>
      </c>
      <c r="F324" s="48">
        <v>1.349</v>
      </c>
      <c r="G324" s="48">
        <v>8.7814E-3</v>
      </c>
      <c r="H324" s="48">
        <v>0.71447000000000005</v>
      </c>
      <c r="I324" s="48">
        <v>0.15805</v>
      </c>
      <c r="J324" s="48">
        <v>0.74377000000000004</v>
      </c>
      <c r="K324" s="48">
        <v>1.08813</v>
      </c>
      <c r="L324" s="48">
        <v>3.6068000000000003E-2</v>
      </c>
      <c r="M324" s="48">
        <v>3.0261E-2</v>
      </c>
    </row>
    <row r="325" spans="1:13">
      <c r="A325" s="48">
        <v>2459604</v>
      </c>
      <c r="B325" s="49">
        <v>44585</v>
      </c>
      <c r="C325" s="48" t="s">
        <v>91</v>
      </c>
      <c r="D325" s="48">
        <v>0.79013999999999995</v>
      </c>
      <c r="E325" s="48">
        <v>1.13148</v>
      </c>
      <c r="F325" s="48">
        <v>1.347</v>
      </c>
      <c r="G325" s="48">
        <v>8.7863000000000004E-3</v>
      </c>
      <c r="H325" s="48">
        <v>0.71152000000000004</v>
      </c>
      <c r="I325" s="48">
        <v>0.15795000000000001</v>
      </c>
      <c r="J325" s="48">
        <v>0.74248999999999998</v>
      </c>
      <c r="K325" s="48">
        <v>1.09426</v>
      </c>
      <c r="L325" s="48">
        <v>3.6069999999999998E-2</v>
      </c>
      <c r="M325" s="48">
        <v>3.0159999999999999E-2</v>
      </c>
    </row>
    <row r="326" spans="1:13">
      <c r="A326" s="48">
        <v>2459601</v>
      </c>
      <c r="B326" s="49">
        <v>44582</v>
      </c>
      <c r="C326" s="48" t="s">
        <v>92</v>
      </c>
      <c r="D326" s="48">
        <v>0.79713000000000001</v>
      </c>
      <c r="E326" s="48">
        <v>1.1345499999999999</v>
      </c>
      <c r="F326" s="48">
        <v>1.3560000000000001</v>
      </c>
      <c r="G326" s="48">
        <v>8.7922999999999994E-3</v>
      </c>
      <c r="H326" s="48">
        <v>0.71940999999999999</v>
      </c>
      <c r="I326" s="48">
        <v>0.15775</v>
      </c>
      <c r="J326" s="48">
        <v>0.74372000000000005</v>
      </c>
      <c r="K326" s="48">
        <v>1.09693</v>
      </c>
      <c r="L326" s="48">
        <v>3.6102000000000002E-2</v>
      </c>
      <c r="M326" s="48">
        <v>3.0322999999999999E-2</v>
      </c>
    </row>
    <row r="327" spans="1:13">
      <c r="A327" s="48">
        <v>2459600</v>
      </c>
      <c r="B327" s="49">
        <v>44581</v>
      </c>
      <c r="C327" s="48" t="s">
        <v>93</v>
      </c>
      <c r="D327" s="48">
        <v>0.80166999999999999</v>
      </c>
      <c r="E327" s="48">
        <v>1.13324</v>
      </c>
      <c r="F327" s="48">
        <v>1.363</v>
      </c>
      <c r="G327" s="48">
        <v>8.7621999999999995E-3</v>
      </c>
      <c r="H327" s="48">
        <v>0.72543000000000002</v>
      </c>
      <c r="I327" s="48">
        <v>0.15769</v>
      </c>
      <c r="J327" s="48">
        <v>0.74346999999999996</v>
      </c>
      <c r="K327" s="48">
        <v>1.0916300000000001</v>
      </c>
      <c r="L327" s="48">
        <v>3.6194999999999998E-2</v>
      </c>
      <c r="M327" s="48">
        <v>3.0414E-2</v>
      </c>
    </row>
    <row r="328" spans="1:13">
      <c r="A328" s="48">
        <v>2459599</v>
      </c>
      <c r="B328" s="49">
        <v>44580</v>
      </c>
      <c r="C328" s="48" t="s">
        <v>94</v>
      </c>
      <c r="D328" s="48">
        <v>0.80051000000000005</v>
      </c>
      <c r="E328" s="48">
        <v>1.13473</v>
      </c>
      <c r="F328" s="48">
        <v>1.363</v>
      </c>
      <c r="G328" s="48">
        <v>8.7495999999999997E-3</v>
      </c>
      <c r="H328" s="48">
        <v>0.72253999999999996</v>
      </c>
      <c r="I328" s="48">
        <v>0.15762000000000001</v>
      </c>
      <c r="J328" s="48">
        <v>0.74216000000000004</v>
      </c>
      <c r="K328" s="48">
        <v>1.09206</v>
      </c>
      <c r="L328" s="48">
        <v>3.6199000000000002E-2</v>
      </c>
      <c r="M328" s="48">
        <v>3.022E-2</v>
      </c>
    </row>
    <row r="329" spans="1:13">
      <c r="A329" s="48">
        <v>2459598</v>
      </c>
      <c r="B329" s="49">
        <v>44579</v>
      </c>
      <c r="C329" s="48" t="s">
        <v>95</v>
      </c>
      <c r="D329" s="48">
        <v>0.79815000000000003</v>
      </c>
      <c r="E329" s="48">
        <v>1.13425</v>
      </c>
      <c r="F329" s="48">
        <v>1.3586</v>
      </c>
      <c r="G329" s="48">
        <v>8.7238000000000003E-3</v>
      </c>
      <c r="H329" s="48">
        <v>0.71826000000000001</v>
      </c>
      <c r="I329" s="48">
        <v>0.15739</v>
      </c>
      <c r="J329" s="48">
        <v>0.74036000000000002</v>
      </c>
      <c r="K329" s="48">
        <v>1.09083</v>
      </c>
      <c r="L329" s="48">
        <v>3.6220000000000002E-2</v>
      </c>
      <c r="M329" s="48">
        <v>3.0173999999999999E-2</v>
      </c>
    </row>
    <row r="330" spans="1:13">
      <c r="A330" s="48">
        <v>2459597</v>
      </c>
      <c r="B330" s="49">
        <v>44578</v>
      </c>
      <c r="C330" s="48" t="s">
        <v>91</v>
      </c>
      <c r="D330" s="48">
        <v>0.79871999999999999</v>
      </c>
      <c r="E330" s="48">
        <v>1.14066</v>
      </c>
      <c r="F330" s="48">
        <v>1.3649</v>
      </c>
      <c r="G330" s="48">
        <v>8.7299999999999999E-3</v>
      </c>
      <c r="H330" s="48">
        <v>0.72124999999999995</v>
      </c>
      <c r="I330" s="48">
        <v>0.15751000000000001</v>
      </c>
      <c r="J330" s="48">
        <v>0.74168999999999996</v>
      </c>
      <c r="K330" s="48">
        <v>1.09385</v>
      </c>
      <c r="L330" s="48">
        <v>3.6325999999999997E-2</v>
      </c>
      <c r="M330" s="48">
        <v>3.022E-2</v>
      </c>
    </row>
    <row r="331" spans="1:13">
      <c r="A331" s="48">
        <v>2459594</v>
      </c>
      <c r="B331" s="49">
        <v>44575</v>
      </c>
      <c r="C331" s="48" t="s">
        <v>92</v>
      </c>
      <c r="D331" s="48">
        <v>0.79713000000000001</v>
      </c>
      <c r="E331" s="48">
        <v>1.1422099999999999</v>
      </c>
      <c r="F331" s="48">
        <v>1.3680000000000001</v>
      </c>
      <c r="G331" s="48">
        <v>8.7764000000000002E-3</v>
      </c>
      <c r="H331" s="48">
        <v>0.72228000000000003</v>
      </c>
      <c r="I331" s="48">
        <v>0.15742999999999999</v>
      </c>
      <c r="J331" s="48">
        <v>0.74197000000000002</v>
      </c>
      <c r="K331" s="48">
        <v>1.09558</v>
      </c>
      <c r="L331" s="48">
        <v>3.6229999999999998E-2</v>
      </c>
      <c r="M331" s="48">
        <v>3.0034000000000002E-2</v>
      </c>
    </row>
    <row r="332" spans="1:13">
      <c r="A332" s="48">
        <v>2459593</v>
      </c>
      <c r="B332" s="49">
        <v>44574</v>
      </c>
      <c r="C332" s="48" t="s">
        <v>93</v>
      </c>
      <c r="D332" s="48">
        <v>0.80101999999999995</v>
      </c>
      <c r="E332" s="48">
        <v>1.14635</v>
      </c>
      <c r="F332" s="48">
        <v>1.3724000000000001</v>
      </c>
      <c r="G332" s="48">
        <v>8.7632000000000005E-3</v>
      </c>
      <c r="H332" s="48">
        <v>0.72948999999999997</v>
      </c>
      <c r="I332" s="48">
        <v>0.15723999999999999</v>
      </c>
      <c r="J332" s="48">
        <v>0.74319000000000002</v>
      </c>
      <c r="K332" s="48">
        <v>1.09812</v>
      </c>
      <c r="L332" s="48">
        <v>3.6206000000000002E-2</v>
      </c>
      <c r="M332" s="48">
        <v>3.0089000000000001E-2</v>
      </c>
    </row>
    <row r="333" spans="1:13">
      <c r="A333" s="48">
        <v>2459592</v>
      </c>
      <c r="B333" s="49">
        <v>44573</v>
      </c>
      <c r="C333" s="48" t="s">
        <v>94</v>
      </c>
      <c r="D333" s="48">
        <v>0.79935999999999996</v>
      </c>
      <c r="E333" s="48">
        <v>1.14269</v>
      </c>
      <c r="F333" s="48">
        <v>1.3693</v>
      </c>
      <c r="G333" s="48">
        <v>8.7130000000000003E-3</v>
      </c>
      <c r="H333" s="48">
        <v>0.72709999999999997</v>
      </c>
      <c r="I333" s="48">
        <v>0.15723000000000001</v>
      </c>
      <c r="J333" s="48">
        <v>0.74229000000000001</v>
      </c>
      <c r="K333" s="48">
        <v>1.0919300000000001</v>
      </c>
      <c r="L333" s="48">
        <v>3.6171000000000002E-2</v>
      </c>
      <c r="M333" s="48">
        <v>3.005E-2</v>
      </c>
    </row>
    <row r="334" spans="1:13">
      <c r="A334" s="48">
        <v>2459591</v>
      </c>
      <c r="B334" s="49">
        <v>44572</v>
      </c>
      <c r="C334" s="48" t="s">
        <v>95</v>
      </c>
      <c r="D334" s="48">
        <v>0.79327000000000003</v>
      </c>
      <c r="E334" s="48">
        <v>1.1350899999999999</v>
      </c>
      <c r="F334" s="48">
        <v>1.3607</v>
      </c>
      <c r="G334" s="48">
        <v>8.6625000000000001E-3</v>
      </c>
      <c r="H334" s="48">
        <v>0.71909999999999996</v>
      </c>
      <c r="I334" s="48">
        <v>0.15690999999999999</v>
      </c>
      <c r="J334" s="48">
        <v>0.73965000000000003</v>
      </c>
      <c r="K334" s="48">
        <v>1.0811500000000001</v>
      </c>
      <c r="L334" s="48">
        <v>3.6110000000000003E-2</v>
      </c>
      <c r="M334" s="48">
        <v>3.0022E-2</v>
      </c>
    </row>
    <row r="335" spans="1:13">
      <c r="A335" s="48">
        <v>2459590</v>
      </c>
      <c r="B335" s="49">
        <v>44571</v>
      </c>
      <c r="C335" s="48" t="s">
        <v>91</v>
      </c>
      <c r="D335" s="48">
        <v>0.78871000000000002</v>
      </c>
      <c r="E335" s="48">
        <v>1.1318699999999999</v>
      </c>
      <c r="F335" s="48">
        <v>1.3563000000000001</v>
      </c>
      <c r="G335" s="48">
        <v>8.6757999999999991E-3</v>
      </c>
      <c r="H335" s="48">
        <v>0.71677999999999997</v>
      </c>
      <c r="I335" s="48">
        <v>0.15687000000000001</v>
      </c>
      <c r="J335" s="48">
        <v>0.73719999999999997</v>
      </c>
      <c r="K335" s="48">
        <v>1.0799799999999999</v>
      </c>
      <c r="L335" s="48">
        <v>3.6131000000000003E-2</v>
      </c>
      <c r="M335" s="48">
        <v>2.9678E-2</v>
      </c>
    </row>
    <row r="336" spans="1:13">
      <c r="A336" s="48">
        <v>2459587</v>
      </c>
      <c r="B336" s="49">
        <v>44568</v>
      </c>
      <c r="C336" s="48" t="s">
        <v>92</v>
      </c>
      <c r="D336" s="48">
        <v>0.78951000000000005</v>
      </c>
      <c r="E336" s="48">
        <v>1.1343000000000001</v>
      </c>
      <c r="F336" s="48">
        <v>1.3573</v>
      </c>
      <c r="G336" s="48">
        <v>8.6452000000000005E-3</v>
      </c>
      <c r="H336" s="48">
        <v>0.71711999999999998</v>
      </c>
      <c r="I336" s="48">
        <v>0.15679999999999999</v>
      </c>
      <c r="J336" s="48">
        <v>0.73692999999999997</v>
      </c>
      <c r="K336" s="48">
        <v>1.0869200000000001</v>
      </c>
      <c r="L336" s="48">
        <v>3.6144000000000003E-2</v>
      </c>
      <c r="M336" s="48">
        <v>2.9805999999999999E-2</v>
      </c>
    </row>
    <row r="337" spans="1:13">
      <c r="A337" s="48">
        <v>2459586</v>
      </c>
      <c r="B337" s="49">
        <v>44567</v>
      </c>
      <c r="C337" s="48" t="s">
        <v>93</v>
      </c>
      <c r="D337" s="48">
        <v>0.78486999999999996</v>
      </c>
      <c r="E337" s="48">
        <v>1.1302099999999999</v>
      </c>
      <c r="F337" s="48">
        <v>1.3532</v>
      </c>
      <c r="G337" s="48">
        <v>8.6335000000000005E-3</v>
      </c>
      <c r="H337" s="48">
        <v>0.71643000000000001</v>
      </c>
      <c r="I337" s="48">
        <v>0.15665999999999999</v>
      </c>
      <c r="J337" s="48">
        <v>0.73487000000000002</v>
      </c>
      <c r="K337" s="48">
        <v>1.0869599999999999</v>
      </c>
      <c r="L337" s="48">
        <v>3.6143000000000002E-2</v>
      </c>
      <c r="M337" s="48">
        <v>2.9877999999999998E-2</v>
      </c>
    </row>
    <row r="338" spans="1:13">
      <c r="A338" s="48">
        <v>2459585</v>
      </c>
      <c r="B338" s="49">
        <v>44566</v>
      </c>
      <c r="C338" s="48" t="s">
        <v>94</v>
      </c>
      <c r="D338" s="48">
        <v>0.78634999999999999</v>
      </c>
      <c r="E338" s="48">
        <v>1.13289</v>
      </c>
      <c r="F338" s="48">
        <v>1.3565</v>
      </c>
      <c r="G338" s="48">
        <v>8.6262000000000005E-3</v>
      </c>
      <c r="H338" s="48">
        <v>0.72541</v>
      </c>
      <c r="I338" s="48">
        <v>0.15711</v>
      </c>
      <c r="J338" s="48">
        <v>0.73799000000000003</v>
      </c>
      <c r="K338" s="48">
        <v>1.09161</v>
      </c>
      <c r="L338" s="48">
        <v>3.6235000000000003E-2</v>
      </c>
      <c r="M338" s="48">
        <v>3.0107999999999999E-2</v>
      </c>
    </row>
    <row r="339" spans="1:13">
      <c r="A339" s="48">
        <v>2459584</v>
      </c>
      <c r="B339" s="49">
        <v>44565</v>
      </c>
      <c r="C339" s="48" t="s">
        <v>95</v>
      </c>
      <c r="D339" s="48">
        <v>0.78691</v>
      </c>
      <c r="E339" s="48">
        <v>1.12897</v>
      </c>
      <c r="F339" s="48">
        <v>1.3529</v>
      </c>
      <c r="G339" s="48">
        <v>8.6087000000000004E-3</v>
      </c>
      <c r="H339" s="48">
        <v>0.72301000000000004</v>
      </c>
      <c r="I339" s="48">
        <v>0.15690999999999999</v>
      </c>
      <c r="J339" s="48">
        <v>0.73748999999999998</v>
      </c>
      <c r="K339" s="48">
        <v>1.09144</v>
      </c>
      <c r="L339" s="48">
        <v>3.6316000000000001E-2</v>
      </c>
      <c r="M339" s="48">
        <v>3.0113999999999998E-2</v>
      </c>
    </row>
    <row r="340" spans="1:13">
      <c r="A340" s="48"/>
      <c r="B340" s="49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</row>
    <row r="341" spans="1:13">
      <c r="A341" s="48" t="s">
        <v>104</v>
      </c>
      <c r="B341" s="49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</row>
    <row r="342" spans="1:13">
      <c r="A342" s="48"/>
      <c r="B342" s="49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</row>
    <row r="343" spans="1:13">
      <c r="A343" s="48"/>
      <c r="B343" s="49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</row>
    <row r="344" spans="1:13">
      <c r="A344" s="48"/>
      <c r="B344" s="49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</row>
    <row r="345" spans="1:13">
      <c r="A345" s="48"/>
      <c r="B345" s="49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</row>
    <row r="346" spans="1:13">
      <c r="A346" s="48"/>
      <c r="B346" s="49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</row>
    <row r="347" spans="1:13">
      <c r="A347" s="48"/>
      <c r="B347" s="49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</row>
    <row r="348" spans="1:13">
      <c r="A348" s="48"/>
      <c r="B348" s="49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</row>
    <row r="349" spans="1:13">
      <c r="A349" s="48"/>
      <c r="B349" s="49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</row>
    <row r="350" spans="1:13">
      <c r="A350" s="48"/>
      <c r="B350" s="49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</row>
    <row r="351" spans="1:13">
      <c r="A351" s="48"/>
      <c r="B351" s="49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</row>
    <row r="352" spans="1:13">
      <c r="A352" s="48"/>
      <c r="B352" s="49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</row>
    <row r="353" spans="1:13">
      <c r="A353" s="48"/>
      <c r="B353" s="49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</row>
    <row r="354" spans="1:13">
      <c r="A354" s="48"/>
      <c r="B354" s="49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</row>
    <row r="355" spans="1:13">
      <c r="A355" s="48"/>
      <c r="B355" s="49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</row>
    <row r="356" spans="1:13">
      <c r="A356" s="48"/>
      <c r="B356" s="49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</row>
    <row r="357" spans="1:13">
      <c r="A357" s="48"/>
      <c r="B357" s="49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</row>
    <row r="358" spans="1:13">
      <c r="A358" s="48"/>
      <c r="B358" s="49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</row>
    <row r="359" spans="1:13">
      <c r="A359" s="48"/>
      <c r="B359" s="49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</row>
    <row r="360" spans="1:13">
      <c r="A360" s="48"/>
      <c r="B360" s="49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</row>
    <row r="361" spans="1:13">
      <c r="A361" s="48"/>
      <c r="B361" s="49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</row>
    <row r="362" spans="1:13">
      <c r="A362" s="48"/>
      <c r="B362" s="49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</row>
    <row r="363" spans="1:13">
      <c r="A363" s="48"/>
      <c r="B363" s="49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</row>
    <row r="364" spans="1:13">
      <c r="A364" s="48"/>
      <c r="B364" s="49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</row>
    <row r="365" spans="1:13">
      <c r="A365" s="48"/>
      <c r="B365" s="49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</row>
    <row r="366" spans="1:13">
      <c r="A366" s="48"/>
      <c r="B366" s="49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</row>
    <row r="367" spans="1:13">
      <c r="A367" s="48"/>
      <c r="B367" s="49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</row>
    <row r="368" spans="1:13">
      <c r="A368" s="48"/>
      <c r="B368" s="49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</row>
    <row r="369" spans="1:13">
      <c r="A369" s="48"/>
      <c r="B369" s="49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</row>
    <row r="370" spans="1:13">
      <c r="A370" s="48"/>
      <c r="B370" s="49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</row>
    <row r="371" spans="1:13">
      <c r="A371" s="48"/>
      <c r="B371" s="49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</row>
    <row r="372" spans="1:13">
      <c r="A372" s="48"/>
      <c r="B372" s="49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</row>
    <row r="373" spans="1:13">
      <c r="A373" s="48"/>
      <c r="B373" s="49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</row>
    <row r="374" spans="1:13">
      <c r="A374" s="48"/>
      <c r="B374" s="49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</row>
    <row r="375" spans="1:13">
      <c r="A375" s="48"/>
      <c r="B375" s="49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</row>
    <row r="376" spans="1:13">
      <c r="A376" s="48"/>
      <c r="B376" s="49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</row>
    <row r="377" spans="1:13">
      <c r="A377" s="48"/>
      <c r="B377" s="49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</row>
    <row r="378" spans="1:13">
      <c r="A378" s="48"/>
      <c r="B378" s="49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</row>
    <row r="379" spans="1:13">
      <c r="A379" s="48"/>
      <c r="B379" s="49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</row>
    <row r="380" spans="1:13">
      <c r="A380" s="48"/>
      <c r="B380" s="49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</row>
    <row r="381" spans="1:13">
      <c r="A381" s="48"/>
      <c r="B381" s="49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</row>
    <row r="382" spans="1:13">
      <c r="A382" s="48"/>
      <c r="B382" s="49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</row>
    <row r="383" spans="1:13">
      <c r="A383" s="48"/>
      <c r="B383" s="49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</row>
    <row r="384" spans="1:13">
      <c r="A384" s="48"/>
      <c r="B384" s="49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</row>
    <row r="385" spans="1:13">
      <c r="A385" s="48"/>
      <c r="B385" s="49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</row>
    <row r="386" spans="1:13">
      <c r="A386" s="48"/>
      <c r="B386" s="49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</row>
    <row r="387" spans="1:13">
      <c r="A387" s="48"/>
      <c r="B387" s="49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</row>
    <row r="388" spans="1:13">
      <c r="A388" s="48"/>
      <c r="B388" s="49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</row>
    <row r="389" spans="1:13">
      <c r="A389" s="48"/>
      <c r="B389" s="49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</row>
    <row r="390" spans="1:13">
      <c r="A390" s="48"/>
      <c r="B390" s="49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</row>
    <row r="391" spans="1:13">
      <c r="A391" s="48"/>
      <c r="B391" s="49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</row>
    <row r="392" spans="1:13">
      <c r="A392" s="48"/>
      <c r="B392" s="49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</row>
    <row r="393" spans="1:13">
      <c r="A393" s="48"/>
      <c r="B393" s="49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</row>
    <row r="394" spans="1:13">
      <c r="A394" s="48"/>
      <c r="B394" s="49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</row>
    <row r="395" spans="1:13">
      <c r="A395" s="48"/>
      <c r="B395" s="49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</row>
    <row r="396" spans="1:13">
      <c r="A396" s="48"/>
      <c r="B396" s="49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</row>
    <row r="397" spans="1:13">
      <c r="A397" s="48"/>
      <c r="B397" s="49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</row>
    <row r="398" spans="1:13">
      <c r="A398" s="48"/>
      <c r="B398" s="49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</row>
    <row r="399" spans="1:13">
      <c r="A399" s="48"/>
      <c r="B399" s="49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</row>
    <row r="400" spans="1:13">
      <c r="A400" s="48"/>
      <c r="B400" s="49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</row>
    <row r="401" spans="1:13">
      <c r="A401" s="48"/>
      <c r="B401" s="49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</row>
    <row r="402" spans="1:13">
      <c r="A402" s="48"/>
      <c r="B402" s="49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</row>
    <row r="403" spans="1:13">
      <c r="A403" s="48"/>
      <c r="B403" s="49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</row>
    <row r="404" spans="1:13">
      <c r="A404" s="48"/>
      <c r="B404" s="49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</row>
    <row r="405" spans="1:13">
      <c r="A405" s="48"/>
      <c r="B405" s="49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</row>
    <row r="406" spans="1:13">
      <c r="A406" s="48"/>
      <c r="B406" s="49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</row>
    <row r="407" spans="1:13">
      <c r="A407" s="48"/>
      <c r="B407" s="49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</row>
    <row r="408" spans="1:13">
      <c r="A408" s="48"/>
      <c r="B408" s="49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</row>
    <row r="409" spans="1:13">
      <c r="A409" s="48"/>
      <c r="B409" s="49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</row>
    <row r="410" spans="1:13">
      <c r="A410" s="48"/>
      <c r="B410" s="49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</row>
    <row r="411" spans="1:13">
      <c r="A411" s="48"/>
      <c r="B411" s="49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</row>
    <row r="412" spans="1:13">
      <c r="A412" s="48"/>
      <c r="B412" s="49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</row>
    <row r="413" spans="1:13">
      <c r="A413" s="48"/>
      <c r="B413" s="49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</row>
    <row r="414" spans="1:13">
      <c r="A414" s="48"/>
      <c r="B414" s="49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</row>
    <row r="415" spans="1:13">
      <c r="A415" s="48"/>
      <c r="B415" s="49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</row>
    <row r="416" spans="1:13">
      <c r="A416" s="48"/>
      <c r="B416" s="49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</row>
    <row r="417" spans="1:13">
      <c r="A417" s="48"/>
      <c r="B417" s="49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</row>
    <row r="418" spans="1:13">
      <c r="A418" s="48"/>
      <c r="B418" s="49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</row>
    <row r="419" spans="1:13">
      <c r="A419" s="48"/>
      <c r="B419" s="49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</row>
    <row r="420" spans="1:13">
      <c r="A420" s="48"/>
      <c r="B420" s="49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</row>
    <row r="421" spans="1:13">
      <c r="A421" s="48"/>
      <c r="B421" s="49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</row>
    <row r="422" spans="1:13">
      <c r="A422" s="48"/>
      <c r="B422" s="49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</row>
    <row r="423" spans="1:13">
      <c r="A423" s="48"/>
      <c r="B423" s="49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</row>
    <row r="424" spans="1:13">
      <c r="A424" s="48"/>
      <c r="B424" s="49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</row>
    <row r="425" spans="1:13">
      <c r="A425" s="48"/>
      <c r="B425" s="49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</row>
    <row r="426" spans="1:13">
      <c r="A426" s="48"/>
      <c r="B426" s="49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</row>
    <row r="427" spans="1:13">
      <c r="A427" s="48"/>
      <c r="B427" s="49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</row>
    <row r="428" spans="1:13">
      <c r="A428" s="48"/>
      <c r="B428" s="49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</row>
    <row r="429" spans="1:13">
      <c r="A429" s="48"/>
      <c r="B429" s="49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</row>
    <row r="430" spans="1:13">
      <c r="A430" s="48"/>
      <c r="B430" s="49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</row>
    <row r="431" spans="1:13">
      <c r="A431" s="48"/>
      <c r="B431" s="49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</row>
    <row r="432" spans="1:13">
      <c r="A432" s="48"/>
      <c r="B432" s="49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</row>
    <row r="433" spans="1:13">
      <c r="A433" s="48"/>
      <c r="B433" s="49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</row>
    <row r="434" spans="1:13">
      <c r="A434" s="48"/>
      <c r="B434" s="49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</row>
    <row r="435" spans="1:13">
      <c r="A435" s="48"/>
      <c r="B435" s="49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</row>
    <row r="436" spans="1:13">
      <c r="A436" s="48"/>
      <c r="B436" s="49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</row>
    <row r="437" spans="1:13">
      <c r="A437" s="48"/>
      <c r="B437" s="49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</row>
    <row r="438" spans="1:13">
      <c r="A438" s="48"/>
      <c r="B438" s="49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</row>
    <row r="439" spans="1:13">
      <c r="A439" s="48"/>
      <c r="B439" s="49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</row>
    <row r="440" spans="1:13">
      <c r="A440" s="48"/>
      <c r="B440" s="49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</row>
    <row r="441" spans="1:13">
      <c r="A441" s="48"/>
      <c r="B441" s="49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</row>
    <row r="442" spans="1:13">
      <c r="A442" s="48"/>
      <c r="B442" s="49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</row>
    <row r="443" spans="1:13">
      <c r="A443" s="48"/>
      <c r="B443" s="49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</row>
    <row r="444" spans="1:13">
      <c r="A444" s="48"/>
      <c r="B444" s="49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</row>
    <row r="445" spans="1:13">
      <c r="A445" s="48"/>
      <c r="B445" s="49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</row>
    <row r="446" spans="1:13">
      <c r="A446" s="48"/>
      <c r="B446" s="49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</row>
    <row r="447" spans="1:13">
      <c r="A447" s="48"/>
      <c r="B447" s="49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</row>
    <row r="448" spans="1:13">
      <c r="A448" s="48"/>
      <c r="B448" s="49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</row>
    <row r="449" spans="1:13">
      <c r="A449" s="48"/>
      <c r="B449" s="49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</row>
    <row r="450" spans="1:13">
      <c r="A450" s="48"/>
      <c r="B450" s="49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</row>
    <row r="451" spans="1:13">
      <c r="A451" s="48"/>
      <c r="B451" s="49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</row>
    <row r="452" spans="1:13">
      <c r="A452" s="48"/>
      <c r="B452" s="49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</row>
    <row r="453" spans="1:13">
      <c r="A453" s="48"/>
      <c r="B453" s="49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</row>
    <row r="454" spans="1:13">
      <c r="A454" s="48"/>
      <c r="B454" s="49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</row>
    <row r="455" spans="1:13">
      <c r="A455" s="48"/>
      <c r="B455" s="49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</row>
    <row r="456" spans="1:13">
      <c r="A456" s="48"/>
      <c r="B456" s="49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</row>
    <row r="457" spans="1:13">
      <c r="A457" s="48"/>
      <c r="B457" s="49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</row>
    <row r="458" spans="1:13">
      <c r="A458" s="48"/>
      <c r="B458" s="49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</row>
    <row r="459" spans="1:13">
      <c r="A459" s="48"/>
      <c r="B459" s="49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</row>
    <row r="460" spans="1:13">
      <c r="A460" s="48"/>
      <c r="B460" s="49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</row>
    <row r="461" spans="1:13">
      <c r="A461" s="48"/>
      <c r="B461" s="49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</row>
    <row r="462" spans="1:13">
      <c r="A462" s="48"/>
      <c r="B462" s="49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</row>
    <row r="463" spans="1:13">
      <c r="A463" s="48"/>
      <c r="B463" s="49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</row>
    <row r="464" spans="1:13">
      <c r="A464" s="48"/>
      <c r="B464" s="49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</row>
    <row r="465" spans="1:13">
      <c r="A465" s="48"/>
      <c r="B465" s="49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</row>
    <row r="466" spans="1:13">
      <c r="A466" s="48"/>
      <c r="B466" s="49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</row>
    <row r="467" spans="1:13">
      <c r="A467" s="48"/>
      <c r="B467" s="49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</row>
    <row r="468" spans="1:13">
      <c r="A468" s="48"/>
      <c r="B468" s="49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</row>
    <row r="469" spans="1:13">
      <c r="A469" s="48"/>
      <c r="B469" s="49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</row>
    <row r="470" spans="1:13">
      <c r="A470" s="48"/>
      <c r="B470" s="49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</row>
    <row r="471" spans="1:13">
      <c r="A471" s="48"/>
      <c r="B471" s="49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</row>
    <row r="472" spans="1:13">
      <c r="A472" s="48"/>
      <c r="B472" s="49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</row>
    <row r="473" spans="1:13">
      <c r="A473" s="48"/>
      <c r="B473" s="49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</row>
    <row r="474" spans="1:13">
      <c r="A474" s="48"/>
      <c r="B474" s="49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</row>
    <row r="475" spans="1:13">
      <c r="A475" s="48"/>
      <c r="B475" s="49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</row>
    <row r="476" spans="1:13">
      <c r="A476" s="48"/>
      <c r="B476" s="49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</row>
    <row r="477" spans="1:13">
      <c r="A477" s="48"/>
      <c r="B477" s="49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</row>
    <row r="478" spans="1:13">
      <c r="A478" s="48"/>
      <c r="B478" s="49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</row>
    <row r="479" spans="1:13">
      <c r="A479" s="48"/>
      <c r="B479" s="49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</row>
    <row r="480" spans="1:13">
      <c r="A480" s="48"/>
      <c r="B480" s="49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</row>
    <row r="481" spans="1:13">
      <c r="A481" s="48"/>
      <c r="B481" s="49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</row>
    <row r="482" spans="1:13">
      <c r="A482" s="48"/>
      <c r="B482" s="49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</row>
    <row r="483" spans="1:13">
      <c r="A483" s="48"/>
      <c r="B483" s="49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</row>
    <row r="484" spans="1:13">
      <c r="A484" s="48"/>
      <c r="B484" s="49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</row>
    <row r="485" spans="1:13">
      <c r="A485" s="48"/>
      <c r="B485" s="49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</row>
    <row r="486" spans="1:13">
      <c r="A486" s="48"/>
      <c r="B486" s="49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</row>
    <row r="487" spans="1:13">
      <c r="A487" s="48"/>
      <c r="B487" s="49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</row>
    <row r="488" spans="1:13">
      <c r="A488" s="48"/>
      <c r="B488" s="49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</row>
    <row r="489" spans="1:13">
      <c r="A489" s="48"/>
      <c r="B489" s="49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</row>
    <row r="490" spans="1:13">
      <c r="A490" s="48"/>
      <c r="B490" s="49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</row>
    <row r="491" spans="1:13">
      <c r="A491" s="48"/>
      <c r="B491" s="49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</row>
    <row r="492" spans="1:13">
      <c r="A492" s="48"/>
      <c r="B492" s="49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</row>
    <row r="493" spans="1:13">
      <c r="A493" s="48"/>
      <c r="B493" s="49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</row>
    <row r="494" spans="1:13">
      <c r="A494" s="48"/>
      <c r="B494" s="49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</row>
    <row r="495" spans="1:13">
      <c r="A495" s="48"/>
      <c r="B495" s="49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</row>
    <row r="496" spans="1:13">
      <c r="A496" s="48"/>
      <c r="B496" s="49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</row>
    <row r="497" spans="1:13">
      <c r="A497" s="48"/>
      <c r="B497" s="49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</row>
    <row r="498" spans="1:13">
      <c r="A498" s="48"/>
      <c r="B498" s="49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</row>
    <row r="499" spans="1:13">
      <c r="A499" s="48"/>
      <c r="B499" s="49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</row>
    <row r="500" spans="1:13">
      <c r="A500" s="48"/>
      <c r="B500" s="49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</row>
    <row r="501" spans="1:13">
      <c r="A501" s="48"/>
      <c r="B501" s="49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</row>
    <row r="502" spans="1:13">
      <c r="A502" s="48"/>
      <c r="B502" s="49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</row>
    <row r="503" spans="1:13">
      <c r="A503" s="48"/>
      <c r="B503" s="49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</row>
    <row r="504" spans="1:13">
      <c r="A504" s="48"/>
      <c r="B504" s="49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</row>
    <row r="505" spans="1:13">
      <c r="A505" s="48"/>
      <c r="B505" s="49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</row>
    <row r="506" spans="1:13">
      <c r="A506" s="48"/>
      <c r="B506" s="49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</row>
    <row r="507" spans="1:13">
      <c r="A507" s="48"/>
      <c r="B507" s="49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</row>
    <row r="508" spans="1:13">
      <c r="A508" s="48"/>
      <c r="B508" s="49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</row>
    <row r="509" spans="1:13">
      <c r="A509" s="48"/>
      <c r="B509" s="49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</row>
    <row r="510" spans="1:13">
      <c r="A510" s="48"/>
      <c r="B510" s="49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</row>
    <row r="511" spans="1:13">
      <c r="A511" s="48"/>
      <c r="B511" s="49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</row>
    <row r="512" spans="1:13">
      <c r="A512" s="48"/>
      <c r="B512" s="49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</row>
    <row r="513" spans="1:13">
      <c r="A513" s="48"/>
      <c r="B513" s="49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</row>
    <row r="514" spans="1:13">
      <c r="A514" s="48"/>
      <c r="B514" s="49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</row>
    <row r="515" spans="1:13">
      <c r="A515" s="48"/>
      <c r="B515" s="49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</row>
    <row r="516" spans="1:13">
      <c r="A516" s="48"/>
      <c r="B516" s="49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</row>
    <row r="517" spans="1:13">
      <c r="A517" s="48"/>
      <c r="B517" s="49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</row>
    <row r="518" spans="1:13">
      <c r="A518" s="48"/>
      <c r="B518" s="49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</row>
    <row r="519" spans="1:13">
      <c r="A519" s="48"/>
      <c r="B519" s="49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</row>
    <row r="520" spans="1:13">
      <c r="A520" s="48"/>
      <c r="B520" s="49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</row>
    <row r="521" spans="1:13">
      <c r="A521" s="48"/>
      <c r="B521" s="49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</row>
    <row r="522" spans="1:13">
      <c r="A522" s="48"/>
      <c r="B522" s="49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</row>
    <row r="523" spans="1:13">
      <c r="A523" s="48"/>
      <c r="B523" s="49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</row>
    <row r="524" spans="1:13">
      <c r="A524" s="48"/>
      <c r="B524" s="49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</row>
    <row r="525" spans="1:13">
      <c r="A525" s="48"/>
      <c r="B525" s="49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</row>
    <row r="526" spans="1:13">
      <c r="A526" s="48"/>
      <c r="B526" s="49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</row>
    <row r="527" spans="1:13">
      <c r="A527" s="48"/>
      <c r="B527" s="49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</row>
    <row r="528" spans="1:13">
      <c r="A528" s="48"/>
      <c r="B528" s="49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</row>
    <row r="529" spans="1:13">
      <c r="A529" s="48"/>
      <c r="B529" s="49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</row>
    <row r="530" spans="1:13">
      <c r="A530" s="48"/>
      <c r="B530" s="49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</row>
    <row r="531" spans="1:13">
      <c r="A531" s="48"/>
      <c r="B531" s="49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</row>
    <row r="532" spans="1:13">
      <c r="A532" s="48"/>
      <c r="B532" s="49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</row>
    <row r="533" spans="1:13">
      <c r="A533" s="48"/>
      <c r="B533" s="49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</row>
    <row r="534" spans="1:13">
      <c r="A534" s="48"/>
      <c r="B534" s="49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</row>
    <row r="535" spans="1:13">
      <c r="A535" s="48"/>
      <c r="B535" s="49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</row>
    <row r="536" spans="1:13">
      <c r="A536" s="48"/>
      <c r="B536" s="49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</row>
    <row r="537" spans="1:13">
      <c r="A537" s="48"/>
      <c r="B537" s="49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</row>
    <row r="538" spans="1:13">
      <c r="A538" s="48"/>
      <c r="B538" s="49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</row>
    <row r="539" spans="1:13">
      <c r="A539" s="48"/>
      <c r="B539" s="49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</row>
    <row r="540" spans="1:13">
      <c r="A540" s="48"/>
      <c r="B540" s="49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</row>
    <row r="541" spans="1:13">
      <c r="A541" s="48"/>
      <c r="B541" s="49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</row>
    <row r="542" spans="1:13">
      <c r="A542" s="48"/>
      <c r="B542" s="49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</row>
    <row r="543" spans="1:13">
      <c r="A543" s="48"/>
      <c r="B543" s="49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</row>
    <row r="544" spans="1:13">
      <c r="A544" s="48"/>
      <c r="B544" s="49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</row>
    <row r="545" spans="1:13">
      <c r="A545" s="48"/>
      <c r="B545" s="49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</row>
    <row r="546" spans="1:13">
      <c r="A546" s="48"/>
      <c r="B546" s="49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</row>
    <row r="547" spans="1:13">
      <c r="A547" s="48"/>
      <c r="B547" s="49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</row>
    <row r="548" spans="1:13">
      <c r="A548" s="48"/>
      <c r="B548" s="49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</row>
    <row r="549" spans="1:13">
      <c r="A549" s="48"/>
      <c r="B549" s="49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</row>
    <row r="550" spans="1:13">
      <c r="A550" s="48"/>
      <c r="B550" s="49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</row>
    <row r="551" spans="1:13">
      <c r="A551" s="48"/>
      <c r="B551" s="49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</row>
    <row r="552" spans="1:13">
      <c r="A552" s="48"/>
      <c r="B552" s="49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</row>
    <row r="553" spans="1:13">
      <c r="A553" s="48"/>
      <c r="B553" s="49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</row>
    <row r="554" spans="1:13">
      <c r="A554" s="48"/>
      <c r="B554" s="49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</row>
    <row r="555" spans="1:13">
      <c r="A555" s="48"/>
      <c r="B555" s="49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</row>
    <row r="556" spans="1:13">
      <c r="A556" s="48"/>
      <c r="B556" s="49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</row>
    <row r="557" spans="1:13">
      <c r="A557" s="48"/>
      <c r="B557" s="49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</row>
    <row r="558" spans="1:13">
      <c r="A558" s="48"/>
      <c r="B558" s="49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</row>
    <row r="559" spans="1:13">
      <c r="A559" s="48"/>
      <c r="B559" s="49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</row>
    <row r="560" spans="1:13">
      <c r="A560" s="48"/>
      <c r="B560" s="49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</row>
    <row r="561" spans="1:13">
      <c r="A561" s="48"/>
      <c r="B561" s="49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</row>
    <row r="562" spans="1:13">
      <c r="A562" s="48"/>
      <c r="B562" s="49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</row>
    <row r="563" spans="1:13">
      <c r="A563" s="48"/>
      <c r="B563" s="49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</row>
    <row r="564" spans="1:13">
      <c r="A564" s="48"/>
      <c r="B564" s="49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</row>
    <row r="565" spans="1:13">
      <c r="A565" s="48"/>
      <c r="B565" s="49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</row>
    <row r="566" spans="1:13">
      <c r="A566" s="48"/>
      <c r="B566" s="49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</row>
    <row r="567" spans="1:13">
      <c r="A567" s="48"/>
      <c r="B567" s="49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</row>
    <row r="568" spans="1:13">
      <c r="A568" s="48"/>
      <c r="B568" s="49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</row>
    <row r="569" spans="1:13">
      <c r="A569" s="48"/>
      <c r="B569" s="49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</row>
    <row r="570" spans="1:13">
      <c r="A570" s="48"/>
      <c r="B570" s="49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</row>
    <row r="571" spans="1:13">
      <c r="A571" s="48"/>
      <c r="B571" s="49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</row>
    <row r="572" spans="1:13">
      <c r="A572" s="48"/>
      <c r="B572" s="49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</row>
    <row r="573" spans="1:13">
      <c r="A573" s="48"/>
      <c r="B573" s="49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</row>
    <row r="574" spans="1:13">
      <c r="A574" s="48"/>
      <c r="B574" s="49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</row>
    <row r="575" spans="1:13">
      <c r="A575" s="48"/>
      <c r="B575" s="49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</row>
    <row r="576" spans="1:13">
      <c r="A576" s="48"/>
      <c r="B576" s="49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</row>
    <row r="577" spans="1:13">
      <c r="A577" s="48"/>
      <c r="B577" s="49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</row>
    <row r="578" spans="1:13">
      <c r="A578" s="48"/>
      <c r="B578" s="49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</row>
    <row r="579" spans="1:13">
      <c r="A579" s="48"/>
      <c r="B579" s="49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</row>
    <row r="580" spans="1:13">
      <c r="A580" s="48"/>
      <c r="B580" s="49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</row>
    <row r="581" spans="1:13">
      <c r="A581" s="48"/>
      <c r="B581" s="49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</row>
    <row r="582" spans="1:13">
      <c r="A582" s="48"/>
      <c r="B582" s="49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</row>
    <row r="583" spans="1:13">
      <c r="A583" s="48"/>
      <c r="B583" s="49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</row>
    <row r="584" spans="1:13">
      <c r="A584" s="48"/>
      <c r="B584" s="49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</row>
    <row r="585" spans="1:13">
      <c r="A585" s="48"/>
      <c r="B585" s="49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</row>
    <row r="586" spans="1:13">
      <c r="A586" s="48"/>
      <c r="B586" s="49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</row>
    <row r="587" spans="1:13">
      <c r="A587" s="48"/>
      <c r="B587" s="49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</row>
    <row r="588" spans="1:13">
      <c r="A588" s="48"/>
      <c r="B588" s="49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</row>
    <row r="589" spans="1:13">
      <c r="A589" s="48"/>
      <c r="B589" s="49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</row>
    <row r="590" spans="1:13">
      <c r="A590" s="48"/>
      <c r="B590" s="49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</row>
    <row r="591" spans="1:13">
      <c r="A591" s="48"/>
      <c r="B591" s="49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</row>
    <row r="592" spans="1:13">
      <c r="A592" s="48"/>
      <c r="B592" s="49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</row>
    <row r="593" spans="1:13">
      <c r="A593" s="48"/>
      <c r="B593" s="49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</row>
    <row r="594" spans="1:13">
      <c r="A594" s="48"/>
      <c r="B594" s="49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</row>
    <row r="595" spans="1:13">
      <c r="A595" s="48"/>
      <c r="B595" s="49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</row>
    <row r="596" spans="1:13">
      <c r="A596" s="48"/>
      <c r="B596" s="49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</row>
    <row r="597" spans="1:13">
      <c r="A597" s="48"/>
      <c r="B597" s="49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</row>
    <row r="598" spans="1:13">
      <c r="A598" s="48"/>
      <c r="B598" s="49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</row>
    <row r="599" spans="1:13">
      <c r="A599" s="48"/>
      <c r="B599" s="49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</row>
    <row r="600" spans="1:13">
      <c r="A600" s="48"/>
      <c r="B600" s="49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</row>
    <row r="601" spans="1:13">
      <c r="A601" s="48"/>
      <c r="B601" s="49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</row>
    <row r="602" spans="1:13">
      <c r="A602" s="48"/>
      <c r="B602" s="49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</row>
    <row r="603" spans="1:13">
      <c r="A603" s="48"/>
      <c r="B603" s="49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</row>
    <row r="604" spans="1:13">
      <c r="A604" s="48"/>
      <c r="B604" s="49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</row>
    <row r="605" spans="1:13">
      <c r="A605" s="48"/>
      <c r="B605" s="49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</row>
    <row r="606" spans="1:13">
      <c r="A606" s="48"/>
      <c r="B606" s="49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</row>
    <row r="607" spans="1:13">
      <c r="A607" s="48"/>
      <c r="B607" s="49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</row>
    <row r="608" spans="1:13">
      <c r="A608" s="48"/>
      <c r="B608" s="49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</row>
    <row r="609" spans="1:13">
      <c r="A609" s="48"/>
      <c r="B609" s="49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</row>
    <row r="610" spans="1:13">
      <c r="A610" s="48"/>
      <c r="B610" s="49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</row>
    <row r="611" spans="1:13">
      <c r="A611" s="48"/>
      <c r="B611" s="49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</row>
    <row r="612" spans="1:13">
      <c r="A612" s="48"/>
      <c r="B612" s="49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</row>
    <row r="613" spans="1:13">
      <c r="A613" s="48"/>
      <c r="B613" s="49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</row>
    <row r="614" spans="1:13">
      <c r="A614" s="48"/>
      <c r="B614" s="49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</row>
    <row r="615" spans="1:13">
      <c r="A615" s="48"/>
      <c r="B615" s="49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</row>
    <row r="616" spans="1:13">
      <c r="A616" s="48"/>
      <c r="B616" s="49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</row>
    <row r="617" spans="1:13">
      <c r="A617" s="48"/>
      <c r="B617" s="49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</row>
    <row r="618" spans="1:13">
      <c r="A618" s="48"/>
      <c r="B618" s="49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</row>
    <row r="619" spans="1:13">
      <c r="A619" s="48"/>
      <c r="B619" s="49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</row>
    <row r="620" spans="1:13">
      <c r="A620" s="48"/>
      <c r="B620" s="49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</row>
    <row r="621" spans="1:13">
      <c r="A621" s="48"/>
      <c r="B621" s="49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</row>
    <row r="622" spans="1:13">
      <c r="A622" s="48"/>
      <c r="B622" s="49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</row>
    <row r="623" spans="1:13">
      <c r="A623" s="48"/>
      <c r="B623" s="49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</row>
    <row r="624" spans="1:13">
      <c r="A624" s="48"/>
      <c r="B624" s="49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</row>
    <row r="625" spans="1:13">
      <c r="A625" s="48"/>
      <c r="B625" s="49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</row>
    <row r="626" spans="1:13">
      <c r="A626" s="48"/>
      <c r="B626" s="49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</row>
    <row r="627" spans="1:13">
      <c r="A627" s="48"/>
      <c r="B627" s="49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</row>
    <row r="628" spans="1:13">
      <c r="A628" s="48"/>
      <c r="B628" s="49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</row>
    <row r="629" spans="1:13">
      <c r="A629" s="48"/>
      <c r="B629" s="49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</row>
    <row r="630" spans="1:13">
      <c r="A630" s="48"/>
      <c r="B630" s="49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</row>
    <row r="631" spans="1:13">
      <c r="A631" s="48"/>
      <c r="B631" s="49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</row>
    <row r="632" spans="1:13">
      <c r="A632" s="48"/>
      <c r="B632" s="49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</row>
    <row r="633" spans="1:13">
      <c r="A633" s="48"/>
      <c r="B633" s="49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</row>
    <row r="634" spans="1:13">
      <c r="A634" s="48"/>
      <c r="B634" s="49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</row>
    <row r="635" spans="1:13">
      <c r="A635" s="48"/>
      <c r="B635" s="49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</row>
    <row r="636" spans="1:13">
      <c r="A636" s="48"/>
      <c r="B636" s="49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</row>
    <row r="637" spans="1:13">
      <c r="A637" s="48"/>
      <c r="B637" s="49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</row>
    <row r="638" spans="1:13">
      <c r="A638" s="48"/>
      <c r="B638" s="49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</row>
    <row r="639" spans="1:13">
      <c r="A639" s="48"/>
      <c r="B639" s="49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</row>
    <row r="640" spans="1:13">
      <c r="A640" s="48"/>
      <c r="B640" s="49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</row>
    <row r="641" spans="1:13">
      <c r="A641" s="48"/>
      <c r="B641" s="49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</row>
    <row r="642" spans="1:13">
      <c r="A642" s="48"/>
      <c r="B642" s="49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</row>
    <row r="643" spans="1:13">
      <c r="A643" s="48"/>
      <c r="B643" s="49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</row>
    <row r="644" spans="1:13">
      <c r="A644" s="48"/>
      <c r="B644" s="49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</row>
    <row r="645" spans="1:13">
      <c r="A645" s="48"/>
      <c r="B645" s="49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</row>
    <row r="646" spans="1:13">
      <c r="A646" s="48"/>
      <c r="B646" s="49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</row>
    <row r="647" spans="1:13">
      <c r="A647" s="48"/>
      <c r="B647" s="49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</row>
    <row r="648" spans="1:13">
      <c r="A648" s="48"/>
      <c r="B648" s="49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</row>
    <row r="649" spans="1:13">
      <c r="A649" s="48"/>
      <c r="B649" s="49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</row>
    <row r="650" spans="1:13">
      <c r="A650" s="48"/>
      <c r="B650" s="49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</row>
    <row r="651" spans="1:13">
      <c r="A651" s="48"/>
      <c r="B651" s="49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</row>
    <row r="652" spans="1:13">
      <c r="A652" s="48"/>
      <c r="B652" s="49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</row>
    <row r="653" spans="1:13">
      <c r="A653" s="48"/>
      <c r="B653" s="49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</row>
    <row r="654" spans="1:13">
      <c r="A654" s="48"/>
      <c r="B654" s="49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</row>
    <row r="655" spans="1:13">
      <c r="A655" s="48"/>
      <c r="B655" s="49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</row>
    <row r="656" spans="1:13">
      <c r="A656" s="48"/>
      <c r="B656" s="49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</row>
    <row r="657" spans="1:13">
      <c r="A657" s="48"/>
      <c r="B657" s="49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</row>
    <row r="658" spans="1:13">
      <c r="A658" s="48"/>
      <c r="B658" s="49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</row>
    <row r="659" spans="1:13">
      <c r="A659" s="48"/>
      <c r="B659" s="49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</row>
    <row r="660" spans="1:13">
      <c r="A660" s="48"/>
      <c r="B660" s="49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</row>
    <row r="661" spans="1:13">
      <c r="A661" s="48"/>
      <c r="B661" s="49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</row>
    <row r="662" spans="1:13">
      <c r="A662" s="48"/>
      <c r="B662" s="49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</row>
    <row r="663" spans="1:13">
      <c r="A663" s="48"/>
      <c r="B663" s="49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</row>
    <row r="664" spans="1:13">
      <c r="A664" s="48"/>
      <c r="B664" s="49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</row>
    <row r="665" spans="1:13">
      <c r="A665" s="48"/>
      <c r="B665" s="49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</row>
    <row r="666" spans="1:13">
      <c r="A666" s="48"/>
      <c r="B666" s="49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</row>
    <row r="667" spans="1:13">
      <c r="A667" s="48"/>
      <c r="B667" s="49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</row>
    <row r="668" spans="1:13">
      <c r="A668" s="48"/>
      <c r="B668" s="49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</row>
    <row r="669" spans="1:13">
      <c r="A669" s="48"/>
      <c r="B669" s="49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</row>
    <row r="670" spans="1:13">
      <c r="A670" s="48"/>
      <c r="B670" s="49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</row>
    <row r="671" spans="1:13">
      <c r="A671" s="48"/>
      <c r="B671" s="49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</row>
    <row r="672" spans="1:13">
      <c r="A672" s="48"/>
      <c r="B672" s="49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</row>
    <row r="673" spans="1:13">
      <c r="A673" s="48"/>
      <c r="B673" s="49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</row>
    <row r="674" spans="1:13">
      <c r="A674" s="48"/>
      <c r="B674" s="49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</row>
    <row r="675" spans="1:13">
      <c r="A675" s="48"/>
      <c r="B675" s="49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</row>
    <row r="676" spans="1:13">
      <c r="A676" s="48"/>
      <c r="B676" s="49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</row>
    <row r="677" spans="1:13">
      <c r="A677" s="48"/>
      <c r="B677" s="49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</row>
    <row r="678" spans="1:13">
      <c r="A678" s="48"/>
      <c r="B678" s="49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</row>
    <row r="679" spans="1:13">
      <c r="A679" s="48"/>
      <c r="B679" s="49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</row>
    <row r="680" spans="1:13">
      <c r="A680" s="48"/>
      <c r="B680" s="49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</row>
    <row r="681" spans="1:13">
      <c r="A681" s="48"/>
      <c r="B681" s="49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</row>
    <row r="682" spans="1:13">
      <c r="A682" s="48"/>
      <c r="B682" s="49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</row>
    <row r="683" spans="1:13">
      <c r="A683" s="48"/>
      <c r="B683" s="49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</row>
    <row r="684" spans="1:13">
      <c r="A684" s="48"/>
      <c r="B684" s="49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</row>
    <row r="685" spans="1:13">
      <c r="A685" s="48"/>
      <c r="B685" s="49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</row>
    <row r="686" spans="1:13">
      <c r="A686" s="48"/>
      <c r="B686" s="49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</row>
    <row r="687" spans="1:13">
      <c r="A687" s="48"/>
      <c r="B687" s="49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</row>
    <row r="688" spans="1:13">
      <c r="A688" s="48"/>
      <c r="B688" s="49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</row>
    <row r="689" spans="1:13">
      <c r="A689" s="48"/>
      <c r="B689" s="49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</row>
    <row r="690" spans="1:13">
      <c r="A690" s="48"/>
      <c r="B690" s="49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</row>
    <row r="691" spans="1:13">
      <c r="A691" s="48"/>
      <c r="B691" s="49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</row>
    <row r="692" spans="1:13">
      <c r="A692" s="48"/>
      <c r="B692" s="49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</row>
    <row r="693" spans="1:13">
      <c r="A693" s="48"/>
      <c r="B693" s="49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</row>
    <row r="694" spans="1:13">
      <c r="A694" s="48"/>
      <c r="B694" s="49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</row>
    <row r="695" spans="1:13">
      <c r="A695" s="48"/>
      <c r="B695" s="49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</row>
    <row r="696" spans="1:13">
      <c r="A696" s="48"/>
      <c r="B696" s="49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</row>
    <row r="697" spans="1:13">
      <c r="A697" s="48"/>
      <c r="B697" s="49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</row>
    <row r="698" spans="1:13">
      <c r="A698" s="48"/>
      <c r="B698" s="49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</row>
    <row r="699" spans="1:13">
      <c r="A699" s="48"/>
      <c r="B699" s="49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</row>
    <row r="700" spans="1:13">
      <c r="A700" s="48"/>
      <c r="B700" s="49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</row>
    <row r="701" spans="1:13">
      <c r="A701" s="48"/>
      <c r="B701" s="49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</row>
    <row r="702" spans="1:13">
      <c r="A702" s="48"/>
      <c r="B702" s="49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</row>
    <row r="703" spans="1:13">
      <c r="A703" s="48"/>
      <c r="B703" s="49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</row>
    <row r="704" spans="1:13">
      <c r="A704" s="48"/>
      <c r="B704" s="49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</row>
    <row r="705" spans="1:13">
      <c r="A705" s="48"/>
      <c r="B705" s="49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</row>
    <row r="706" spans="1:13">
      <c r="A706" s="48"/>
      <c r="B706" s="49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</row>
    <row r="707" spans="1:13">
      <c r="A707" s="48"/>
      <c r="B707" s="49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</row>
    <row r="708" spans="1:13">
      <c r="A708" s="48"/>
      <c r="B708" s="49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</row>
    <row r="709" spans="1:13">
      <c r="A709" s="48"/>
      <c r="B709" s="49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</row>
    <row r="710" spans="1:13">
      <c r="A710" s="48"/>
      <c r="B710" s="49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</row>
    <row r="711" spans="1:13">
      <c r="A711" s="48"/>
      <c r="B711" s="49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</row>
    <row r="712" spans="1:13">
      <c r="A712" s="48"/>
      <c r="B712" s="49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</row>
    <row r="713" spans="1:13">
      <c r="A713" s="48"/>
      <c r="B713" s="49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</row>
    <row r="714" spans="1:13">
      <c r="A714" s="48"/>
      <c r="B714" s="49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</row>
    <row r="715" spans="1:13">
      <c r="A715" s="48"/>
      <c r="B715" s="49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</row>
    <row r="716" spans="1:13">
      <c r="A716" s="48"/>
      <c r="B716" s="49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</row>
    <row r="717" spans="1:13">
      <c r="A717" s="48"/>
      <c r="B717" s="49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</row>
    <row r="718" spans="1:13">
      <c r="A718" s="48"/>
      <c r="B718" s="49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</row>
    <row r="719" spans="1:13">
      <c r="A719" s="48"/>
      <c r="B719" s="49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</row>
    <row r="720" spans="1:13">
      <c r="A720" s="48"/>
      <c r="B720" s="49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</row>
    <row r="721" spans="1:13">
      <c r="A721" s="48"/>
      <c r="B721" s="49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</row>
    <row r="722" spans="1:13">
      <c r="A722" s="48"/>
      <c r="B722" s="49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</row>
    <row r="723" spans="1:13">
      <c r="A723" s="48"/>
      <c r="B723" s="49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</row>
    <row r="724" spans="1:13">
      <c r="A724" s="48"/>
      <c r="B724" s="49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</row>
    <row r="725" spans="1:13">
      <c r="A725" s="48"/>
      <c r="B725" s="49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</row>
    <row r="726" spans="1:13">
      <c r="A726" s="48"/>
      <c r="B726" s="49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</row>
    <row r="727" spans="1:13">
      <c r="A727" s="48"/>
      <c r="B727" s="49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</row>
    <row r="728" spans="1:13">
      <c r="A728" s="48"/>
      <c r="B728" s="49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</row>
    <row r="729" spans="1:13">
      <c r="A729" s="48"/>
      <c r="B729" s="49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</row>
    <row r="730" spans="1:13">
      <c r="A730" s="48"/>
      <c r="B730" s="49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</row>
    <row r="731" spans="1:13">
      <c r="A731" s="48"/>
      <c r="B731" s="49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</row>
    <row r="732" spans="1:13">
      <c r="A732" s="48"/>
      <c r="B732" s="49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</row>
    <row r="733" spans="1:13">
      <c r="A733" s="48"/>
      <c r="B733" s="49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</row>
    <row r="734" spans="1:13">
      <c r="A734" s="48"/>
      <c r="B734" s="49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</row>
    <row r="735" spans="1:13">
      <c r="A735" s="48"/>
      <c r="B735" s="49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</row>
    <row r="736" spans="1:13">
      <c r="A736" s="48"/>
      <c r="B736" s="49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</row>
    <row r="737" spans="1:13">
      <c r="A737" s="48"/>
      <c r="B737" s="49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</row>
    <row r="738" spans="1:13">
      <c r="A738" s="48"/>
      <c r="B738" s="49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</row>
    <row r="739" spans="1:13">
      <c r="A739" s="48"/>
      <c r="B739" s="49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</row>
    <row r="740" spans="1:13">
      <c r="A740" s="48"/>
      <c r="B740" s="49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</row>
    <row r="741" spans="1:13">
      <c r="A741" s="48"/>
      <c r="B741" s="49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</row>
    <row r="742" spans="1:13">
      <c r="A742" s="48"/>
      <c r="B742" s="49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</row>
    <row r="743" spans="1:13">
      <c r="A743" s="48"/>
      <c r="B743" s="49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</row>
    <row r="744" spans="1:13">
      <c r="A744" s="48"/>
      <c r="B744" s="49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</row>
    <row r="745" spans="1:13">
      <c r="A745" s="48"/>
      <c r="B745" s="49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</row>
    <row r="746" spans="1:13">
      <c r="A746" s="48"/>
      <c r="B746" s="49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</row>
    <row r="747" spans="1:13">
      <c r="A747" s="48"/>
      <c r="B747" s="49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</row>
    <row r="748" spans="1:13">
      <c r="A748" s="48"/>
      <c r="B748" s="49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</row>
    <row r="749" spans="1:13">
      <c r="A749" s="48"/>
      <c r="B749" s="49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</row>
    <row r="750" spans="1:13">
      <c r="A750" s="48"/>
      <c r="B750" s="49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</row>
    <row r="751" spans="1:13">
      <c r="A751" s="48"/>
      <c r="B751" s="49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</row>
    <row r="752" spans="1:13">
      <c r="A752" s="48"/>
      <c r="B752" s="49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</row>
    <row r="753" spans="1:13">
      <c r="A753" s="48"/>
      <c r="B753" s="49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</row>
    <row r="754" spans="1:13">
      <c r="A754" s="48"/>
      <c r="B754" s="49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</row>
    <row r="755" spans="1:13">
      <c r="A755" s="48"/>
      <c r="B755" s="49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</row>
    <row r="756" spans="1:13">
      <c r="A756" s="48"/>
      <c r="B756" s="49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</row>
    <row r="757" spans="1:13">
      <c r="A757" s="48"/>
      <c r="B757" s="49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</row>
    <row r="758" spans="1:13">
      <c r="A758" s="48"/>
      <c r="B758" s="49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</row>
    <row r="759" spans="1:13">
      <c r="A759" s="48"/>
      <c r="B759" s="49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</row>
    <row r="760" spans="1:13">
      <c r="A760" s="48"/>
      <c r="B760" s="49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</row>
    <row r="761" spans="1:13">
      <c r="A761" s="48"/>
      <c r="B761" s="49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</row>
    <row r="762" spans="1:13">
      <c r="A762" s="48"/>
      <c r="B762" s="49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</row>
    <row r="763" spans="1:13">
      <c r="A763" s="48"/>
      <c r="B763" s="49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</row>
    <row r="764" spans="1:13">
      <c r="A764" s="48"/>
      <c r="B764" s="49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</row>
    <row r="765" spans="1:13">
      <c r="A765" s="48"/>
      <c r="B765" s="49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</row>
    <row r="766" spans="1:13">
      <c r="A766" s="48"/>
      <c r="B766" s="49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</row>
    <row r="767" spans="1:13">
      <c r="A767" s="48"/>
      <c r="B767" s="49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</row>
    <row r="768" spans="1:13">
      <c r="A768" s="48"/>
      <c r="B768" s="49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</row>
    <row r="769" spans="1:13">
      <c r="A769" s="48"/>
      <c r="B769" s="49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</row>
    <row r="770" spans="1:13">
      <c r="A770" s="48"/>
      <c r="B770" s="49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</row>
    <row r="771" spans="1:13">
      <c r="A771" s="48"/>
      <c r="B771" s="49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</row>
    <row r="772" spans="1:13">
      <c r="A772" s="48"/>
      <c r="B772" s="49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</row>
    <row r="773" spans="1:13">
      <c r="A773" s="48"/>
      <c r="B773" s="49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</row>
    <row r="774" spans="1:13">
      <c r="A774" s="48"/>
      <c r="B774" s="49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</row>
    <row r="775" spans="1:13">
      <c r="A775" s="48"/>
      <c r="B775" s="49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</row>
    <row r="776" spans="1:13">
      <c r="A776" s="48"/>
      <c r="B776" s="49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</row>
    <row r="777" spans="1:13">
      <c r="A777" s="48"/>
      <c r="B777" s="49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</row>
    <row r="778" spans="1:13">
      <c r="A778" s="48"/>
      <c r="B778" s="49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</row>
    <row r="779" spans="1:13">
      <c r="A779" s="48"/>
      <c r="B779" s="49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</row>
    <row r="780" spans="1:13">
      <c r="A780" s="48"/>
      <c r="B780" s="49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</row>
    <row r="781" spans="1:13">
      <c r="A781" s="48"/>
      <c r="B781" s="49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</row>
    <row r="782" spans="1:13">
      <c r="A782" s="48"/>
      <c r="B782" s="49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</row>
    <row r="783" spans="1:13">
      <c r="A783" s="48"/>
      <c r="B783" s="49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</row>
    <row r="784" spans="1:13">
      <c r="A784" s="48"/>
      <c r="B784" s="49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</row>
    <row r="785" spans="1:13">
      <c r="A785" s="48"/>
      <c r="B785" s="49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</row>
    <row r="786" spans="1:13">
      <c r="A786" s="48"/>
      <c r="B786" s="49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</row>
    <row r="787" spans="1:13">
      <c r="A787" s="48"/>
      <c r="B787" s="49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</row>
    <row r="788" spans="1:13">
      <c r="A788" s="48"/>
      <c r="B788" s="49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</row>
    <row r="789" spans="1:13">
      <c r="A789" s="48"/>
      <c r="B789" s="49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</row>
    <row r="790" spans="1:13">
      <c r="A790" s="48"/>
      <c r="B790" s="49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</row>
    <row r="791" spans="1:13">
      <c r="A791" s="48"/>
      <c r="B791" s="49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</row>
    <row r="792" spans="1:13">
      <c r="A792" s="48"/>
      <c r="B792" s="49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</row>
    <row r="793" spans="1:13">
      <c r="A793" s="48"/>
      <c r="B793" s="49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</row>
    <row r="794" spans="1:13">
      <c r="A794" s="48"/>
      <c r="B794" s="49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</row>
    <row r="795" spans="1:13">
      <c r="A795" s="48"/>
      <c r="B795" s="49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</row>
    <row r="796" spans="1:13">
      <c r="A796" s="48"/>
      <c r="B796" s="49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</row>
    <row r="797" spans="1:13">
      <c r="A797" s="48"/>
      <c r="B797" s="49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</row>
    <row r="798" spans="1:13">
      <c r="A798" s="48"/>
      <c r="B798" s="49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</row>
    <row r="799" spans="1:13">
      <c r="A799" s="48"/>
      <c r="B799" s="49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</row>
    <row r="800" spans="1:13">
      <c r="A800" s="48"/>
      <c r="B800" s="49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</row>
    <row r="801" spans="1:13">
      <c r="A801" s="48"/>
      <c r="B801" s="49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</row>
    <row r="802" spans="1:13">
      <c r="A802" s="48"/>
      <c r="B802" s="49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</row>
    <row r="803" spans="1:13">
      <c r="A803" s="48"/>
      <c r="B803" s="49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</row>
    <row r="804" spans="1:13">
      <c r="A804" s="48"/>
      <c r="B804" s="49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</row>
    <row r="805" spans="1:13">
      <c r="A805" s="48"/>
      <c r="B805" s="49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</row>
    <row r="806" spans="1:13">
      <c r="A806" s="48"/>
      <c r="B806" s="49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</row>
    <row r="807" spans="1:13">
      <c r="A807" s="48"/>
      <c r="B807" s="49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</row>
    <row r="808" spans="1:13">
      <c r="A808" s="48"/>
      <c r="B808" s="49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</row>
    <row r="809" spans="1:13">
      <c r="A809" s="48"/>
      <c r="B809" s="49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</row>
    <row r="810" spans="1:13">
      <c r="A810" s="48"/>
      <c r="B810" s="49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</row>
    <row r="811" spans="1:13">
      <c r="A811" s="48"/>
      <c r="B811" s="49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</row>
    <row r="812" spans="1:13">
      <c r="A812" s="48"/>
      <c r="B812" s="49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</row>
    <row r="813" spans="1:13">
      <c r="A813" s="48"/>
      <c r="B813" s="49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</row>
    <row r="814" spans="1:13">
      <c r="A814" s="48"/>
      <c r="B814" s="49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</row>
    <row r="815" spans="1:13">
      <c r="A815" s="48"/>
      <c r="B815" s="49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</row>
    <row r="816" spans="1:13">
      <c r="A816" s="48"/>
      <c r="B816" s="49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</row>
    <row r="817" spans="1:13">
      <c r="A817" s="48"/>
      <c r="B817" s="49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</row>
    <row r="818" spans="1:13">
      <c r="A818" s="48"/>
      <c r="B818" s="49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</row>
    <row r="819" spans="1:13">
      <c r="A819" s="48"/>
      <c r="B819" s="49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</row>
    <row r="820" spans="1:13">
      <c r="A820" s="48"/>
      <c r="B820" s="49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</row>
    <row r="821" spans="1:13">
      <c r="A821" s="48"/>
      <c r="B821" s="49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</row>
    <row r="822" spans="1:13">
      <c r="A822" s="48"/>
      <c r="B822" s="49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</row>
    <row r="823" spans="1:13">
      <c r="A823" s="48"/>
      <c r="B823" s="49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</row>
    <row r="824" spans="1:13">
      <c r="A824" s="48"/>
      <c r="B824" s="49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</row>
    <row r="825" spans="1:13">
      <c r="A825" s="48"/>
      <c r="B825" s="49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</row>
    <row r="826" spans="1:13">
      <c r="A826" s="48"/>
      <c r="B826" s="49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</row>
    <row r="827" spans="1:13">
      <c r="A827" s="48"/>
      <c r="B827" s="49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</row>
    <row r="828" spans="1:13">
      <c r="A828" s="48"/>
      <c r="B828" s="49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</row>
    <row r="829" spans="1:13">
      <c r="A829" s="48"/>
      <c r="B829" s="49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</row>
    <row r="830" spans="1:13">
      <c r="A830" s="48"/>
      <c r="B830" s="49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</row>
    <row r="831" spans="1:13">
      <c r="A831" s="48"/>
      <c r="B831" s="49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</row>
    <row r="832" spans="1:13">
      <c r="A832" s="48"/>
      <c r="B832" s="49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</row>
    <row r="833" spans="1:13">
      <c r="A833" s="48"/>
      <c r="B833" s="49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</row>
    <row r="834" spans="1:13">
      <c r="A834" s="48"/>
      <c r="B834" s="49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</row>
    <row r="835" spans="1:13">
      <c r="A835" s="48"/>
      <c r="B835" s="49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</row>
    <row r="836" spans="1:13">
      <c r="A836" s="48"/>
      <c r="B836" s="49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</row>
    <row r="837" spans="1:13">
      <c r="A837" s="48"/>
      <c r="B837" s="49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</row>
    <row r="838" spans="1:13">
      <c r="A838" s="48"/>
      <c r="B838" s="49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</row>
    <row r="839" spans="1:13">
      <c r="A839" s="48"/>
      <c r="B839" s="49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</row>
    <row r="840" spans="1:13">
      <c r="A840" s="48"/>
      <c r="B840" s="49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</row>
    <row r="841" spans="1:13">
      <c r="A841" s="48"/>
      <c r="B841" s="49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</row>
    <row r="842" spans="1:13">
      <c r="A842" s="48"/>
      <c r="B842" s="49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</row>
    <row r="843" spans="1:13">
      <c r="A843" s="48"/>
      <c r="B843" s="49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</row>
    <row r="844" spans="1:13">
      <c r="A844" s="48"/>
      <c r="B844" s="49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</row>
    <row r="845" spans="1:13">
      <c r="A845" s="48"/>
      <c r="B845" s="49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</row>
    <row r="846" spans="1:13">
      <c r="A846" s="48"/>
      <c r="B846" s="49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</row>
    <row r="847" spans="1:13">
      <c r="A847" s="48"/>
      <c r="B847" s="49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</row>
    <row r="848" spans="1:13">
      <c r="A848" s="48"/>
      <c r="B848" s="49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</row>
    <row r="849" spans="1:13">
      <c r="A849" s="48"/>
      <c r="B849" s="49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</row>
    <row r="850" spans="1:13">
      <c r="A850" s="48"/>
      <c r="B850" s="49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</row>
    <row r="851" spans="1:13">
      <c r="A851" s="48"/>
      <c r="B851" s="49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</row>
    <row r="852" spans="1:13">
      <c r="A852" s="48"/>
      <c r="B852" s="49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</row>
    <row r="853" spans="1:13">
      <c r="A853" s="48"/>
      <c r="B853" s="49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</row>
    <row r="854" spans="1:13">
      <c r="A854" s="48"/>
      <c r="B854" s="49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</row>
    <row r="855" spans="1:13">
      <c r="A855" s="48"/>
      <c r="B855" s="49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</row>
    <row r="856" spans="1:13">
      <c r="A856" s="48"/>
      <c r="B856" s="49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</row>
    <row r="857" spans="1:13">
      <c r="A857" s="48"/>
      <c r="B857" s="49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</row>
    <row r="858" spans="1:13">
      <c r="A858" s="48"/>
      <c r="B858" s="49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</row>
    <row r="859" spans="1:13">
      <c r="A859" s="48"/>
      <c r="B859" s="49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</row>
    <row r="860" spans="1:13">
      <c r="A860" s="48"/>
      <c r="B860" s="49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</row>
    <row r="861" spans="1:13">
      <c r="A861" s="48"/>
      <c r="B861" s="49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</row>
    <row r="862" spans="1:13">
      <c r="A862" s="48"/>
      <c r="B862" s="49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</row>
    <row r="863" spans="1:13">
      <c r="A863" s="48"/>
      <c r="B863" s="49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</row>
    <row r="864" spans="1:13">
      <c r="A864" s="48"/>
      <c r="B864" s="49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</row>
    <row r="865" spans="1:13">
      <c r="A865" s="48"/>
      <c r="B865" s="49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</row>
    <row r="866" spans="1:13">
      <c r="A866" s="48"/>
      <c r="B866" s="49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</row>
    <row r="867" spans="1:13">
      <c r="A867" s="48"/>
      <c r="B867" s="49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</row>
    <row r="868" spans="1:13">
      <c r="A868" s="48"/>
      <c r="B868" s="49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</row>
    <row r="869" spans="1:13">
      <c r="A869" s="48"/>
      <c r="B869" s="49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</row>
    <row r="870" spans="1:13">
      <c r="A870" s="48"/>
      <c r="B870" s="49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</row>
    <row r="871" spans="1:13">
      <c r="A871" s="48"/>
      <c r="B871" s="49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</row>
    <row r="872" spans="1:13">
      <c r="A872" s="48"/>
      <c r="B872" s="49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</row>
    <row r="873" spans="1:13">
      <c r="A873" s="48"/>
      <c r="B873" s="49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</row>
    <row r="874" spans="1:13">
      <c r="A874" s="48"/>
      <c r="B874" s="49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</row>
    <row r="875" spans="1:13">
      <c r="A875" s="48"/>
      <c r="B875" s="49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</row>
    <row r="876" spans="1:13">
      <c r="A876" s="48"/>
      <c r="B876" s="49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</row>
    <row r="877" spans="1:13">
      <c r="A877" s="48"/>
      <c r="B877" s="49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</row>
    <row r="878" spans="1:13">
      <c r="A878" s="48"/>
      <c r="B878" s="49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</row>
    <row r="879" spans="1:13">
      <c r="A879" s="48"/>
      <c r="B879" s="49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</row>
    <row r="880" spans="1:13">
      <c r="A880" s="48"/>
      <c r="B880" s="49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</row>
    <row r="881" spans="1:13">
      <c r="A881" s="48"/>
      <c r="B881" s="49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</row>
    <row r="882" spans="1:13">
      <c r="A882" s="48"/>
      <c r="B882" s="49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</row>
    <row r="883" spans="1:13">
      <c r="A883" s="48"/>
      <c r="B883" s="49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</row>
    <row r="884" spans="1:13">
      <c r="A884" s="48"/>
      <c r="B884" s="49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</row>
    <row r="885" spans="1:13">
      <c r="A885" s="48"/>
      <c r="B885" s="49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</row>
    <row r="886" spans="1:13">
      <c r="A886" s="48"/>
      <c r="B886" s="49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</row>
    <row r="887" spans="1:13">
      <c r="A887" s="48"/>
      <c r="B887" s="49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</row>
    <row r="888" spans="1:13">
      <c r="A888" s="48"/>
      <c r="B888" s="49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</row>
    <row r="889" spans="1:13">
      <c r="A889" s="48"/>
      <c r="B889" s="49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</row>
    <row r="890" spans="1:13">
      <c r="A890" s="48"/>
      <c r="B890" s="49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</row>
    <row r="891" spans="1:13">
      <c r="A891" s="48"/>
      <c r="B891" s="49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</row>
    <row r="892" spans="1:13">
      <c r="A892" s="48"/>
      <c r="B892" s="49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</row>
    <row r="893" spans="1:13">
      <c r="A893" s="48"/>
      <c r="B893" s="49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</row>
    <row r="894" spans="1:13">
      <c r="A894" s="48"/>
      <c r="B894" s="49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</row>
    <row r="895" spans="1:13">
      <c r="A895" s="48"/>
      <c r="B895" s="49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</row>
    <row r="896" spans="1:13">
      <c r="A896" s="48"/>
      <c r="B896" s="49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</row>
    <row r="897" spans="1:13">
      <c r="A897" s="48"/>
      <c r="B897" s="49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</row>
    <row r="898" spans="1:13">
      <c r="A898" s="48"/>
      <c r="B898" s="49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</row>
    <row r="899" spans="1:13">
      <c r="A899" s="48"/>
      <c r="B899" s="49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</row>
    <row r="900" spans="1:13">
      <c r="A900" s="48"/>
      <c r="B900" s="49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</row>
    <row r="901" spans="1:13">
      <c r="A901" s="48"/>
      <c r="B901" s="49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</row>
    <row r="902" spans="1:13">
      <c r="A902" s="48"/>
      <c r="B902" s="49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</row>
    <row r="903" spans="1:13">
      <c r="A903" s="48"/>
      <c r="B903" s="49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</row>
    <row r="904" spans="1:13">
      <c r="A904" s="48"/>
      <c r="B904" s="49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</row>
    <row r="905" spans="1:13">
      <c r="A905" s="48"/>
      <c r="B905" s="49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</row>
    <row r="906" spans="1:13">
      <c r="A906" s="48"/>
      <c r="B906" s="49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</row>
    <row r="907" spans="1:13">
      <c r="A907" s="48"/>
      <c r="B907" s="49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</row>
    <row r="908" spans="1:13">
      <c r="A908" s="48"/>
      <c r="B908" s="49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</row>
    <row r="909" spans="1:13">
      <c r="A909" s="48"/>
      <c r="B909" s="49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</row>
    <row r="910" spans="1:13">
      <c r="A910" s="48"/>
      <c r="B910" s="49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</row>
    <row r="911" spans="1:13">
      <c r="A911" s="48"/>
      <c r="B911" s="49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</row>
    <row r="912" spans="1:13">
      <c r="A912" s="48"/>
      <c r="B912" s="49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</row>
    <row r="913" spans="1:13">
      <c r="A913" s="48"/>
      <c r="B913" s="49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</row>
    <row r="914" spans="1:13">
      <c r="A914" s="48"/>
      <c r="B914" s="49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</row>
    <row r="915" spans="1:13">
      <c r="A915" s="48"/>
      <c r="B915" s="49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</row>
    <row r="916" spans="1:13">
      <c r="A916" s="48"/>
      <c r="B916" s="49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</row>
    <row r="917" spans="1:13">
      <c r="A917" s="48"/>
      <c r="B917" s="49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</row>
    <row r="918" spans="1:13">
      <c r="A918" s="48"/>
      <c r="B918" s="49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</row>
    <row r="919" spans="1:13">
      <c r="A919" s="48"/>
      <c r="B919" s="49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</row>
    <row r="920" spans="1:13">
      <c r="A920" s="48"/>
      <c r="B920" s="49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</row>
    <row r="921" spans="1:13">
      <c r="A921" s="48"/>
      <c r="B921" s="49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</row>
    <row r="922" spans="1:13">
      <c r="A922" s="48"/>
      <c r="B922" s="49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</row>
    <row r="923" spans="1:13">
      <c r="A923" s="48"/>
      <c r="B923" s="49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</row>
    <row r="924" spans="1:13">
      <c r="A924" s="48"/>
      <c r="B924" s="49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</row>
    <row r="925" spans="1:13">
      <c r="A925" s="48"/>
      <c r="B925" s="49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</row>
    <row r="926" spans="1:13">
      <c r="A926" s="48"/>
      <c r="B926" s="49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</row>
    <row r="927" spans="1:13">
      <c r="A927" s="48"/>
      <c r="B927" s="49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</row>
    <row r="928" spans="1:13">
      <c r="A928" s="48"/>
      <c r="B928" s="49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</row>
    <row r="929" spans="1:13">
      <c r="A929" s="48"/>
      <c r="B929" s="49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</row>
    <row r="930" spans="1:13">
      <c r="A930" s="48"/>
      <c r="B930" s="49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</row>
    <row r="931" spans="1:13">
      <c r="A931" s="48"/>
      <c r="B931" s="49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</row>
    <row r="932" spans="1:13">
      <c r="A932" s="48"/>
      <c r="B932" s="49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</row>
    <row r="933" spans="1:13">
      <c r="A933" s="48"/>
      <c r="B933" s="49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</row>
    <row r="934" spans="1:13">
      <c r="A934" s="48"/>
      <c r="B934" s="49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</row>
    <row r="935" spans="1:13">
      <c r="A935" s="48"/>
      <c r="B935" s="49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</row>
    <row r="936" spans="1:13">
      <c r="A936" s="48"/>
      <c r="B936" s="49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</row>
    <row r="937" spans="1:13">
      <c r="A937" s="48"/>
      <c r="B937" s="49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</row>
    <row r="938" spans="1:13">
      <c r="A938" s="48"/>
      <c r="B938" s="49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</row>
    <row r="939" spans="1:13">
      <c r="A939" s="48"/>
      <c r="B939" s="49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</row>
    <row r="940" spans="1:13">
      <c r="A940" s="48"/>
      <c r="B940" s="49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</row>
    <row r="941" spans="1:13">
      <c r="A941" s="48"/>
      <c r="B941" s="49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</row>
    <row r="942" spans="1:13">
      <c r="A942" s="48"/>
      <c r="B942" s="49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</row>
    <row r="943" spans="1:13">
      <c r="A943" s="48"/>
      <c r="B943" s="49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</row>
    <row r="944" spans="1:13">
      <c r="A944" s="48"/>
      <c r="B944" s="49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</row>
    <row r="945" spans="1:13">
      <c r="A945" s="48"/>
      <c r="B945" s="49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</row>
    <row r="946" spans="1:13">
      <c r="A946" s="48"/>
      <c r="B946" s="49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</row>
    <row r="947" spans="1:13">
      <c r="A947" s="48"/>
      <c r="B947" s="49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</row>
    <row r="948" spans="1:13">
      <c r="A948" s="48"/>
      <c r="B948" s="49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</row>
    <row r="949" spans="1:13">
      <c r="A949" s="48"/>
      <c r="B949" s="49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</row>
    <row r="950" spans="1:13">
      <c r="A950" s="48"/>
      <c r="B950" s="49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</row>
    <row r="951" spans="1:13">
      <c r="A951" s="48"/>
      <c r="B951" s="49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</row>
    <row r="952" spans="1:13">
      <c r="A952" s="48"/>
      <c r="B952" s="49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</row>
    <row r="953" spans="1:13">
      <c r="A953" s="48"/>
      <c r="B953" s="49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</row>
    <row r="954" spans="1:13">
      <c r="A954" s="48"/>
      <c r="B954" s="49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</row>
    <row r="955" spans="1:13">
      <c r="A955" s="48"/>
      <c r="B955" s="49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</row>
    <row r="956" spans="1:13">
      <c r="A956" s="48"/>
      <c r="B956" s="49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</row>
    <row r="957" spans="1:13">
      <c r="A957" s="48"/>
      <c r="B957" s="49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</row>
    <row r="958" spans="1:13">
      <c r="A958" s="48"/>
      <c r="B958" s="49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</row>
    <row r="959" spans="1:13">
      <c r="A959" s="48"/>
      <c r="B959" s="49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</row>
    <row r="960" spans="1:13">
      <c r="A960" s="48"/>
      <c r="B960" s="49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</row>
    <row r="961" spans="1:13">
      <c r="A961" s="48"/>
      <c r="B961" s="49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</row>
    <row r="962" spans="1:13">
      <c r="A962" s="48"/>
      <c r="B962" s="49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</row>
    <row r="963" spans="1:13">
      <c r="A963" s="48"/>
      <c r="B963" s="49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</row>
    <row r="964" spans="1:13">
      <c r="A964" s="48"/>
      <c r="B964" s="49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</row>
    <row r="965" spans="1:13">
      <c r="A965" s="48"/>
      <c r="B965" s="49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</row>
    <row r="966" spans="1:13">
      <c r="A966" s="48"/>
      <c r="B966" s="49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</row>
    <row r="967" spans="1:13">
      <c r="A967" s="48"/>
      <c r="B967" s="49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</row>
    <row r="968" spans="1:13">
      <c r="A968" s="48"/>
      <c r="B968" s="49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</row>
    <row r="969" spans="1:13">
      <c r="A969" s="48"/>
      <c r="B969" s="49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</row>
    <row r="970" spans="1:13">
      <c r="A970" s="48"/>
      <c r="B970" s="49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</row>
    <row r="971" spans="1:13">
      <c r="A971" s="48"/>
      <c r="B971" s="49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</row>
    <row r="972" spans="1:13">
      <c r="A972" s="48"/>
      <c r="B972" s="49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</row>
    <row r="973" spans="1:13">
      <c r="A973" s="48"/>
      <c r="B973" s="49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</row>
    <row r="974" spans="1:13">
      <c r="A974" s="48"/>
      <c r="B974" s="49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</row>
    <row r="975" spans="1:13">
      <c r="A975" s="48"/>
      <c r="B975" s="49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</row>
    <row r="976" spans="1:13">
      <c r="A976" s="48"/>
      <c r="B976" s="49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</row>
    <row r="977" spans="1:13">
      <c r="A977" s="48"/>
      <c r="B977" s="49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</row>
    <row r="978" spans="1:13">
      <c r="A978" s="48"/>
      <c r="B978" s="49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</row>
    <row r="979" spans="1:13">
      <c r="A979" s="48"/>
      <c r="B979" s="49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</row>
    <row r="980" spans="1:13">
      <c r="A980" s="48"/>
      <c r="B980" s="49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</row>
    <row r="981" spans="1:13">
      <c r="A981" s="48"/>
      <c r="B981" s="49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</row>
    <row r="982" spans="1:13">
      <c r="A982" s="48"/>
      <c r="B982" s="49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</row>
    <row r="983" spans="1:13">
      <c r="A983" s="48"/>
      <c r="B983" s="49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</row>
    <row r="984" spans="1:13">
      <c r="A984" s="48"/>
      <c r="B984" s="49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</row>
    <row r="985" spans="1:13">
      <c r="A985" s="48"/>
      <c r="B985" s="49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</row>
    <row r="986" spans="1:13">
      <c r="A986" s="48"/>
      <c r="B986" s="49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</row>
    <row r="987" spans="1:13">
      <c r="A987" s="48"/>
      <c r="B987" s="49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</row>
    <row r="988" spans="1:13">
      <c r="A988" s="48"/>
      <c r="B988" s="49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</row>
    <row r="989" spans="1:13">
      <c r="A989" s="48"/>
      <c r="B989" s="49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</row>
    <row r="990" spans="1:13">
      <c r="A990" s="48"/>
      <c r="B990" s="49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</row>
    <row r="991" spans="1:13">
      <c r="A991" s="48"/>
      <c r="B991" s="49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</row>
    <row r="992" spans="1:13">
      <c r="A992" s="48"/>
      <c r="B992" s="49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</row>
    <row r="993" spans="1:13">
      <c r="A993" s="48"/>
      <c r="B993" s="49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</row>
    <row r="994" spans="1:13">
      <c r="A994" s="48"/>
      <c r="B994" s="49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</row>
    <row r="995" spans="1:13">
      <c r="A995" s="48"/>
      <c r="B995" s="49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</row>
    <row r="996" spans="1:13">
      <c r="A996" s="48"/>
      <c r="B996" s="49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</row>
    <row r="997" spans="1:13">
      <c r="A997" s="48"/>
      <c r="B997" s="49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</row>
    <row r="998" spans="1:13">
      <c r="A998" s="48"/>
      <c r="B998" s="49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</row>
    <row r="999" spans="1:13">
      <c r="A999" s="48"/>
      <c r="B999" s="49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</row>
    <row r="1000" spans="1:13">
      <c r="A1000" s="48"/>
      <c r="B1000" s="49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</row>
    <row r="1001" spans="1:13">
      <c r="A1001" s="48"/>
      <c r="B1001" s="49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</row>
    <row r="1002" spans="1:13">
      <c r="A1002" s="48"/>
      <c r="B1002" s="49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</row>
    <row r="1003" spans="1:13">
      <c r="A1003" s="48"/>
      <c r="B1003" s="49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</row>
    <row r="1004" spans="1:13">
      <c r="A1004" s="48"/>
      <c r="B1004" s="49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</row>
    <row r="1005" spans="1:13">
      <c r="A1005" s="48"/>
      <c r="B1005" s="49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</row>
    <row r="1006" spans="1:13">
      <c r="A1006" s="48"/>
      <c r="B1006" s="49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</row>
    <row r="1007" spans="1:13">
      <c r="A1007" s="48"/>
      <c r="B1007" s="49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</row>
    <row r="1008" spans="1:13">
      <c r="A1008" s="48"/>
      <c r="B1008" s="49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</row>
    <row r="1009" spans="1:13">
      <c r="A1009" s="48"/>
      <c r="B1009" s="49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</row>
    <row r="1010" spans="1:13">
      <c r="A1010" s="48"/>
      <c r="B1010" s="49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</row>
    <row r="1011" spans="1:13">
      <c r="A1011" s="48"/>
      <c r="B1011" s="49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</row>
    <row r="1012" spans="1:13">
      <c r="A1012" s="48"/>
      <c r="B1012" s="49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</row>
    <row r="1013" spans="1:13">
      <c r="A1013" s="48"/>
      <c r="B1013" s="49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</row>
    <row r="1014" spans="1:13">
      <c r="A1014" s="48"/>
      <c r="B1014" s="49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</row>
    <row r="1015" spans="1:13">
      <c r="A1015" s="48"/>
      <c r="B1015" s="49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</row>
    <row r="1016" spans="1:13">
      <c r="A1016" s="48"/>
      <c r="B1016" s="49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</row>
    <row r="1017" spans="1:13">
      <c r="A1017" s="48"/>
      <c r="B1017" s="49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</row>
    <row r="1018" spans="1:13">
      <c r="A1018" s="48"/>
      <c r="B1018" s="49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</row>
    <row r="1019" spans="1:13">
      <c r="A1019" s="48"/>
      <c r="B1019" s="49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</row>
    <row r="1020" spans="1:13">
      <c r="A1020" s="48"/>
      <c r="B1020" s="49"/>
      <c r="C1020" s="48"/>
      <c r="D1020" s="48"/>
      <c r="E1020" s="48"/>
      <c r="F1020" s="48"/>
      <c r="G1020" s="48"/>
      <c r="H1020" s="48"/>
      <c r="I1020" s="48"/>
      <c r="J1020" s="48"/>
      <c r="K1020" s="48"/>
      <c r="L1020" s="48"/>
      <c r="M1020" s="48"/>
    </row>
    <row r="1021" spans="1:13">
      <c r="A1021" s="48"/>
      <c r="B1021" s="49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  <c r="M1021" s="48"/>
    </row>
    <row r="1022" spans="1:13">
      <c r="A1022" s="48"/>
      <c r="B1022" s="49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</row>
    <row r="1023" spans="1:13">
      <c r="A1023" s="48"/>
      <c r="B1023" s="49"/>
      <c r="C1023" s="48"/>
      <c r="D1023" s="48"/>
      <c r="E1023" s="48"/>
      <c r="F1023" s="48"/>
      <c r="G1023" s="48"/>
      <c r="H1023" s="48"/>
      <c r="I1023" s="48"/>
      <c r="J1023" s="48"/>
      <c r="K1023" s="48"/>
      <c r="L1023" s="48"/>
      <c r="M1023" s="48"/>
    </row>
    <row r="1024" spans="1:13">
      <c r="A1024" s="48"/>
      <c r="B1024" s="49"/>
      <c r="C1024" s="48"/>
      <c r="D1024" s="48"/>
      <c r="E1024" s="48"/>
      <c r="F1024" s="48"/>
      <c r="G1024" s="48"/>
      <c r="H1024" s="48"/>
      <c r="I1024" s="48"/>
      <c r="J1024" s="48"/>
      <c r="K1024" s="48"/>
      <c r="L1024" s="48"/>
      <c r="M1024" s="48"/>
    </row>
    <row r="1025" spans="1:13">
      <c r="A1025" s="48"/>
      <c r="B1025" s="49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</row>
    <row r="1026" spans="1:13">
      <c r="A1026" s="48"/>
      <c r="B1026" s="49"/>
      <c r="C1026" s="48"/>
      <c r="D1026" s="48"/>
      <c r="E1026" s="48"/>
      <c r="F1026" s="48"/>
      <c r="G1026" s="48"/>
      <c r="H1026" s="48"/>
      <c r="I1026" s="48"/>
      <c r="J1026" s="48"/>
      <c r="K1026" s="48"/>
      <c r="L1026" s="48"/>
      <c r="M1026" s="48"/>
    </row>
    <row r="1027" spans="1:13">
      <c r="A1027" s="48"/>
      <c r="B1027" s="49"/>
      <c r="C1027" s="48"/>
      <c r="D1027" s="48"/>
      <c r="E1027" s="48"/>
      <c r="F1027" s="48"/>
      <c r="G1027" s="48"/>
      <c r="H1027" s="48"/>
      <c r="I1027" s="48"/>
      <c r="J1027" s="48"/>
      <c r="K1027" s="48"/>
      <c r="L1027" s="48"/>
      <c r="M1027" s="48"/>
    </row>
    <row r="1028" spans="1:13">
      <c r="A1028" s="48"/>
      <c r="B1028" s="49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</row>
    <row r="1029" spans="1:13">
      <c r="A1029" s="48"/>
      <c r="B1029" s="49"/>
      <c r="C1029" s="48"/>
      <c r="D1029" s="48"/>
      <c r="E1029" s="48"/>
      <c r="F1029" s="48"/>
      <c r="G1029" s="48"/>
      <c r="H1029" s="48"/>
      <c r="I1029" s="48"/>
      <c r="J1029" s="48"/>
      <c r="K1029" s="48"/>
      <c r="L1029" s="48"/>
      <c r="M1029" s="48"/>
    </row>
    <row r="1030" spans="1:13">
      <c r="A1030" s="48"/>
      <c r="B1030" s="49"/>
      <c r="C1030" s="48"/>
      <c r="D1030" s="48"/>
      <c r="E1030" s="48"/>
      <c r="F1030" s="48"/>
      <c r="G1030" s="48"/>
      <c r="H1030" s="48"/>
      <c r="I1030" s="48"/>
      <c r="J1030" s="48"/>
      <c r="K1030" s="48"/>
      <c r="L1030" s="48"/>
      <c r="M1030" s="48"/>
    </row>
    <row r="1031" spans="1:13">
      <c r="A1031" s="48"/>
      <c r="B1031" s="49"/>
      <c r="C1031" s="48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</row>
    <row r="1032" spans="1:13">
      <c r="A1032" s="48"/>
      <c r="B1032" s="49"/>
      <c r="C1032" s="48"/>
      <c r="D1032" s="48"/>
      <c r="E1032" s="48"/>
      <c r="F1032" s="48"/>
      <c r="G1032" s="48"/>
      <c r="H1032" s="48"/>
      <c r="I1032" s="48"/>
      <c r="J1032" s="48"/>
      <c r="K1032" s="48"/>
      <c r="L1032" s="48"/>
      <c r="M1032" s="48"/>
    </row>
    <row r="1033" spans="1:13">
      <c r="A1033" s="48"/>
      <c r="B1033" s="49"/>
      <c r="C1033" s="48"/>
      <c r="D1033" s="48"/>
      <c r="E1033" s="48"/>
      <c r="F1033" s="48"/>
      <c r="G1033" s="48"/>
      <c r="H1033" s="48"/>
      <c r="I1033" s="48"/>
      <c r="J1033" s="48"/>
      <c r="K1033" s="48"/>
      <c r="L1033" s="48"/>
      <c r="M1033" s="48"/>
    </row>
    <row r="1034" spans="1:13">
      <c r="A1034" s="48"/>
      <c r="B1034" s="49"/>
      <c r="C1034" s="48"/>
      <c r="D1034" s="48"/>
      <c r="E1034" s="48"/>
      <c r="F1034" s="48"/>
      <c r="G1034" s="48"/>
      <c r="H1034" s="48"/>
      <c r="I1034" s="48"/>
      <c r="J1034" s="48"/>
      <c r="K1034" s="48"/>
      <c r="L1034" s="48"/>
      <c r="M1034" s="48"/>
    </row>
    <row r="1035" spans="1:13">
      <c r="A1035" s="48"/>
      <c r="B1035" s="49"/>
      <c r="C1035" s="48"/>
      <c r="D1035" s="48"/>
      <c r="E1035" s="48"/>
      <c r="F1035" s="48"/>
      <c r="G1035" s="48"/>
      <c r="H1035" s="48"/>
      <c r="I1035" s="48"/>
      <c r="J1035" s="48"/>
      <c r="K1035" s="48"/>
      <c r="L1035" s="48"/>
      <c r="M1035" s="48"/>
    </row>
    <row r="1036" spans="1:13">
      <c r="A1036" s="48"/>
      <c r="B1036" s="49"/>
      <c r="C1036" s="48"/>
      <c r="D1036" s="48"/>
      <c r="E1036" s="48"/>
      <c r="F1036" s="48"/>
      <c r="G1036" s="48"/>
      <c r="H1036" s="48"/>
      <c r="I1036" s="48"/>
      <c r="J1036" s="48"/>
      <c r="K1036" s="48"/>
      <c r="L1036" s="48"/>
      <c r="M1036" s="48"/>
    </row>
    <row r="1037" spans="1:13">
      <c r="A1037" s="48"/>
      <c r="B1037" s="49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</row>
    <row r="1038" spans="1:13">
      <c r="A1038" s="48"/>
      <c r="B1038" s="49"/>
      <c r="C1038" s="48"/>
      <c r="D1038" s="48"/>
      <c r="E1038" s="48"/>
      <c r="F1038" s="48"/>
      <c r="G1038" s="48"/>
      <c r="H1038" s="48"/>
      <c r="I1038" s="48"/>
      <c r="J1038" s="48"/>
      <c r="K1038" s="48"/>
      <c r="L1038" s="48"/>
      <c r="M1038" s="48"/>
    </row>
    <row r="1039" spans="1:13">
      <c r="A1039" s="48"/>
      <c r="B1039" s="49"/>
      <c r="C1039" s="48"/>
      <c r="D1039" s="48"/>
      <c r="E1039" s="48"/>
      <c r="F1039" s="48"/>
      <c r="G1039" s="48"/>
      <c r="H1039" s="48"/>
      <c r="I1039" s="48"/>
      <c r="J1039" s="48"/>
      <c r="K1039" s="48"/>
      <c r="L1039" s="48"/>
      <c r="M1039" s="48"/>
    </row>
    <row r="1040" spans="1:13">
      <c r="A1040" s="48"/>
      <c r="B1040" s="49"/>
      <c r="C1040" s="48"/>
      <c r="D1040" s="48"/>
      <c r="E1040" s="48"/>
      <c r="F1040" s="48"/>
      <c r="G1040" s="48"/>
      <c r="H1040" s="48"/>
      <c r="I1040" s="48"/>
      <c r="J1040" s="48"/>
      <c r="K1040" s="48"/>
      <c r="L1040" s="48"/>
      <c r="M1040" s="48"/>
    </row>
    <row r="1041" spans="1:13">
      <c r="A1041" s="48"/>
      <c r="B1041" s="49"/>
      <c r="C1041" s="48"/>
      <c r="D1041" s="48"/>
      <c r="E1041" s="48"/>
      <c r="F1041" s="48"/>
      <c r="G1041" s="48"/>
      <c r="H1041" s="48"/>
      <c r="I1041" s="48"/>
      <c r="J1041" s="48"/>
      <c r="K1041" s="48"/>
      <c r="L1041" s="48"/>
      <c r="M1041" s="48"/>
    </row>
    <row r="1042" spans="1:13">
      <c r="A1042" s="48"/>
      <c r="B1042" s="49"/>
      <c r="C1042" s="48"/>
      <c r="D1042" s="48"/>
      <c r="E1042" s="48"/>
      <c r="F1042" s="48"/>
      <c r="G1042" s="48"/>
      <c r="H1042" s="48"/>
      <c r="I1042" s="48"/>
      <c r="J1042" s="48"/>
      <c r="K1042" s="48"/>
      <c r="L1042" s="48"/>
      <c r="M1042" s="48"/>
    </row>
    <row r="1043" spans="1:13">
      <c r="A1043" s="48"/>
      <c r="B1043" s="49"/>
      <c r="C1043" s="48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</row>
    <row r="1044" spans="1:13">
      <c r="A1044" s="48"/>
      <c r="B1044" s="49"/>
      <c r="C1044" s="48"/>
      <c r="D1044" s="48"/>
      <c r="E1044" s="48"/>
      <c r="F1044" s="48"/>
      <c r="G1044" s="48"/>
      <c r="H1044" s="48"/>
      <c r="I1044" s="48"/>
      <c r="J1044" s="48"/>
      <c r="K1044" s="48"/>
      <c r="L1044" s="48"/>
      <c r="M1044" s="48"/>
    </row>
    <row r="1045" spans="1:13">
      <c r="A1045" s="48"/>
      <c r="B1045" s="49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  <c r="M1045" s="48"/>
    </row>
    <row r="1046" spans="1:13">
      <c r="A1046" s="48"/>
      <c r="B1046" s="49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</row>
    <row r="1047" spans="1:13">
      <c r="A1047" s="48"/>
      <c r="B1047" s="49"/>
      <c r="C1047" s="48"/>
      <c r="D1047" s="48"/>
      <c r="E1047" s="48"/>
      <c r="F1047" s="48"/>
      <c r="G1047" s="48"/>
      <c r="H1047" s="48"/>
      <c r="I1047" s="48"/>
      <c r="J1047" s="48"/>
      <c r="K1047" s="48"/>
      <c r="L1047" s="48"/>
      <c r="M1047" s="48"/>
    </row>
    <row r="1048" spans="1:13">
      <c r="A1048" s="48"/>
      <c r="B1048" s="49"/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</row>
    <row r="1049" spans="1:13">
      <c r="A1049" s="48"/>
      <c r="B1049" s="49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</row>
    <row r="1050" spans="1:13">
      <c r="A1050" s="48"/>
      <c r="B1050" s="49"/>
      <c r="C1050" s="48"/>
      <c r="D1050" s="48"/>
      <c r="E1050" s="48"/>
      <c r="F1050" s="48"/>
      <c r="G1050" s="48"/>
      <c r="H1050" s="48"/>
      <c r="I1050" s="48"/>
      <c r="J1050" s="48"/>
      <c r="K1050" s="48"/>
      <c r="L1050" s="48"/>
      <c r="M1050" s="48"/>
    </row>
    <row r="1051" spans="1:13">
      <c r="A1051" s="48"/>
      <c r="B1051" s="49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  <c r="M1051" s="48"/>
    </row>
    <row r="1052" spans="1:13">
      <c r="A1052" s="48"/>
      <c r="B1052" s="49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  <c r="M1052" s="48"/>
    </row>
    <row r="1053" spans="1:13">
      <c r="A1053" s="48"/>
      <c r="B1053" s="49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</row>
    <row r="1054" spans="1:13">
      <c r="A1054" s="48"/>
      <c r="B1054" s="49"/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</row>
    <row r="1055" spans="1:13">
      <c r="A1055" s="48"/>
      <c r="B1055" s="49"/>
      <c r="C1055" s="48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</row>
    <row r="1056" spans="1:13">
      <c r="A1056" s="48"/>
      <c r="B1056" s="49"/>
      <c r="C1056" s="48"/>
      <c r="D1056" s="48"/>
      <c r="E1056" s="48"/>
      <c r="F1056" s="48"/>
      <c r="G1056" s="48"/>
      <c r="H1056" s="48"/>
      <c r="I1056" s="48"/>
      <c r="J1056" s="48"/>
      <c r="K1056" s="48"/>
      <c r="L1056" s="48"/>
      <c r="M1056" s="48"/>
    </row>
    <row r="1057" spans="1:13">
      <c r="A1057" s="48"/>
      <c r="B1057" s="49"/>
      <c r="C1057" s="48"/>
      <c r="D1057" s="48"/>
      <c r="E1057" s="48"/>
      <c r="F1057" s="48"/>
      <c r="G1057" s="48"/>
      <c r="H1057" s="48"/>
      <c r="I1057" s="48"/>
      <c r="J1057" s="48"/>
      <c r="K1057" s="48"/>
      <c r="L1057" s="48"/>
      <c r="M1057" s="48"/>
    </row>
    <row r="1058" spans="1:13">
      <c r="A1058" s="48"/>
      <c r="B1058" s="49"/>
      <c r="C1058" s="48"/>
      <c r="D1058" s="48"/>
      <c r="E1058" s="48"/>
      <c r="F1058" s="48"/>
      <c r="G1058" s="48"/>
      <c r="H1058" s="48"/>
      <c r="I1058" s="48"/>
      <c r="J1058" s="48"/>
      <c r="K1058" s="48"/>
      <c r="L1058" s="48"/>
      <c r="M1058" s="48"/>
    </row>
    <row r="1059" spans="1:13">
      <c r="A1059" s="48"/>
      <c r="B1059" s="49"/>
      <c r="C1059" s="48"/>
      <c r="D1059" s="48"/>
      <c r="E1059" s="48"/>
      <c r="F1059" s="48"/>
      <c r="G1059" s="48"/>
      <c r="H1059" s="48"/>
      <c r="I1059" s="48"/>
      <c r="J1059" s="48"/>
      <c r="K1059" s="48"/>
      <c r="L1059" s="48"/>
      <c r="M1059" s="48"/>
    </row>
    <row r="1060" spans="1:13">
      <c r="A1060" s="48"/>
      <c r="B1060" s="49"/>
      <c r="C1060" s="48"/>
      <c r="D1060" s="48"/>
      <c r="E1060" s="48"/>
      <c r="F1060" s="48"/>
      <c r="G1060" s="48"/>
      <c r="H1060" s="48"/>
      <c r="I1060" s="48"/>
      <c r="J1060" s="48"/>
      <c r="K1060" s="48"/>
      <c r="L1060" s="48"/>
      <c r="M1060" s="48"/>
    </row>
    <row r="1061" spans="1:13">
      <c r="A1061" s="48"/>
      <c r="B1061" s="49"/>
      <c r="C1061" s="48"/>
      <c r="D1061" s="48"/>
      <c r="E1061" s="48"/>
      <c r="F1061" s="48"/>
      <c r="G1061" s="48"/>
      <c r="H1061" s="48"/>
      <c r="I1061" s="48"/>
      <c r="J1061" s="48"/>
      <c r="K1061" s="48"/>
      <c r="L1061" s="48"/>
      <c r="M1061" s="48"/>
    </row>
    <row r="1062" spans="1:13">
      <c r="A1062" s="48"/>
      <c r="B1062" s="49"/>
      <c r="C1062" s="48"/>
      <c r="D1062" s="48"/>
      <c r="E1062" s="48"/>
      <c r="F1062" s="48"/>
      <c r="G1062" s="48"/>
      <c r="H1062" s="48"/>
      <c r="I1062" s="48"/>
      <c r="J1062" s="48"/>
      <c r="K1062" s="48"/>
      <c r="L1062" s="48"/>
      <c r="M1062" s="48"/>
    </row>
    <row r="1063" spans="1:13">
      <c r="A1063" s="48"/>
      <c r="B1063" s="49"/>
      <c r="C1063" s="48"/>
      <c r="D1063" s="48"/>
      <c r="E1063" s="48"/>
      <c r="F1063" s="48"/>
      <c r="G1063" s="48"/>
      <c r="H1063" s="48"/>
      <c r="I1063" s="48"/>
      <c r="J1063" s="48"/>
      <c r="K1063" s="48"/>
      <c r="L1063" s="48"/>
      <c r="M1063" s="48"/>
    </row>
    <row r="1064" spans="1:13">
      <c r="A1064" s="48"/>
      <c r="B1064" s="49"/>
      <c r="C1064" s="48"/>
      <c r="D1064" s="48"/>
      <c r="E1064" s="48"/>
      <c r="F1064" s="48"/>
      <c r="G1064" s="48"/>
      <c r="H1064" s="48"/>
      <c r="I1064" s="48"/>
      <c r="J1064" s="48"/>
      <c r="K1064" s="48"/>
      <c r="L1064" s="48"/>
      <c r="M1064" s="48"/>
    </row>
    <row r="1065" spans="1:13">
      <c r="A1065" s="48"/>
      <c r="B1065" s="49"/>
      <c r="C1065" s="48"/>
      <c r="D1065" s="48"/>
      <c r="E1065" s="48"/>
      <c r="F1065" s="48"/>
      <c r="G1065" s="48"/>
      <c r="H1065" s="48"/>
      <c r="I1065" s="48"/>
      <c r="J1065" s="48"/>
      <c r="K1065" s="48"/>
      <c r="L1065" s="48"/>
      <c r="M1065" s="48"/>
    </row>
    <row r="1066" spans="1:13">
      <c r="A1066" s="48"/>
      <c r="B1066" s="49"/>
      <c r="C1066" s="48"/>
      <c r="D1066" s="48"/>
      <c r="E1066" s="48"/>
      <c r="F1066" s="48"/>
      <c r="G1066" s="48"/>
      <c r="H1066" s="48"/>
      <c r="I1066" s="48"/>
      <c r="J1066" s="48"/>
      <c r="K1066" s="48"/>
      <c r="L1066" s="48"/>
      <c r="M1066" s="48"/>
    </row>
    <row r="1067" spans="1:13">
      <c r="A1067" s="48"/>
      <c r="B1067" s="49"/>
      <c r="C1067" s="48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</row>
    <row r="1068" spans="1:13">
      <c r="A1068" s="48"/>
      <c r="B1068" s="49"/>
      <c r="C1068" s="48"/>
      <c r="D1068" s="48"/>
      <c r="E1068" s="48"/>
      <c r="F1068" s="48"/>
      <c r="G1068" s="48"/>
      <c r="H1068" s="48"/>
      <c r="I1068" s="48"/>
      <c r="J1068" s="48"/>
      <c r="K1068" s="48"/>
      <c r="L1068" s="48"/>
      <c r="M1068" s="48"/>
    </row>
    <row r="1069" spans="1:13">
      <c r="A1069" s="48"/>
      <c r="B1069" s="49"/>
      <c r="C1069" s="48"/>
      <c r="D1069" s="48"/>
      <c r="E1069" s="48"/>
      <c r="F1069" s="48"/>
      <c r="G1069" s="48"/>
      <c r="H1069" s="48"/>
      <c r="I1069" s="48"/>
      <c r="J1069" s="48"/>
      <c r="K1069" s="48"/>
      <c r="L1069" s="48"/>
      <c r="M1069" s="48"/>
    </row>
    <row r="1070" spans="1:13">
      <c r="A1070" s="48"/>
      <c r="B1070" s="49"/>
      <c r="C1070" s="48"/>
      <c r="D1070" s="48"/>
      <c r="E1070" s="48"/>
      <c r="F1070" s="48"/>
      <c r="G1070" s="48"/>
      <c r="H1070" s="48"/>
      <c r="I1070" s="48"/>
      <c r="J1070" s="48"/>
      <c r="K1070" s="48"/>
      <c r="L1070" s="48"/>
      <c r="M1070" s="48"/>
    </row>
    <row r="1071" spans="1:13">
      <c r="A1071" s="48"/>
      <c r="B1071" s="49"/>
      <c r="C1071" s="48"/>
      <c r="D1071" s="48"/>
      <c r="E1071" s="48"/>
      <c r="F1071" s="48"/>
      <c r="G1071" s="48"/>
      <c r="H1071" s="48"/>
      <c r="I1071" s="48"/>
      <c r="J1071" s="48"/>
      <c r="K1071" s="48"/>
      <c r="L1071" s="48"/>
      <c r="M1071" s="48"/>
    </row>
    <row r="1072" spans="1:13">
      <c r="A1072" s="48"/>
      <c r="B1072" s="49"/>
      <c r="C1072" s="48"/>
      <c r="D1072" s="48"/>
      <c r="E1072" s="48"/>
      <c r="F1072" s="48"/>
      <c r="G1072" s="48"/>
      <c r="H1072" s="48"/>
      <c r="I1072" s="48"/>
      <c r="J1072" s="48"/>
      <c r="K1072" s="48"/>
      <c r="L1072" s="48"/>
      <c r="M1072" s="48"/>
    </row>
    <row r="1073" spans="1:13">
      <c r="A1073" s="48"/>
      <c r="B1073" s="49"/>
      <c r="C1073" s="48"/>
      <c r="D1073" s="48"/>
      <c r="E1073" s="48"/>
      <c r="F1073" s="48"/>
      <c r="G1073" s="48"/>
      <c r="H1073" s="48"/>
      <c r="I1073" s="48"/>
      <c r="J1073" s="48"/>
      <c r="K1073" s="48"/>
      <c r="L1073" s="48"/>
      <c r="M1073" s="48"/>
    </row>
    <row r="1074" spans="1:13">
      <c r="A1074" s="48"/>
      <c r="B1074" s="49"/>
      <c r="C1074" s="48"/>
      <c r="D1074" s="48"/>
      <c r="E1074" s="48"/>
      <c r="F1074" s="48"/>
      <c r="G1074" s="48"/>
      <c r="H1074" s="48"/>
      <c r="I1074" s="48"/>
      <c r="J1074" s="48"/>
      <c r="K1074" s="48"/>
      <c r="L1074" s="48"/>
      <c r="M1074" s="48"/>
    </row>
    <row r="1075" spans="1:13">
      <c r="A1075" s="48"/>
      <c r="B1075" s="49"/>
      <c r="C1075" s="48"/>
      <c r="D1075" s="48"/>
      <c r="E1075" s="48"/>
      <c r="F1075" s="48"/>
      <c r="G1075" s="48"/>
      <c r="H1075" s="48"/>
      <c r="I1075" s="48"/>
      <c r="J1075" s="48"/>
      <c r="K1075" s="48"/>
      <c r="L1075" s="48"/>
      <c r="M1075" s="48"/>
    </row>
    <row r="1076" spans="1:13">
      <c r="A1076" s="48"/>
      <c r="B1076" s="49"/>
      <c r="C1076" s="48"/>
      <c r="D1076" s="48"/>
      <c r="E1076" s="48"/>
      <c r="F1076" s="48"/>
      <c r="G1076" s="48"/>
      <c r="H1076" s="48"/>
      <c r="I1076" s="48"/>
      <c r="J1076" s="48"/>
      <c r="K1076" s="48"/>
      <c r="L1076" s="48"/>
      <c r="M1076" s="48"/>
    </row>
    <row r="1077" spans="1:13">
      <c r="A1077" s="48"/>
      <c r="B1077" s="49"/>
      <c r="C1077" s="48"/>
      <c r="D1077" s="48"/>
      <c r="E1077" s="48"/>
      <c r="F1077" s="48"/>
      <c r="G1077" s="48"/>
      <c r="H1077" s="48"/>
      <c r="I1077" s="48"/>
      <c r="J1077" s="48"/>
      <c r="K1077" s="48"/>
      <c r="L1077" s="48"/>
      <c r="M1077" s="48"/>
    </row>
    <row r="1078" spans="1:13">
      <c r="A1078" s="48"/>
      <c r="B1078" s="49"/>
      <c r="C1078" s="48"/>
      <c r="D1078" s="48"/>
      <c r="E1078" s="48"/>
      <c r="F1078" s="48"/>
      <c r="G1078" s="48"/>
      <c r="H1078" s="48"/>
      <c r="I1078" s="48"/>
      <c r="J1078" s="48"/>
      <c r="K1078" s="48"/>
      <c r="L1078" s="48"/>
      <c r="M1078" s="48"/>
    </row>
    <row r="1079" spans="1:13">
      <c r="A1079" s="48"/>
      <c r="B1079" s="49"/>
      <c r="C1079" s="48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</row>
    <row r="1080" spans="1:13">
      <c r="A1080" s="48"/>
      <c r="B1080" s="49"/>
      <c r="C1080" s="48"/>
      <c r="D1080" s="48"/>
      <c r="E1080" s="48"/>
      <c r="F1080" s="48"/>
      <c r="G1080" s="48"/>
      <c r="H1080" s="48"/>
      <c r="I1080" s="48"/>
      <c r="J1080" s="48"/>
      <c r="K1080" s="48"/>
      <c r="L1080" s="48"/>
      <c r="M1080" s="48"/>
    </row>
    <row r="1081" spans="1:13">
      <c r="A1081" s="48"/>
      <c r="B1081" s="49"/>
      <c r="C1081" s="48"/>
      <c r="D1081" s="48"/>
      <c r="E1081" s="48"/>
      <c r="F1081" s="48"/>
      <c r="G1081" s="48"/>
      <c r="H1081" s="48"/>
      <c r="I1081" s="48"/>
      <c r="J1081" s="48"/>
      <c r="K1081" s="48"/>
      <c r="L1081" s="48"/>
      <c r="M1081" s="48"/>
    </row>
    <row r="1082" spans="1:13">
      <c r="A1082" s="48"/>
      <c r="B1082" s="49"/>
      <c r="C1082" s="48"/>
      <c r="D1082" s="48"/>
      <c r="E1082" s="48"/>
      <c r="F1082" s="48"/>
      <c r="G1082" s="48"/>
      <c r="H1082" s="48"/>
      <c r="I1082" s="48"/>
      <c r="J1082" s="48"/>
      <c r="K1082" s="48"/>
      <c r="L1082" s="48"/>
      <c r="M1082" s="48"/>
    </row>
    <row r="1083" spans="1:13">
      <c r="A1083" s="48"/>
      <c r="B1083" s="49"/>
      <c r="C1083" s="48"/>
      <c r="D1083" s="48"/>
      <c r="E1083" s="48"/>
      <c r="F1083" s="48"/>
      <c r="G1083" s="48"/>
      <c r="H1083" s="48"/>
      <c r="I1083" s="48"/>
      <c r="J1083" s="48"/>
      <c r="K1083" s="48"/>
      <c r="L1083" s="48"/>
      <c r="M1083" s="48"/>
    </row>
    <row r="1084" spans="1:13">
      <c r="A1084" s="48"/>
      <c r="B1084" s="49"/>
      <c r="C1084" s="48"/>
      <c r="D1084" s="48"/>
      <c r="E1084" s="48"/>
      <c r="F1084" s="48"/>
      <c r="G1084" s="48"/>
      <c r="H1084" s="48"/>
      <c r="I1084" s="48"/>
      <c r="J1084" s="48"/>
      <c r="K1084" s="48"/>
      <c r="L1084" s="48"/>
      <c r="M1084" s="48"/>
    </row>
    <row r="1085" spans="1:13">
      <c r="A1085" s="48"/>
      <c r="B1085" s="49"/>
      <c r="C1085" s="48"/>
      <c r="D1085" s="48"/>
      <c r="E1085" s="48"/>
      <c r="F1085" s="48"/>
      <c r="G1085" s="48"/>
      <c r="H1085" s="48"/>
      <c r="I1085" s="48"/>
      <c r="J1085" s="48"/>
      <c r="K1085" s="48"/>
      <c r="L1085" s="48"/>
      <c r="M1085" s="48"/>
    </row>
    <row r="1086" spans="1:13">
      <c r="A1086" s="48"/>
      <c r="B1086" s="49"/>
      <c r="C1086" s="48"/>
      <c r="D1086" s="48"/>
      <c r="E1086" s="48"/>
      <c r="F1086" s="48"/>
      <c r="G1086" s="48"/>
      <c r="H1086" s="48"/>
      <c r="I1086" s="48"/>
      <c r="J1086" s="48"/>
      <c r="K1086" s="48"/>
      <c r="L1086" s="48"/>
      <c r="M1086" s="48"/>
    </row>
    <row r="1087" spans="1:13">
      <c r="A1087" s="48"/>
      <c r="B1087" s="49"/>
      <c r="C1087" s="48"/>
      <c r="D1087" s="48"/>
      <c r="E1087" s="48"/>
      <c r="F1087" s="48"/>
      <c r="G1087" s="48"/>
      <c r="H1087" s="48"/>
      <c r="I1087" s="48"/>
      <c r="J1087" s="48"/>
      <c r="K1087" s="48"/>
      <c r="L1087" s="48"/>
      <c r="M1087" s="48"/>
    </row>
    <row r="1088" spans="1:13">
      <c r="A1088" s="48"/>
      <c r="B1088" s="49"/>
      <c r="C1088" s="48"/>
      <c r="D1088" s="48"/>
      <c r="E1088" s="48"/>
      <c r="F1088" s="48"/>
      <c r="G1088" s="48"/>
      <c r="H1088" s="48"/>
      <c r="I1088" s="48"/>
      <c r="J1088" s="48"/>
      <c r="K1088" s="48"/>
      <c r="L1088" s="48"/>
      <c r="M1088" s="48"/>
    </row>
    <row r="1089" spans="1:13">
      <c r="A1089" s="48"/>
      <c r="B1089" s="49"/>
      <c r="C1089" s="48"/>
      <c r="D1089" s="48"/>
      <c r="E1089" s="48"/>
      <c r="F1089" s="48"/>
      <c r="G1089" s="48"/>
      <c r="H1089" s="48"/>
      <c r="I1089" s="48"/>
      <c r="J1089" s="48"/>
      <c r="K1089" s="48"/>
      <c r="L1089" s="48"/>
      <c r="M1089" s="48"/>
    </row>
    <row r="1090" spans="1:13">
      <c r="A1090" s="48"/>
      <c r="B1090" s="49"/>
      <c r="C1090" s="48"/>
      <c r="D1090" s="48"/>
      <c r="E1090" s="48"/>
      <c r="F1090" s="48"/>
      <c r="G1090" s="48"/>
      <c r="H1090" s="48"/>
      <c r="I1090" s="48"/>
      <c r="J1090" s="48"/>
      <c r="K1090" s="48"/>
      <c r="L1090" s="48"/>
      <c r="M1090" s="48"/>
    </row>
    <row r="1091" spans="1:13">
      <c r="A1091" s="48"/>
      <c r="B1091" s="49"/>
      <c r="C1091" s="48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</row>
    <row r="1092" spans="1:13">
      <c r="A1092" s="48"/>
      <c r="B1092" s="49"/>
      <c r="C1092" s="48"/>
      <c r="D1092" s="48"/>
      <c r="E1092" s="48"/>
      <c r="F1092" s="48"/>
      <c r="G1092" s="48"/>
      <c r="H1092" s="48"/>
      <c r="I1092" s="48"/>
      <c r="J1092" s="48"/>
      <c r="K1092" s="48"/>
      <c r="L1092" s="48"/>
      <c r="M1092" s="48"/>
    </row>
    <row r="1093" spans="1:13">
      <c r="A1093" s="48"/>
      <c r="B1093" s="49"/>
      <c r="C1093" s="48"/>
      <c r="D1093" s="48"/>
      <c r="E1093" s="48"/>
      <c r="F1093" s="48"/>
      <c r="G1093" s="48"/>
      <c r="H1093" s="48"/>
      <c r="I1093" s="48"/>
      <c r="J1093" s="48"/>
      <c r="K1093" s="48"/>
      <c r="L1093" s="48"/>
      <c r="M1093" s="48"/>
    </row>
    <row r="1094" spans="1:13">
      <c r="A1094" s="48"/>
      <c r="B1094" s="49"/>
      <c r="C1094" s="48"/>
      <c r="D1094" s="48"/>
      <c r="E1094" s="48"/>
      <c r="F1094" s="48"/>
      <c r="G1094" s="48"/>
      <c r="H1094" s="48"/>
      <c r="I1094" s="48"/>
      <c r="J1094" s="48"/>
      <c r="K1094" s="48"/>
      <c r="L1094" s="48"/>
      <c r="M1094" s="48"/>
    </row>
    <row r="1095" spans="1:13">
      <c r="A1095" s="48"/>
      <c r="B1095" s="49"/>
      <c r="C1095" s="48"/>
      <c r="D1095" s="48"/>
      <c r="E1095" s="48"/>
      <c r="F1095" s="48"/>
      <c r="G1095" s="48"/>
      <c r="H1095" s="48"/>
      <c r="I1095" s="48"/>
      <c r="J1095" s="48"/>
      <c r="K1095" s="48"/>
      <c r="L1095" s="48"/>
      <c r="M1095" s="48"/>
    </row>
    <row r="1096" spans="1:13">
      <c r="A1096" s="48"/>
      <c r="B1096" s="49"/>
      <c r="C1096" s="48"/>
      <c r="D1096" s="48"/>
      <c r="E1096" s="48"/>
      <c r="F1096" s="48"/>
      <c r="G1096" s="48"/>
      <c r="H1096" s="48"/>
      <c r="I1096" s="48"/>
      <c r="J1096" s="48"/>
      <c r="K1096" s="48"/>
      <c r="L1096" s="48"/>
      <c r="M1096" s="48"/>
    </row>
    <row r="1097" spans="1:13">
      <c r="A1097" s="48"/>
      <c r="B1097" s="49"/>
      <c r="C1097" s="48"/>
      <c r="D1097" s="48"/>
      <c r="E1097" s="48"/>
      <c r="F1097" s="48"/>
      <c r="G1097" s="48"/>
      <c r="H1097" s="48"/>
      <c r="I1097" s="48"/>
      <c r="J1097" s="48"/>
      <c r="K1097" s="48"/>
      <c r="L1097" s="48"/>
      <c r="M1097" s="48"/>
    </row>
    <row r="1098" spans="1:13">
      <c r="A1098" s="48"/>
      <c r="B1098" s="49"/>
      <c r="C1098" s="48"/>
      <c r="D1098" s="48"/>
      <c r="E1098" s="48"/>
      <c r="F1098" s="48"/>
      <c r="G1098" s="48"/>
      <c r="H1098" s="48"/>
      <c r="I1098" s="48"/>
      <c r="J1098" s="48"/>
      <c r="K1098" s="48"/>
      <c r="L1098" s="48"/>
      <c r="M1098" s="48"/>
    </row>
    <row r="1099" spans="1:13">
      <c r="A1099" s="48"/>
      <c r="B1099" s="49"/>
      <c r="C1099" s="48"/>
      <c r="D1099" s="48"/>
      <c r="E1099" s="48"/>
      <c r="F1099" s="48"/>
      <c r="G1099" s="48"/>
      <c r="H1099" s="48"/>
      <c r="I1099" s="48"/>
      <c r="J1099" s="48"/>
      <c r="K1099" s="48"/>
      <c r="L1099" s="48"/>
      <c r="M1099" s="48"/>
    </row>
    <row r="1100" spans="1:13">
      <c r="A1100" s="48"/>
      <c r="B1100" s="49"/>
      <c r="C1100" s="48"/>
      <c r="D1100" s="48"/>
      <c r="E1100" s="48"/>
      <c r="F1100" s="48"/>
      <c r="G1100" s="48"/>
      <c r="H1100" s="48"/>
      <c r="I1100" s="48"/>
      <c r="J1100" s="48"/>
      <c r="K1100" s="48"/>
      <c r="L1100" s="48"/>
      <c r="M1100" s="48"/>
    </row>
    <row r="1101" spans="1:13">
      <c r="A1101" s="48"/>
      <c r="B1101" s="49"/>
      <c r="C1101" s="48"/>
      <c r="D1101" s="48"/>
      <c r="E1101" s="48"/>
      <c r="F1101" s="48"/>
      <c r="G1101" s="48"/>
      <c r="H1101" s="48"/>
      <c r="I1101" s="48"/>
      <c r="J1101" s="48"/>
      <c r="K1101" s="48"/>
      <c r="L1101" s="48"/>
      <c r="M1101" s="48"/>
    </row>
    <row r="1102" spans="1:13">
      <c r="A1102" s="48"/>
      <c r="B1102" s="49"/>
      <c r="C1102" s="48"/>
      <c r="D1102" s="48"/>
      <c r="E1102" s="48"/>
      <c r="F1102" s="48"/>
      <c r="G1102" s="48"/>
      <c r="H1102" s="48"/>
      <c r="I1102" s="48"/>
      <c r="J1102" s="48"/>
      <c r="K1102" s="48"/>
      <c r="L1102" s="48"/>
      <c r="M1102" s="48"/>
    </row>
    <row r="1103" spans="1:13">
      <c r="A1103" s="48"/>
      <c r="B1103" s="49"/>
      <c r="C1103" s="48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</row>
    <row r="1104" spans="1:13">
      <c r="A1104" s="48"/>
      <c r="B1104" s="49"/>
      <c r="C1104" s="48"/>
      <c r="D1104" s="48"/>
      <c r="E1104" s="48"/>
      <c r="F1104" s="48"/>
      <c r="G1104" s="48"/>
      <c r="H1104" s="48"/>
      <c r="I1104" s="48"/>
      <c r="J1104" s="48"/>
      <c r="K1104" s="48"/>
      <c r="L1104" s="48"/>
      <c r="M1104" s="48"/>
    </row>
    <row r="1105" spans="1:13">
      <c r="A1105" s="48"/>
      <c r="B1105" s="49"/>
      <c r="C1105" s="48"/>
      <c r="D1105" s="48"/>
      <c r="E1105" s="48"/>
      <c r="F1105" s="48"/>
      <c r="G1105" s="48"/>
      <c r="H1105" s="48"/>
      <c r="I1105" s="48"/>
      <c r="J1105" s="48"/>
      <c r="K1105" s="48"/>
      <c r="L1105" s="48"/>
      <c r="M1105" s="48"/>
    </row>
    <row r="1106" spans="1:13">
      <c r="A1106" s="48"/>
      <c r="B1106" s="49"/>
      <c r="C1106" s="48"/>
      <c r="D1106" s="48"/>
      <c r="E1106" s="48"/>
      <c r="F1106" s="48"/>
      <c r="G1106" s="48"/>
      <c r="H1106" s="48"/>
      <c r="I1106" s="48"/>
      <c r="J1106" s="48"/>
      <c r="K1106" s="48"/>
      <c r="L1106" s="48"/>
      <c r="M1106" s="48"/>
    </row>
    <row r="1107" spans="1:13">
      <c r="A1107" s="48"/>
      <c r="B1107" s="49"/>
      <c r="C1107" s="48"/>
      <c r="D1107" s="48"/>
      <c r="E1107" s="48"/>
      <c r="F1107" s="48"/>
      <c r="G1107" s="48"/>
      <c r="H1107" s="48"/>
      <c r="I1107" s="48"/>
      <c r="J1107" s="48"/>
      <c r="K1107" s="48"/>
      <c r="L1107" s="48"/>
      <c r="M1107" s="48"/>
    </row>
    <row r="1108" spans="1:13">
      <c r="A1108" s="48"/>
      <c r="B1108" s="49"/>
      <c r="C1108" s="48"/>
      <c r="D1108" s="48"/>
      <c r="E1108" s="48"/>
      <c r="F1108" s="48"/>
      <c r="G1108" s="48"/>
      <c r="H1108" s="48"/>
      <c r="I1108" s="48"/>
      <c r="J1108" s="48"/>
      <c r="K1108" s="48"/>
      <c r="L1108" s="48"/>
      <c r="M1108" s="48"/>
    </row>
    <row r="1109" spans="1:13">
      <c r="A1109" s="48"/>
      <c r="B1109" s="49"/>
      <c r="C1109" s="48"/>
      <c r="D1109" s="48"/>
      <c r="E1109" s="48"/>
      <c r="F1109" s="48"/>
      <c r="G1109" s="48"/>
      <c r="H1109" s="48"/>
      <c r="I1109" s="48"/>
      <c r="J1109" s="48"/>
      <c r="K1109" s="48"/>
      <c r="L1109" s="48"/>
      <c r="M1109" s="48"/>
    </row>
    <row r="1110" spans="1:13">
      <c r="A1110" s="48"/>
      <c r="B1110" s="49"/>
      <c r="C1110" s="48"/>
      <c r="D1110" s="48"/>
      <c r="E1110" s="48"/>
      <c r="F1110" s="48"/>
      <c r="G1110" s="48"/>
      <c r="H1110" s="48"/>
      <c r="I1110" s="48"/>
      <c r="J1110" s="48"/>
      <c r="K1110" s="48"/>
      <c r="L1110" s="48"/>
      <c r="M1110" s="48"/>
    </row>
    <row r="1111" spans="1:13">
      <c r="A1111" s="48"/>
      <c r="B1111" s="49"/>
      <c r="C1111" s="48"/>
      <c r="D1111" s="48"/>
      <c r="E1111" s="48"/>
      <c r="F1111" s="48"/>
      <c r="G1111" s="48"/>
      <c r="H1111" s="48"/>
      <c r="I1111" s="48"/>
      <c r="J1111" s="48"/>
      <c r="K1111" s="48"/>
      <c r="L1111" s="48"/>
      <c r="M1111" s="48"/>
    </row>
    <row r="1112" spans="1:13">
      <c r="A1112" s="48"/>
      <c r="B1112" s="49"/>
      <c r="C1112" s="48"/>
      <c r="D1112" s="48"/>
      <c r="E1112" s="48"/>
      <c r="F1112" s="48"/>
      <c r="G1112" s="48"/>
      <c r="H1112" s="48"/>
      <c r="I1112" s="48"/>
      <c r="J1112" s="48"/>
      <c r="K1112" s="48"/>
      <c r="L1112" s="48"/>
      <c r="M1112" s="48"/>
    </row>
    <row r="1113" spans="1:13">
      <c r="A1113" s="48"/>
      <c r="B1113" s="49"/>
      <c r="C1113" s="48"/>
      <c r="D1113" s="48"/>
      <c r="E1113" s="48"/>
      <c r="F1113" s="48"/>
      <c r="G1113" s="48"/>
      <c r="H1113" s="48"/>
      <c r="I1113" s="48"/>
      <c r="J1113" s="48"/>
      <c r="K1113" s="48"/>
      <c r="L1113" s="48"/>
      <c r="M1113" s="48"/>
    </row>
    <row r="1114" spans="1:13">
      <c r="A1114" s="48"/>
      <c r="B1114" s="49"/>
      <c r="C1114" s="48"/>
      <c r="D1114" s="48"/>
      <c r="E1114" s="48"/>
      <c r="F1114" s="48"/>
      <c r="G1114" s="48"/>
      <c r="H1114" s="48"/>
      <c r="I1114" s="48"/>
      <c r="J1114" s="48"/>
      <c r="K1114" s="48"/>
      <c r="L1114" s="48"/>
      <c r="M1114" s="48"/>
    </row>
    <row r="1115" spans="1:13">
      <c r="A1115" s="48"/>
      <c r="B1115" s="49"/>
      <c r="C1115" s="48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</row>
    <row r="1116" spans="1:13">
      <c r="A1116" s="48"/>
      <c r="B1116" s="49"/>
      <c r="C1116" s="48"/>
      <c r="D1116" s="48"/>
      <c r="E1116" s="48"/>
      <c r="F1116" s="48"/>
      <c r="G1116" s="48"/>
      <c r="H1116" s="48"/>
      <c r="I1116" s="48"/>
      <c r="J1116" s="48"/>
      <c r="K1116" s="48"/>
      <c r="L1116" s="48"/>
      <c r="M1116" s="48"/>
    </row>
    <row r="1117" spans="1:13">
      <c r="A1117" s="48"/>
      <c r="B1117" s="49"/>
      <c r="C1117" s="48"/>
      <c r="D1117" s="48"/>
      <c r="E1117" s="48"/>
      <c r="F1117" s="48"/>
      <c r="G1117" s="48"/>
      <c r="H1117" s="48"/>
      <c r="I1117" s="48"/>
      <c r="J1117" s="48"/>
      <c r="K1117" s="48"/>
      <c r="L1117" s="48"/>
      <c r="M1117" s="48"/>
    </row>
    <row r="1118" spans="1:13">
      <c r="A1118" s="48"/>
      <c r="B1118" s="49"/>
      <c r="C1118" s="48"/>
      <c r="D1118" s="48"/>
      <c r="E1118" s="48"/>
      <c r="F1118" s="48"/>
      <c r="G1118" s="48"/>
      <c r="H1118" s="48"/>
      <c r="I1118" s="48"/>
      <c r="J1118" s="48"/>
      <c r="K1118" s="48"/>
      <c r="L1118" s="48"/>
      <c r="M1118" s="48"/>
    </row>
    <row r="1119" spans="1:13">
      <c r="A1119" s="48"/>
      <c r="B1119" s="49"/>
      <c r="C1119" s="48"/>
      <c r="D1119" s="48"/>
      <c r="E1119" s="48"/>
      <c r="F1119" s="48"/>
      <c r="G1119" s="48"/>
      <c r="H1119" s="48"/>
      <c r="I1119" s="48"/>
      <c r="J1119" s="48"/>
      <c r="K1119" s="48"/>
      <c r="L1119" s="48"/>
      <c r="M1119" s="48"/>
    </row>
    <row r="1120" spans="1:13">
      <c r="A1120" s="48"/>
      <c r="B1120" s="49"/>
      <c r="C1120" s="48"/>
      <c r="D1120" s="48"/>
      <c r="E1120" s="48"/>
      <c r="F1120" s="48"/>
      <c r="G1120" s="48"/>
      <c r="H1120" s="48"/>
      <c r="I1120" s="48"/>
      <c r="J1120" s="48"/>
      <c r="K1120" s="48"/>
      <c r="L1120" s="48"/>
      <c r="M1120" s="48"/>
    </row>
    <row r="1121" spans="1:13">
      <c r="A1121" s="48"/>
      <c r="B1121" s="49"/>
      <c r="C1121" s="48"/>
      <c r="D1121" s="48"/>
      <c r="E1121" s="48"/>
      <c r="F1121" s="48"/>
      <c r="G1121" s="48"/>
      <c r="H1121" s="48"/>
      <c r="I1121" s="48"/>
      <c r="J1121" s="48"/>
      <c r="K1121" s="48"/>
      <c r="L1121" s="48"/>
      <c r="M1121" s="48"/>
    </row>
    <row r="1122" spans="1:13">
      <c r="A1122" s="48"/>
      <c r="B1122" s="49"/>
      <c r="C1122" s="48"/>
      <c r="D1122" s="48"/>
      <c r="E1122" s="48"/>
      <c r="F1122" s="48"/>
      <c r="G1122" s="48"/>
      <c r="H1122" s="48"/>
      <c r="I1122" s="48"/>
      <c r="J1122" s="48"/>
      <c r="K1122" s="48"/>
      <c r="L1122" s="48"/>
      <c r="M1122" s="48"/>
    </row>
    <row r="1123" spans="1:13">
      <c r="A1123" s="48"/>
      <c r="B1123" s="49"/>
      <c r="C1123" s="48"/>
      <c r="D1123" s="48"/>
      <c r="E1123" s="48"/>
      <c r="F1123" s="48"/>
      <c r="G1123" s="48"/>
      <c r="H1123" s="48"/>
      <c r="I1123" s="48"/>
      <c r="J1123" s="48"/>
      <c r="K1123" s="48"/>
      <c r="L1123" s="48"/>
      <c r="M1123" s="48"/>
    </row>
    <row r="1124" spans="1:13">
      <c r="A1124" s="48"/>
      <c r="B1124" s="49"/>
      <c r="C1124" s="48"/>
      <c r="D1124" s="48"/>
      <c r="E1124" s="48"/>
      <c r="F1124" s="48"/>
      <c r="G1124" s="48"/>
      <c r="H1124" s="48"/>
      <c r="I1124" s="48"/>
      <c r="J1124" s="48"/>
      <c r="K1124" s="48"/>
      <c r="L1124" s="48"/>
      <c r="M1124" s="48"/>
    </row>
    <row r="1125" spans="1:13">
      <c r="A1125" s="48"/>
      <c r="B1125" s="49"/>
      <c r="C1125" s="48"/>
      <c r="D1125" s="48"/>
      <c r="E1125" s="48"/>
      <c r="F1125" s="48"/>
      <c r="G1125" s="48"/>
      <c r="H1125" s="48"/>
      <c r="I1125" s="48"/>
      <c r="J1125" s="48"/>
      <c r="K1125" s="48"/>
      <c r="L1125" s="48"/>
      <c r="M1125" s="48"/>
    </row>
    <row r="1126" spans="1:13">
      <c r="A1126" s="48"/>
      <c r="B1126" s="49"/>
      <c r="C1126" s="48"/>
      <c r="D1126" s="48"/>
      <c r="E1126" s="48"/>
      <c r="F1126" s="48"/>
      <c r="G1126" s="48"/>
      <c r="H1126" s="48"/>
      <c r="I1126" s="48"/>
      <c r="J1126" s="48"/>
      <c r="K1126" s="48"/>
      <c r="L1126" s="48"/>
      <c r="M1126" s="48"/>
    </row>
    <row r="1127" spans="1:13">
      <c r="A1127" s="48"/>
      <c r="B1127" s="49"/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</row>
    <row r="1128" spans="1:13">
      <c r="A1128" s="48"/>
      <c r="B1128" s="49"/>
      <c r="C1128" s="48"/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</row>
    <row r="1129" spans="1:13">
      <c r="A1129" s="48"/>
      <c r="B1129" s="49"/>
      <c r="C1129" s="48"/>
      <c r="D1129" s="48"/>
      <c r="E1129" s="48"/>
      <c r="F1129" s="48"/>
      <c r="G1129" s="48"/>
      <c r="H1129" s="48"/>
      <c r="I1129" s="48"/>
      <c r="J1129" s="48"/>
      <c r="K1129" s="48"/>
      <c r="L1129" s="48"/>
      <c r="M1129" s="48"/>
    </row>
    <row r="1130" spans="1:13">
      <c r="A1130" s="48"/>
      <c r="B1130" s="49"/>
      <c r="C1130" s="48"/>
      <c r="D1130" s="48"/>
      <c r="E1130" s="48"/>
      <c r="F1130" s="48"/>
      <c r="G1130" s="48"/>
      <c r="H1130" s="48"/>
      <c r="I1130" s="48"/>
      <c r="J1130" s="48"/>
      <c r="K1130" s="48"/>
      <c r="L1130" s="48"/>
      <c r="M1130" s="48"/>
    </row>
    <row r="1131" spans="1:13">
      <c r="A1131" s="48"/>
      <c r="B1131" s="49"/>
      <c r="C1131" s="48"/>
      <c r="D1131" s="48"/>
      <c r="E1131" s="48"/>
      <c r="F1131" s="48"/>
      <c r="G1131" s="48"/>
      <c r="H1131" s="48"/>
      <c r="I1131" s="48"/>
      <c r="J1131" s="48"/>
      <c r="K1131" s="48"/>
      <c r="L1131" s="48"/>
      <c r="M1131" s="48"/>
    </row>
    <row r="1132" spans="1:13">
      <c r="A1132" s="48"/>
      <c r="B1132" s="49"/>
      <c r="C1132" s="48"/>
      <c r="D1132" s="48"/>
      <c r="E1132" s="48"/>
      <c r="F1132" s="48"/>
      <c r="G1132" s="48"/>
      <c r="H1132" s="48"/>
      <c r="I1132" s="48"/>
      <c r="J1132" s="48"/>
      <c r="K1132" s="48"/>
      <c r="L1132" s="48"/>
      <c r="M1132" s="48"/>
    </row>
    <row r="1133" spans="1:13">
      <c r="A1133" s="48"/>
      <c r="B1133" s="49"/>
      <c r="C1133" s="48"/>
      <c r="D1133" s="48"/>
      <c r="E1133" s="48"/>
      <c r="F1133" s="48"/>
      <c r="G1133" s="48"/>
      <c r="H1133" s="48"/>
      <c r="I1133" s="48"/>
      <c r="J1133" s="48"/>
      <c r="K1133" s="48"/>
      <c r="L1133" s="48"/>
      <c r="M1133" s="48"/>
    </row>
    <row r="1134" spans="1:13">
      <c r="A1134" s="48"/>
      <c r="B1134" s="49"/>
      <c r="C1134" s="48"/>
      <c r="D1134" s="48"/>
      <c r="E1134" s="48"/>
      <c r="F1134" s="48"/>
      <c r="G1134" s="48"/>
      <c r="H1134" s="48"/>
      <c r="I1134" s="48"/>
      <c r="J1134" s="48"/>
      <c r="K1134" s="48"/>
      <c r="L1134" s="48"/>
      <c r="M1134" s="48"/>
    </row>
    <row r="1135" spans="1:13">
      <c r="A1135" s="48"/>
      <c r="B1135" s="49"/>
      <c r="C1135" s="48"/>
      <c r="D1135" s="48"/>
      <c r="E1135" s="48"/>
      <c r="F1135" s="48"/>
      <c r="G1135" s="48"/>
      <c r="H1135" s="48"/>
      <c r="I1135" s="48"/>
      <c r="J1135" s="48"/>
      <c r="K1135" s="48"/>
      <c r="L1135" s="48"/>
      <c r="M1135" s="48"/>
    </row>
    <row r="1136" spans="1:13">
      <c r="A1136" s="48"/>
      <c r="B1136" s="49"/>
      <c r="C1136" s="48"/>
      <c r="D1136" s="48"/>
      <c r="E1136" s="48"/>
      <c r="F1136" s="48"/>
      <c r="G1136" s="48"/>
      <c r="H1136" s="48"/>
      <c r="I1136" s="48"/>
      <c r="J1136" s="48"/>
      <c r="K1136" s="48"/>
      <c r="L1136" s="48"/>
      <c r="M1136" s="48"/>
    </row>
    <row r="1137" spans="1:13">
      <c r="A1137" s="48"/>
      <c r="B1137" s="49"/>
      <c r="C1137" s="48"/>
      <c r="D1137" s="48"/>
      <c r="E1137" s="48"/>
      <c r="F1137" s="48"/>
      <c r="G1137" s="48"/>
      <c r="H1137" s="48"/>
      <c r="I1137" s="48"/>
      <c r="J1137" s="48"/>
      <c r="K1137" s="48"/>
      <c r="L1137" s="48"/>
      <c r="M1137" s="48"/>
    </row>
    <row r="1138" spans="1:13">
      <c r="A1138" s="48"/>
      <c r="B1138" s="49"/>
      <c r="C1138" s="48"/>
      <c r="D1138" s="48"/>
      <c r="E1138" s="48"/>
      <c r="F1138" s="48"/>
      <c r="G1138" s="48"/>
      <c r="H1138" s="48"/>
      <c r="I1138" s="48"/>
      <c r="J1138" s="48"/>
      <c r="K1138" s="48"/>
      <c r="L1138" s="48"/>
      <c r="M1138" s="48"/>
    </row>
    <row r="1139" spans="1:13">
      <c r="A1139" s="48"/>
      <c r="B1139" s="49"/>
      <c r="C1139" s="48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</row>
    <row r="1140" spans="1:13">
      <c r="A1140" s="48"/>
      <c r="B1140" s="49"/>
      <c r="C1140" s="48"/>
      <c r="D1140" s="48"/>
      <c r="E1140" s="48"/>
      <c r="F1140" s="48"/>
      <c r="G1140" s="48"/>
      <c r="H1140" s="48"/>
      <c r="I1140" s="48"/>
      <c r="J1140" s="48"/>
      <c r="K1140" s="48"/>
      <c r="L1140" s="48"/>
      <c r="M1140" s="48"/>
    </row>
    <row r="1141" spans="1:13">
      <c r="A1141" s="48"/>
      <c r="B1141" s="49"/>
      <c r="C1141" s="48"/>
      <c r="D1141" s="48"/>
      <c r="E1141" s="48"/>
      <c r="F1141" s="48"/>
      <c r="G1141" s="48"/>
      <c r="H1141" s="48"/>
      <c r="I1141" s="48"/>
      <c r="J1141" s="48"/>
      <c r="K1141" s="48"/>
      <c r="L1141" s="48"/>
      <c r="M1141" s="48"/>
    </row>
    <row r="1142" spans="1:13">
      <c r="A1142" s="48"/>
      <c r="B1142" s="49"/>
      <c r="C1142" s="48"/>
      <c r="D1142" s="48"/>
      <c r="E1142" s="48"/>
      <c r="F1142" s="48"/>
      <c r="G1142" s="48"/>
      <c r="H1142" s="48"/>
      <c r="I1142" s="48"/>
      <c r="J1142" s="48"/>
      <c r="K1142" s="48"/>
      <c r="L1142" s="48"/>
      <c r="M1142" s="48"/>
    </row>
    <row r="1143" spans="1:13">
      <c r="A1143" s="48"/>
      <c r="B1143" s="49"/>
      <c r="C1143" s="48"/>
      <c r="D1143" s="48"/>
      <c r="E1143" s="48"/>
      <c r="F1143" s="48"/>
      <c r="G1143" s="48"/>
      <c r="H1143" s="48"/>
      <c r="I1143" s="48"/>
      <c r="J1143" s="48"/>
      <c r="K1143" s="48"/>
      <c r="L1143" s="48"/>
      <c r="M1143" s="48"/>
    </row>
    <row r="1144" spans="1:13">
      <c r="A1144" s="48"/>
      <c r="B1144" s="49"/>
      <c r="C1144" s="48"/>
      <c r="D1144" s="48"/>
      <c r="E1144" s="48"/>
      <c r="F1144" s="48"/>
      <c r="G1144" s="48"/>
      <c r="H1144" s="48"/>
      <c r="I1144" s="48"/>
      <c r="J1144" s="48"/>
      <c r="K1144" s="48"/>
      <c r="L1144" s="48"/>
      <c r="M1144" s="48"/>
    </row>
    <row r="1145" spans="1:13">
      <c r="A1145" s="48"/>
      <c r="B1145" s="49"/>
      <c r="C1145" s="48"/>
      <c r="D1145" s="48"/>
      <c r="E1145" s="48"/>
      <c r="F1145" s="48"/>
      <c r="G1145" s="48"/>
      <c r="H1145" s="48"/>
      <c r="I1145" s="48"/>
      <c r="J1145" s="48"/>
      <c r="K1145" s="48"/>
      <c r="L1145" s="48"/>
      <c r="M1145" s="48"/>
    </row>
    <row r="1146" spans="1:13">
      <c r="A1146" s="48"/>
      <c r="B1146" s="49"/>
      <c r="C1146" s="48"/>
      <c r="D1146" s="48"/>
      <c r="E1146" s="48"/>
      <c r="F1146" s="48"/>
      <c r="G1146" s="48"/>
      <c r="H1146" s="48"/>
      <c r="I1146" s="48"/>
      <c r="J1146" s="48"/>
      <c r="K1146" s="48"/>
      <c r="L1146" s="48"/>
      <c r="M1146" s="48"/>
    </row>
    <row r="1147" spans="1:13">
      <c r="A1147" s="48"/>
      <c r="B1147" s="49"/>
      <c r="C1147" s="48"/>
      <c r="D1147" s="48"/>
      <c r="E1147" s="48"/>
      <c r="F1147" s="48"/>
      <c r="G1147" s="48"/>
      <c r="H1147" s="48"/>
      <c r="I1147" s="48"/>
      <c r="J1147" s="48"/>
      <c r="K1147" s="48"/>
      <c r="L1147" s="48"/>
      <c r="M1147" s="48"/>
    </row>
    <row r="1148" spans="1:13">
      <c r="A1148" s="48"/>
      <c r="B1148" s="49"/>
      <c r="C1148" s="48"/>
      <c r="D1148" s="48"/>
      <c r="E1148" s="48"/>
      <c r="F1148" s="48"/>
      <c r="G1148" s="48"/>
      <c r="H1148" s="48"/>
      <c r="I1148" s="48"/>
      <c r="J1148" s="48"/>
      <c r="K1148" s="48"/>
      <c r="L1148" s="48"/>
      <c r="M1148" s="48"/>
    </row>
    <row r="1149" spans="1:13">
      <c r="A1149" s="48"/>
      <c r="B1149" s="49"/>
      <c r="C1149" s="48"/>
      <c r="D1149" s="48"/>
      <c r="E1149" s="48"/>
      <c r="F1149" s="48"/>
      <c r="G1149" s="48"/>
      <c r="H1149" s="48"/>
      <c r="I1149" s="48"/>
      <c r="J1149" s="48"/>
      <c r="K1149" s="48"/>
      <c r="L1149" s="48"/>
      <c r="M1149" s="48"/>
    </row>
    <row r="1150" spans="1:13">
      <c r="A1150" s="48"/>
      <c r="B1150" s="49"/>
      <c r="C1150" s="48"/>
      <c r="D1150" s="48"/>
      <c r="E1150" s="48"/>
      <c r="F1150" s="48"/>
      <c r="G1150" s="48"/>
      <c r="H1150" s="48"/>
      <c r="I1150" s="48"/>
      <c r="J1150" s="48"/>
      <c r="K1150" s="48"/>
      <c r="L1150" s="48"/>
      <c r="M1150" s="48"/>
    </row>
    <row r="1151" spans="1:13">
      <c r="A1151" s="48"/>
      <c r="B1151" s="49"/>
      <c r="C1151" s="48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</row>
    <row r="1152" spans="1:13">
      <c r="A1152" s="48"/>
      <c r="B1152" s="49"/>
      <c r="C1152" s="48"/>
      <c r="D1152" s="48"/>
      <c r="E1152" s="48"/>
      <c r="F1152" s="48"/>
      <c r="G1152" s="48"/>
      <c r="H1152" s="48"/>
      <c r="I1152" s="48"/>
      <c r="J1152" s="48"/>
      <c r="K1152" s="48"/>
      <c r="L1152" s="48"/>
      <c r="M1152" s="48"/>
    </row>
    <row r="1153" spans="1:13">
      <c r="A1153" s="48"/>
      <c r="B1153" s="49"/>
      <c r="C1153" s="48"/>
      <c r="D1153" s="48"/>
      <c r="E1153" s="48"/>
      <c r="F1153" s="48"/>
      <c r="G1153" s="48"/>
      <c r="H1153" s="48"/>
      <c r="I1153" s="48"/>
      <c r="J1153" s="48"/>
      <c r="K1153" s="48"/>
      <c r="L1153" s="48"/>
      <c r="M1153" s="48"/>
    </row>
    <row r="1154" spans="1:13">
      <c r="A1154" s="48"/>
      <c r="B1154" s="49"/>
      <c r="C1154" s="48"/>
      <c r="D1154" s="48"/>
      <c r="E1154" s="48"/>
      <c r="F1154" s="48"/>
      <c r="G1154" s="48"/>
      <c r="H1154" s="48"/>
      <c r="I1154" s="48"/>
      <c r="J1154" s="48"/>
      <c r="K1154" s="48"/>
      <c r="L1154" s="48"/>
      <c r="M1154" s="48"/>
    </row>
    <row r="1155" spans="1:13">
      <c r="A1155" s="48"/>
      <c r="B1155" s="49"/>
      <c r="C1155" s="48"/>
      <c r="D1155" s="48"/>
      <c r="E1155" s="48"/>
      <c r="F1155" s="48"/>
      <c r="G1155" s="48"/>
      <c r="H1155" s="48"/>
      <c r="I1155" s="48"/>
      <c r="J1155" s="48"/>
      <c r="K1155" s="48"/>
      <c r="L1155" s="48"/>
      <c r="M1155" s="48"/>
    </row>
    <row r="1156" spans="1:13">
      <c r="A1156" s="48"/>
      <c r="B1156" s="49"/>
      <c r="C1156" s="48"/>
      <c r="D1156" s="48"/>
      <c r="E1156" s="48"/>
      <c r="F1156" s="48"/>
      <c r="G1156" s="48"/>
      <c r="H1156" s="48"/>
      <c r="I1156" s="48"/>
      <c r="J1156" s="48"/>
      <c r="K1156" s="48"/>
      <c r="L1156" s="48"/>
      <c r="M1156" s="48"/>
    </row>
    <row r="1157" spans="1:13">
      <c r="A1157" s="48"/>
      <c r="B1157" s="49"/>
      <c r="C1157" s="48"/>
      <c r="D1157" s="48"/>
      <c r="E1157" s="48"/>
      <c r="F1157" s="48"/>
      <c r="G1157" s="48"/>
      <c r="H1157" s="48"/>
      <c r="I1157" s="48"/>
      <c r="J1157" s="48"/>
      <c r="K1157" s="48"/>
      <c r="L1157" s="48"/>
      <c r="M1157" s="48"/>
    </row>
    <row r="1158" spans="1:13">
      <c r="A1158" s="48"/>
      <c r="B1158" s="49"/>
      <c r="C1158" s="48"/>
      <c r="D1158" s="48"/>
      <c r="E1158" s="48"/>
      <c r="F1158" s="48"/>
      <c r="G1158" s="48"/>
      <c r="H1158" s="48"/>
      <c r="I1158" s="48"/>
      <c r="J1158" s="48"/>
      <c r="K1158" s="48"/>
      <c r="L1158" s="48"/>
      <c r="M1158" s="48"/>
    </row>
    <row r="1159" spans="1:13">
      <c r="A1159" s="48"/>
      <c r="B1159" s="49"/>
      <c r="C1159" s="48"/>
      <c r="D1159" s="48"/>
      <c r="E1159" s="48"/>
      <c r="F1159" s="48"/>
      <c r="G1159" s="48"/>
      <c r="H1159" s="48"/>
      <c r="I1159" s="48"/>
      <c r="J1159" s="48"/>
      <c r="K1159" s="48"/>
      <c r="L1159" s="48"/>
      <c r="M1159" s="48"/>
    </row>
    <row r="1160" spans="1:13">
      <c r="A1160" s="48"/>
      <c r="B1160" s="49"/>
      <c r="C1160" s="48"/>
      <c r="D1160" s="48"/>
      <c r="E1160" s="48"/>
      <c r="F1160" s="48"/>
      <c r="G1160" s="48"/>
      <c r="H1160" s="48"/>
      <c r="I1160" s="48"/>
      <c r="J1160" s="48"/>
      <c r="K1160" s="48"/>
      <c r="L1160" s="48"/>
      <c r="M1160" s="48"/>
    </row>
    <row r="1161" spans="1:13">
      <c r="A1161" s="48"/>
      <c r="B1161" s="49"/>
      <c r="C1161" s="48"/>
      <c r="D1161" s="48"/>
      <c r="E1161" s="48"/>
      <c r="F1161" s="48"/>
      <c r="G1161" s="48"/>
      <c r="H1161" s="48"/>
      <c r="I1161" s="48"/>
      <c r="J1161" s="48"/>
      <c r="K1161" s="48"/>
      <c r="L1161" s="48"/>
      <c r="M1161" s="48"/>
    </row>
    <row r="1162" spans="1:13">
      <c r="A1162" s="48"/>
      <c r="B1162" s="49"/>
      <c r="C1162" s="48"/>
      <c r="D1162" s="48"/>
      <c r="E1162" s="48"/>
      <c r="F1162" s="48"/>
      <c r="G1162" s="48"/>
      <c r="H1162" s="48"/>
      <c r="I1162" s="48"/>
      <c r="J1162" s="48"/>
      <c r="K1162" s="48"/>
      <c r="L1162" s="48"/>
      <c r="M1162" s="48"/>
    </row>
    <row r="1163" spans="1:13">
      <c r="A1163" s="48"/>
      <c r="B1163" s="49"/>
      <c r="C1163" s="48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</row>
    <row r="1164" spans="1:13">
      <c r="A1164" s="48"/>
      <c r="B1164" s="49"/>
      <c r="C1164" s="48"/>
      <c r="D1164" s="48"/>
      <c r="E1164" s="48"/>
      <c r="F1164" s="48"/>
      <c r="G1164" s="48"/>
      <c r="H1164" s="48"/>
      <c r="I1164" s="48"/>
      <c r="J1164" s="48"/>
      <c r="K1164" s="48"/>
      <c r="L1164" s="48"/>
      <c r="M1164" s="48"/>
    </row>
    <row r="1165" spans="1:13">
      <c r="A1165" s="48"/>
      <c r="B1165" s="49"/>
      <c r="C1165" s="48"/>
      <c r="D1165" s="48"/>
      <c r="E1165" s="48"/>
      <c r="F1165" s="48"/>
      <c r="G1165" s="48"/>
      <c r="H1165" s="48"/>
      <c r="I1165" s="48"/>
      <c r="J1165" s="48"/>
      <c r="K1165" s="48"/>
      <c r="L1165" s="48"/>
      <c r="M1165" s="48"/>
    </row>
    <row r="1166" spans="1:13">
      <c r="A1166" s="48"/>
      <c r="B1166" s="49"/>
      <c r="C1166" s="48"/>
      <c r="D1166" s="48"/>
      <c r="E1166" s="48"/>
      <c r="F1166" s="48"/>
      <c r="G1166" s="48"/>
      <c r="H1166" s="48"/>
      <c r="I1166" s="48"/>
      <c r="J1166" s="48"/>
      <c r="K1166" s="48"/>
      <c r="L1166" s="48"/>
      <c r="M1166" s="48"/>
    </row>
    <row r="1167" spans="1:13">
      <c r="A1167" s="48"/>
      <c r="B1167" s="49"/>
      <c r="C1167" s="48"/>
      <c r="D1167" s="48"/>
      <c r="E1167" s="48"/>
      <c r="F1167" s="48"/>
      <c r="G1167" s="48"/>
      <c r="H1167" s="48"/>
      <c r="I1167" s="48"/>
      <c r="J1167" s="48"/>
      <c r="K1167" s="48"/>
      <c r="L1167" s="48"/>
      <c r="M1167" s="48"/>
    </row>
    <row r="1168" spans="1:13">
      <c r="A1168" s="48"/>
      <c r="B1168" s="49"/>
      <c r="C1168" s="48"/>
      <c r="D1168" s="48"/>
      <c r="E1168" s="48"/>
      <c r="F1168" s="48"/>
      <c r="G1168" s="48"/>
      <c r="H1168" s="48"/>
      <c r="I1168" s="48"/>
      <c r="J1168" s="48"/>
      <c r="K1168" s="48"/>
      <c r="L1168" s="48"/>
      <c r="M1168" s="48"/>
    </row>
    <row r="1169" spans="1:13">
      <c r="A1169" s="48"/>
      <c r="B1169" s="49"/>
      <c r="C1169" s="48"/>
      <c r="D1169" s="48"/>
      <c r="E1169" s="48"/>
      <c r="F1169" s="48"/>
      <c r="G1169" s="48"/>
      <c r="H1169" s="48"/>
      <c r="I1169" s="48"/>
      <c r="J1169" s="48"/>
      <c r="K1169" s="48"/>
      <c r="L1169" s="48"/>
      <c r="M1169" s="48"/>
    </row>
    <row r="1170" spans="1:13">
      <c r="A1170" s="48"/>
      <c r="B1170" s="49"/>
      <c r="C1170" s="48"/>
      <c r="D1170" s="48"/>
      <c r="E1170" s="48"/>
      <c r="F1170" s="48"/>
      <c r="G1170" s="48"/>
      <c r="H1170" s="48"/>
      <c r="I1170" s="48"/>
      <c r="J1170" s="48"/>
      <c r="K1170" s="48"/>
      <c r="L1170" s="48"/>
      <c r="M1170" s="48"/>
    </row>
    <row r="1171" spans="1:13">
      <c r="A1171" s="48"/>
      <c r="B1171" s="49"/>
      <c r="C1171" s="48"/>
      <c r="D1171" s="48"/>
      <c r="E1171" s="48"/>
      <c r="F1171" s="48"/>
      <c r="G1171" s="48"/>
      <c r="H1171" s="48"/>
      <c r="I1171" s="48"/>
      <c r="J1171" s="48"/>
      <c r="K1171" s="48"/>
      <c r="L1171" s="48"/>
      <c r="M1171" s="48"/>
    </row>
    <row r="1172" spans="1:13">
      <c r="A1172" s="48"/>
      <c r="B1172" s="49"/>
      <c r="C1172" s="48"/>
      <c r="D1172" s="48"/>
      <c r="E1172" s="48"/>
      <c r="F1172" s="48"/>
      <c r="G1172" s="48"/>
      <c r="H1172" s="48"/>
      <c r="I1172" s="48"/>
      <c r="J1172" s="48"/>
      <c r="K1172" s="48"/>
      <c r="L1172" s="48"/>
      <c r="M1172" s="48"/>
    </row>
    <row r="1173" spans="1:13">
      <c r="A1173" s="48"/>
      <c r="B1173" s="49"/>
      <c r="C1173" s="48"/>
      <c r="D1173" s="48"/>
      <c r="E1173" s="48"/>
      <c r="F1173" s="48"/>
      <c r="G1173" s="48"/>
      <c r="H1173" s="48"/>
      <c r="I1173" s="48"/>
      <c r="J1173" s="48"/>
      <c r="K1173" s="48"/>
      <c r="L1173" s="48"/>
      <c r="M1173" s="48"/>
    </row>
    <row r="1174" spans="1:13">
      <c r="A1174" s="48"/>
      <c r="B1174" s="49"/>
      <c r="C1174" s="48"/>
      <c r="D1174" s="48"/>
      <c r="E1174" s="48"/>
      <c r="F1174" s="48"/>
      <c r="G1174" s="48"/>
      <c r="H1174" s="48"/>
      <c r="I1174" s="48"/>
      <c r="J1174" s="48"/>
      <c r="K1174" s="48"/>
      <c r="L1174" s="48"/>
      <c r="M1174" s="48"/>
    </row>
    <row r="1175" spans="1:13">
      <c r="A1175" s="48"/>
      <c r="B1175" s="49"/>
      <c r="C1175" s="48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</row>
    <row r="1176" spans="1:13">
      <c r="A1176" s="48"/>
      <c r="B1176" s="49"/>
      <c r="C1176" s="48"/>
      <c r="D1176" s="48"/>
      <c r="E1176" s="48"/>
      <c r="F1176" s="48"/>
      <c r="G1176" s="48"/>
      <c r="H1176" s="48"/>
      <c r="I1176" s="48"/>
      <c r="J1176" s="48"/>
      <c r="K1176" s="48"/>
      <c r="L1176" s="48"/>
      <c r="M1176" s="48"/>
    </row>
    <row r="1177" spans="1:13">
      <c r="A1177" s="48"/>
      <c r="B1177" s="49"/>
      <c r="C1177" s="48"/>
      <c r="D1177" s="48"/>
      <c r="E1177" s="48"/>
      <c r="F1177" s="48"/>
      <c r="G1177" s="48"/>
      <c r="H1177" s="48"/>
      <c r="I1177" s="48"/>
      <c r="J1177" s="48"/>
      <c r="K1177" s="48"/>
      <c r="L1177" s="48"/>
      <c r="M1177" s="48"/>
    </row>
    <row r="1178" spans="1:13">
      <c r="A1178" s="48"/>
      <c r="B1178" s="49"/>
      <c r="C1178" s="48"/>
      <c r="D1178" s="48"/>
      <c r="E1178" s="48"/>
      <c r="F1178" s="48"/>
      <c r="G1178" s="48"/>
      <c r="H1178" s="48"/>
      <c r="I1178" s="48"/>
      <c r="J1178" s="48"/>
      <c r="K1178" s="48"/>
      <c r="L1178" s="48"/>
      <c r="M1178" s="48"/>
    </row>
    <row r="1179" spans="1:13">
      <c r="A1179" s="48"/>
      <c r="B1179" s="49"/>
      <c r="C1179" s="48"/>
      <c r="D1179" s="48"/>
      <c r="E1179" s="48"/>
      <c r="F1179" s="48"/>
      <c r="G1179" s="48"/>
      <c r="H1179" s="48"/>
      <c r="I1179" s="48"/>
      <c r="J1179" s="48"/>
      <c r="K1179" s="48"/>
      <c r="L1179" s="48"/>
      <c r="M1179" s="48"/>
    </row>
    <row r="1180" spans="1:13">
      <c r="A1180" s="48"/>
      <c r="B1180" s="49"/>
      <c r="C1180" s="48"/>
      <c r="D1180" s="48"/>
      <c r="E1180" s="48"/>
      <c r="F1180" s="48"/>
      <c r="G1180" s="48"/>
      <c r="H1180" s="48"/>
      <c r="I1180" s="48"/>
      <c r="J1180" s="48"/>
      <c r="K1180" s="48"/>
      <c r="L1180" s="48"/>
      <c r="M1180" s="48"/>
    </row>
    <row r="1181" spans="1:13">
      <c r="A1181" s="48"/>
      <c r="B1181" s="49"/>
      <c r="C1181" s="48"/>
      <c r="D1181" s="48"/>
      <c r="E1181" s="48"/>
      <c r="F1181" s="48"/>
      <c r="G1181" s="48"/>
      <c r="H1181" s="48"/>
      <c r="I1181" s="48"/>
      <c r="J1181" s="48"/>
      <c r="K1181" s="48"/>
      <c r="L1181" s="48"/>
      <c r="M1181" s="48"/>
    </row>
    <row r="1182" spans="1:13">
      <c r="A1182" s="48"/>
      <c r="B1182" s="49"/>
      <c r="C1182" s="48"/>
      <c r="D1182" s="48"/>
      <c r="E1182" s="48"/>
      <c r="F1182" s="48"/>
      <c r="G1182" s="48"/>
      <c r="H1182" s="48"/>
      <c r="I1182" s="48"/>
      <c r="J1182" s="48"/>
      <c r="K1182" s="48"/>
      <c r="L1182" s="48"/>
      <c r="M1182" s="48"/>
    </row>
    <row r="1183" spans="1:13">
      <c r="A1183" s="48"/>
      <c r="B1183" s="49"/>
      <c r="C1183" s="48"/>
      <c r="D1183" s="48"/>
      <c r="E1183" s="48"/>
      <c r="F1183" s="48"/>
      <c r="G1183" s="48"/>
      <c r="H1183" s="48"/>
      <c r="I1183" s="48"/>
      <c r="J1183" s="48"/>
      <c r="K1183" s="48"/>
      <c r="L1183" s="48"/>
      <c r="M1183" s="48"/>
    </row>
    <row r="1184" spans="1:13">
      <c r="A1184" s="48"/>
      <c r="B1184" s="49"/>
      <c r="C1184" s="48"/>
      <c r="D1184" s="48"/>
      <c r="E1184" s="48"/>
      <c r="F1184" s="48"/>
      <c r="G1184" s="48"/>
      <c r="H1184" s="48"/>
      <c r="I1184" s="48"/>
      <c r="J1184" s="48"/>
      <c r="K1184" s="48"/>
      <c r="L1184" s="48"/>
      <c r="M1184" s="48"/>
    </row>
    <row r="1185" spans="1:13">
      <c r="A1185" s="48"/>
      <c r="B1185" s="49"/>
      <c r="C1185" s="48"/>
      <c r="D1185" s="48"/>
      <c r="E1185" s="48"/>
      <c r="F1185" s="48"/>
      <c r="G1185" s="48"/>
      <c r="H1185" s="48"/>
      <c r="I1185" s="48"/>
      <c r="J1185" s="48"/>
      <c r="K1185" s="48"/>
      <c r="L1185" s="48"/>
      <c r="M1185" s="48"/>
    </row>
    <row r="1186" spans="1:13">
      <c r="A1186" s="48"/>
      <c r="B1186" s="49"/>
      <c r="C1186" s="48"/>
      <c r="D1186" s="48"/>
      <c r="E1186" s="48"/>
      <c r="F1186" s="48"/>
      <c r="G1186" s="48"/>
      <c r="H1186" s="48"/>
      <c r="I1186" s="48"/>
      <c r="J1186" s="48"/>
      <c r="K1186" s="48"/>
      <c r="L1186" s="48"/>
      <c r="M1186" s="48"/>
    </row>
    <row r="1187" spans="1:13">
      <c r="A1187" s="48"/>
      <c r="B1187" s="49"/>
      <c r="C1187" s="48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</row>
    <row r="1188" spans="1:13">
      <c r="A1188" s="48"/>
      <c r="B1188" s="49"/>
      <c r="C1188" s="48"/>
      <c r="D1188" s="48"/>
      <c r="E1188" s="48"/>
      <c r="F1188" s="48"/>
      <c r="G1188" s="48"/>
      <c r="H1188" s="48"/>
      <c r="I1188" s="48"/>
      <c r="J1188" s="48"/>
      <c r="K1188" s="48"/>
      <c r="L1188" s="48"/>
      <c r="M1188" s="48"/>
    </row>
    <row r="1189" spans="1:13">
      <c r="A1189" s="48"/>
      <c r="B1189" s="49"/>
      <c r="C1189" s="48"/>
      <c r="D1189" s="48"/>
      <c r="E1189" s="48"/>
      <c r="F1189" s="48"/>
      <c r="G1189" s="48"/>
      <c r="H1189" s="48"/>
      <c r="I1189" s="48"/>
      <c r="J1189" s="48"/>
      <c r="K1189" s="48"/>
      <c r="L1189" s="48"/>
      <c r="M1189" s="48"/>
    </row>
    <row r="1190" spans="1:13">
      <c r="A1190" s="48"/>
      <c r="B1190" s="49"/>
      <c r="C1190" s="48"/>
      <c r="D1190" s="48"/>
      <c r="E1190" s="48"/>
      <c r="F1190" s="48"/>
      <c r="G1190" s="48"/>
      <c r="H1190" s="48"/>
      <c r="I1190" s="48"/>
      <c r="J1190" s="48"/>
      <c r="K1190" s="48"/>
      <c r="L1190" s="48"/>
      <c r="M1190" s="48"/>
    </row>
    <row r="1191" spans="1:13">
      <c r="A1191" s="48"/>
      <c r="B1191" s="49"/>
      <c r="C1191" s="48"/>
      <c r="D1191" s="48"/>
      <c r="E1191" s="48"/>
      <c r="F1191" s="48"/>
      <c r="G1191" s="48"/>
      <c r="H1191" s="48"/>
      <c r="I1191" s="48"/>
      <c r="J1191" s="48"/>
      <c r="K1191" s="48"/>
      <c r="L1191" s="48"/>
      <c r="M1191" s="48"/>
    </row>
    <row r="1192" spans="1:13">
      <c r="A1192" s="48"/>
      <c r="B1192" s="49"/>
      <c r="C1192" s="48"/>
      <c r="D1192" s="48"/>
      <c r="E1192" s="48"/>
      <c r="F1192" s="48"/>
      <c r="G1192" s="48"/>
      <c r="H1192" s="48"/>
      <c r="I1192" s="48"/>
      <c r="J1192" s="48"/>
      <c r="K1192" s="48"/>
      <c r="L1192" s="48"/>
      <c r="M1192" s="48"/>
    </row>
    <row r="1193" spans="1:13">
      <c r="A1193" s="48"/>
      <c r="B1193" s="49"/>
      <c r="C1193" s="48"/>
      <c r="D1193" s="48"/>
      <c r="E1193" s="48"/>
      <c r="F1193" s="48"/>
      <c r="G1193" s="48"/>
      <c r="H1193" s="48"/>
      <c r="I1193" s="48"/>
      <c r="J1193" s="48"/>
      <c r="K1193" s="48"/>
      <c r="L1193" s="48"/>
      <c r="M1193" s="48"/>
    </row>
    <row r="1194" spans="1:13">
      <c r="A1194" s="48"/>
      <c r="B1194" s="49"/>
      <c r="C1194" s="48"/>
      <c r="D1194" s="48"/>
      <c r="E1194" s="48"/>
      <c r="F1194" s="48"/>
      <c r="G1194" s="48"/>
      <c r="H1194" s="48"/>
      <c r="I1194" s="48"/>
      <c r="J1194" s="48"/>
      <c r="K1194" s="48"/>
      <c r="L1194" s="48"/>
      <c r="M1194" s="48"/>
    </row>
    <row r="1195" spans="1:13">
      <c r="A1195" s="48"/>
      <c r="B1195" s="49"/>
      <c r="C1195" s="48"/>
      <c r="D1195" s="48"/>
      <c r="E1195" s="48"/>
      <c r="F1195" s="48"/>
      <c r="G1195" s="48"/>
      <c r="H1195" s="48"/>
      <c r="I1195" s="48"/>
      <c r="J1195" s="48"/>
      <c r="K1195" s="48"/>
      <c r="L1195" s="48"/>
      <c r="M1195" s="48"/>
    </row>
    <row r="1196" spans="1:13">
      <c r="A1196" s="48"/>
      <c r="B1196" s="49"/>
      <c r="C1196" s="48"/>
      <c r="D1196" s="48"/>
      <c r="E1196" s="48"/>
      <c r="F1196" s="48"/>
      <c r="G1196" s="48"/>
      <c r="H1196" s="48"/>
      <c r="I1196" s="48"/>
      <c r="J1196" s="48"/>
      <c r="K1196" s="48"/>
      <c r="L1196" s="48"/>
      <c r="M1196" s="48"/>
    </row>
    <row r="1197" spans="1:13">
      <c r="A1197" s="48"/>
      <c r="B1197" s="49"/>
      <c r="C1197" s="48"/>
      <c r="D1197" s="48"/>
      <c r="E1197" s="48"/>
      <c r="F1197" s="48"/>
      <c r="G1197" s="48"/>
      <c r="H1197" s="48"/>
      <c r="I1197" s="48"/>
      <c r="J1197" s="48"/>
      <c r="K1197" s="48"/>
      <c r="L1197" s="48"/>
      <c r="M1197" s="48"/>
    </row>
    <row r="1198" spans="1:13">
      <c r="A1198" s="48"/>
      <c r="B1198" s="49"/>
      <c r="C1198" s="48"/>
      <c r="D1198" s="48"/>
      <c r="E1198" s="48"/>
      <c r="F1198" s="48"/>
      <c r="G1198" s="48"/>
      <c r="H1198" s="48"/>
      <c r="I1198" s="48"/>
      <c r="J1198" s="48"/>
      <c r="K1198" s="48"/>
      <c r="L1198" s="48"/>
      <c r="M1198" s="48"/>
    </row>
    <row r="1199" spans="1:13">
      <c r="A1199" s="48"/>
      <c r="B1199" s="49"/>
      <c r="C1199" s="48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</row>
    <row r="1200" spans="1:13">
      <c r="A1200" s="48"/>
      <c r="B1200" s="49"/>
      <c r="C1200" s="48"/>
      <c r="D1200" s="48"/>
      <c r="E1200" s="48"/>
      <c r="F1200" s="48"/>
      <c r="G1200" s="48"/>
      <c r="H1200" s="48"/>
      <c r="I1200" s="48"/>
      <c r="J1200" s="48"/>
      <c r="K1200" s="48"/>
      <c r="L1200" s="48"/>
      <c r="M1200" s="48"/>
    </row>
    <row r="1201" spans="1:13">
      <c r="A1201" s="48"/>
      <c r="B1201" s="49"/>
      <c r="C1201" s="48"/>
      <c r="D1201" s="48"/>
      <c r="E1201" s="48"/>
      <c r="F1201" s="48"/>
      <c r="G1201" s="48"/>
      <c r="H1201" s="48"/>
      <c r="I1201" s="48"/>
      <c r="J1201" s="48"/>
      <c r="K1201" s="48"/>
      <c r="L1201" s="48"/>
      <c r="M1201" s="48"/>
    </row>
    <row r="1202" spans="1:13">
      <c r="A1202" s="48"/>
      <c r="B1202" s="49"/>
      <c r="C1202" s="48"/>
      <c r="D1202" s="48"/>
      <c r="E1202" s="48"/>
      <c r="F1202" s="48"/>
      <c r="G1202" s="48"/>
      <c r="H1202" s="48"/>
      <c r="I1202" s="48"/>
      <c r="J1202" s="48"/>
      <c r="K1202" s="48"/>
      <c r="L1202" s="48"/>
      <c r="M1202" s="48"/>
    </row>
    <row r="1203" spans="1:13">
      <c r="A1203" s="48"/>
      <c r="B1203" s="49"/>
      <c r="C1203" s="48"/>
      <c r="D1203" s="48"/>
      <c r="E1203" s="48"/>
      <c r="F1203" s="48"/>
      <c r="G1203" s="48"/>
      <c r="H1203" s="48"/>
      <c r="I1203" s="48"/>
      <c r="J1203" s="48"/>
      <c r="K1203" s="48"/>
      <c r="L1203" s="48"/>
      <c r="M1203" s="48"/>
    </row>
    <row r="1204" spans="1:13">
      <c r="A1204" s="48"/>
      <c r="B1204" s="49"/>
      <c r="C1204" s="48"/>
      <c r="D1204" s="48"/>
      <c r="E1204" s="48"/>
      <c r="F1204" s="48"/>
      <c r="G1204" s="48"/>
      <c r="H1204" s="48"/>
      <c r="I1204" s="48"/>
      <c r="J1204" s="48"/>
      <c r="K1204" s="48"/>
      <c r="L1204" s="48"/>
      <c r="M1204" s="48"/>
    </row>
    <row r="1205" spans="1:13">
      <c r="A1205" s="48"/>
      <c r="B1205" s="49"/>
      <c r="C1205" s="48"/>
      <c r="D1205" s="48"/>
      <c r="E1205" s="48"/>
      <c r="F1205" s="48"/>
      <c r="G1205" s="48"/>
      <c r="H1205" s="48"/>
      <c r="I1205" s="48"/>
      <c r="J1205" s="48"/>
      <c r="K1205" s="48"/>
      <c r="L1205" s="48"/>
      <c r="M1205" s="48"/>
    </row>
    <row r="1206" spans="1:13">
      <c r="A1206" s="48"/>
      <c r="B1206" s="49"/>
      <c r="C1206" s="48"/>
      <c r="D1206" s="48"/>
      <c r="E1206" s="48"/>
      <c r="F1206" s="48"/>
      <c r="G1206" s="48"/>
      <c r="H1206" s="48"/>
      <c r="I1206" s="48"/>
      <c r="J1206" s="48"/>
      <c r="K1206" s="48"/>
      <c r="L1206" s="48"/>
      <c r="M1206" s="48"/>
    </row>
    <row r="1207" spans="1:13">
      <c r="A1207" s="48"/>
      <c r="B1207" s="49"/>
      <c r="C1207" s="48"/>
      <c r="D1207" s="48"/>
      <c r="E1207" s="48"/>
      <c r="F1207" s="48"/>
      <c r="G1207" s="48"/>
      <c r="H1207" s="48"/>
      <c r="I1207" s="48"/>
      <c r="J1207" s="48"/>
      <c r="K1207" s="48"/>
      <c r="L1207" s="48"/>
      <c r="M1207" s="48"/>
    </row>
    <row r="1208" spans="1:13">
      <c r="A1208" s="48"/>
      <c r="B1208" s="49"/>
      <c r="C1208" s="48"/>
      <c r="D1208" s="48"/>
      <c r="E1208" s="48"/>
      <c r="F1208" s="48"/>
      <c r="G1208" s="48"/>
      <c r="H1208" s="48"/>
      <c r="I1208" s="48"/>
      <c r="J1208" s="48"/>
      <c r="K1208" s="48"/>
      <c r="L1208" s="48"/>
      <c r="M1208" s="48"/>
    </row>
    <row r="1209" spans="1:13">
      <c r="A1209" s="48"/>
      <c r="B1209" s="49"/>
      <c r="C1209" s="48"/>
      <c r="D1209" s="48"/>
      <c r="E1209" s="48"/>
      <c r="F1209" s="48"/>
      <c r="G1209" s="48"/>
      <c r="H1209" s="48"/>
      <c r="I1209" s="48"/>
      <c r="J1209" s="48"/>
      <c r="K1209" s="48"/>
      <c r="L1209" s="48"/>
      <c r="M1209" s="48"/>
    </row>
    <row r="1210" spans="1:13">
      <c r="A1210" s="48"/>
      <c r="B1210" s="49"/>
      <c r="C1210" s="48"/>
      <c r="D1210" s="48"/>
      <c r="E1210" s="48"/>
      <c r="F1210" s="48"/>
      <c r="G1210" s="48"/>
      <c r="H1210" s="48"/>
      <c r="I1210" s="48"/>
      <c r="J1210" s="48"/>
      <c r="K1210" s="48"/>
      <c r="L1210" s="48"/>
      <c r="M1210" s="48"/>
    </row>
    <row r="1211" spans="1:13">
      <c r="A1211" s="48"/>
      <c r="B1211" s="49"/>
      <c r="C1211" s="48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</row>
    <row r="1212" spans="1:13">
      <c r="A1212" s="48"/>
      <c r="B1212" s="49"/>
      <c r="C1212" s="48"/>
      <c r="D1212" s="48"/>
      <c r="E1212" s="48"/>
      <c r="F1212" s="48"/>
      <c r="G1212" s="48"/>
      <c r="H1212" s="48"/>
      <c r="I1212" s="48"/>
      <c r="J1212" s="48"/>
      <c r="K1212" s="48"/>
      <c r="L1212" s="48"/>
      <c r="M1212" s="48"/>
    </row>
    <row r="1213" spans="1:13">
      <c r="A1213" s="48"/>
      <c r="B1213" s="49"/>
      <c r="C1213" s="48"/>
      <c r="D1213" s="48"/>
      <c r="E1213" s="48"/>
      <c r="F1213" s="48"/>
      <c r="G1213" s="48"/>
      <c r="H1213" s="48"/>
      <c r="I1213" s="48"/>
      <c r="J1213" s="48"/>
      <c r="K1213" s="48"/>
      <c r="L1213" s="48"/>
      <c r="M1213" s="48"/>
    </row>
    <row r="1214" spans="1:13">
      <c r="A1214" s="48"/>
      <c r="B1214" s="49"/>
      <c r="C1214" s="48"/>
      <c r="D1214" s="48"/>
      <c r="E1214" s="48"/>
      <c r="F1214" s="48"/>
      <c r="G1214" s="48"/>
      <c r="H1214" s="48"/>
      <c r="I1214" s="48"/>
      <c r="J1214" s="48"/>
      <c r="K1214" s="48"/>
      <c r="L1214" s="48"/>
      <c r="M1214" s="48"/>
    </row>
    <row r="1215" spans="1:13">
      <c r="A1215" s="48"/>
      <c r="B1215" s="49"/>
      <c r="C1215" s="48"/>
      <c r="D1215" s="48"/>
      <c r="E1215" s="48"/>
      <c r="F1215" s="48"/>
      <c r="G1215" s="48"/>
      <c r="H1215" s="48"/>
      <c r="I1215" s="48"/>
      <c r="J1215" s="48"/>
      <c r="K1215" s="48"/>
      <c r="L1215" s="48"/>
      <c r="M1215" s="48"/>
    </row>
    <row r="1216" spans="1:13">
      <c r="A1216" s="48"/>
      <c r="B1216" s="49"/>
      <c r="C1216" s="48"/>
      <c r="D1216" s="48"/>
      <c r="E1216" s="48"/>
      <c r="F1216" s="48"/>
      <c r="G1216" s="48"/>
      <c r="H1216" s="48"/>
      <c r="I1216" s="48"/>
      <c r="J1216" s="48"/>
      <c r="K1216" s="48"/>
      <c r="L1216" s="48"/>
      <c r="M1216" s="48"/>
    </row>
    <row r="1217" spans="1:13">
      <c r="A1217" s="48"/>
      <c r="B1217" s="49"/>
      <c r="C1217" s="48"/>
      <c r="D1217" s="48"/>
      <c r="E1217" s="48"/>
      <c r="F1217" s="48"/>
      <c r="G1217" s="48"/>
      <c r="H1217" s="48"/>
      <c r="I1217" s="48"/>
      <c r="J1217" s="48"/>
      <c r="K1217" s="48"/>
      <c r="L1217" s="48"/>
      <c r="M1217" s="48"/>
    </row>
    <row r="1218" spans="1:13">
      <c r="A1218" s="48"/>
      <c r="B1218" s="49"/>
      <c r="C1218" s="48"/>
      <c r="D1218" s="48"/>
      <c r="E1218" s="48"/>
      <c r="F1218" s="48"/>
      <c r="G1218" s="48"/>
      <c r="H1218" s="48"/>
      <c r="I1218" s="48"/>
      <c r="J1218" s="48"/>
      <c r="K1218" s="48"/>
      <c r="L1218" s="48"/>
      <c r="M1218" s="48"/>
    </row>
    <row r="1219" spans="1:13">
      <c r="A1219" s="48"/>
      <c r="B1219" s="49"/>
      <c r="C1219" s="48"/>
      <c r="D1219" s="48"/>
      <c r="E1219" s="48"/>
      <c r="F1219" s="48"/>
      <c r="G1219" s="48"/>
      <c r="H1219" s="48"/>
      <c r="I1219" s="48"/>
      <c r="J1219" s="48"/>
      <c r="K1219" s="48"/>
      <c r="L1219" s="48"/>
      <c r="M1219" s="48"/>
    </row>
    <row r="1220" spans="1:13">
      <c r="A1220" s="48"/>
      <c r="B1220" s="49"/>
      <c r="C1220" s="48"/>
      <c r="D1220" s="48"/>
      <c r="E1220" s="48"/>
      <c r="F1220" s="48"/>
      <c r="G1220" s="48"/>
      <c r="H1220" s="48"/>
      <c r="I1220" s="48"/>
      <c r="J1220" s="48"/>
      <c r="K1220" s="48"/>
      <c r="L1220" s="48"/>
      <c r="M1220" s="48"/>
    </row>
    <row r="1221" spans="1:13">
      <c r="A1221" s="48"/>
      <c r="B1221" s="49"/>
      <c r="C1221" s="48"/>
      <c r="D1221" s="48"/>
      <c r="E1221" s="48"/>
      <c r="F1221" s="48"/>
      <c r="G1221" s="48"/>
      <c r="H1221" s="48"/>
      <c r="I1221" s="48"/>
      <c r="J1221" s="48"/>
      <c r="K1221" s="48"/>
      <c r="L1221" s="48"/>
      <c r="M1221" s="48"/>
    </row>
    <row r="1222" spans="1:13">
      <c r="A1222" s="48"/>
      <c r="B1222" s="49"/>
      <c r="C1222" s="48"/>
      <c r="D1222" s="48"/>
      <c r="E1222" s="48"/>
      <c r="F1222" s="48"/>
      <c r="G1222" s="48"/>
      <c r="H1222" s="48"/>
      <c r="I1222" s="48"/>
      <c r="J1222" s="48"/>
      <c r="K1222" s="48"/>
      <c r="L1222" s="48"/>
      <c r="M1222" s="48"/>
    </row>
    <row r="1223" spans="1:13">
      <c r="A1223" s="48"/>
      <c r="B1223" s="49"/>
      <c r="C1223" s="48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</row>
    <row r="1224" spans="1:13">
      <c r="A1224" s="48"/>
      <c r="B1224" s="49"/>
      <c r="C1224" s="48"/>
      <c r="D1224" s="48"/>
      <c r="E1224" s="48"/>
      <c r="F1224" s="48"/>
      <c r="G1224" s="48"/>
      <c r="H1224" s="48"/>
      <c r="I1224" s="48"/>
      <c r="J1224" s="48"/>
      <c r="K1224" s="48"/>
      <c r="L1224" s="48"/>
      <c r="M1224" s="48"/>
    </row>
    <row r="1225" spans="1:13">
      <c r="A1225" s="48"/>
      <c r="B1225" s="49"/>
      <c r="C1225" s="48"/>
      <c r="D1225" s="48"/>
      <c r="E1225" s="48"/>
      <c r="F1225" s="48"/>
      <c r="G1225" s="48"/>
      <c r="H1225" s="48"/>
      <c r="I1225" s="48"/>
      <c r="J1225" s="48"/>
      <c r="K1225" s="48"/>
      <c r="L1225" s="48"/>
      <c r="M1225" s="48"/>
    </row>
    <row r="1226" spans="1:13">
      <c r="A1226" s="48"/>
      <c r="B1226" s="49"/>
      <c r="C1226" s="48"/>
      <c r="D1226" s="48"/>
      <c r="E1226" s="48"/>
      <c r="F1226" s="48"/>
      <c r="G1226" s="48"/>
      <c r="H1226" s="48"/>
      <c r="I1226" s="48"/>
      <c r="J1226" s="48"/>
      <c r="K1226" s="48"/>
      <c r="L1226" s="48"/>
      <c r="M1226" s="48"/>
    </row>
    <row r="1227" spans="1:13">
      <c r="A1227" s="48"/>
      <c r="B1227" s="49"/>
      <c r="C1227" s="48"/>
      <c r="D1227" s="48"/>
      <c r="E1227" s="48"/>
      <c r="F1227" s="48"/>
      <c r="G1227" s="48"/>
      <c r="H1227" s="48"/>
      <c r="I1227" s="48"/>
      <c r="J1227" s="48"/>
      <c r="K1227" s="48"/>
      <c r="L1227" s="48"/>
      <c r="M1227" s="48"/>
    </row>
    <row r="1228" spans="1:13">
      <c r="A1228" s="48"/>
      <c r="B1228" s="49"/>
      <c r="C1228" s="48"/>
      <c r="D1228" s="48"/>
      <c r="E1228" s="48"/>
      <c r="F1228" s="48"/>
      <c r="G1228" s="48"/>
      <c r="H1228" s="48"/>
      <c r="I1228" s="48"/>
      <c r="J1228" s="48"/>
      <c r="K1228" s="48"/>
      <c r="L1228" s="48"/>
      <c r="M1228" s="48"/>
    </row>
    <row r="1229" spans="1:13">
      <c r="A1229" s="48"/>
      <c r="B1229" s="49"/>
      <c r="C1229" s="48"/>
      <c r="D1229" s="48"/>
      <c r="E1229" s="48"/>
      <c r="F1229" s="48"/>
      <c r="G1229" s="48"/>
      <c r="H1229" s="48"/>
      <c r="I1229" s="48"/>
      <c r="J1229" s="48"/>
      <c r="K1229" s="48"/>
      <c r="L1229" s="48"/>
      <c r="M1229" s="48"/>
    </row>
    <row r="1230" spans="1:13">
      <c r="A1230" s="48"/>
      <c r="B1230" s="49"/>
      <c r="C1230" s="48"/>
      <c r="D1230" s="48"/>
      <c r="E1230" s="48"/>
      <c r="F1230" s="48"/>
      <c r="G1230" s="48"/>
      <c r="H1230" s="48"/>
      <c r="I1230" s="48"/>
      <c r="J1230" s="48"/>
      <c r="K1230" s="48"/>
      <c r="L1230" s="48"/>
      <c r="M1230" s="48"/>
    </row>
    <row r="1231" spans="1:13">
      <c r="A1231" s="48"/>
      <c r="B1231" s="49"/>
      <c r="C1231" s="48"/>
      <c r="D1231" s="48"/>
      <c r="E1231" s="48"/>
      <c r="F1231" s="48"/>
      <c r="G1231" s="48"/>
      <c r="H1231" s="48"/>
      <c r="I1231" s="48"/>
      <c r="J1231" s="48"/>
      <c r="K1231" s="48"/>
      <c r="L1231" s="48"/>
      <c r="M1231" s="48"/>
    </row>
    <row r="1232" spans="1:13">
      <c r="A1232" s="48"/>
      <c r="B1232" s="49"/>
      <c r="C1232" s="48"/>
      <c r="D1232" s="48"/>
      <c r="E1232" s="48"/>
      <c r="F1232" s="48"/>
      <c r="G1232" s="48"/>
      <c r="H1232" s="48"/>
      <c r="I1232" s="48"/>
      <c r="J1232" s="48"/>
      <c r="K1232" s="48"/>
      <c r="L1232" s="48"/>
      <c r="M1232" s="48"/>
    </row>
    <row r="1233" spans="1:13">
      <c r="A1233" s="48"/>
      <c r="B1233" s="49"/>
      <c r="C1233" s="48"/>
      <c r="D1233" s="48"/>
      <c r="E1233" s="48"/>
      <c r="F1233" s="48"/>
      <c r="G1233" s="48"/>
      <c r="H1233" s="48"/>
      <c r="I1233" s="48"/>
      <c r="J1233" s="48"/>
      <c r="K1233" s="48"/>
      <c r="L1233" s="48"/>
      <c r="M1233" s="48"/>
    </row>
    <row r="1234" spans="1:13">
      <c r="A1234" s="48"/>
      <c r="B1234" s="49"/>
      <c r="C1234" s="48"/>
      <c r="D1234" s="48"/>
      <c r="E1234" s="48"/>
      <c r="F1234" s="48"/>
      <c r="G1234" s="48"/>
      <c r="H1234" s="48"/>
      <c r="I1234" s="48"/>
      <c r="J1234" s="48"/>
      <c r="K1234" s="48"/>
      <c r="L1234" s="48"/>
      <c r="M1234" s="48"/>
    </row>
    <row r="1235" spans="1:13">
      <c r="A1235" s="48"/>
      <c r="B1235" s="49"/>
      <c r="C1235" s="48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</row>
    <row r="1236" spans="1:13">
      <c r="A1236" s="48"/>
      <c r="B1236" s="49"/>
      <c r="C1236" s="48"/>
      <c r="D1236" s="48"/>
      <c r="E1236" s="48"/>
      <c r="F1236" s="48"/>
      <c r="G1236" s="48"/>
      <c r="H1236" s="48"/>
      <c r="I1236" s="48"/>
      <c r="J1236" s="48"/>
      <c r="K1236" s="48"/>
      <c r="L1236" s="48"/>
      <c r="M1236" s="48"/>
    </row>
    <row r="1237" spans="1:13">
      <c r="A1237" s="48"/>
      <c r="B1237" s="49"/>
      <c r="C1237" s="48"/>
      <c r="D1237" s="48"/>
      <c r="E1237" s="48"/>
      <c r="F1237" s="48"/>
      <c r="G1237" s="48"/>
      <c r="H1237" s="48"/>
      <c r="I1237" s="48"/>
      <c r="J1237" s="48"/>
      <c r="K1237" s="48"/>
      <c r="L1237" s="48"/>
      <c r="M1237" s="48"/>
    </row>
    <row r="1238" spans="1:13">
      <c r="A1238" s="48"/>
      <c r="B1238" s="49"/>
      <c r="C1238" s="48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</row>
    <row r="1239" spans="1:13">
      <c r="A1239" s="48"/>
      <c r="B1239" s="49"/>
      <c r="C1239" s="48"/>
      <c r="D1239" s="48"/>
      <c r="E1239" s="48"/>
      <c r="F1239" s="48"/>
      <c r="G1239" s="48"/>
      <c r="H1239" s="48"/>
      <c r="I1239" s="48"/>
      <c r="J1239" s="48"/>
      <c r="K1239" s="48"/>
      <c r="L1239" s="48"/>
      <c r="M1239" s="48"/>
    </row>
    <row r="1240" spans="1:13">
      <c r="A1240" s="48"/>
      <c r="B1240" s="49"/>
      <c r="C1240" s="48"/>
      <c r="D1240" s="48"/>
      <c r="E1240" s="48"/>
      <c r="F1240" s="48"/>
      <c r="G1240" s="48"/>
      <c r="H1240" s="48"/>
      <c r="I1240" s="48"/>
      <c r="J1240" s="48"/>
      <c r="K1240" s="48"/>
      <c r="L1240" s="48"/>
      <c r="M1240" s="48"/>
    </row>
    <row r="1241" spans="1:13">
      <c r="A1241" s="48"/>
      <c r="B1241" s="49"/>
      <c r="C1241" s="48"/>
      <c r="D1241" s="48"/>
      <c r="E1241" s="48"/>
      <c r="F1241" s="48"/>
      <c r="G1241" s="48"/>
      <c r="H1241" s="48"/>
      <c r="I1241" s="48"/>
      <c r="J1241" s="48"/>
      <c r="K1241" s="48"/>
      <c r="L1241" s="48"/>
      <c r="M1241" s="48"/>
    </row>
    <row r="1242" spans="1:13">
      <c r="A1242" s="48"/>
      <c r="B1242" s="49"/>
      <c r="C1242" s="48"/>
      <c r="D1242" s="48"/>
      <c r="E1242" s="48"/>
      <c r="F1242" s="48"/>
      <c r="G1242" s="48"/>
      <c r="H1242" s="48"/>
      <c r="I1242" s="48"/>
      <c r="J1242" s="48"/>
      <c r="K1242" s="48"/>
      <c r="L1242" s="48"/>
      <c r="M1242" s="48"/>
    </row>
    <row r="1243" spans="1:13">
      <c r="A1243" s="48"/>
      <c r="B1243" s="49"/>
      <c r="C1243" s="48"/>
      <c r="D1243" s="48"/>
      <c r="E1243" s="48"/>
      <c r="F1243" s="48"/>
      <c r="G1243" s="48"/>
      <c r="H1243" s="48"/>
      <c r="I1243" s="48"/>
      <c r="J1243" s="48"/>
      <c r="K1243" s="48"/>
      <c r="L1243" s="48"/>
      <c r="M1243" s="48"/>
    </row>
    <row r="1244" spans="1:13">
      <c r="A1244" s="48"/>
      <c r="B1244" s="49"/>
      <c r="C1244" s="48"/>
      <c r="D1244" s="48"/>
      <c r="E1244" s="48"/>
      <c r="F1244" s="48"/>
      <c r="G1244" s="48"/>
      <c r="H1244" s="48"/>
      <c r="I1244" s="48"/>
      <c r="J1244" s="48"/>
      <c r="K1244" s="48"/>
      <c r="L1244" s="48"/>
      <c r="M1244" s="48"/>
    </row>
    <row r="1245" spans="1:13">
      <c r="A1245" s="48"/>
      <c r="B1245" s="49"/>
      <c r="C1245" s="48"/>
      <c r="D1245" s="48"/>
      <c r="E1245" s="48"/>
      <c r="F1245" s="48"/>
      <c r="G1245" s="48"/>
      <c r="H1245" s="48"/>
      <c r="I1245" s="48"/>
      <c r="J1245" s="48"/>
      <c r="K1245" s="48"/>
      <c r="L1245" s="48"/>
      <c r="M1245" s="48"/>
    </row>
    <row r="1246" spans="1:13">
      <c r="A1246" s="48"/>
      <c r="B1246" s="49"/>
      <c r="C1246" s="48"/>
      <c r="D1246" s="48"/>
      <c r="E1246" s="48"/>
      <c r="F1246" s="48"/>
      <c r="G1246" s="48"/>
      <c r="H1246" s="48"/>
      <c r="I1246" s="48"/>
      <c r="J1246" s="48"/>
      <c r="K1246" s="48"/>
      <c r="L1246" s="48"/>
      <c r="M1246" s="48"/>
    </row>
    <row r="1247" spans="1:13">
      <c r="A1247" s="48"/>
      <c r="B1247" s="49"/>
      <c r="C1247" s="48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</row>
    <row r="1248" spans="1:13">
      <c r="A1248" s="48"/>
      <c r="B1248" s="49"/>
      <c r="C1248" s="48"/>
      <c r="D1248" s="48"/>
      <c r="E1248" s="48"/>
      <c r="F1248" s="48"/>
      <c r="G1248" s="48"/>
      <c r="H1248" s="48"/>
      <c r="I1248" s="48"/>
      <c r="J1248" s="48"/>
      <c r="K1248" s="48"/>
      <c r="L1248" s="48"/>
      <c r="M1248" s="48"/>
    </row>
    <row r="1249" spans="1:13">
      <c r="A1249" s="48"/>
      <c r="B1249" s="49"/>
      <c r="C1249" s="48"/>
      <c r="D1249" s="48"/>
      <c r="E1249" s="48"/>
      <c r="F1249" s="48"/>
      <c r="G1249" s="48"/>
      <c r="H1249" s="48"/>
      <c r="I1249" s="48"/>
      <c r="J1249" s="48"/>
      <c r="K1249" s="48"/>
      <c r="L1249" s="48"/>
      <c r="M1249" s="48"/>
    </row>
    <row r="1250" spans="1:13">
      <c r="A1250" s="48"/>
      <c r="B1250" s="49"/>
      <c r="C1250" s="48"/>
      <c r="D1250" s="48"/>
      <c r="E1250" s="48"/>
      <c r="F1250" s="48"/>
      <c r="G1250" s="48"/>
      <c r="H1250" s="48"/>
      <c r="I1250" s="48"/>
      <c r="J1250" s="48"/>
      <c r="K1250" s="48"/>
      <c r="L1250" s="48"/>
      <c r="M1250" s="48"/>
    </row>
    <row r="1251" spans="1:13">
      <c r="A1251" s="48"/>
      <c r="B1251" s="49"/>
      <c r="C1251" s="48"/>
      <c r="D1251" s="48"/>
      <c r="E1251" s="48"/>
      <c r="F1251" s="48"/>
      <c r="G1251" s="48"/>
      <c r="H1251" s="48"/>
      <c r="I1251" s="48"/>
      <c r="J1251" s="48"/>
      <c r="K1251" s="48"/>
      <c r="L1251" s="48"/>
      <c r="M1251" s="48"/>
    </row>
    <row r="1252" spans="1:13">
      <c r="A1252" s="48"/>
      <c r="B1252" s="49"/>
      <c r="C1252" s="48"/>
      <c r="D1252" s="48"/>
      <c r="E1252" s="48"/>
      <c r="F1252" s="48"/>
      <c r="G1252" s="48"/>
      <c r="H1252" s="48"/>
      <c r="I1252" s="48"/>
      <c r="J1252" s="48"/>
      <c r="K1252" s="48"/>
      <c r="L1252" s="48"/>
      <c r="M1252" s="48"/>
    </row>
    <row r="1253" spans="1:13">
      <c r="A1253" s="48"/>
      <c r="B1253" s="49"/>
      <c r="C1253" s="48"/>
      <c r="D1253" s="48"/>
      <c r="E1253" s="48"/>
      <c r="F1253" s="48"/>
      <c r="G1253" s="48"/>
      <c r="H1253" s="48"/>
      <c r="I1253" s="48"/>
      <c r="J1253" s="48"/>
      <c r="K1253" s="48"/>
      <c r="L1253" s="48"/>
      <c r="M1253" s="48"/>
    </row>
    <row r="1254" spans="1:13">
      <c r="A1254" s="48"/>
      <c r="B1254" s="49"/>
      <c r="C1254" s="48"/>
      <c r="D1254" s="48"/>
      <c r="E1254" s="48"/>
      <c r="F1254" s="48"/>
      <c r="G1254" s="48"/>
      <c r="H1254" s="48"/>
      <c r="I1254" s="48"/>
      <c r="J1254" s="48"/>
      <c r="K1254" s="48"/>
      <c r="L1254" s="48"/>
      <c r="M1254" s="48"/>
    </row>
    <row r="1255" spans="1:13">
      <c r="A1255" s="48"/>
      <c r="B1255" s="49"/>
      <c r="C1255" s="48"/>
      <c r="D1255" s="48"/>
      <c r="E1255" s="48"/>
      <c r="F1255" s="48"/>
      <c r="G1255" s="48"/>
      <c r="H1255" s="48"/>
      <c r="I1255" s="48"/>
      <c r="J1255" s="48"/>
      <c r="K1255" s="48"/>
      <c r="L1255" s="48"/>
      <c r="M1255" s="48"/>
    </row>
    <row r="1256" spans="1:13">
      <c r="A1256" s="48"/>
      <c r="B1256" s="49"/>
      <c r="C1256" s="48"/>
      <c r="D1256" s="48"/>
      <c r="E1256" s="48"/>
      <c r="F1256" s="48"/>
      <c r="G1256" s="48"/>
      <c r="H1256" s="48"/>
      <c r="I1256" s="48"/>
      <c r="J1256" s="48"/>
      <c r="K1256" s="48"/>
      <c r="L1256" s="48"/>
      <c r="M1256" s="48"/>
    </row>
    <row r="1257" spans="1:13">
      <c r="A1257" s="48"/>
      <c r="B1257" s="49"/>
      <c r="C1257" s="48"/>
      <c r="D1257" s="48"/>
      <c r="E1257" s="48"/>
      <c r="F1257" s="48"/>
      <c r="G1257" s="48"/>
      <c r="H1257" s="48"/>
      <c r="I1257" s="48"/>
      <c r="J1257" s="48"/>
      <c r="K1257" s="48"/>
      <c r="L1257" s="48"/>
      <c r="M1257" s="48"/>
    </row>
    <row r="1258" spans="1:13">
      <c r="A1258" s="48"/>
      <c r="B1258" s="49"/>
      <c r="C1258" s="48"/>
      <c r="D1258" s="48"/>
      <c r="E1258" s="48"/>
      <c r="F1258" s="48"/>
      <c r="G1258" s="48"/>
      <c r="H1258" s="48"/>
      <c r="I1258" s="48"/>
      <c r="J1258" s="48"/>
      <c r="K1258" s="48"/>
      <c r="L1258" s="48"/>
      <c r="M1258" s="48"/>
    </row>
    <row r="1259" spans="1:13">
      <c r="A1259" s="48"/>
      <c r="B1259" s="49"/>
      <c r="C1259" s="48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</row>
    <row r="1260" spans="1:13">
      <c r="A1260" s="48"/>
      <c r="B1260" s="49"/>
      <c r="C1260" s="48"/>
      <c r="D1260" s="48"/>
      <c r="E1260" s="48"/>
      <c r="F1260" s="48"/>
      <c r="G1260" s="48"/>
      <c r="H1260" s="48"/>
      <c r="I1260" s="48"/>
      <c r="J1260" s="48"/>
      <c r="K1260" s="48"/>
      <c r="L1260" s="48"/>
      <c r="M1260" s="48"/>
    </row>
    <row r="1261" spans="1:13">
      <c r="A1261" s="48"/>
      <c r="B1261" s="49"/>
      <c r="C1261" s="48"/>
      <c r="D1261" s="48"/>
      <c r="E1261" s="48"/>
      <c r="F1261" s="48"/>
      <c r="G1261" s="48"/>
      <c r="H1261" s="48"/>
      <c r="I1261" s="48"/>
      <c r="J1261" s="48"/>
      <c r="K1261" s="48"/>
      <c r="L1261" s="48"/>
      <c r="M1261" s="48"/>
    </row>
    <row r="1262" spans="1:13">
      <c r="A1262" s="48"/>
      <c r="B1262" s="49"/>
      <c r="C1262" s="48"/>
      <c r="D1262" s="48"/>
      <c r="E1262" s="48"/>
      <c r="F1262" s="48"/>
      <c r="G1262" s="48"/>
      <c r="H1262" s="48"/>
      <c r="I1262" s="48"/>
      <c r="J1262" s="48"/>
      <c r="K1262" s="48"/>
      <c r="L1262" s="48"/>
      <c r="M1262" s="48"/>
    </row>
    <row r="1263" spans="1:13">
      <c r="A1263" s="48"/>
      <c r="B1263" s="49"/>
      <c r="C1263" s="48"/>
      <c r="D1263" s="48"/>
      <c r="E1263" s="48"/>
      <c r="F1263" s="48"/>
      <c r="G1263" s="48"/>
      <c r="H1263" s="48"/>
      <c r="I1263" s="48"/>
      <c r="J1263" s="48"/>
      <c r="K1263" s="48"/>
      <c r="L1263" s="48"/>
      <c r="M1263" s="48"/>
    </row>
    <row r="1264" spans="1:13">
      <c r="A1264" s="48"/>
      <c r="B1264" s="49"/>
      <c r="C1264" s="48"/>
      <c r="D1264" s="48"/>
      <c r="E1264" s="48"/>
      <c r="F1264" s="48"/>
      <c r="G1264" s="48"/>
      <c r="H1264" s="48"/>
      <c r="I1264" s="48"/>
      <c r="J1264" s="48"/>
      <c r="K1264" s="48"/>
      <c r="L1264" s="48"/>
      <c r="M1264" s="48"/>
    </row>
    <row r="1265" spans="1:13">
      <c r="A1265" s="48"/>
      <c r="B1265" s="49"/>
      <c r="C1265" s="48"/>
      <c r="D1265" s="48"/>
      <c r="E1265" s="48"/>
      <c r="F1265" s="48"/>
      <c r="G1265" s="48"/>
      <c r="H1265" s="48"/>
      <c r="I1265" s="48"/>
      <c r="J1265" s="48"/>
      <c r="K1265" s="48"/>
      <c r="L1265" s="48"/>
      <c r="M1265" s="48"/>
    </row>
    <row r="1266" spans="1:13">
      <c r="A1266" s="48"/>
      <c r="B1266" s="49"/>
      <c r="C1266" s="48"/>
      <c r="D1266" s="48"/>
      <c r="E1266" s="48"/>
      <c r="F1266" s="48"/>
      <c r="G1266" s="48"/>
      <c r="H1266" s="48"/>
      <c r="I1266" s="48"/>
      <c r="J1266" s="48"/>
      <c r="K1266" s="48"/>
      <c r="L1266" s="48"/>
      <c r="M1266" s="48"/>
    </row>
    <row r="1267" spans="1:13">
      <c r="A1267" s="48"/>
      <c r="B1267" s="49"/>
      <c r="C1267" s="48"/>
      <c r="D1267" s="48"/>
      <c r="E1267" s="48"/>
      <c r="F1267" s="48"/>
      <c r="G1267" s="48"/>
      <c r="H1267" s="48"/>
      <c r="I1267" s="48"/>
      <c r="J1267" s="48"/>
      <c r="K1267" s="48"/>
      <c r="L1267" s="48"/>
      <c r="M1267" s="48"/>
    </row>
    <row r="1268" spans="1:13">
      <c r="A1268" s="48"/>
      <c r="B1268" s="49"/>
      <c r="C1268" s="48"/>
      <c r="D1268" s="48"/>
      <c r="E1268" s="48"/>
      <c r="F1268" s="48"/>
      <c r="G1268" s="48"/>
      <c r="H1268" s="48"/>
      <c r="I1268" s="48"/>
      <c r="J1268" s="48"/>
      <c r="K1268" s="48"/>
      <c r="L1268" s="48"/>
      <c r="M1268" s="48"/>
    </row>
    <row r="1269" spans="1:13">
      <c r="A1269" s="48"/>
      <c r="B1269" s="49"/>
      <c r="C1269" s="48"/>
      <c r="D1269" s="48"/>
      <c r="E1269" s="48"/>
      <c r="F1269" s="48"/>
      <c r="G1269" s="48"/>
      <c r="H1269" s="48"/>
      <c r="I1269" s="48"/>
      <c r="J1269" s="48"/>
      <c r="K1269" s="48"/>
      <c r="L1269" s="48"/>
      <c r="M1269" s="48"/>
    </row>
    <row r="1270" spans="1:13">
      <c r="A1270" s="48"/>
      <c r="B1270" s="49"/>
      <c r="C1270" s="48"/>
      <c r="D1270" s="48"/>
      <c r="E1270" s="48"/>
      <c r="F1270" s="48"/>
      <c r="G1270" s="48"/>
      <c r="H1270" s="48"/>
      <c r="I1270" s="48"/>
      <c r="J1270" s="48"/>
      <c r="K1270" s="48"/>
      <c r="L1270" s="48"/>
      <c r="M1270" s="48"/>
    </row>
    <row r="1271" spans="1:13">
      <c r="A1271" s="48"/>
      <c r="B1271" s="49"/>
      <c r="C1271" s="48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</row>
    <row r="1272" spans="1:13">
      <c r="A1272" s="48"/>
      <c r="B1272" s="49"/>
      <c r="C1272" s="48"/>
      <c r="D1272" s="48"/>
      <c r="E1272" s="48"/>
      <c r="F1272" s="48"/>
      <c r="G1272" s="48"/>
      <c r="H1272" s="48"/>
      <c r="I1272" s="48"/>
      <c r="J1272" s="48"/>
      <c r="K1272" s="48"/>
      <c r="L1272" s="48"/>
      <c r="M1272" s="48"/>
    </row>
    <row r="1273" spans="1:13">
      <c r="A1273" s="48"/>
      <c r="B1273" s="49"/>
      <c r="C1273" s="48"/>
      <c r="D1273" s="48"/>
      <c r="E1273" s="48"/>
      <c r="F1273" s="48"/>
      <c r="G1273" s="48"/>
      <c r="H1273" s="48"/>
      <c r="I1273" s="48"/>
      <c r="J1273" s="48"/>
      <c r="K1273" s="48"/>
      <c r="L1273" s="48"/>
      <c r="M1273" s="48"/>
    </row>
    <row r="1274" spans="1:13">
      <c r="A1274" s="48"/>
      <c r="B1274" s="49"/>
      <c r="C1274" s="48"/>
      <c r="D1274" s="48"/>
      <c r="E1274" s="48"/>
      <c r="F1274" s="48"/>
      <c r="G1274" s="48"/>
      <c r="H1274" s="48"/>
      <c r="I1274" s="48"/>
      <c r="J1274" s="48"/>
      <c r="K1274" s="48"/>
      <c r="L1274" s="48"/>
      <c r="M1274" s="48"/>
    </row>
    <row r="1275" spans="1:13">
      <c r="A1275" s="48"/>
      <c r="B1275" s="49"/>
      <c r="C1275" s="48"/>
      <c r="D1275" s="48"/>
      <c r="E1275" s="48"/>
      <c r="F1275" s="48"/>
      <c r="G1275" s="48"/>
      <c r="H1275" s="48"/>
      <c r="I1275" s="48"/>
      <c r="J1275" s="48"/>
      <c r="K1275" s="48"/>
      <c r="L1275" s="48"/>
      <c r="M1275" s="48"/>
    </row>
    <row r="1276" spans="1:13">
      <c r="A1276" s="48"/>
      <c r="B1276" s="49"/>
      <c r="C1276" s="48"/>
      <c r="D1276" s="48"/>
      <c r="E1276" s="48"/>
      <c r="F1276" s="48"/>
      <c r="G1276" s="48"/>
      <c r="H1276" s="48"/>
      <c r="I1276" s="48"/>
      <c r="J1276" s="48"/>
      <c r="K1276" s="48"/>
      <c r="L1276" s="48"/>
      <c r="M1276" s="48"/>
    </row>
    <row r="1277" spans="1:13">
      <c r="A1277" s="48"/>
      <c r="B1277" s="49"/>
      <c r="C1277" s="48"/>
      <c r="D1277" s="48"/>
      <c r="E1277" s="48"/>
      <c r="F1277" s="48"/>
      <c r="G1277" s="48"/>
      <c r="H1277" s="48"/>
      <c r="I1277" s="48"/>
      <c r="J1277" s="48"/>
      <c r="K1277" s="48"/>
      <c r="L1277" s="48"/>
      <c r="M1277" s="48"/>
    </row>
    <row r="1278" spans="1:13">
      <c r="A1278" s="48"/>
      <c r="B1278" s="49"/>
      <c r="C1278" s="48"/>
      <c r="D1278" s="48"/>
      <c r="E1278" s="48"/>
      <c r="F1278" s="48"/>
      <c r="G1278" s="48"/>
      <c r="H1278" s="48"/>
      <c r="I1278" s="48"/>
      <c r="J1278" s="48"/>
      <c r="K1278" s="48"/>
      <c r="L1278" s="48"/>
      <c r="M1278" s="48"/>
    </row>
    <row r="1279" spans="1:13">
      <c r="A1279" s="48"/>
      <c r="B1279" s="49"/>
      <c r="C1279" s="48"/>
      <c r="D1279" s="48"/>
      <c r="E1279" s="48"/>
      <c r="F1279" s="48"/>
      <c r="G1279" s="48"/>
      <c r="H1279" s="48"/>
      <c r="I1279" s="48"/>
      <c r="J1279" s="48"/>
      <c r="K1279" s="48"/>
      <c r="L1279" s="48"/>
      <c r="M1279" s="48"/>
    </row>
    <row r="1280" spans="1:13">
      <c r="A1280" s="48"/>
      <c r="B1280" s="49"/>
      <c r="C1280" s="48"/>
      <c r="D1280" s="48"/>
      <c r="E1280" s="48"/>
      <c r="F1280" s="48"/>
      <c r="G1280" s="48"/>
      <c r="H1280" s="48"/>
      <c r="I1280" s="48"/>
      <c r="J1280" s="48"/>
      <c r="K1280" s="48"/>
      <c r="L1280" s="48"/>
      <c r="M1280" s="48"/>
    </row>
    <row r="1281" spans="1:13">
      <c r="A1281" s="48"/>
      <c r="B1281" s="49"/>
      <c r="C1281" s="48"/>
      <c r="D1281" s="48"/>
      <c r="E1281" s="48"/>
      <c r="F1281" s="48"/>
      <c r="G1281" s="48"/>
      <c r="H1281" s="48"/>
      <c r="I1281" s="48"/>
      <c r="J1281" s="48"/>
      <c r="K1281" s="48"/>
      <c r="L1281" s="48"/>
      <c r="M1281" s="48"/>
    </row>
    <row r="1282" spans="1:13">
      <c r="A1282" s="48"/>
      <c r="B1282" s="49"/>
      <c r="C1282" s="48"/>
      <c r="D1282" s="48"/>
      <c r="E1282" s="48"/>
      <c r="F1282" s="48"/>
      <c r="G1282" s="48"/>
      <c r="H1282" s="48"/>
      <c r="I1282" s="48"/>
      <c r="J1282" s="48"/>
      <c r="K1282" s="48"/>
      <c r="L1282" s="48"/>
      <c r="M1282" s="48"/>
    </row>
    <row r="1283" spans="1:13">
      <c r="A1283" s="48"/>
      <c r="B1283" s="49"/>
      <c r="C1283" s="48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</row>
    <row r="1284" spans="1:13">
      <c r="A1284" s="48"/>
      <c r="B1284" s="49"/>
      <c r="C1284" s="48"/>
      <c r="D1284" s="48"/>
      <c r="E1284" s="48"/>
      <c r="F1284" s="48"/>
      <c r="G1284" s="48"/>
      <c r="H1284" s="48"/>
      <c r="I1284" s="48"/>
      <c r="J1284" s="48"/>
      <c r="K1284" s="48"/>
      <c r="L1284" s="48"/>
      <c r="M1284" s="48"/>
    </row>
    <row r="1285" spans="1:13">
      <c r="A1285" s="48"/>
      <c r="B1285" s="49"/>
      <c r="C1285" s="48"/>
      <c r="D1285" s="48"/>
      <c r="E1285" s="48"/>
      <c r="F1285" s="48"/>
      <c r="G1285" s="48"/>
      <c r="H1285" s="48"/>
      <c r="I1285" s="48"/>
      <c r="J1285" s="48"/>
      <c r="K1285" s="48"/>
      <c r="L1285" s="48"/>
      <c r="M1285" s="48"/>
    </row>
    <row r="1286" spans="1:13">
      <c r="A1286" s="48"/>
      <c r="B1286" s="49"/>
      <c r="C1286" s="48"/>
      <c r="D1286" s="48"/>
      <c r="E1286" s="48"/>
      <c r="F1286" s="48"/>
      <c r="G1286" s="48"/>
      <c r="H1286" s="48"/>
      <c r="I1286" s="48"/>
      <c r="J1286" s="48"/>
      <c r="K1286" s="48"/>
      <c r="L1286" s="48"/>
      <c r="M1286" s="48"/>
    </row>
    <row r="1287" spans="1:13">
      <c r="A1287" s="48"/>
      <c r="B1287" s="49"/>
      <c r="C1287" s="48"/>
      <c r="D1287" s="48"/>
      <c r="E1287" s="48"/>
      <c r="F1287" s="48"/>
      <c r="G1287" s="48"/>
      <c r="H1287" s="48"/>
      <c r="I1287" s="48"/>
      <c r="J1287" s="48"/>
      <c r="K1287" s="48"/>
      <c r="L1287" s="48"/>
      <c r="M1287" s="48"/>
    </row>
    <row r="1288" spans="1:13">
      <c r="A1288" s="48"/>
      <c r="B1288" s="49"/>
      <c r="C1288" s="48"/>
      <c r="D1288" s="48"/>
      <c r="E1288" s="48"/>
      <c r="F1288" s="48"/>
      <c r="G1288" s="48"/>
      <c r="H1288" s="48"/>
      <c r="I1288" s="48"/>
      <c r="J1288" s="48"/>
      <c r="K1288" s="48"/>
      <c r="L1288" s="48"/>
      <c r="M1288" s="48"/>
    </row>
    <row r="1289" spans="1:13">
      <c r="A1289" s="48"/>
      <c r="B1289" s="49"/>
      <c r="C1289" s="48"/>
      <c r="D1289" s="48"/>
      <c r="E1289" s="48"/>
      <c r="F1289" s="48"/>
      <c r="G1289" s="48"/>
      <c r="H1289" s="48"/>
      <c r="I1289" s="48"/>
      <c r="J1289" s="48"/>
      <c r="K1289" s="48"/>
      <c r="L1289" s="48"/>
      <c r="M1289" s="48"/>
    </row>
    <row r="1290" spans="1:13">
      <c r="A1290" s="48"/>
      <c r="B1290" s="49"/>
      <c r="C1290" s="48"/>
      <c r="D1290" s="48"/>
      <c r="E1290" s="48"/>
      <c r="F1290" s="48"/>
      <c r="G1290" s="48"/>
      <c r="H1290" s="48"/>
      <c r="I1290" s="48"/>
      <c r="J1290" s="48"/>
      <c r="K1290" s="48"/>
      <c r="L1290" s="48"/>
      <c r="M1290" s="48"/>
    </row>
    <row r="1291" spans="1:13">
      <c r="A1291" s="48"/>
      <c r="B1291" s="49"/>
      <c r="C1291" s="48"/>
      <c r="D1291" s="48"/>
      <c r="E1291" s="48"/>
      <c r="F1291" s="48"/>
      <c r="G1291" s="48"/>
      <c r="H1291" s="48"/>
      <c r="I1291" s="48"/>
      <c r="J1291" s="48"/>
      <c r="K1291" s="48"/>
      <c r="L1291" s="48"/>
      <c r="M1291" s="48"/>
    </row>
    <row r="1292" spans="1:13">
      <c r="A1292" s="48"/>
      <c r="B1292" s="49"/>
      <c r="C1292" s="48"/>
      <c r="D1292" s="48"/>
      <c r="E1292" s="48"/>
      <c r="F1292" s="48"/>
      <c r="G1292" s="48"/>
      <c r="H1292" s="48"/>
      <c r="I1292" s="48"/>
      <c r="J1292" s="48"/>
      <c r="K1292" s="48"/>
      <c r="L1292" s="48"/>
      <c r="M1292" s="48"/>
    </row>
    <row r="1293" spans="1:13">
      <c r="A1293" s="48"/>
      <c r="B1293" s="49"/>
      <c r="C1293" s="48"/>
      <c r="D1293" s="48"/>
      <c r="E1293" s="48"/>
      <c r="F1293" s="48"/>
      <c r="G1293" s="48"/>
      <c r="H1293" s="48"/>
      <c r="I1293" s="48"/>
      <c r="J1293" s="48"/>
      <c r="K1293" s="48"/>
      <c r="L1293" s="48"/>
      <c r="M1293" s="48"/>
    </row>
    <row r="1294" spans="1:13">
      <c r="A1294" s="48"/>
      <c r="B1294" s="49"/>
      <c r="C1294" s="48"/>
      <c r="D1294" s="48"/>
      <c r="E1294" s="48"/>
      <c r="F1294" s="48"/>
      <c r="G1294" s="48"/>
      <c r="H1294" s="48"/>
      <c r="I1294" s="48"/>
      <c r="J1294" s="48"/>
      <c r="K1294" s="48"/>
      <c r="L1294" s="48"/>
      <c r="M1294" s="48"/>
    </row>
    <row r="1295" spans="1:13">
      <c r="A1295" s="48"/>
      <c r="B1295" s="49"/>
      <c r="C1295" s="48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</row>
    <row r="1296" spans="1:13">
      <c r="A1296" s="48"/>
      <c r="B1296" s="49"/>
      <c r="C1296" s="48"/>
      <c r="D1296" s="48"/>
      <c r="E1296" s="48"/>
      <c r="F1296" s="48"/>
      <c r="G1296" s="48"/>
      <c r="H1296" s="48"/>
      <c r="I1296" s="48"/>
      <c r="J1296" s="48"/>
      <c r="K1296" s="48"/>
      <c r="L1296" s="48"/>
      <c r="M1296" s="48"/>
    </row>
    <row r="1297" spans="1:13">
      <c r="A1297" s="48"/>
      <c r="B1297" s="49"/>
      <c r="C1297" s="48"/>
      <c r="D1297" s="48"/>
      <c r="E1297" s="48"/>
      <c r="F1297" s="48"/>
      <c r="G1297" s="48"/>
      <c r="H1297" s="48"/>
      <c r="I1297" s="48"/>
      <c r="J1297" s="48"/>
      <c r="K1297" s="48"/>
      <c r="L1297" s="48"/>
      <c r="M1297" s="48"/>
    </row>
    <row r="1298" spans="1:13">
      <c r="A1298" s="48"/>
      <c r="B1298" s="49"/>
      <c r="C1298" s="48"/>
      <c r="D1298" s="48"/>
      <c r="E1298" s="48"/>
      <c r="F1298" s="48"/>
      <c r="G1298" s="48"/>
      <c r="H1298" s="48"/>
      <c r="I1298" s="48"/>
      <c r="J1298" s="48"/>
      <c r="K1298" s="48"/>
      <c r="L1298" s="48"/>
      <c r="M1298" s="48"/>
    </row>
    <row r="1299" spans="1:13">
      <c r="A1299" s="48"/>
      <c r="B1299" s="49"/>
      <c r="C1299" s="48"/>
      <c r="D1299" s="48"/>
      <c r="E1299" s="48"/>
      <c r="F1299" s="48"/>
      <c r="G1299" s="48"/>
      <c r="H1299" s="48"/>
      <c r="I1299" s="48"/>
      <c r="J1299" s="48"/>
      <c r="K1299" s="48"/>
      <c r="L1299" s="48"/>
      <c r="M1299" s="48"/>
    </row>
    <row r="1300" spans="1:13">
      <c r="A1300" s="48"/>
      <c r="B1300" s="49"/>
      <c r="C1300" s="48"/>
      <c r="D1300" s="48"/>
      <c r="E1300" s="48"/>
      <c r="F1300" s="48"/>
      <c r="G1300" s="48"/>
      <c r="H1300" s="48"/>
      <c r="I1300" s="48"/>
      <c r="J1300" s="48"/>
      <c r="K1300" s="48"/>
      <c r="L1300" s="48"/>
      <c r="M1300" s="48"/>
    </row>
    <row r="1301" spans="1:13">
      <c r="A1301" s="48"/>
      <c r="B1301" s="49"/>
      <c r="C1301" s="48"/>
      <c r="D1301" s="48"/>
      <c r="E1301" s="48"/>
      <c r="F1301" s="48"/>
      <c r="G1301" s="48"/>
      <c r="H1301" s="48"/>
      <c r="I1301" s="48"/>
      <c r="J1301" s="48"/>
      <c r="K1301" s="48"/>
      <c r="L1301" s="48"/>
      <c r="M1301" s="48"/>
    </row>
    <row r="1302" spans="1:13">
      <c r="A1302" s="48"/>
      <c r="B1302" s="49"/>
      <c r="C1302" s="48"/>
      <c r="D1302" s="48"/>
      <c r="E1302" s="48"/>
      <c r="F1302" s="48"/>
      <c r="G1302" s="48"/>
      <c r="H1302" s="48"/>
      <c r="I1302" s="48"/>
      <c r="J1302" s="48"/>
      <c r="K1302" s="48"/>
      <c r="L1302" s="48"/>
      <c r="M1302" s="48"/>
    </row>
    <row r="1303" spans="1:13">
      <c r="A1303" s="48"/>
      <c r="B1303" s="49"/>
      <c r="C1303" s="48"/>
      <c r="D1303" s="48"/>
      <c r="E1303" s="48"/>
      <c r="F1303" s="48"/>
      <c r="G1303" s="48"/>
      <c r="H1303" s="48"/>
      <c r="I1303" s="48"/>
      <c r="J1303" s="48"/>
      <c r="K1303" s="48"/>
      <c r="L1303" s="48"/>
      <c r="M1303" s="48"/>
    </row>
    <row r="1304" spans="1:13">
      <c r="A1304" s="48"/>
      <c r="B1304" s="49"/>
      <c r="C1304" s="48"/>
      <c r="D1304" s="48"/>
      <c r="E1304" s="48"/>
      <c r="F1304" s="48"/>
      <c r="G1304" s="48"/>
      <c r="H1304" s="48"/>
      <c r="I1304" s="48"/>
      <c r="J1304" s="48"/>
      <c r="K1304" s="48"/>
      <c r="L1304" s="48"/>
      <c r="M1304" s="48"/>
    </row>
    <row r="1305" spans="1:13">
      <c r="A1305" s="48"/>
      <c r="B1305" s="49"/>
      <c r="C1305" s="48"/>
      <c r="D1305" s="48"/>
      <c r="E1305" s="48"/>
      <c r="F1305" s="48"/>
      <c r="G1305" s="48"/>
      <c r="H1305" s="48"/>
      <c r="I1305" s="48"/>
      <c r="J1305" s="48"/>
      <c r="K1305" s="48"/>
      <c r="L1305" s="48"/>
      <c r="M1305" s="48"/>
    </row>
    <row r="1306" spans="1:13">
      <c r="A1306" s="48"/>
      <c r="B1306" s="49"/>
      <c r="C1306" s="48"/>
      <c r="D1306" s="48"/>
      <c r="E1306" s="48"/>
      <c r="F1306" s="48"/>
      <c r="G1306" s="48"/>
      <c r="H1306" s="48"/>
      <c r="I1306" s="48"/>
      <c r="J1306" s="48"/>
      <c r="K1306" s="48"/>
      <c r="L1306" s="48"/>
      <c r="M1306" s="48"/>
    </row>
    <row r="1307" spans="1:13">
      <c r="A1307" s="48"/>
      <c r="B1307" s="49"/>
      <c r="C1307" s="48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</row>
    <row r="1308" spans="1:13">
      <c r="A1308" s="48"/>
      <c r="B1308" s="49"/>
      <c r="C1308" s="48"/>
      <c r="D1308" s="48"/>
      <c r="E1308" s="48"/>
      <c r="F1308" s="48"/>
      <c r="G1308" s="48"/>
      <c r="H1308" s="48"/>
      <c r="I1308" s="48"/>
      <c r="J1308" s="48"/>
      <c r="K1308" s="48"/>
      <c r="L1308" s="48"/>
      <c r="M1308" s="48"/>
    </row>
    <row r="1309" spans="1:13">
      <c r="A1309" s="48"/>
      <c r="B1309" s="49"/>
      <c r="C1309" s="48"/>
      <c r="D1309" s="48"/>
      <c r="E1309" s="48"/>
      <c r="F1309" s="48"/>
      <c r="G1309" s="48"/>
      <c r="H1309" s="48"/>
      <c r="I1309" s="48"/>
      <c r="J1309" s="48"/>
      <c r="K1309" s="48"/>
      <c r="L1309" s="48"/>
      <c r="M1309" s="48"/>
    </row>
    <row r="1310" spans="1:13">
      <c r="A1310" s="48"/>
      <c r="B1310" s="49"/>
      <c r="C1310" s="48"/>
      <c r="D1310" s="48"/>
      <c r="E1310" s="48"/>
      <c r="F1310" s="48"/>
      <c r="G1310" s="48"/>
      <c r="H1310" s="48"/>
      <c r="I1310" s="48"/>
      <c r="J1310" s="48"/>
      <c r="K1310" s="48"/>
      <c r="L1310" s="48"/>
      <c r="M1310" s="48"/>
    </row>
    <row r="1311" spans="1:13">
      <c r="A1311" s="48"/>
      <c r="B1311" s="49"/>
      <c r="C1311" s="48"/>
      <c r="D1311" s="48"/>
      <c r="E1311" s="48"/>
      <c r="F1311" s="48"/>
      <c r="G1311" s="48"/>
      <c r="H1311" s="48"/>
      <c r="I1311" s="48"/>
      <c r="J1311" s="48"/>
      <c r="K1311" s="48"/>
      <c r="L1311" s="48"/>
      <c r="M1311" s="48"/>
    </row>
    <row r="1312" spans="1:13">
      <c r="A1312" s="48"/>
      <c r="B1312" s="49"/>
      <c r="C1312" s="48"/>
      <c r="D1312" s="48"/>
      <c r="E1312" s="48"/>
      <c r="F1312" s="48"/>
      <c r="G1312" s="48"/>
      <c r="H1312" s="48"/>
      <c r="I1312" s="48"/>
      <c r="J1312" s="48"/>
      <c r="K1312" s="48"/>
      <c r="L1312" s="48"/>
      <c r="M1312" s="48"/>
    </row>
    <row r="1313" spans="1:13">
      <c r="A1313" s="48"/>
      <c r="B1313" s="49"/>
      <c r="C1313" s="48"/>
      <c r="D1313" s="48"/>
      <c r="E1313" s="48"/>
      <c r="F1313" s="48"/>
      <c r="G1313" s="48"/>
      <c r="H1313" s="48"/>
      <c r="I1313" s="48"/>
      <c r="J1313" s="48"/>
      <c r="K1313" s="48"/>
      <c r="L1313" s="48"/>
      <c r="M1313" s="48"/>
    </row>
    <row r="1314" spans="1:13">
      <c r="A1314" s="48"/>
      <c r="B1314" s="49"/>
      <c r="C1314" s="48"/>
      <c r="D1314" s="48"/>
      <c r="E1314" s="48"/>
      <c r="F1314" s="48"/>
      <c r="G1314" s="48"/>
      <c r="H1314" s="48"/>
      <c r="I1314" s="48"/>
      <c r="J1314" s="48"/>
      <c r="K1314" s="48"/>
      <c r="L1314" s="48"/>
      <c r="M1314" s="48"/>
    </row>
    <row r="1315" spans="1:13">
      <c r="A1315" s="48"/>
      <c r="B1315" s="49"/>
      <c r="C1315" s="48"/>
      <c r="D1315" s="48"/>
      <c r="E1315" s="48"/>
      <c r="F1315" s="48"/>
      <c r="G1315" s="48"/>
      <c r="H1315" s="48"/>
      <c r="I1315" s="48"/>
      <c r="J1315" s="48"/>
      <c r="K1315" s="48"/>
      <c r="L1315" s="48"/>
      <c r="M1315" s="48"/>
    </row>
    <row r="1316" spans="1:13">
      <c r="A1316" s="48"/>
      <c r="B1316" s="49"/>
      <c r="C1316" s="48"/>
      <c r="D1316" s="48"/>
      <c r="E1316" s="48"/>
      <c r="F1316" s="48"/>
      <c r="G1316" s="48"/>
      <c r="H1316" s="48"/>
      <c r="I1316" s="48"/>
      <c r="J1316" s="48"/>
      <c r="K1316" s="48"/>
      <c r="L1316" s="48"/>
      <c r="M1316" s="48"/>
    </row>
    <row r="1317" spans="1:13">
      <c r="A1317" s="48"/>
      <c r="B1317" s="49"/>
      <c r="C1317" s="48"/>
      <c r="D1317" s="48"/>
      <c r="E1317" s="48"/>
      <c r="F1317" s="48"/>
      <c r="G1317" s="48"/>
      <c r="H1317" s="48"/>
      <c r="I1317" s="48"/>
      <c r="J1317" s="48"/>
      <c r="K1317" s="48"/>
      <c r="L1317" s="48"/>
      <c r="M1317" s="48"/>
    </row>
    <row r="1318" spans="1:13">
      <c r="A1318" s="48"/>
      <c r="B1318" s="49"/>
      <c r="C1318" s="48"/>
      <c r="D1318" s="48"/>
      <c r="E1318" s="48"/>
      <c r="F1318" s="48"/>
      <c r="G1318" s="48"/>
      <c r="H1318" s="48"/>
      <c r="I1318" s="48"/>
      <c r="J1318" s="48"/>
      <c r="K1318" s="48"/>
      <c r="L1318" s="48"/>
      <c r="M1318" s="48"/>
    </row>
    <row r="1319" spans="1:13">
      <c r="A1319" s="48"/>
      <c r="B1319" s="49"/>
      <c r="C1319" s="48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</row>
    <row r="1320" spans="1:13">
      <c r="A1320" s="48"/>
      <c r="B1320" s="49"/>
      <c r="C1320" s="48"/>
      <c r="D1320" s="48"/>
      <c r="E1320" s="48"/>
      <c r="F1320" s="48"/>
      <c r="G1320" s="48"/>
      <c r="H1320" s="48"/>
      <c r="I1320" s="48"/>
      <c r="J1320" s="48"/>
      <c r="K1320" s="48"/>
      <c r="L1320" s="48"/>
      <c r="M1320" s="48"/>
    </row>
    <row r="1321" spans="1:13">
      <c r="A1321" s="48"/>
      <c r="B1321" s="49"/>
      <c r="C1321" s="48"/>
      <c r="D1321" s="48"/>
      <c r="E1321" s="48"/>
      <c r="F1321" s="48"/>
      <c r="G1321" s="48"/>
      <c r="H1321" s="48"/>
      <c r="I1321" s="48"/>
      <c r="J1321" s="48"/>
      <c r="K1321" s="48"/>
      <c r="L1321" s="48"/>
      <c r="M1321" s="48"/>
    </row>
    <row r="1322" spans="1:13">
      <c r="A1322" s="48"/>
      <c r="B1322" s="49"/>
      <c r="C1322" s="48"/>
      <c r="D1322" s="48"/>
      <c r="E1322" s="48"/>
      <c r="F1322" s="48"/>
      <c r="G1322" s="48"/>
      <c r="H1322" s="48"/>
      <c r="I1322" s="48"/>
      <c r="J1322" s="48"/>
      <c r="K1322" s="48"/>
      <c r="L1322" s="48"/>
      <c r="M1322" s="48"/>
    </row>
    <row r="1323" spans="1:13">
      <c r="A1323" s="48"/>
      <c r="B1323" s="49"/>
      <c r="C1323" s="48"/>
      <c r="D1323" s="48"/>
      <c r="E1323" s="48"/>
      <c r="F1323" s="48"/>
      <c r="G1323" s="48"/>
      <c r="H1323" s="48"/>
      <c r="I1323" s="48"/>
      <c r="J1323" s="48"/>
      <c r="K1323" s="48"/>
      <c r="L1323" s="48"/>
      <c r="M1323" s="48"/>
    </row>
    <row r="1324" spans="1:13">
      <c r="A1324" s="48"/>
      <c r="B1324" s="49"/>
      <c r="C1324" s="48"/>
      <c r="D1324" s="48"/>
      <c r="E1324" s="48"/>
      <c r="F1324" s="48"/>
      <c r="G1324" s="48"/>
      <c r="H1324" s="48"/>
      <c r="I1324" s="48"/>
      <c r="J1324" s="48"/>
      <c r="K1324" s="48"/>
      <c r="L1324" s="48"/>
      <c r="M1324" s="48"/>
    </row>
    <row r="1325" spans="1:13">
      <c r="A1325" s="48"/>
      <c r="B1325" s="49"/>
      <c r="C1325" s="48"/>
      <c r="D1325" s="48"/>
      <c r="E1325" s="48"/>
      <c r="F1325" s="48"/>
      <c r="G1325" s="48"/>
      <c r="H1325" s="48"/>
      <c r="I1325" s="48"/>
      <c r="J1325" s="48"/>
      <c r="K1325" s="48"/>
      <c r="L1325" s="48"/>
      <c r="M1325" s="48"/>
    </row>
    <row r="1326" spans="1:13">
      <c r="A1326" s="48"/>
      <c r="B1326" s="49"/>
      <c r="C1326" s="48"/>
      <c r="D1326" s="48"/>
      <c r="E1326" s="48"/>
      <c r="F1326" s="48"/>
      <c r="G1326" s="48"/>
      <c r="H1326" s="48"/>
      <c r="I1326" s="48"/>
      <c r="J1326" s="48"/>
      <c r="K1326" s="48"/>
      <c r="L1326" s="48"/>
      <c r="M1326" s="48"/>
    </row>
    <row r="1327" spans="1:13">
      <c r="A1327" s="48"/>
      <c r="B1327" s="49"/>
      <c r="C1327" s="48"/>
      <c r="D1327" s="48"/>
      <c r="E1327" s="48"/>
      <c r="F1327" s="48"/>
      <c r="G1327" s="48"/>
      <c r="H1327" s="48"/>
      <c r="I1327" s="48"/>
      <c r="J1327" s="48"/>
      <c r="K1327" s="48"/>
      <c r="L1327" s="48"/>
      <c r="M1327" s="48"/>
    </row>
    <row r="1328" spans="1:13">
      <c r="A1328" s="48"/>
      <c r="B1328" s="49"/>
      <c r="C1328" s="48"/>
      <c r="D1328" s="48"/>
      <c r="E1328" s="48"/>
      <c r="F1328" s="48"/>
      <c r="G1328" s="48"/>
      <c r="H1328" s="48"/>
      <c r="I1328" s="48"/>
      <c r="J1328" s="48"/>
      <c r="K1328" s="48"/>
      <c r="L1328" s="48"/>
      <c r="M1328" s="48"/>
    </row>
    <row r="1329" spans="1:13">
      <c r="A1329" s="48"/>
      <c r="B1329" s="49"/>
      <c r="C1329" s="48"/>
      <c r="D1329" s="48"/>
      <c r="E1329" s="48"/>
      <c r="F1329" s="48"/>
      <c r="G1329" s="48"/>
      <c r="H1329" s="48"/>
      <c r="I1329" s="48"/>
      <c r="J1329" s="48"/>
      <c r="K1329" s="48"/>
      <c r="L1329" s="48"/>
      <c r="M1329" s="48"/>
    </row>
    <row r="1330" spans="1:13">
      <c r="A1330" s="48"/>
      <c r="B1330" s="49"/>
      <c r="C1330" s="48"/>
      <c r="D1330" s="48"/>
      <c r="E1330" s="48"/>
      <c r="F1330" s="48"/>
      <c r="G1330" s="48"/>
      <c r="H1330" s="48"/>
      <c r="I1330" s="48"/>
      <c r="J1330" s="48"/>
      <c r="K1330" s="48"/>
      <c r="L1330" s="48"/>
      <c r="M1330" s="48"/>
    </row>
    <row r="1331" spans="1:13">
      <c r="A1331" s="48"/>
      <c r="B1331" s="49"/>
      <c r="C1331" s="48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</row>
    <row r="1332" spans="1:13">
      <c r="A1332" s="48"/>
      <c r="B1332" s="49"/>
      <c r="C1332" s="48"/>
      <c r="D1332" s="48"/>
      <c r="E1332" s="48"/>
      <c r="F1332" s="48"/>
      <c r="G1332" s="48"/>
      <c r="H1332" s="48"/>
      <c r="I1332" s="48"/>
      <c r="J1332" s="48"/>
      <c r="K1332" s="48"/>
      <c r="L1332" s="48"/>
      <c r="M1332" s="48"/>
    </row>
    <row r="1333" spans="1:13">
      <c r="A1333" s="48"/>
      <c r="B1333" s="49"/>
      <c r="C1333" s="48"/>
      <c r="D1333" s="48"/>
      <c r="E1333" s="48"/>
      <c r="F1333" s="48"/>
      <c r="G1333" s="48"/>
      <c r="H1333" s="48"/>
      <c r="I1333" s="48"/>
      <c r="J1333" s="48"/>
      <c r="K1333" s="48"/>
      <c r="L1333" s="48"/>
      <c r="M1333" s="48"/>
    </row>
    <row r="1334" spans="1:13">
      <c r="A1334" s="48"/>
      <c r="B1334" s="49"/>
      <c r="C1334" s="48"/>
      <c r="D1334" s="48"/>
      <c r="E1334" s="48"/>
      <c r="F1334" s="48"/>
      <c r="G1334" s="48"/>
      <c r="H1334" s="48"/>
      <c r="I1334" s="48"/>
      <c r="J1334" s="48"/>
      <c r="K1334" s="48"/>
      <c r="L1334" s="48"/>
      <c r="M1334" s="48"/>
    </row>
    <row r="1335" spans="1:13">
      <c r="A1335" s="48"/>
      <c r="B1335" s="49"/>
      <c r="C1335" s="48"/>
      <c r="D1335" s="48"/>
      <c r="E1335" s="48"/>
      <c r="F1335" s="48"/>
      <c r="G1335" s="48"/>
      <c r="H1335" s="48"/>
      <c r="I1335" s="48"/>
      <c r="J1335" s="48"/>
      <c r="K1335" s="48"/>
      <c r="L1335" s="48"/>
      <c r="M1335" s="48"/>
    </row>
    <row r="1336" spans="1:13">
      <c r="A1336" s="48"/>
      <c r="B1336" s="49"/>
      <c r="C1336" s="48"/>
      <c r="D1336" s="48"/>
      <c r="E1336" s="48"/>
      <c r="F1336" s="48"/>
      <c r="G1336" s="48"/>
      <c r="H1336" s="48"/>
      <c r="I1336" s="48"/>
      <c r="J1336" s="48"/>
      <c r="K1336" s="48"/>
      <c r="L1336" s="48"/>
      <c r="M1336" s="48"/>
    </row>
    <row r="1337" spans="1:13">
      <c r="A1337" s="48"/>
      <c r="B1337" s="49"/>
      <c r="C1337" s="48"/>
      <c r="D1337" s="48"/>
      <c r="E1337" s="48"/>
      <c r="F1337" s="48"/>
      <c r="G1337" s="48"/>
      <c r="H1337" s="48"/>
      <c r="I1337" s="48"/>
      <c r="J1337" s="48"/>
      <c r="K1337" s="48"/>
      <c r="L1337" s="48"/>
      <c r="M1337" s="48"/>
    </row>
    <row r="1338" spans="1:13">
      <c r="A1338" s="48"/>
      <c r="B1338" s="49"/>
      <c r="C1338" s="48"/>
      <c r="D1338" s="48"/>
      <c r="E1338" s="48"/>
      <c r="F1338" s="48"/>
      <c r="G1338" s="48"/>
      <c r="H1338" s="48"/>
      <c r="I1338" s="48"/>
      <c r="J1338" s="48"/>
      <c r="K1338" s="48"/>
      <c r="L1338" s="48"/>
      <c r="M1338" s="48"/>
    </row>
    <row r="1339" spans="1:13">
      <c r="A1339" s="48"/>
      <c r="B1339" s="49"/>
      <c r="C1339" s="48"/>
      <c r="D1339" s="48"/>
      <c r="E1339" s="48"/>
      <c r="F1339" s="48"/>
      <c r="G1339" s="48"/>
      <c r="H1339" s="48"/>
      <c r="I1339" s="48"/>
      <c r="J1339" s="48"/>
      <c r="K1339" s="48"/>
      <c r="L1339" s="48"/>
      <c r="M1339" s="48"/>
    </row>
    <row r="1340" spans="1:13">
      <c r="A1340" s="48"/>
      <c r="B1340" s="49"/>
      <c r="C1340" s="48"/>
      <c r="D1340" s="48"/>
      <c r="E1340" s="48"/>
      <c r="F1340" s="48"/>
      <c r="G1340" s="48"/>
      <c r="H1340" s="48"/>
      <c r="I1340" s="48"/>
      <c r="J1340" s="48"/>
      <c r="K1340" s="48"/>
      <c r="L1340" s="48"/>
      <c r="M1340" s="48"/>
    </row>
    <row r="1341" spans="1:13">
      <c r="A1341" s="48"/>
      <c r="B1341" s="49"/>
      <c r="C1341" s="48"/>
      <c r="D1341" s="48"/>
      <c r="E1341" s="48"/>
      <c r="F1341" s="48"/>
      <c r="G1341" s="48"/>
      <c r="H1341" s="48"/>
      <c r="I1341" s="48"/>
      <c r="J1341" s="48"/>
      <c r="K1341" s="48"/>
      <c r="L1341" s="48"/>
      <c r="M1341" s="48"/>
    </row>
    <row r="1342" spans="1:13">
      <c r="A1342" s="48"/>
      <c r="B1342" s="49"/>
      <c r="C1342" s="48"/>
      <c r="D1342" s="48"/>
      <c r="E1342" s="48"/>
      <c r="F1342" s="48"/>
      <c r="G1342" s="48"/>
      <c r="H1342" s="48"/>
      <c r="I1342" s="48"/>
      <c r="J1342" s="48"/>
      <c r="K1342" s="48"/>
      <c r="L1342" s="48"/>
      <c r="M1342" s="48"/>
    </row>
    <row r="1343" spans="1:13">
      <c r="A1343" s="48"/>
      <c r="B1343" s="49"/>
      <c r="C1343" s="48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</row>
    <row r="1344" spans="1:13">
      <c r="A1344" s="48"/>
      <c r="B1344" s="49"/>
      <c r="C1344" s="48"/>
      <c r="D1344" s="48"/>
      <c r="E1344" s="48"/>
      <c r="F1344" s="48"/>
      <c r="G1344" s="48"/>
      <c r="H1344" s="48"/>
      <c r="I1344" s="48"/>
      <c r="J1344" s="48"/>
      <c r="K1344" s="48"/>
      <c r="L1344" s="48"/>
      <c r="M1344" s="48"/>
    </row>
    <row r="1345" spans="1:13">
      <c r="A1345" s="48"/>
      <c r="B1345" s="49"/>
      <c r="C1345" s="48"/>
      <c r="D1345" s="48"/>
      <c r="E1345" s="48"/>
      <c r="F1345" s="48"/>
      <c r="G1345" s="48"/>
      <c r="H1345" s="48"/>
      <c r="I1345" s="48"/>
      <c r="J1345" s="48"/>
      <c r="K1345" s="48"/>
      <c r="L1345" s="48"/>
      <c r="M1345" s="48"/>
    </row>
    <row r="1346" spans="1:13">
      <c r="A1346" s="48"/>
      <c r="B1346" s="49"/>
      <c r="C1346" s="48"/>
      <c r="D1346" s="48"/>
      <c r="E1346" s="48"/>
      <c r="F1346" s="48"/>
      <c r="G1346" s="48"/>
      <c r="H1346" s="48"/>
      <c r="I1346" s="48"/>
      <c r="J1346" s="48"/>
      <c r="K1346" s="48"/>
      <c r="L1346" s="48"/>
      <c r="M1346" s="48"/>
    </row>
    <row r="1347" spans="1:13">
      <c r="A1347" s="48"/>
      <c r="B1347" s="49"/>
      <c r="C1347" s="48"/>
      <c r="D1347" s="48"/>
      <c r="E1347" s="48"/>
      <c r="F1347" s="48"/>
      <c r="G1347" s="48"/>
      <c r="H1347" s="48"/>
      <c r="I1347" s="48"/>
      <c r="J1347" s="48"/>
      <c r="K1347" s="48"/>
      <c r="L1347" s="48"/>
      <c r="M1347" s="48"/>
    </row>
    <row r="1348" spans="1:13">
      <c r="A1348" s="48"/>
      <c r="B1348" s="49"/>
      <c r="C1348" s="48"/>
      <c r="D1348" s="48"/>
      <c r="E1348" s="48"/>
      <c r="F1348" s="48"/>
      <c r="G1348" s="48"/>
      <c r="H1348" s="48"/>
      <c r="I1348" s="48"/>
      <c r="J1348" s="48"/>
      <c r="K1348" s="48"/>
      <c r="L1348" s="48"/>
      <c r="M1348" s="48"/>
    </row>
    <row r="1349" spans="1:13">
      <c r="A1349" s="48"/>
      <c r="B1349" s="49"/>
      <c r="C1349" s="48"/>
      <c r="D1349" s="48"/>
      <c r="E1349" s="48"/>
      <c r="F1349" s="48"/>
      <c r="G1349" s="48"/>
      <c r="H1349" s="48"/>
      <c r="I1349" s="48"/>
      <c r="J1349" s="48"/>
      <c r="K1349" s="48"/>
      <c r="L1349" s="48"/>
      <c r="M1349" s="48"/>
    </row>
    <row r="1350" spans="1:13">
      <c r="A1350" s="48"/>
      <c r="B1350" s="49"/>
      <c r="C1350" s="48"/>
      <c r="D1350" s="48"/>
      <c r="E1350" s="48"/>
      <c r="F1350" s="48"/>
      <c r="G1350" s="48"/>
      <c r="H1350" s="48"/>
      <c r="I1350" s="48"/>
      <c r="J1350" s="48"/>
      <c r="K1350" s="48"/>
      <c r="L1350" s="48"/>
      <c r="M1350" s="48"/>
    </row>
    <row r="1351" spans="1:13">
      <c r="A1351" s="48"/>
      <c r="B1351" s="49"/>
      <c r="C1351" s="48"/>
      <c r="D1351" s="48"/>
      <c r="E1351" s="48"/>
      <c r="F1351" s="48"/>
      <c r="G1351" s="48"/>
      <c r="H1351" s="48"/>
      <c r="I1351" s="48"/>
      <c r="J1351" s="48"/>
      <c r="K1351" s="48"/>
      <c r="L1351" s="48"/>
      <c r="M1351" s="48"/>
    </row>
    <row r="1352" spans="1:13">
      <c r="A1352" s="48"/>
      <c r="B1352" s="49"/>
      <c r="C1352" s="48"/>
      <c r="D1352" s="48"/>
      <c r="E1352" s="48"/>
      <c r="F1352" s="48"/>
      <c r="G1352" s="48"/>
      <c r="H1352" s="48"/>
      <c r="I1352" s="48"/>
      <c r="J1352" s="48"/>
      <c r="K1352" s="48"/>
      <c r="L1352" s="48"/>
      <c r="M1352" s="48"/>
    </row>
    <row r="1353" spans="1:13">
      <c r="A1353" s="48"/>
      <c r="B1353" s="49"/>
      <c r="C1353" s="48"/>
      <c r="D1353" s="48"/>
      <c r="E1353" s="48"/>
      <c r="F1353" s="48"/>
      <c r="G1353" s="48"/>
      <c r="H1353" s="48"/>
      <c r="I1353" s="48"/>
      <c r="J1353" s="48"/>
      <c r="K1353" s="48"/>
      <c r="L1353" s="48"/>
      <c r="M1353" s="48"/>
    </row>
    <row r="1354" spans="1:13">
      <c r="A1354" s="48"/>
      <c r="B1354" s="49"/>
      <c r="C1354" s="48"/>
      <c r="D1354" s="48"/>
      <c r="E1354" s="48"/>
      <c r="F1354" s="48"/>
      <c r="G1354" s="48"/>
      <c r="H1354" s="48"/>
      <c r="I1354" s="48"/>
      <c r="J1354" s="48"/>
      <c r="K1354" s="48"/>
      <c r="L1354" s="48"/>
      <c r="M1354" s="48"/>
    </row>
    <row r="1355" spans="1:13">
      <c r="A1355" s="48"/>
      <c r="B1355" s="49"/>
      <c r="C1355" s="48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</row>
    <row r="1356" spans="1:13">
      <c r="A1356" s="48"/>
      <c r="B1356" s="49"/>
      <c r="C1356" s="48"/>
      <c r="D1356" s="48"/>
      <c r="E1356" s="48"/>
      <c r="F1356" s="48"/>
      <c r="G1356" s="48"/>
      <c r="H1356" s="48"/>
      <c r="I1356" s="48"/>
      <c r="J1356" s="48"/>
      <c r="K1356" s="48"/>
      <c r="L1356" s="48"/>
      <c r="M1356" s="48"/>
    </row>
    <row r="1357" spans="1:13">
      <c r="A1357" s="48"/>
      <c r="B1357" s="49"/>
      <c r="C1357" s="48"/>
      <c r="D1357" s="48"/>
      <c r="E1357" s="48"/>
      <c r="F1357" s="48"/>
      <c r="G1357" s="48"/>
      <c r="H1357" s="48"/>
      <c r="I1357" s="48"/>
      <c r="J1357" s="48"/>
      <c r="K1357" s="48"/>
      <c r="L1357" s="48"/>
      <c r="M1357" s="48"/>
    </row>
    <row r="1358" spans="1:13">
      <c r="A1358" s="48"/>
      <c r="B1358" s="49"/>
      <c r="C1358" s="48"/>
      <c r="D1358" s="48"/>
      <c r="E1358" s="48"/>
      <c r="F1358" s="48"/>
      <c r="G1358" s="48"/>
      <c r="H1358" s="48"/>
      <c r="I1358" s="48"/>
      <c r="J1358" s="48"/>
      <c r="K1358" s="48"/>
      <c r="L1358" s="48"/>
      <c r="M1358" s="48"/>
    </row>
    <row r="1359" spans="1:13">
      <c r="A1359" s="48"/>
      <c r="B1359" s="49"/>
      <c r="C1359" s="48"/>
      <c r="D1359" s="48"/>
      <c r="E1359" s="48"/>
      <c r="F1359" s="48"/>
      <c r="G1359" s="48"/>
      <c r="H1359" s="48"/>
      <c r="I1359" s="48"/>
      <c r="J1359" s="48"/>
      <c r="K1359" s="48"/>
      <c r="L1359" s="48"/>
      <c r="M1359" s="48"/>
    </row>
    <row r="1360" spans="1:13">
      <c r="A1360" s="48"/>
      <c r="B1360" s="49"/>
      <c r="C1360" s="48"/>
      <c r="D1360" s="48"/>
      <c r="E1360" s="48"/>
      <c r="F1360" s="48"/>
      <c r="G1360" s="48"/>
      <c r="H1360" s="48"/>
      <c r="I1360" s="48"/>
      <c r="J1360" s="48"/>
      <c r="K1360" s="48"/>
      <c r="L1360" s="48"/>
      <c r="M1360" s="48"/>
    </row>
    <row r="1361" spans="1:13">
      <c r="A1361" s="48"/>
      <c r="B1361" s="49"/>
      <c r="C1361" s="48"/>
      <c r="D1361" s="48"/>
      <c r="E1361" s="48"/>
      <c r="F1361" s="48"/>
      <c r="G1361" s="48"/>
      <c r="H1361" s="48"/>
      <c r="I1361" s="48"/>
      <c r="J1361" s="48"/>
      <c r="K1361" s="48"/>
      <c r="L1361" s="48"/>
      <c r="M1361" s="48"/>
    </row>
    <row r="1362" spans="1:13">
      <c r="A1362" s="48"/>
      <c r="B1362" s="49"/>
      <c r="C1362" s="48"/>
      <c r="D1362" s="48"/>
      <c r="E1362" s="48"/>
      <c r="F1362" s="48"/>
      <c r="G1362" s="48"/>
      <c r="H1362" s="48"/>
      <c r="I1362" s="48"/>
      <c r="J1362" s="48"/>
      <c r="K1362" s="48"/>
      <c r="L1362" s="48"/>
      <c r="M1362" s="48"/>
    </row>
    <row r="1363" spans="1:13">
      <c r="A1363" s="48"/>
      <c r="B1363" s="49"/>
      <c r="C1363" s="48"/>
      <c r="D1363" s="48"/>
      <c r="E1363" s="48"/>
      <c r="F1363" s="48"/>
      <c r="G1363" s="48"/>
      <c r="H1363" s="48"/>
      <c r="I1363" s="48"/>
      <c r="J1363" s="48"/>
      <c r="K1363" s="48"/>
      <c r="L1363" s="48"/>
      <c r="M1363" s="48"/>
    </row>
    <row r="1364" spans="1:13">
      <c r="A1364" s="48"/>
      <c r="B1364" s="49"/>
      <c r="C1364" s="48"/>
      <c r="D1364" s="48"/>
      <c r="E1364" s="48"/>
      <c r="F1364" s="48"/>
      <c r="G1364" s="48"/>
      <c r="H1364" s="48"/>
      <c r="I1364" s="48"/>
      <c r="J1364" s="48"/>
      <c r="K1364" s="48"/>
      <c r="L1364" s="48"/>
      <c r="M1364" s="48"/>
    </row>
    <row r="1365" spans="1:13">
      <c r="A1365" s="48"/>
      <c r="B1365" s="49"/>
      <c r="C1365" s="48"/>
      <c r="D1365" s="48"/>
      <c r="E1365" s="48"/>
      <c r="F1365" s="48"/>
      <c r="G1365" s="48"/>
      <c r="H1365" s="48"/>
      <c r="I1365" s="48"/>
      <c r="J1365" s="48"/>
      <c r="K1365" s="48"/>
      <c r="L1365" s="48"/>
      <c r="M1365" s="48"/>
    </row>
    <row r="1366" spans="1:13">
      <c r="A1366" s="48"/>
      <c r="B1366" s="49"/>
      <c r="C1366" s="48"/>
      <c r="D1366" s="48"/>
      <c r="E1366" s="48"/>
      <c r="F1366" s="48"/>
      <c r="G1366" s="48"/>
      <c r="H1366" s="48"/>
      <c r="I1366" s="48"/>
      <c r="J1366" s="48"/>
      <c r="K1366" s="48"/>
      <c r="L1366" s="48"/>
      <c r="M1366" s="48"/>
    </row>
    <row r="1367" spans="1:13">
      <c r="A1367" s="48"/>
      <c r="B1367" s="49"/>
      <c r="C1367" s="48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</row>
    <row r="1368" spans="1:13">
      <c r="A1368" s="48"/>
      <c r="B1368" s="49"/>
      <c r="C1368" s="48"/>
      <c r="D1368" s="48"/>
      <c r="E1368" s="48"/>
      <c r="F1368" s="48"/>
      <c r="G1368" s="48"/>
      <c r="H1368" s="48"/>
      <c r="I1368" s="48"/>
      <c r="J1368" s="48"/>
      <c r="K1368" s="48"/>
      <c r="L1368" s="48"/>
      <c r="M1368" s="48"/>
    </row>
    <row r="1369" spans="1:13">
      <c r="A1369" s="48"/>
      <c r="B1369" s="49"/>
      <c r="C1369" s="48"/>
      <c r="D1369" s="48"/>
      <c r="E1369" s="48"/>
      <c r="F1369" s="48"/>
      <c r="G1369" s="48"/>
      <c r="H1369" s="48"/>
      <c r="I1369" s="48"/>
      <c r="J1369" s="48"/>
      <c r="K1369" s="48"/>
      <c r="L1369" s="48"/>
      <c r="M1369" s="48"/>
    </row>
    <row r="1370" spans="1:13">
      <c r="A1370" s="48"/>
      <c r="B1370" s="49"/>
      <c r="C1370" s="48"/>
      <c r="D1370" s="48"/>
      <c r="E1370" s="48"/>
      <c r="F1370" s="48"/>
      <c r="G1370" s="48"/>
      <c r="H1370" s="48"/>
      <c r="I1370" s="48"/>
      <c r="J1370" s="48"/>
      <c r="K1370" s="48"/>
      <c r="L1370" s="48"/>
      <c r="M1370" s="48"/>
    </row>
    <row r="1371" spans="1:13">
      <c r="A1371" s="48"/>
      <c r="B1371" s="49"/>
      <c r="C1371" s="48"/>
      <c r="D1371" s="48"/>
      <c r="E1371" s="48"/>
      <c r="F1371" s="48"/>
      <c r="G1371" s="48"/>
      <c r="H1371" s="48"/>
      <c r="I1371" s="48"/>
      <c r="J1371" s="48"/>
      <c r="K1371" s="48"/>
      <c r="L1371" s="48"/>
      <c r="M1371" s="48"/>
    </row>
    <row r="1372" spans="1:13">
      <c r="A1372" s="48"/>
      <c r="B1372" s="49"/>
      <c r="C1372" s="48"/>
      <c r="D1372" s="48"/>
      <c r="E1372" s="48"/>
      <c r="F1372" s="48"/>
      <c r="G1372" s="48"/>
      <c r="H1372" s="48"/>
      <c r="I1372" s="48"/>
      <c r="J1372" s="48"/>
      <c r="K1372" s="48"/>
      <c r="L1372" s="48"/>
      <c r="M1372" s="48"/>
    </row>
    <row r="1373" spans="1:13">
      <c r="A1373" s="48"/>
      <c r="B1373" s="49"/>
      <c r="C1373" s="48"/>
      <c r="D1373" s="48"/>
      <c r="E1373" s="48"/>
      <c r="F1373" s="48"/>
      <c r="G1373" s="48"/>
      <c r="H1373" s="48"/>
      <c r="I1373" s="48"/>
      <c r="J1373" s="48"/>
      <c r="K1373" s="48"/>
      <c r="L1373" s="48"/>
      <c r="M1373" s="48"/>
    </row>
    <row r="1374" spans="1:13">
      <c r="A1374" s="48"/>
      <c r="B1374" s="49"/>
      <c r="C1374" s="48"/>
      <c r="D1374" s="48"/>
      <c r="E1374" s="48"/>
      <c r="F1374" s="48"/>
      <c r="G1374" s="48"/>
      <c r="H1374" s="48"/>
      <c r="I1374" s="48"/>
      <c r="J1374" s="48"/>
      <c r="K1374" s="48"/>
      <c r="L1374" s="48"/>
      <c r="M1374" s="48"/>
    </row>
    <row r="1375" spans="1:13">
      <c r="A1375" s="48"/>
      <c r="B1375" s="49"/>
      <c r="C1375" s="48"/>
      <c r="D1375" s="48"/>
      <c r="E1375" s="48"/>
      <c r="F1375" s="48"/>
      <c r="G1375" s="48"/>
      <c r="H1375" s="48"/>
      <c r="I1375" s="48"/>
      <c r="J1375" s="48"/>
      <c r="K1375" s="48"/>
      <c r="L1375" s="48"/>
      <c r="M1375" s="48"/>
    </row>
    <row r="1376" spans="1:13">
      <c r="A1376" s="48"/>
      <c r="B1376" s="49"/>
      <c r="C1376" s="48"/>
      <c r="D1376" s="48"/>
      <c r="E1376" s="48"/>
      <c r="F1376" s="48"/>
      <c r="G1376" s="48"/>
      <c r="H1376" s="48"/>
      <c r="I1376" s="48"/>
      <c r="J1376" s="48"/>
      <c r="K1376" s="48"/>
      <c r="L1376" s="48"/>
      <c r="M1376" s="48"/>
    </row>
    <row r="1377" spans="1:13">
      <c r="A1377" s="48"/>
      <c r="B1377" s="49"/>
      <c r="C1377" s="48"/>
      <c r="D1377" s="48"/>
      <c r="E1377" s="48"/>
      <c r="F1377" s="48"/>
      <c r="G1377" s="48"/>
      <c r="H1377" s="48"/>
      <c r="I1377" s="48"/>
      <c r="J1377" s="48"/>
      <c r="K1377" s="48"/>
      <c r="L1377" s="48"/>
      <c r="M1377" s="48"/>
    </row>
    <row r="1378" spans="1:13">
      <c r="A1378" s="48"/>
      <c r="B1378" s="49"/>
      <c r="C1378" s="48"/>
      <c r="D1378" s="48"/>
      <c r="E1378" s="48"/>
      <c r="F1378" s="48"/>
      <c r="G1378" s="48"/>
      <c r="H1378" s="48"/>
      <c r="I1378" s="48"/>
      <c r="J1378" s="48"/>
      <c r="K1378" s="48"/>
      <c r="L1378" s="48"/>
      <c r="M1378" s="48"/>
    </row>
    <row r="1379" spans="1:13">
      <c r="A1379" s="48"/>
      <c r="B1379" s="49"/>
      <c r="C1379" s="48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</row>
    <row r="1380" spans="1:13">
      <c r="A1380" s="48"/>
      <c r="B1380" s="49"/>
      <c r="C1380" s="48"/>
      <c r="D1380" s="48"/>
      <c r="E1380" s="48"/>
      <c r="F1380" s="48"/>
      <c r="G1380" s="48"/>
      <c r="H1380" s="48"/>
      <c r="I1380" s="48"/>
      <c r="J1380" s="48"/>
      <c r="K1380" s="48"/>
      <c r="L1380" s="48"/>
      <c r="M1380" s="48"/>
    </row>
    <row r="1381" spans="1:13">
      <c r="A1381" s="48"/>
      <c r="B1381" s="49"/>
      <c r="C1381" s="48"/>
      <c r="D1381" s="48"/>
      <c r="E1381" s="48"/>
      <c r="F1381" s="48"/>
      <c r="G1381" s="48"/>
      <c r="H1381" s="48"/>
      <c r="I1381" s="48"/>
      <c r="J1381" s="48"/>
      <c r="K1381" s="48"/>
      <c r="L1381" s="48"/>
      <c r="M1381" s="48"/>
    </row>
    <row r="1382" spans="1:13">
      <c r="A1382" s="48"/>
      <c r="B1382" s="49"/>
      <c r="C1382" s="48"/>
      <c r="D1382" s="48"/>
      <c r="E1382" s="48"/>
      <c r="F1382" s="48"/>
      <c r="G1382" s="48"/>
      <c r="H1382" s="48"/>
      <c r="I1382" s="48"/>
      <c r="J1382" s="48"/>
      <c r="K1382" s="48"/>
      <c r="L1382" s="48"/>
      <c r="M1382" s="48"/>
    </row>
    <row r="1383" spans="1:13">
      <c r="A1383" s="48"/>
      <c r="B1383" s="49"/>
      <c r="C1383" s="48"/>
      <c r="D1383" s="48"/>
      <c r="E1383" s="48"/>
      <c r="F1383" s="48"/>
      <c r="G1383" s="48"/>
      <c r="H1383" s="48"/>
      <c r="I1383" s="48"/>
      <c r="J1383" s="48"/>
      <c r="K1383" s="48"/>
      <c r="L1383" s="48"/>
      <c r="M1383" s="48"/>
    </row>
    <row r="1384" spans="1:13">
      <c r="A1384" s="48"/>
      <c r="B1384" s="49"/>
      <c r="C1384" s="48"/>
      <c r="D1384" s="48"/>
      <c r="E1384" s="48"/>
      <c r="F1384" s="48"/>
      <c r="G1384" s="48"/>
      <c r="H1384" s="48"/>
      <c r="I1384" s="48"/>
      <c r="J1384" s="48"/>
      <c r="K1384" s="48"/>
      <c r="L1384" s="48"/>
      <c r="M1384" s="48"/>
    </row>
    <row r="1385" spans="1:13">
      <c r="A1385" s="48"/>
      <c r="B1385" s="49"/>
      <c r="C1385" s="48"/>
      <c r="D1385" s="48"/>
      <c r="E1385" s="48"/>
      <c r="F1385" s="48"/>
      <c r="G1385" s="48"/>
      <c r="H1385" s="48"/>
      <c r="I1385" s="48"/>
      <c r="J1385" s="48"/>
      <c r="K1385" s="48"/>
      <c r="L1385" s="48"/>
      <c r="M1385" s="48"/>
    </row>
    <row r="1386" spans="1:13">
      <c r="A1386" s="48"/>
      <c r="B1386" s="49"/>
      <c r="C1386" s="48"/>
      <c r="D1386" s="48"/>
      <c r="E1386" s="48"/>
      <c r="F1386" s="48"/>
      <c r="G1386" s="48"/>
      <c r="H1386" s="48"/>
      <c r="I1386" s="48"/>
      <c r="J1386" s="48"/>
      <c r="K1386" s="48"/>
      <c r="L1386" s="48"/>
      <c r="M1386" s="48"/>
    </row>
    <row r="1387" spans="1:13">
      <c r="A1387" s="48"/>
      <c r="B1387" s="49"/>
      <c r="C1387" s="48"/>
      <c r="D1387" s="48"/>
      <c r="E1387" s="48"/>
      <c r="F1387" s="48"/>
      <c r="G1387" s="48"/>
      <c r="H1387" s="48"/>
      <c r="I1387" s="48"/>
      <c r="J1387" s="48"/>
      <c r="K1387" s="48"/>
      <c r="L1387" s="48"/>
      <c r="M1387" s="48"/>
    </row>
    <row r="1388" spans="1:13">
      <c r="A1388" s="48"/>
      <c r="B1388" s="49"/>
      <c r="C1388" s="48"/>
      <c r="D1388" s="48"/>
      <c r="E1388" s="48"/>
      <c r="F1388" s="48"/>
      <c r="G1388" s="48"/>
      <c r="H1388" s="48"/>
      <c r="I1388" s="48"/>
      <c r="J1388" s="48"/>
      <c r="K1388" s="48"/>
      <c r="L1388" s="48"/>
      <c r="M1388" s="48"/>
    </row>
    <row r="1389" spans="1:13">
      <c r="A1389" s="48"/>
      <c r="B1389" s="49"/>
      <c r="C1389" s="48"/>
      <c r="D1389" s="48"/>
      <c r="E1389" s="48"/>
      <c r="F1389" s="48"/>
      <c r="G1389" s="48"/>
      <c r="H1389" s="48"/>
      <c r="I1389" s="48"/>
      <c r="J1389" s="48"/>
      <c r="K1389" s="48"/>
      <c r="L1389" s="48"/>
      <c r="M1389" s="48"/>
    </row>
    <row r="1390" spans="1:13">
      <c r="A1390" s="48"/>
      <c r="B1390" s="49"/>
      <c r="C1390" s="48"/>
      <c r="D1390" s="48"/>
      <c r="E1390" s="48"/>
      <c r="F1390" s="48"/>
      <c r="G1390" s="48"/>
      <c r="H1390" s="48"/>
      <c r="I1390" s="48"/>
      <c r="J1390" s="48"/>
      <c r="K1390" s="48"/>
      <c r="L1390" s="48"/>
      <c r="M1390" s="48"/>
    </row>
    <row r="1391" spans="1:13">
      <c r="A1391" s="48"/>
      <c r="B1391" s="49"/>
      <c r="C1391" s="48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</row>
    <row r="1392" spans="1:13">
      <c r="A1392" s="48"/>
      <c r="B1392" s="49"/>
      <c r="C1392" s="48"/>
      <c r="D1392" s="48"/>
      <c r="E1392" s="48"/>
      <c r="F1392" s="48"/>
      <c r="G1392" s="48"/>
      <c r="H1392" s="48"/>
      <c r="I1392" s="48"/>
      <c r="J1392" s="48"/>
      <c r="K1392" s="48"/>
      <c r="L1392" s="48"/>
      <c r="M1392" s="48"/>
    </row>
    <row r="1393" spans="1:13">
      <c r="A1393" s="48"/>
      <c r="B1393" s="49"/>
      <c r="C1393" s="48"/>
      <c r="D1393" s="48"/>
      <c r="E1393" s="48"/>
      <c r="F1393" s="48"/>
      <c r="G1393" s="48"/>
      <c r="H1393" s="48"/>
      <c r="I1393" s="48"/>
      <c r="J1393" s="48"/>
      <c r="K1393" s="48"/>
      <c r="L1393" s="48"/>
      <c r="M1393" s="48"/>
    </row>
    <row r="1394" spans="1:13">
      <c r="A1394" s="48"/>
      <c r="B1394" s="49"/>
      <c r="C1394" s="48"/>
      <c r="D1394" s="48"/>
      <c r="E1394" s="48"/>
      <c r="F1394" s="48"/>
      <c r="G1394" s="48"/>
      <c r="H1394" s="48"/>
      <c r="I1394" s="48"/>
      <c r="J1394" s="48"/>
      <c r="K1394" s="48"/>
      <c r="L1394" s="48"/>
      <c r="M1394" s="48"/>
    </row>
    <row r="1395" spans="1:13">
      <c r="A1395" s="48"/>
      <c r="B1395" s="49"/>
      <c r="C1395" s="48"/>
      <c r="D1395" s="48"/>
      <c r="E1395" s="48"/>
      <c r="F1395" s="48"/>
      <c r="G1395" s="48"/>
      <c r="H1395" s="48"/>
      <c r="I1395" s="48"/>
      <c r="J1395" s="48"/>
      <c r="K1395" s="48"/>
      <c r="L1395" s="48"/>
      <c r="M1395" s="48"/>
    </row>
    <row r="1396" spans="1:13">
      <c r="A1396" s="48"/>
      <c r="B1396" s="49"/>
      <c r="C1396" s="48"/>
      <c r="D1396" s="48"/>
      <c r="E1396" s="48"/>
      <c r="F1396" s="48"/>
      <c r="G1396" s="48"/>
      <c r="H1396" s="48"/>
      <c r="I1396" s="48"/>
      <c r="J1396" s="48"/>
      <c r="K1396" s="48"/>
      <c r="L1396" s="48"/>
      <c r="M1396" s="48"/>
    </row>
    <row r="1397" spans="1:13">
      <c r="A1397" s="48"/>
      <c r="B1397" s="49"/>
      <c r="C1397" s="48"/>
      <c r="D1397" s="48"/>
      <c r="E1397" s="48"/>
      <c r="F1397" s="48"/>
      <c r="G1397" s="48"/>
      <c r="H1397" s="48"/>
      <c r="I1397" s="48"/>
      <c r="J1397" s="48"/>
      <c r="K1397" s="48"/>
      <c r="L1397" s="48"/>
      <c r="M1397" s="48"/>
    </row>
    <row r="1398" spans="1:13">
      <c r="A1398" s="48"/>
      <c r="B1398" s="49"/>
      <c r="C1398" s="48"/>
      <c r="D1398" s="48"/>
      <c r="E1398" s="48"/>
      <c r="F1398" s="48"/>
      <c r="G1398" s="48"/>
      <c r="H1398" s="48"/>
      <c r="I1398" s="48"/>
      <c r="J1398" s="48"/>
      <c r="K1398" s="48"/>
      <c r="L1398" s="48"/>
      <c r="M1398" s="48"/>
    </row>
    <row r="1399" spans="1:13">
      <c r="A1399" s="48"/>
      <c r="B1399" s="49"/>
      <c r="C1399" s="48"/>
      <c r="D1399" s="48"/>
      <c r="E1399" s="48"/>
      <c r="F1399" s="48"/>
      <c r="G1399" s="48"/>
      <c r="H1399" s="48"/>
      <c r="I1399" s="48"/>
      <c r="J1399" s="48"/>
      <c r="K1399" s="48"/>
      <c r="L1399" s="48"/>
      <c r="M1399" s="48"/>
    </row>
    <row r="1400" spans="1:13">
      <c r="A1400" s="48"/>
      <c r="B1400" s="49"/>
      <c r="C1400" s="48"/>
      <c r="D1400" s="48"/>
      <c r="E1400" s="48"/>
      <c r="F1400" s="48"/>
      <c r="G1400" s="48"/>
      <c r="H1400" s="48"/>
      <c r="I1400" s="48"/>
      <c r="J1400" s="48"/>
      <c r="K1400" s="48"/>
      <c r="L1400" s="48"/>
      <c r="M1400" s="48"/>
    </row>
    <row r="1401" spans="1:13">
      <c r="A1401" s="48"/>
      <c r="B1401" s="49"/>
      <c r="C1401" s="48"/>
      <c r="D1401" s="48"/>
      <c r="E1401" s="48"/>
      <c r="F1401" s="48"/>
      <c r="G1401" s="48"/>
      <c r="H1401" s="48"/>
      <c r="I1401" s="48"/>
      <c r="J1401" s="48"/>
      <c r="K1401" s="48"/>
      <c r="L1401" s="48"/>
      <c r="M1401" s="48"/>
    </row>
    <row r="1402" spans="1:13">
      <c r="A1402" s="48"/>
      <c r="B1402" s="49"/>
      <c r="C1402" s="48"/>
      <c r="D1402" s="48"/>
      <c r="E1402" s="48"/>
      <c r="F1402" s="48"/>
      <c r="G1402" s="48"/>
      <c r="H1402" s="48"/>
      <c r="I1402" s="48"/>
      <c r="J1402" s="48"/>
      <c r="K1402" s="48"/>
      <c r="L1402" s="48"/>
      <c r="M1402" s="48"/>
    </row>
    <row r="1403" spans="1:13">
      <c r="A1403" s="48"/>
      <c r="B1403" s="49"/>
      <c r="C1403" s="48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</row>
    <row r="1404" spans="1:13">
      <c r="A1404" s="48"/>
      <c r="B1404" s="49"/>
      <c r="C1404" s="48"/>
      <c r="D1404" s="48"/>
      <c r="E1404" s="48"/>
      <c r="F1404" s="48"/>
      <c r="G1404" s="48"/>
      <c r="H1404" s="48"/>
      <c r="I1404" s="48"/>
      <c r="J1404" s="48"/>
      <c r="K1404" s="48"/>
      <c r="L1404" s="48"/>
      <c r="M1404" s="48"/>
    </row>
    <row r="1405" spans="1:13">
      <c r="A1405" s="48"/>
      <c r="B1405" s="49"/>
      <c r="C1405" s="48"/>
      <c r="D1405" s="48"/>
      <c r="E1405" s="48"/>
      <c r="F1405" s="48"/>
      <c r="G1405" s="48"/>
      <c r="H1405" s="48"/>
      <c r="I1405" s="48"/>
      <c r="J1405" s="48"/>
      <c r="K1405" s="48"/>
      <c r="L1405" s="48"/>
      <c r="M1405" s="48"/>
    </row>
    <row r="1406" spans="1:13">
      <c r="A1406" s="48"/>
      <c r="B1406" s="49"/>
      <c r="C1406" s="48"/>
      <c r="D1406" s="48"/>
      <c r="E1406" s="48"/>
      <c r="F1406" s="48"/>
      <c r="G1406" s="48"/>
      <c r="H1406" s="48"/>
      <c r="I1406" s="48"/>
      <c r="J1406" s="48"/>
      <c r="K1406" s="48"/>
      <c r="L1406" s="48"/>
      <c r="M1406" s="48"/>
    </row>
    <row r="1407" spans="1:13">
      <c r="A1407" s="48"/>
      <c r="B1407" s="49"/>
      <c r="C1407" s="48"/>
      <c r="D1407" s="48"/>
      <c r="E1407" s="48"/>
      <c r="F1407" s="48"/>
      <c r="G1407" s="48"/>
      <c r="H1407" s="48"/>
      <c r="I1407" s="48"/>
      <c r="J1407" s="48"/>
      <c r="K1407" s="48"/>
      <c r="L1407" s="48"/>
      <c r="M1407" s="48"/>
    </row>
    <row r="1408" spans="1:13">
      <c r="A1408" s="48"/>
      <c r="B1408" s="49"/>
      <c r="C1408" s="48"/>
      <c r="D1408" s="48"/>
      <c r="E1408" s="48"/>
      <c r="F1408" s="48"/>
      <c r="G1408" s="48"/>
      <c r="H1408" s="48"/>
      <c r="I1408" s="48"/>
      <c r="J1408" s="48"/>
      <c r="K1408" s="48"/>
      <c r="L1408" s="48"/>
      <c r="M1408" s="48"/>
    </row>
    <row r="1409" spans="1:13">
      <c r="A1409" s="48"/>
      <c r="B1409" s="49"/>
      <c r="C1409" s="48"/>
      <c r="D1409" s="48"/>
      <c r="E1409" s="48"/>
      <c r="F1409" s="48"/>
      <c r="G1409" s="48"/>
      <c r="H1409" s="48"/>
      <c r="I1409" s="48"/>
      <c r="J1409" s="48"/>
      <c r="K1409" s="48"/>
      <c r="L1409" s="48"/>
      <c r="M1409" s="48"/>
    </row>
    <row r="1410" spans="1:13">
      <c r="A1410" s="48"/>
      <c r="B1410" s="49"/>
      <c r="C1410" s="48"/>
      <c r="D1410" s="48"/>
      <c r="E1410" s="48"/>
      <c r="F1410" s="48"/>
      <c r="G1410" s="48"/>
      <c r="H1410" s="48"/>
      <c r="I1410" s="48"/>
      <c r="J1410" s="48"/>
      <c r="K1410" s="48"/>
      <c r="L1410" s="48"/>
      <c r="M1410" s="48"/>
    </row>
    <row r="1411" spans="1:13">
      <c r="A1411" s="48"/>
      <c r="B1411" s="49"/>
      <c r="C1411" s="48"/>
      <c r="D1411" s="48"/>
      <c r="E1411" s="48"/>
      <c r="F1411" s="48"/>
      <c r="G1411" s="48"/>
      <c r="H1411" s="48"/>
      <c r="I1411" s="48"/>
      <c r="J1411" s="48"/>
      <c r="K1411" s="48"/>
      <c r="L1411" s="48"/>
      <c r="M1411" s="48"/>
    </row>
    <row r="1412" spans="1:13">
      <c r="A1412" s="48"/>
      <c r="B1412" s="49"/>
      <c r="C1412" s="48"/>
      <c r="D1412" s="48"/>
      <c r="E1412" s="48"/>
      <c r="F1412" s="48"/>
      <c r="G1412" s="48"/>
      <c r="H1412" s="48"/>
      <c r="I1412" s="48"/>
      <c r="J1412" s="48"/>
      <c r="K1412" s="48"/>
      <c r="L1412" s="48"/>
      <c r="M1412" s="48"/>
    </row>
    <row r="1413" spans="1:13">
      <c r="A1413" s="48"/>
      <c r="B1413" s="49"/>
      <c r="C1413" s="48"/>
      <c r="D1413" s="48"/>
      <c r="E1413" s="48"/>
      <c r="F1413" s="48"/>
      <c r="G1413" s="48"/>
      <c r="H1413" s="48"/>
      <c r="I1413" s="48"/>
      <c r="J1413" s="48"/>
      <c r="K1413" s="48"/>
      <c r="L1413" s="48"/>
      <c r="M1413" s="48"/>
    </row>
    <row r="1414" spans="1:13">
      <c r="A1414" s="48"/>
      <c r="B1414" s="49"/>
      <c r="C1414" s="48"/>
      <c r="D1414" s="48"/>
      <c r="E1414" s="48"/>
      <c r="F1414" s="48"/>
      <c r="G1414" s="48"/>
      <c r="H1414" s="48"/>
      <c r="I1414" s="48"/>
      <c r="J1414" s="48"/>
      <c r="K1414" s="48"/>
      <c r="L1414" s="48"/>
      <c r="M1414" s="48"/>
    </row>
    <row r="1415" spans="1:13">
      <c r="A1415" s="48"/>
      <c r="B1415" s="49"/>
      <c r="C1415" s="48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</row>
    <row r="1416" spans="1:13">
      <c r="A1416" s="48"/>
      <c r="B1416" s="49"/>
      <c r="C1416" s="48"/>
      <c r="D1416" s="48"/>
      <c r="E1416" s="48"/>
      <c r="F1416" s="48"/>
      <c r="G1416" s="48"/>
      <c r="H1416" s="48"/>
      <c r="I1416" s="48"/>
      <c r="J1416" s="48"/>
      <c r="K1416" s="48"/>
      <c r="L1416" s="48"/>
      <c r="M1416" s="48"/>
    </row>
    <row r="1417" spans="1:13">
      <c r="A1417" s="48"/>
      <c r="B1417" s="49"/>
      <c r="C1417" s="48"/>
      <c r="D1417" s="48"/>
      <c r="E1417" s="48"/>
      <c r="F1417" s="48"/>
      <c r="G1417" s="48"/>
      <c r="H1417" s="48"/>
      <c r="I1417" s="48"/>
      <c r="J1417" s="48"/>
      <c r="K1417" s="48"/>
      <c r="L1417" s="48"/>
      <c r="M1417" s="48"/>
    </row>
    <row r="1418" spans="1:13">
      <c r="A1418" s="48"/>
      <c r="B1418" s="49"/>
      <c r="C1418" s="48"/>
      <c r="D1418" s="48"/>
      <c r="E1418" s="48"/>
      <c r="F1418" s="48"/>
      <c r="G1418" s="48"/>
      <c r="H1418" s="48"/>
      <c r="I1418" s="48"/>
      <c r="J1418" s="48"/>
      <c r="K1418" s="48"/>
      <c r="L1418" s="48"/>
      <c r="M1418" s="48"/>
    </row>
    <row r="1419" spans="1:13">
      <c r="A1419" s="48"/>
      <c r="B1419" s="49"/>
      <c r="C1419" s="48"/>
      <c r="D1419" s="48"/>
      <c r="E1419" s="48"/>
      <c r="F1419" s="48"/>
      <c r="G1419" s="48"/>
      <c r="H1419" s="48"/>
      <c r="I1419" s="48"/>
      <c r="J1419" s="48"/>
      <c r="K1419" s="48"/>
      <c r="L1419" s="48"/>
      <c r="M1419" s="48"/>
    </row>
    <row r="1420" spans="1:13">
      <c r="A1420" s="48"/>
      <c r="B1420" s="49"/>
      <c r="C1420" s="48"/>
      <c r="D1420" s="48"/>
      <c r="E1420" s="48"/>
      <c r="F1420" s="48"/>
      <c r="G1420" s="48"/>
      <c r="H1420" s="48"/>
      <c r="I1420" s="48"/>
      <c r="J1420" s="48"/>
      <c r="K1420" s="48"/>
      <c r="L1420" s="48"/>
      <c r="M1420" s="48"/>
    </row>
    <row r="1421" spans="1:13">
      <c r="A1421" s="48"/>
      <c r="B1421" s="49"/>
      <c r="C1421" s="48"/>
      <c r="D1421" s="48"/>
      <c r="E1421" s="48"/>
      <c r="F1421" s="48"/>
      <c r="G1421" s="48"/>
      <c r="H1421" s="48"/>
      <c r="I1421" s="48"/>
      <c r="J1421" s="48"/>
      <c r="K1421" s="48"/>
      <c r="L1421" s="48"/>
      <c r="M1421" s="48"/>
    </row>
    <row r="1422" spans="1:13">
      <c r="A1422" s="48"/>
      <c r="B1422" s="49"/>
      <c r="C1422" s="48"/>
      <c r="D1422" s="48"/>
      <c r="E1422" s="48"/>
      <c r="F1422" s="48"/>
      <c r="G1422" s="48"/>
      <c r="H1422" s="48"/>
      <c r="I1422" s="48"/>
      <c r="J1422" s="48"/>
      <c r="K1422" s="48"/>
      <c r="L1422" s="48"/>
      <c r="M1422" s="48"/>
    </row>
    <row r="1423" spans="1:13">
      <c r="A1423" s="48"/>
      <c r="B1423" s="49"/>
      <c r="C1423" s="48"/>
      <c r="D1423" s="48"/>
      <c r="E1423" s="48"/>
      <c r="F1423" s="48"/>
      <c r="G1423" s="48"/>
      <c r="H1423" s="48"/>
      <c r="I1423" s="48"/>
      <c r="J1423" s="48"/>
      <c r="K1423" s="48"/>
      <c r="L1423" s="48"/>
      <c r="M1423" s="48"/>
    </row>
    <row r="1424" spans="1:13">
      <c r="A1424" s="48"/>
      <c r="B1424" s="49"/>
      <c r="C1424" s="48"/>
      <c r="D1424" s="48"/>
      <c r="E1424" s="48"/>
      <c r="F1424" s="48"/>
      <c r="G1424" s="48"/>
      <c r="H1424" s="48"/>
      <c r="I1424" s="48"/>
      <c r="J1424" s="48"/>
      <c r="K1424" s="48"/>
      <c r="L1424" s="48"/>
      <c r="M1424" s="48"/>
    </row>
    <row r="1425" spans="1:13">
      <c r="A1425" s="48"/>
      <c r="B1425" s="49"/>
      <c r="C1425" s="48"/>
      <c r="D1425" s="48"/>
      <c r="E1425" s="48"/>
      <c r="F1425" s="48"/>
      <c r="G1425" s="48"/>
      <c r="H1425" s="48"/>
      <c r="I1425" s="48"/>
      <c r="J1425" s="48"/>
      <c r="K1425" s="48"/>
      <c r="L1425" s="48"/>
      <c r="M1425" s="48"/>
    </row>
    <row r="1426" spans="1:13">
      <c r="A1426" s="48"/>
      <c r="B1426" s="49"/>
      <c r="C1426" s="48"/>
      <c r="D1426" s="48"/>
      <c r="E1426" s="48"/>
      <c r="F1426" s="48"/>
      <c r="G1426" s="48"/>
      <c r="H1426" s="48"/>
      <c r="I1426" s="48"/>
      <c r="J1426" s="48"/>
      <c r="K1426" s="48"/>
      <c r="L1426" s="48"/>
      <c r="M1426" s="48"/>
    </row>
    <row r="1427" spans="1:13">
      <c r="A1427" s="48"/>
      <c r="B1427" s="49"/>
      <c r="C1427" s="48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</row>
    <row r="1428" spans="1:13">
      <c r="A1428" s="48"/>
      <c r="B1428" s="49"/>
      <c r="C1428" s="48"/>
      <c r="D1428" s="48"/>
      <c r="E1428" s="48"/>
      <c r="F1428" s="48"/>
      <c r="G1428" s="48"/>
      <c r="H1428" s="48"/>
      <c r="I1428" s="48"/>
      <c r="J1428" s="48"/>
      <c r="K1428" s="48"/>
      <c r="L1428" s="48"/>
      <c r="M1428" s="48"/>
    </row>
    <row r="1429" spans="1:13">
      <c r="A1429" s="48"/>
      <c r="B1429" s="49"/>
      <c r="C1429" s="48"/>
      <c r="D1429" s="48"/>
      <c r="E1429" s="48"/>
      <c r="F1429" s="48"/>
      <c r="G1429" s="48"/>
      <c r="H1429" s="48"/>
      <c r="I1429" s="48"/>
      <c r="J1429" s="48"/>
      <c r="K1429" s="48"/>
      <c r="L1429" s="48"/>
      <c r="M1429" s="48"/>
    </row>
    <row r="1430" spans="1:13">
      <c r="A1430" s="48"/>
      <c r="B1430" s="49"/>
      <c r="C1430" s="48"/>
      <c r="D1430" s="48"/>
      <c r="E1430" s="48"/>
      <c r="F1430" s="48"/>
      <c r="G1430" s="48"/>
      <c r="H1430" s="48"/>
      <c r="I1430" s="48"/>
      <c r="J1430" s="48"/>
      <c r="K1430" s="48"/>
      <c r="L1430" s="48"/>
      <c r="M1430" s="48"/>
    </row>
    <row r="1431" spans="1:13">
      <c r="A1431" s="48"/>
      <c r="B1431" s="49"/>
      <c r="C1431" s="48"/>
      <c r="D1431" s="48"/>
      <c r="E1431" s="48"/>
      <c r="F1431" s="48"/>
      <c r="G1431" s="48"/>
      <c r="H1431" s="48"/>
      <c r="I1431" s="48"/>
      <c r="J1431" s="48"/>
      <c r="K1431" s="48"/>
      <c r="L1431" s="48"/>
      <c r="M1431" s="48"/>
    </row>
    <row r="1432" spans="1:13">
      <c r="A1432" s="48"/>
      <c r="B1432" s="49"/>
      <c r="C1432" s="48"/>
      <c r="D1432" s="48"/>
      <c r="E1432" s="48"/>
      <c r="F1432" s="48"/>
      <c r="G1432" s="48"/>
      <c r="H1432" s="48"/>
      <c r="I1432" s="48"/>
      <c r="J1432" s="48"/>
      <c r="K1432" s="48"/>
      <c r="L1432" s="48"/>
      <c r="M1432" s="48"/>
    </row>
    <row r="1433" spans="1:13">
      <c r="A1433" s="48"/>
      <c r="B1433" s="49"/>
      <c r="C1433" s="48"/>
      <c r="D1433" s="48"/>
      <c r="E1433" s="48"/>
      <c r="F1433" s="48"/>
      <c r="G1433" s="48"/>
      <c r="H1433" s="48"/>
      <c r="I1433" s="48"/>
      <c r="J1433" s="48"/>
      <c r="K1433" s="48"/>
      <c r="L1433" s="48"/>
      <c r="M1433" s="48"/>
    </row>
    <row r="1434" spans="1:13">
      <c r="A1434" s="48"/>
      <c r="B1434" s="49"/>
      <c r="C1434" s="48"/>
      <c r="D1434" s="48"/>
      <c r="E1434" s="48"/>
      <c r="F1434" s="48"/>
      <c r="G1434" s="48"/>
      <c r="H1434" s="48"/>
      <c r="I1434" s="48"/>
      <c r="J1434" s="48"/>
      <c r="K1434" s="48"/>
      <c r="L1434" s="48"/>
      <c r="M1434" s="48"/>
    </row>
    <row r="1435" spans="1:13">
      <c r="A1435" s="48"/>
      <c r="B1435" s="49"/>
      <c r="C1435" s="48"/>
      <c r="D1435" s="48"/>
      <c r="E1435" s="48"/>
      <c r="F1435" s="48"/>
      <c r="G1435" s="48"/>
      <c r="H1435" s="48"/>
      <c r="I1435" s="48"/>
      <c r="J1435" s="48"/>
      <c r="K1435" s="48"/>
      <c r="L1435" s="48"/>
      <c r="M1435" s="48"/>
    </row>
    <row r="1436" spans="1:13">
      <c r="A1436" s="48"/>
      <c r="B1436" s="49"/>
      <c r="C1436" s="48"/>
      <c r="D1436" s="48"/>
      <c r="E1436" s="48"/>
      <c r="F1436" s="48"/>
      <c r="G1436" s="48"/>
      <c r="H1436" s="48"/>
      <c r="I1436" s="48"/>
      <c r="J1436" s="48"/>
      <c r="K1436" s="48"/>
      <c r="L1436" s="48"/>
      <c r="M1436" s="48"/>
    </row>
    <row r="1437" spans="1:13">
      <c r="A1437" s="48"/>
      <c r="B1437" s="49"/>
      <c r="C1437" s="48"/>
      <c r="D1437" s="48"/>
      <c r="E1437" s="48"/>
      <c r="F1437" s="48"/>
      <c r="G1437" s="48"/>
      <c r="H1437" s="48"/>
      <c r="I1437" s="48"/>
      <c r="J1437" s="48"/>
      <c r="K1437" s="48"/>
      <c r="L1437" s="48"/>
      <c r="M1437" s="48"/>
    </row>
    <row r="1438" spans="1:13">
      <c r="A1438" s="48"/>
      <c r="B1438" s="49"/>
      <c r="C1438" s="48"/>
      <c r="D1438" s="48"/>
      <c r="E1438" s="48"/>
      <c r="F1438" s="48"/>
      <c r="G1438" s="48"/>
      <c r="H1438" s="48"/>
      <c r="I1438" s="48"/>
      <c r="J1438" s="48"/>
      <c r="K1438" s="48"/>
      <c r="L1438" s="48"/>
      <c r="M1438" s="48"/>
    </row>
    <row r="1439" spans="1:13">
      <c r="A1439" s="48"/>
      <c r="B1439" s="49"/>
      <c r="C1439" s="48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</row>
    <row r="1440" spans="1:13">
      <c r="A1440" s="48"/>
      <c r="B1440" s="49"/>
      <c r="C1440" s="48"/>
      <c r="D1440" s="48"/>
      <c r="E1440" s="48"/>
      <c r="F1440" s="48"/>
      <c r="G1440" s="48"/>
      <c r="H1440" s="48"/>
      <c r="I1440" s="48"/>
      <c r="J1440" s="48"/>
      <c r="K1440" s="48"/>
      <c r="L1440" s="48"/>
      <c r="M1440" s="48"/>
    </row>
    <row r="1441" spans="1:13">
      <c r="A1441" s="48"/>
      <c r="B1441" s="49"/>
      <c r="C1441" s="48"/>
      <c r="D1441" s="48"/>
      <c r="E1441" s="48"/>
      <c r="F1441" s="48"/>
      <c r="G1441" s="48"/>
      <c r="H1441" s="48"/>
      <c r="I1441" s="48"/>
      <c r="J1441" s="48"/>
      <c r="K1441" s="48"/>
      <c r="L1441" s="48"/>
      <c r="M1441" s="48"/>
    </row>
    <row r="1442" spans="1:13">
      <c r="A1442" s="48"/>
      <c r="B1442" s="49"/>
      <c r="C1442" s="48"/>
      <c r="D1442" s="48"/>
      <c r="E1442" s="48"/>
      <c r="F1442" s="48"/>
      <c r="G1442" s="48"/>
      <c r="H1442" s="48"/>
      <c r="I1442" s="48"/>
      <c r="J1442" s="48"/>
      <c r="K1442" s="48"/>
      <c r="L1442" s="48"/>
      <c r="M1442" s="48"/>
    </row>
    <row r="1443" spans="1:13">
      <c r="A1443" s="48"/>
      <c r="B1443" s="49"/>
      <c r="C1443" s="48"/>
      <c r="D1443" s="48"/>
      <c r="E1443" s="48"/>
      <c r="F1443" s="48"/>
      <c r="G1443" s="48"/>
      <c r="H1443" s="48"/>
      <c r="I1443" s="48"/>
      <c r="J1443" s="48"/>
      <c r="K1443" s="48"/>
      <c r="L1443" s="48"/>
      <c r="M1443" s="48"/>
    </row>
    <row r="1444" spans="1:13">
      <c r="A1444" s="48"/>
      <c r="B1444" s="49"/>
      <c r="C1444" s="48"/>
      <c r="D1444" s="48"/>
      <c r="E1444" s="48"/>
      <c r="F1444" s="48"/>
      <c r="G1444" s="48"/>
      <c r="H1444" s="48"/>
      <c r="I1444" s="48"/>
      <c r="J1444" s="48"/>
      <c r="K1444" s="48"/>
      <c r="L1444" s="48"/>
      <c r="M1444" s="48"/>
    </row>
    <row r="1445" spans="1:13">
      <c r="A1445" s="48"/>
      <c r="B1445" s="49"/>
      <c r="C1445" s="48"/>
      <c r="D1445" s="48"/>
      <c r="E1445" s="48"/>
      <c r="F1445" s="48"/>
      <c r="G1445" s="48"/>
      <c r="H1445" s="48"/>
      <c r="I1445" s="48"/>
      <c r="J1445" s="48"/>
      <c r="K1445" s="48"/>
      <c r="L1445" s="48"/>
      <c r="M1445" s="48"/>
    </row>
    <row r="1446" spans="1:13">
      <c r="A1446" s="48"/>
      <c r="B1446" s="49"/>
      <c r="C1446" s="48"/>
      <c r="D1446" s="48"/>
      <c r="E1446" s="48"/>
      <c r="F1446" s="48"/>
      <c r="G1446" s="48"/>
      <c r="H1446" s="48"/>
      <c r="I1446" s="48"/>
      <c r="J1446" s="48"/>
      <c r="K1446" s="48"/>
      <c r="L1446" s="48"/>
      <c r="M1446" s="48"/>
    </row>
    <row r="1447" spans="1:13">
      <c r="A1447" s="48"/>
      <c r="B1447" s="49"/>
      <c r="C1447" s="48"/>
      <c r="D1447" s="48"/>
      <c r="E1447" s="48"/>
      <c r="F1447" s="48"/>
      <c r="G1447" s="48"/>
      <c r="H1447" s="48"/>
      <c r="I1447" s="48"/>
      <c r="J1447" s="48"/>
      <c r="K1447" s="48"/>
      <c r="L1447" s="48"/>
      <c r="M1447" s="48"/>
    </row>
    <row r="1448" spans="1:13">
      <c r="A1448" s="48"/>
      <c r="B1448" s="49"/>
      <c r="C1448" s="48"/>
      <c r="D1448" s="48"/>
      <c r="E1448" s="48"/>
      <c r="F1448" s="48"/>
      <c r="G1448" s="48"/>
      <c r="H1448" s="48"/>
      <c r="I1448" s="48"/>
      <c r="J1448" s="48"/>
      <c r="K1448" s="48"/>
      <c r="L1448" s="48"/>
      <c r="M1448" s="48"/>
    </row>
    <row r="1449" spans="1:13">
      <c r="A1449" s="48"/>
      <c r="B1449" s="49"/>
      <c r="C1449" s="48"/>
      <c r="D1449" s="48"/>
      <c r="E1449" s="48"/>
      <c r="F1449" s="48"/>
      <c r="G1449" s="48"/>
      <c r="H1449" s="48"/>
      <c r="I1449" s="48"/>
      <c r="J1449" s="48"/>
      <c r="K1449" s="48"/>
      <c r="L1449" s="48"/>
      <c r="M1449" s="48"/>
    </row>
    <row r="1450" spans="1:13">
      <c r="A1450" s="48"/>
      <c r="B1450" s="49"/>
      <c r="C1450" s="48"/>
      <c r="D1450" s="48"/>
      <c r="E1450" s="48"/>
      <c r="F1450" s="48"/>
      <c r="G1450" s="48"/>
      <c r="H1450" s="48"/>
      <c r="I1450" s="48"/>
      <c r="J1450" s="48"/>
      <c r="K1450" s="48"/>
      <c r="L1450" s="48"/>
      <c r="M1450" s="48"/>
    </row>
    <row r="1451" spans="1:13">
      <c r="A1451" s="48"/>
      <c r="B1451" s="49"/>
      <c r="C1451" s="48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</row>
    <row r="1452" spans="1:13">
      <c r="A1452" s="48"/>
      <c r="B1452" s="49"/>
      <c r="C1452" s="48"/>
      <c r="D1452" s="48"/>
      <c r="E1452" s="48"/>
      <c r="F1452" s="48"/>
      <c r="G1452" s="48"/>
      <c r="H1452" s="48"/>
      <c r="I1452" s="48"/>
      <c r="J1452" s="48"/>
      <c r="K1452" s="48"/>
      <c r="L1452" s="48"/>
      <c r="M1452" s="48"/>
    </row>
    <row r="1453" spans="1:13">
      <c r="A1453" s="48"/>
      <c r="B1453" s="49"/>
      <c r="C1453" s="48"/>
      <c r="D1453" s="48"/>
      <c r="E1453" s="48"/>
      <c r="F1453" s="48"/>
      <c r="G1453" s="48"/>
      <c r="H1453" s="48"/>
      <c r="I1453" s="48"/>
      <c r="J1453" s="48"/>
      <c r="K1453" s="48"/>
      <c r="L1453" s="48"/>
      <c r="M1453" s="48"/>
    </row>
    <row r="1454" spans="1:13">
      <c r="A1454" s="48"/>
      <c r="B1454" s="49"/>
      <c r="C1454" s="48"/>
      <c r="D1454" s="48"/>
      <c r="E1454" s="48"/>
      <c r="F1454" s="48"/>
      <c r="G1454" s="48"/>
      <c r="H1454" s="48"/>
      <c r="I1454" s="48"/>
      <c r="J1454" s="48"/>
      <c r="K1454" s="48"/>
      <c r="L1454" s="48"/>
      <c r="M1454" s="48"/>
    </row>
    <row r="1455" spans="1:13">
      <c r="A1455" s="48"/>
      <c r="B1455" s="49"/>
      <c r="C1455" s="48"/>
      <c r="D1455" s="48"/>
      <c r="E1455" s="48"/>
      <c r="F1455" s="48"/>
      <c r="G1455" s="48"/>
      <c r="H1455" s="48"/>
      <c r="I1455" s="48"/>
      <c r="J1455" s="48"/>
      <c r="K1455" s="48"/>
      <c r="L1455" s="48"/>
      <c r="M1455" s="48"/>
    </row>
    <row r="1456" spans="1:13">
      <c r="A1456" s="48"/>
      <c r="B1456" s="49"/>
      <c r="C1456" s="48"/>
      <c r="D1456" s="48"/>
      <c r="E1456" s="48"/>
      <c r="F1456" s="48"/>
      <c r="G1456" s="48"/>
      <c r="H1456" s="48"/>
      <c r="I1456" s="48"/>
      <c r="J1456" s="48"/>
      <c r="K1456" s="48"/>
      <c r="L1456" s="48"/>
      <c r="M1456" s="48"/>
    </row>
    <row r="1457" spans="1:13">
      <c r="A1457" s="48"/>
      <c r="B1457" s="49"/>
      <c r="C1457" s="48"/>
      <c r="D1457" s="48"/>
      <c r="E1457" s="48"/>
      <c r="F1457" s="48"/>
      <c r="G1457" s="48"/>
      <c r="H1457" s="48"/>
      <c r="I1457" s="48"/>
      <c r="J1457" s="48"/>
      <c r="K1457" s="48"/>
      <c r="L1457" s="48"/>
      <c r="M1457" s="48"/>
    </row>
    <row r="1458" spans="1:13">
      <c r="A1458" s="48"/>
      <c r="B1458" s="49"/>
      <c r="C1458" s="48"/>
      <c r="D1458" s="48"/>
      <c r="E1458" s="48"/>
      <c r="F1458" s="48"/>
      <c r="G1458" s="48"/>
      <c r="H1458" s="48"/>
      <c r="I1458" s="48"/>
      <c r="J1458" s="48"/>
      <c r="K1458" s="48"/>
      <c r="L1458" s="48"/>
      <c r="M1458" s="48"/>
    </row>
    <row r="1459" spans="1:13">
      <c r="A1459" s="48"/>
      <c r="B1459" s="49"/>
      <c r="C1459" s="48"/>
      <c r="D1459" s="48"/>
      <c r="E1459" s="48"/>
      <c r="F1459" s="48"/>
      <c r="G1459" s="48"/>
      <c r="H1459" s="48"/>
      <c r="I1459" s="48"/>
      <c r="J1459" s="48"/>
      <c r="K1459" s="48"/>
      <c r="L1459" s="48"/>
      <c r="M1459" s="48"/>
    </row>
    <row r="1460" spans="1:13">
      <c r="A1460" s="48"/>
      <c r="B1460" s="49"/>
      <c r="C1460" s="48"/>
      <c r="D1460" s="48"/>
      <c r="E1460" s="48"/>
      <c r="F1460" s="48"/>
      <c r="G1460" s="48"/>
      <c r="H1460" s="48"/>
      <c r="I1460" s="48"/>
      <c r="J1460" s="48"/>
      <c r="K1460" s="48"/>
      <c r="L1460" s="48"/>
      <c r="M1460" s="48"/>
    </row>
    <row r="1461" spans="1:13">
      <c r="A1461" s="48"/>
      <c r="B1461" s="49"/>
      <c r="C1461" s="48"/>
      <c r="D1461" s="48"/>
      <c r="E1461" s="48"/>
      <c r="F1461" s="48"/>
      <c r="G1461" s="48"/>
      <c r="H1461" s="48"/>
      <c r="I1461" s="48"/>
      <c r="J1461" s="48"/>
      <c r="K1461" s="48"/>
      <c r="L1461" s="48"/>
      <c r="M1461" s="48"/>
    </row>
    <row r="1462" spans="1:13">
      <c r="A1462" s="48"/>
      <c r="B1462" s="49"/>
      <c r="C1462" s="48"/>
      <c r="D1462" s="48"/>
      <c r="E1462" s="48"/>
      <c r="F1462" s="48"/>
      <c r="G1462" s="48"/>
      <c r="H1462" s="48"/>
      <c r="I1462" s="48"/>
      <c r="J1462" s="48"/>
      <c r="K1462" s="48"/>
      <c r="L1462" s="48"/>
      <c r="M1462" s="48"/>
    </row>
    <row r="1463" spans="1:13">
      <c r="A1463" s="48"/>
      <c r="B1463" s="49"/>
      <c r="C1463" s="48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</row>
    <row r="1464" spans="1:13">
      <c r="A1464" s="48"/>
      <c r="B1464" s="49"/>
      <c r="C1464" s="48"/>
      <c r="D1464" s="48"/>
      <c r="E1464" s="48"/>
      <c r="F1464" s="48"/>
      <c r="G1464" s="48"/>
      <c r="H1464" s="48"/>
      <c r="I1464" s="48"/>
      <c r="J1464" s="48"/>
      <c r="K1464" s="48"/>
      <c r="L1464" s="48"/>
      <c r="M1464" s="48"/>
    </row>
    <row r="1465" spans="1:13">
      <c r="A1465" s="48"/>
      <c r="B1465" s="49"/>
      <c r="C1465" s="48"/>
      <c r="D1465" s="48"/>
      <c r="E1465" s="48"/>
      <c r="F1465" s="48"/>
      <c r="G1465" s="48"/>
      <c r="H1465" s="48"/>
      <c r="I1465" s="48"/>
      <c r="J1465" s="48"/>
      <c r="K1465" s="48"/>
      <c r="L1465" s="48"/>
      <c r="M1465" s="48"/>
    </row>
    <row r="1466" spans="1:13">
      <c r="A1466" s="48"/>
      <c r="B1466" s="49"/>
      <c r="C1466" s="48"/>
      <c r="D1466" s="48"/>
      <c r="E1466" s="48"/>
      <c r="F1466" s="48"/>
      <c r="G1466" s="48"/>
      <c r="H1466" s="48"/>
      <c r="I1466" s="48"/>
      <c r="J1466" s="48"/>
      <c r="K1466" s="48"/>
      <c r="L1466" s="48"/>
      <c r="M1466" s="48"/>
    </row>
    <row r="1467" spans="1:13">
      <c r="A1467" s="48"/>
      <c r="B1467" s="49"/>
      <c r="C1467" s="48"/>
      <c r="D1467" s="48"/>
      <c r="E1467" s="48"/>
      <c r="F1467" s="48"/>
      <c r="G1467" s="48"/>
      <c r="H1467" s="48"/>
      <c r="I1467" s="48"/>
      <c r="J1467" s="48"/>
      <c r="K1467" s="48"/>
      <c r="L1467" s="48"/>
      <c r="M1467" s="48"/>
    </row>
    <row r="1468" spans="1:13">
      <c r="A1468" s="48"/>
      <c r="B1468" s="49"/>
      <c r="C1468" s="48"/>
      <c r="D1468" s="48"/>
      <c r="E1468" s="48"/>
      <c r="F1468" s="48"/>
      <c r="G1468" s="48"/>
      <c r="H1468" s="48"/>
      <c r="I1468" s="48"/>
      <c r="J1468" s="48"/>
      <c r="K1468" s="48"/>
      <c r="L1468" s="48"/>
      <c r="M1468" s="48"/>
    </row>
    <row r="1469" spans="1:13">
      <c r="A1469" s="48"/>
      <c r="B1469" s="49"/>
      <c r="C1469" s="48"/>
      <c r="D1469" s="48"/>
      <c r="E1469" s="48"/>
      <c r="F1469" s="48"/>
      <c r="G1469" s="48"/>
      <c r="H1469" s="48"/>
      <c r="I1469" s="48"/>
      <c r="J1469" s="48"/>
      <c r="K1469" s="48"/>
      <c r="L1469" s="48"/>
      <c r="M1469" s="48"/>
    </row>
    <row r="1470" spans="1:13">
      <c r="A1470" s="48"/>
      <c r="B1470" s="49"/>
      <c r="C1470" s="48"/>
      <c r="D1470" s="48"/>
      <c r="E1470" s="48"/>
      <c r="F1470" s="48"/>
      <c r="G1470" s="48"/>
      <c r="H1470" s="48"/>
      <c r="I1470" s="48"/>
      <c r="J1470" s="48"/>
      <c r="K1470" s="48"/>
      <c r="L1470" s="48"/>
      <c r="M1470" s="48"/>
    </row>
    <row r="1471" spans="1:13">
      <c r="A1471" s="48"/>
      <c r="B1471" s="49"/>
      <c r="C1471" s="48"/>
      <c r="D1471" s="48"/>
      <c r="E1471" s="48"/>
      <c r="F1471" s="48"/>
      <c r="G1471" s="48"/>
      <c r="H1471" s="48"/>
      <c r="I1471" s="48"/>
      <c r="J1471" s="48"/>
      <c r="K1471" s="48"/>
      <c r="L1471" s="48"/>
      <c r="M1471" s="48"/>
    </row>
    <row r="1472" spans="1:13">
      <c r="A1472" s="48"/>
      <c r="B1472" s="49"/>
      <c r="C1472" s="48"/>
      <c r="D1472" s="48"/>
      <c r="E1472" s="48"/>
      <c r="F1472" s="48"/>
      <c r="G1472" s="48"/>
      <c r="H1472" s="48"/>
      <c r="I1472" s="48"/>
      <c r="J1472" s="48"/>
      <c r="K1472" s="48"/>
      <c r="L1472" s="48"/>
      <c r="M1472" s="48"/>
    </row>
    <row r="1473" spans="1:13">
      <c r="A1473" s="48"/>
      <c r="B1473" s="49"/>
      <c r="C1473" s="48"/>
      <c r="D1473" s="48"/>
      <c r="E1473" s="48"/>
      <c r="F1473" s="48"/>
      <c r="G1473" s="48"/>
      <c r="H1473" s="48"/>
      <c r="I1473" s="48"/>
      <c r="J1473" s="48"/>
      <c r="K1473" s="48"/>
      <c r="L1473" s="48"/>
      <c r="M1473" s="48"/>
    </row>
    <row r="1474" spans="1:13">
      <c r="A1474" s="48"/>
      <c r="B1474" s="49"/>
      <c r="C1474" s="48"/>
      <c r="D1474" s="48"/>
      <c r="E1474" s="48"/>
      <c r="F1474" s="48"/>
      <c r="G1474" s="48"/>
      <c r="H1474" s="48"/>
      <c r="I1474" s="48"/>
      <c r="J1474" s="48"/>
      <c r="K1474" s="48"/>
      <c r="L1474" s="48"/>
      <c r="M1474" s="48"/>
    </row>
    <row r="1475" spans="1:13">
      <c r="A1475" s="48"/>
      <c r="B1475" s="49"/>
      <c r="C1475" s="48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</row>
    <row r="1476" spans="1:13">
      <c r="A1476" s="48"/>
      <c r="B1476" s="49"/>
      <c r="C1476" s="48"/>
      <c r="D1476" s="48"/>
      <c r="E1476" s="48"/>
      <c r="F1476" s="48"/>
      <c r="G1476" s="48"/>
      <c r="H1476" s="48"/>
      <c r="I1476" s="48"/>
      <c r="J1476" s="48"/>
      <c r="K1476" s="48"/>
      <c r="L1476" s="48"/>
      <c r="M1476" s="48"/>
    </row>
    <row r="1477" spans="1:13">
      <c r="A1477" s="48"/>
      <c r="B1477" s="49"/>
      <c r="C1477" s="48"/>
      <c r="D1477" s="48"/>
      <c r="E1477" s="48"/>
      <c r="F1477" s="48"/>
      <c r="G1477" s="48"/>
      <c r="H1477" s="48"/>
      <c r="I1477" s="48"/>
      <c r="J1477" s="48"/>
      <c r="K1477" s="48"/>
      <c r="L1477" s="48"/>
      <c r="M1477" s="48"/>
    </row>
    <row r="1478" spans="1:13">
      <c r="A1478" s="48"/>
      <c r="B1478" s="49"/>
      <c r="C1478" s="48"/>
      <c r="D1478" s="48"/>
      <c r="E1478" s="48"/>
      <c r="F1478" s="48"/>
      <c r="G1478" s="48"/>
      <c r="H1478" s="48"/>
      <c r="I1478" s="48"/>
      <c r="J1478" s="48"/>
      <c r="K1478" s="48"/>
      <c r="L1478" s="48"/>
      <c r="M1478" s="48"/>
    </row>
    <row r="1479" spans="1:13">
      <c r="A1479" s="48"/>
      <c r="B1479" s="49"/>
      <c r="C1479" s="48"/>
      <c r="D1479" s="48"/>
      <c r="E1479" s="48"/>
      <c r="F1479" s="48"/>
      <c r="G1479" s="48"/>
      <c r="H1479" s="48"/>
      <c r="I1479" s="48"/>
      <c r="J1479" s="48"/>
      <c r="K1479" s="48"/>
      <c r="L1479" s="48"/>
      <c r="M1479" s="48"/>
    </row>
    <row r="1480" spans="1:13">
      <c r="A1480" s="48"/>
      <c r="B1480" s="49"/>
      <c r="C1480" s="48"/>
      <c r="D1480" s="48"/>
      <c r="E1480" s="48"/>
      <c r="F1480" s="48"/>
      <c r="G1480" s="48"/>
      <c r="H1480" s="48"/>
      <c r="I1480" s="48"/>
      <c r="J1480" s="48"/>
      <c r="K1480" s="48"/>
      <c r="L1480" s="48"/>
      <c r="M1480" s="48"/>
    </row>
    <row r="1481" spans="1:13">
      <c r="A1481" s="48"/>
      <c r="B1481" s="49"/>
      <c r="C1481" s="48"/>
      <c r="D1481" s="48"/>
      <c r="E1481" s="48"/>
      <c r="F1481" s="48"/>
      <c r="G1481" s="48"/>
      <c r="H1481" s="48"/>
      <c r="I1481" s="48"/>
      <c r="J1481" s="48"/>
      <c r="K1481" s="48"/>
      <c r="L1481" s="48"/>
      <c r="M1481" s="48"/>
    </row>
    <row r="1482" spans="1:13">
      <c r="A1482" s="48"/>
      <c r="B1482" s="49"/>
      <c r="C1482" s="48"/>
      <c r="D1482" s="48"/>
      <c r="E1482" s="48"/>
      <c r="F1482" s="48"/>
      <c r="G1482" s="48"/>
      <c r="H1482" s="48"/>
      <c r="I1482" s="48"/>
      <c r="J1482" s="48"/>
      <c r="K1482" s="48"/>
      <c r="L1482" s="48"/>
      <c r="M1482" s="48"/>
    </row>
    <row r="1483" spans="1:13">
      <c r="A1483" s="48"/>
      <c r="B1483" s="49"/>
      <c r="C1483" s="48"/>
      <c r="D1483" s="48"/>
      <c r="E1483" s="48"/>
      <c r="F1483" s="48"/>
      <c r="G1483" s="48"/>
      <c r="H1483" s="48"/>
      <c r="I1483" s="48"/>
      <c r="J1483" s="48"/>
      <c r="K1483" s="48"/>
      <c r="L1483" s="48"/>
      <c r="M1483" s="48"/>
    </row>
    <row r="1484" spans="1:13">
      <c r="A1484" s="48"/>
      <c r="B1484" s="49"/>
      <c r="C1484" s="48"/>
      <c r="D1484" s="48"/>
      <c r="E1484" s="48"/>
      <c r="F1484" s="48"/>
      <c r="G1484" s="48"/>
      <c r="H1484" s="48"/>
      <c r="I1484" s="48"/>
      <c r="J1484" s="48"/>
      <c r="K1484" s="48"/>
      <c r="L1484" s="48"/>
      <c r="M1484" s="48"/>
    </row>
    <row r="1485" spans="1:13">
      <c r="A1485" s="48"/>
      <c r="B1485" s="49"/>
      <c r="C1485" s="48"/>
      <c r="D1485" s="48"/>
      <c r="E1485" s="48"/>
      <c r="F1485" s="48"/>
      <c r="G1485" s="48"/>
      <c r="H1485" s="48"/>
      <c r="I1485" s="48"/>
      <c r="J1485" s="48"/>
      <c r="K1485" s="48"/>
      <c r="L1485" s="48"/>
      <c r="M1485" s="48"/>
    </row>
    <row r="1486" spans="1:13">
      <c r="A1486" s="48"/>
      <c r="B1486" s="49"/>
      <c r="C1486" s="48"/>
      <c r="D1486" s="48"/>
      <c r="E1486" s="48"/>
      <c r="F1486" s="48"/>
      <c r="G1486" s="48"/>
      <c r="H1486" s="48"/>
      <c r="I1486" s="48"/>
      <c r="J1486" s="48"/>
      <c r="K1486" s="48"/>
      <c r="L1486" s="48"/>
      <c r="M1486" s="48"/>
    </row>
    <row r="1487" spans="1:13">
      <c r="A1487" s="48"/>
      <c r="B1487" s="49"/>
      <c r="C1487" s="48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</row>
    <row r="1488" spans="1:13">
      <c r="A1488" s="48"/>
      <c r="B1488" s="49"/>
      <c r="C1488" s="48"/>
      <c r="D1488" s="48"/>
      <c r="E1488" s="48"/>
      <c r="F1488" s="48"/>
      <c r="G1488" s="48"/>
      <c r="H1488" s="48"/>
      <c r="I1488" s="48"/>
      <c r="J1488" s="48"/>
      <c r="K1488" s="48"/>
      <c r="L1488" s="48"/>
      <c r="M1488" s="48"/>
    </row>
    <row r="1489" spans="1:13">
      <c r="A1489" s="48"/>
      <c r="B1489" s="49"/>
      <c r="C1489" s="48"/>
      <c r="D1489" s="48"/>
      <c r="E1489" s="48"/>
      <c r="F1489" s="48"/>
      <c r="G1489" s="48"/>
      <c r="H1489" s="48"/>
      <c r="I1489" s="48"/>
      <c r="J1489" s="48"/>
      <c r="K1489" s="48"/>
      <c r="L1489" s="48"/>
      <c r="M1489" s="48"/>
    </row>
    <row r="1490" spans="1:13">
      <c r="A1490" s="48"/>
      <c r="B1490" s="49"/>
      <c r="C1490" s="48"/>
      <c r="D1490" s="48"/>
      <c r="E1490" s="48"/>
      <c r="F1490" s="48"/>
      <c r="G1490" s="48"/>
      <c r="H1490" s="48"/>
      <c r="I1490" s="48"/>
      <c r="J1490" s="48"/>
      <c r="K1490" s="48"/>
      <c r="L1490" s="48"/>
      <c r="M1490" s="48"/>
    </row>
    <row r="1491" spans="1:13">
      <c r="A1491" s="48"/>
      <c r="B1491" s="49"/>
      <c r="C1491" s="48"/>
      <c r="D1491" s="48"/>
      <c r="E1491" s="48"/>
      <c r="F1491" s="48"/>
      <c r="G1491" s="48"/>
      <c r="H1491" s="48"/>
      <c r="I1491" s="48"/>
      <c r="J1491" s="48"/>
      <c r="K1491" s="48"/>
      <c r="L1491" s="48"/>
      <c r="M1491" s="48"/>
    </row>
    <row r="1492" spans="1:13">
      <c r="A1492" s="48"/>
      <c r="B1492" s="49"/>
      <c r="C1492" s="48"/>
      <c r="D1492" s="48"/>
      <c r="E1492" s="48"/>
      <c r="F1492" s="48"/>
      <c r="G1492" s="48"/>
      <c r="H1492" s="48"/>
      <c r="I1492" s="48"/>
      <c r="J1492" s="48"/>
      <c r="K1492" s="48"/>
      <c r="L1492" s="48"/>
      <c r="M1492" s="48"/>
    </row>
    <row r="1493" spans="1:13">
      <c r="A1493" s="48"/>
      <c r="B1493" s="49"/>
      <c r="C1493" s="48"/>
      <c r="D1493" s="48"/>
      <c r="E1493" s="48"/>
      <c r="F1493" s="48"/>
      <c r="G1493" s="48"/>
      <c r="H1493" s="48"/>
      <c r="I1493" s="48"/>
      <c r="J1493" s="48"/>
      <c r="K1493" s="48"/>
      <c r="L1493" s="48"/>
      <c r="M1493" s="48"/>
    </row>
    <row r="1494" spans="1:13">
      <c r="A1494" s="48"/>
      <c r="B1494" s="49"/>
      <c r="C1494" s="48"/>
      <c r="D1494" s="48"/>
      <c r="E1494" s="48"/>
      <c r="F1494" s="48"/>
      <c r="G1494" s="48"/>
      <c r="H1494" s="48"/>
      <c r="I1494" s="48"/>
      <c r="J1494" s="48"/>
      <c r="K1494" s="48"/>
      <c r="L1494" s="48"/>
      <c r="M1494" s="48"/>
    </row>
    <row r="1495" spans="1:13">
      <c r="A1495" s="48"/>
      <c r="B1495" s="49"/>
      <c r="C1495" s="48"/>
      <c r="D1495" s="48"/>
      <c r="E1495" s="48"/>
      <c r="F1495" s="48"/>
      <c r="G1495" s="48"/>
      <c r="H1495" s="48"/>
      <c r="I1495" s="48"/>
      <c r="J1495" s="48"/>
      <c r="K1495" s="48"/>
      <c r="L1495" s="48"/>
      <c r="M1495" s="48"/>
    </row>
    <row r="1496" spans="1:13">
      <c r="A1496" s="48"/>
      <c r="B1496" s="49"/>
      <c r="C1496" s="48"/>
      <c r="D1496" s="48"/>
      <c r="E1496" s="48"/>
      <c r="F1496" s="48"/>
      <c r="G1496" s="48"/>
      <c r="H1496" s="48"/>
      <c r="I1496" s="48"/>
      <c r="J1496" s="48"/>
      <c r="K1496" s="48"/>
      <c r="L1496" s="48"/>
      <c r="M1496" s="48"/>
    </row>
    <row r="1497" spans="1:13">
      <c r="A1497" s="48"/>
      <c r="B1497" s="49"/>
      <c r="C1497" s="48"/>
      <c r="D1497" s="48"/>
      <c r="E1497" s="48"/>
      <c r="F1497" s="48"/>
      <c r="G1497" s="48"/>
      <c r="H1497" s="48"/>
      <c r="I1497" s="48"/>
      <c r="J1497" s="48"/>
      <c r="K1497" s="48"/>
      <c r="L1497" s="48"/>
      <c r="M1497" s="48"/>
    </row>
    <row r="1498" spans="1:13">
      <c r="A1498" s="48"/>
      <c r="B1498" s="49"/>
      <c r="C1498" s="48"/>
      <c r="D1498" s="48"/>
      <c r="E1498" s="48"/>
      <c r="F1498" s="48"/>
      <c r="G1498" s="48"/>
      <c r="H1498" s="48"/>
      <c r="I1498" s="48"/>
      <c r="J1498" s="48"/>
      <c r="K1498" s="48"/>
      <c r="L1498" s="48"/>
      <c r="M1498" s="48"/>
    </row>
    <row r="1499" spans="1:13">
      <c r="A1499" s="48"/>
      <c r="B1499" s="49"/>
      <c r="C1499" s="48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</row>
    <row r="1500" spans="1:13">
      <c r="A1500" s="48"/>
      <c r="B1500" s="49"/>
      <c r="C1500" s="48"/>
      <c r="D1500" s="48"/>
      <c r="E1500" s="48"/>
      <c r="F1500" s="48"/>
      <c r="G1500" s="48"/>
      <c r="H1500" s="48"/>
      <c r="I1500" s="48"/>
      <c r="J1500" s="48"/>
      <c r="K1500" s="48"/>
      <c r="L1500" s="48"/>
      <c r="M1500" s="48"/>
    </row>
    <row r="1501" spans="1:13">
      <c r="A1501" s="48"/>
      <c r="B1501" s="49"/>
      <c r="C1501" s="48"/>
      <c r="D1501" s="48"/>
      <c r="E1501" s="48"/>
      <c r="F1501" s="48"/>
      <c r="G1501" s="48"/>
      <c r="H1501" s="48"/>
      <c r="I1501" s="48"/>
      <c r="J1501" s="48"/>
      <c r="K1501" s="48"/>
      <c r="L1501" s="48"/>
      <c r="M1501" s="48"/>
    </row>
    <row r="1502" spans="1:13">
      <c r="A1502" s="48"/>
      <c r="B1502" s="49"/>
      <c r="C1502" s="48"/>
      <c r="D1502" s="48"/>
      <c r="E1502" s="48"/>
      <c r="F1502" s="48"/>
      <c r="G1502" s="48"/>
      <c r="H1502" s="48"/>
      <c r="I1502" s="48"/>
      <c r="J1502" s="48"/>
      <c r="K1502" s="48"/>
      <c r="L1502" s="48"/>
      <c r="M1502" s="48"/>
    </row>
    <row r="1503" spans="1:13">
      <c r="A1503" s="48"/>
      <c r="B1503" s="49"/>
      <c r="C1503" s="48"/>
      <c r="D1503" s="48"/>
      <c r="E1503" s="48"/>
      <c r="F1503" s="48"/>
      <c r="G1503" s="48"/>
      <c r="H1503" s="48"/>
      <c r="I1503" s="48"/>
      <c r="J1503" s="48"/>
      <c r="K1503" s="48"/>
      <c r="L1503" s="48"/>
      <c r="M1503" s="48"/>
    </row>
    <row r="1504" spans="1:13">
      <c r="A1504" s="48"/>
      <c r="B1504" s="49"/>
      <c r="C1504" s="48"/>
      <c r="D1504" s="48"/>
      <c r="E1504" s="48"/>
      <c r="F1504" s="48"/>
      <c r="G1504" s="48"/>
      <c r="H1504" s="48"/>
      <c r="I1504" s="48"/>
      <c r="J1504" s="48"/>
      <c r="K1504" s="48"/>
      <c r="L1504" s="48"/>
      <c r="M1504" s="48"/>
    </row>
    <row r="1505" spans="1:13">
      <c r="A1505" s="48"/>
      <c r="B1505" s="49"/>
      <c r="C1505" s="48"/>
      <c r="D1505" s="48"/>
      <c r="E1505" s="48"/>
      <c r="F1505" s="48"/>
      <c r="G1505" s="48"/>
      <c r="H1505" s="48"/>
      <c r="I1505" s="48"/>
      <c r="J1505" s="48"/>
      <c r="K1505" s="48"/>
      <c r="L1505" s="48"/>
      <c r="M1505" s="48"/>
    </row>
    <row r="1506" spans="1:13">
      <c r="A1506" s="48"/>
      <c r="B1506" s="49"/>
      <c r="C1506" s="48"/>
      <c r="D1506" s="48"/>
      <c r="E1506" s="48"/>
      <c r="F1506" s="48"/>
      <c r="G1506" s="48"/>
      <c r="H1506" s="48"/>
      <c r="I1506" s="48"/>
      <c r="J1506" s="48"/>
      <c r="K1506" s="48"/>
      <c r="L1506" s="48"/>
      <c r="M1506" s="48"/>
    </row>
    <row r="1507" spans="1:13">
      <c r="A1507" s="48"/>
      <c r="B1507" s="49"/>
      <c r="C1507" s="48"/>
      <c r="D1507" s="48"/>
      <c r="E1507" s="48"/>
      <c r="F1507" s="48"/>
      <c r="G1507" s="48"/>
      <c r="H1507" s="48"/>
      <c r="I1507" s="48"/>
      <c r="J1507" s="48"/>
      <c r="K1507" s="48"/>
      <c r="L1507" s="48"/>
      <c r="M1507" s="48"/>
    </row>
    <row r="1508" spans="1:13">
      <c r="A1508" s="48"/>
      <c r="B1508" s="49"/>
      <c r="C1508" s="48"/>
      <c r="D1508" s="48"/>
      <c r="E1508" s="48"/>
      <c r="F1508" s="48"/>
      <c r="G1508" s="48"/>
      <c r="H1508" s="48"/>
      <c r="I1508" s="48"/>
      <c r="J1508" s="48"/>
      <c r="K1508" s="48"/>
      <c r="L1508" s="48"/>
      <c r="M1508" s="48"/>
    </row>
    <row r="1509" spans="1:13">
      <c r="A1509" s="48"/>
      <c r="B1509" s="49"/>
      <c r="C1509" s="48"/>
      <c r="D1509" s="48"/>
      <c r="E1509" s="48"/>
      <c r="F1509" s="48"/>
      <c r="G1509" s="48"/>
      <c r="H1509" s="48"/>
      <c r="I1509" s="48"/>
      <c r="J1509" s="48"/>
      <c r="K1509" s="48"/>
      <c r="L1509" s="48"/>
      <c r="M1509" s="48"/>
    </row>
    <row r="1510" spans="1:13">
      <c r="A1510" s="48"/>
      <c r="B1510" s="49"/>
      <c r="C1510" s="48"/>
      <c r="D1510" s="48"/>
      <c r="E1510" s="48"/>
      <c r="F1510" s="48"/>
      <c r="G1510" s="48"/>
      <c r="H1510" s="48"/>
      <c r="I1510" s="48"/>
      <c r="J1510" s="48"/>
      <c r="K1510" s="48"/>
      <c r="L1510" s="48"/>
      <c r="M1510" s="48"/>
    </row>
    <row r="1511" spans="1:13">
      <c r="A1511" s="48"/>
      <c r="B1511" s="49"/>
      <c r="C1511" s="48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</row>
    <row r="1512" spans="1:13">
      <c r="A1512" s="48"/>
      <c r="B1512" s="49"/>
      <c r="C1512" s="48"/>
      <c r="D1512" s="48"/>
      <c r="E1512" s="48"/>
      <c r="F1512" s="48"/>
      <c r="G1512" s="48"/>
      <c r="H1512" s="48"/>
      <c r="I1512" s="48"/>
      <c r="J1512" s="48"/>
      <c r="K1512" s="48"/>
      <c r="L1512" s="48"/>
      <c r="M1512" s="48"/>
    </row>
    <row r="1513" spans="1:13">
      <c r="A1513" s="48"/>
      <c r="B1513" s="49"/>
      <c r="C1513" s="48"/>
      <c r="D1513" s="48"/>
      <c r="E1513" s="48"/>
      <c r="F1513" s="48"/>
      <c r="G1513" s="48"/>
      <c r="H1513" s="48"/>
      <c r="I1513" s="48"/>
      <c r="J1513" s="48"/>
      <c r="K1513" s="48"/>
      <c r="L1513" s="48"/>
      <c r="M1513" s="48"/>
    </row>
    <row r="1514" spans="1:13">
      <c r="A1514" s="48"/>
      <c r="B1514" s="49"/>
      <c r="C1514" s="48"/>
      <c r="D1514" s="48"/>
      <c r="E1514" s="48"/>
      <c r="F1514" s="48"/>
      <c r="G1514" s="48"/>
      <c r="H1514" s="48"/>
      <c r="I1514" s="48"/>
      <c r="J1514" s="48"/>
      <c r="K1514" s="48"/>
      <c r="L1514" s="48"/>
      <c r="M1514" s="48"/>
    </row>
    <row r="1515" spans="1:13">
      <c r="A1515" s="48"/>
      <c r="B1515" s="49"/>
      <c r="C1515" s="48"/>
      <c r="D1515" s="48"/>
      <c r="E1515" s="48"/>
      <c r="F1515" s="48"/>
      <c r="G1515" s="48"/>
      <c r="H1515" s="48"/>
      <c r="I1515" s="48"/>
      <c r="J1515" s="48"/>
      <c r="K1515" s="48"/>
      <c r="L1515" s="48"/>
      <c r="M1515" s="48"/>
    </row>
    <row r="1516" spans="1:13">
      <c r="A1516" s="48"/>
      <c r="B1516" s="49"/>
      <c r="C1516" s="48"/>
      <c r="D1516" s="48"/>
      <c r="E1516" s="48"/>
      <c r="F1516" s="48"/>
      <c r="G1516" s="48"/>
      <c r="H1516" s="48"/>
      <c r="I1516" s="48"/>
      <c r="J1516" s="48"/>
      <c r="K1516" s="48"/>
      <c r="L1516" s="48"/>
      <c r="M1516" s="48"/>
    </row>
    <row r="1517" spans="1:13">
      <c r="A1517" s="48"/>
      <c r="B1517" s="49"/>
      <c r="C1517" s="48"/>
      <c r="D1517" s="48"/>
      <c r="E1517" s="48"/>
      <c r="F1517" s="48"/>
      <c r="G1517" s="48"/>
      <c r="H1517" s="48"/>
      <c r="I1517" s="48"/>
      <c r="J1517" s="48"/>
      <c r="K1517" s="48"/>
      <c r="L1517" s="48"/>
      <c r="M1517" s="48"/>
    </row>
    <row r="1518" spans="1:13">
      <c r="A1518" s="48"/>
      <c r="B1518" s="49"/>
      <c r="C1518" s="48"/>
      <c r="D1518" s="48"/>
      <c r="E1518" s="48"/>
      <c r="F1518" s="48"/>
      <c r="G1518" s="48"/>
      <c r="H1518" s="48"/>
      <c r="I1518" s="48"/>
      <c r="J1518" s="48"/>
      <c r="K1518" s="48"/>
      <c r="L1518" s="48"/>
      <c r="M1518" s="48"/>
    </row>
    <row r="1519" spans="1:13">
      <c r="A1519" s="48"/>
      <c r="B1519" s="49"/>
      <c r="C1519" s="48"/>
      <c r="D1519" s="48"/>
      <c r="E1519" s="48"/>
      <c r="F1519" s="48"/>
      <c r="G1519" s="48"/>
      <c r="H1519" s="48"/>
      <c r="I1519" s="48"/>
      <c r="J1519" s="48"/>
      <c r="K1519" s="48"/>
      <c r="L1519" s="48"/>
      <c r="M1519" s="48"/>
    </row>
    <row r="1520" spans="1:13">
      <c r="A1520" s="48"/>
      <c r="B1520" s="49"/>
      <c r="C1520" s="48"/>
      <c r="D1520" s="48"/>
      <c r="E1520" s="48"/>
      <c r="F1520" s="48"/>
      <c r="G1520" s="48"/>
      <c r="H1520" s="48"/>
      <c r="I1520" s="48"/>
      <c r="J1520" s="48"/>
      <c r="K1520" s="48"/>
      <c r="L1520" s="48"/>
      <c r="M1520" s="48"/>
    </row>
    <row r="1521" spans="1:13">
      <c r="A1521" s="48"/>
      <c r="B1521" s="49"/>
      <c r="C1521" s="48"/>
      <c r="D1521" s="48"/>
      <c r="E1521" s="48"/>
      <c r="F1521" s="48"/>
      <c r="G1521" s="48"/>
      <c r="H1521" s="48"/>
      <c r="I1521" s="48"/>
      <c r="J1521" s="48"/>
      <c r="K1521" s="48"/>
      <c r="L1521" s="48"/>
      <c r="M1521" s="48"/>
    </row>
    <row r="1522" spans="1:13">
      <c r="A1522" s="48"/>
      <c r="B1522" s="49"/>
      <c r="C1522" s="48"/>
      <c r="D1522" s="48"/>
      <c r="E1522" s="48"/>
      <c r="F1522" s="48"/>
      <c r="G1522" s="48"/>
      <c r="H1522" s="48"/>
      <c r="I1522" s="48"/>
      <c r="J1522" s="48"/>
      <c r="K1522" s="48"/>
      <c r="L1522" s="48"/>
      <c r="M1522" s="48"/>
    </row>
    <row r="1523" spans="1:13">
      <c r="A1523" s="48"/>
      <c r="B1523" s="49"/>
      <c r="C1523" s="48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</row>
    <row r="1524" spans="1:13">
      <c r="A1524" s="48"/>
      <c r="B1524" s="49"/>
      <c r="C1524" s="48"/>
      <c r="D1524" s="48"/>
      <c r="E1524" s="48"/>
      <c r="F1524" s="48"/>
      <c r="G1524" s="48"/>
      <c r="H1524" s="48"/>
      <c r="I1524" s="48"/>
      <c r="J1524" s="48"/>
      <c r="K1524" s="48"/>
      <c r="L1524" s="48"/>
      <c r="M1524" s="48"/>
    </row>
    <row r="1525" spans="1:13">
      <c r="A1525" s="48"/>
      <c r="B1525" s="49"/>
      <c r="C1525" s="48"/>
      <c r="D1525" s="48"/>
      <c r="E1525" s="48"/>
      <c r="F1525" s="48"/>
      <c r="G1525" s="48"/>
      <c r="H1525" s="48"/>
      <c r="I1525" s="48"/>
      <c r="J1525" s="48"/>
      <c r="K1525" s="48"/>
      <c r="L1525" s="48"/>
      <c r="M1525" s="48"/>
    </row>
    <row r="1526" spans="1:13">
      <c r="A1526" s="48"/>
      <c r="B1526" s="49"/>
      <c r="C1526" s="48"/>
      <c r="D1526" s="48"/>
      <c r="E1526" s="48"/>
      <c r="F1526" s="48"/>
      <c r="G1526" s="48"/>
      <c r="H1526" s="48"/>
      <c r="I1526" s="48"/>
      <c r="J1526" s="48"/>
      <c r="K1526" s="48"/>
      <c r="L1526" s="48"/>
      <c r="M1526" s="48"/>
    </row>
    <row r="1527" spans="1:13">
      <c r="A1527" s="48"/>
      <c r="B1527" s="49"/>
      <c r="C1527" s="48"/>
      <c r="D1527" s="48"/>
      <c r="E1527" s="48"/>
      <c r="F1527" s="48"/>
      <c r="G1527" s="48"/>
      <c r="H1527" s="48"/>
      <c r="I1527" s="48"/>
      <c r="J1527" s="48"/>
      <c r="K1527" s="48"/>
      <c r="L1527" s="48"/>
      <c r="M1527" s="48"/>
    </row>
    <row r="1528" spans="1:13">
      <c r="A1528" s="48"/>
      <c r="B1528" s="49"/>
      <c r="C1528" s="48"/>
      <c r="D1528" s="48"/>
      <c r="E1528" s="48"/>
      <c r="F1528" s="48"/>
      <c r="G1528" s="48"/>
      <c r="H1528" s="48"/>
      <c r="I1528" s="48"/>
      <c r="J1528" s="48"/>
      <c r="K1528" s="48"/>
      <c r="L1528" s="48"/>
      <c r="M1528" s="48"/>
    </row>
    <row r="1529" spans="1:13">
      <c r="A1529" s="48"/>
      <c r="B1529" s="49"/>
      <c r="C1529" s="48"/>
      <c r="D1529" s="48"/>
      <c r="E1529" s="48"/>
      <c r="F1529" s="48"/>
      <c r="G1529" s="48"/>
      <c r="H1529" s="48"/>
      <c r="I1529" s="48"/>
      <c r="J1529" s="48"/>
      <c r="K1529" s="48"/>
      <c r="L1529" s="48"/>
      <c r="M1529" s="48"/>
    </row>
    <row r="1530" spans="1:13">
      <c r="A1530" s="48"/>
      <c r="B1530" s="49"/>
      <c r="C1530" s="48"/>
      <c r="D1530" s="48"/>
      <c r="E1530" s="48"/>
      <c r="F1530" s="48"/>
      <c r="G1530" s="48"/>
      <c r="H1530" s="48"/>
      <c r="I1530" s="48"/>
      <c r="J1530" s="48"/>
      <c r="K1530" s="48"/>
      <c r="L1530" s="48"/>
      <c r="M1530" s="48"/>
    </row>
    <row r="1531" spans="1:13">
      <c r="A1531" s="48"/>
      <c r="B1531" s="49"/>
      <c r="C1531" s="48"/>
      <c r="D1531" s="48"/>
      <c r="E1531" s="48"/>
      <c r="F1531" s="48"/>
      <c r="G1531" s="48"/>
      <c r="H1531" s="48"/>
      <c r="I1531" s="48"/>
      <c r="J1531" s="48"/>
      <c r="K1531" s="48"/>
      <c r="L1531" s="48"/>
      <c r="M1531" s="48"/>
    </row>
    <row r="1532" spans="1:13">
      <c r="A1532" s="48"/>
      <c r="B1532" s="49"/>
      <c r="C1532" s="48"/>
      <c r="D1532" s="48"/>
      <c r="E1532" s="48"/>
      <c r="F1532" s="48"/>
      <c r="G1532" s="48"/>
      <c r="H1532" s="48"/>
      <c r="I1532" s="48"/>
      <c r="J1532" s="48"/>
      <c r="K1532" s="48"/>
      <c r="L1532" s="48"/>
      <c r="M1532" s="48"/>
    </row>
    <row r="1533" spans="1:13">
      <c r="A1533" s="48"/>
      <c r="B1533" s="49"/>
      <c r="C1533" s="48"/>
      <c r="D1533" s="48"/>
      <c r="E1533" s="48"/>
      <c r="F1533" s="48"/>
      <c r="G1533" s="48"/>
      <c r="H1533" s="48"/>
      <c r="I1533" s="48"/>
      <c r="J1533" s="48"/>
      <c r="K1533" s="48"/>
      <c r="L1533" s="48"/>
      <c r="M1533" s="48"/>
    </row>
    <row r="1534" spans="1:13">
      <c r="A1534" s="48"/>
      <c r="B1534" s="49"/>
      <c r="C1534" s="48"/>
      <c r="D1534" s="48"/>
      <c r="E1534" s="48"/>
      <c r="F1534" s="48"/>
      <c r="G1534" s="48"/>
      <c r="H1534" s="48"/>
      <c r="I1534" s="48"/>
      <c r="J1534" s="48"/>
      <c r="K1534" s="48"/>
      <c r="L1534" s="48"/>
      <c r="M1534" s="48"/>
    </row>
    <row r="1535" spans="1:13">
      <c r="A1535" s="48"/>
      <c r="B1535" s="49"/>
      <c r="C1535" s="48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</row>
    <row r="1536" spans="1:13">
      <c r="A1536" s="48"/>
      <c r="B1536" s="49"/>
      <c r="C1536" s="48"/>
      <c r="D1536" s="48"/>
      <c r="E1536" s="48"/>
      <c r="F1536" s="48"/>
      <c r="G1536" s="48"/>
      <c r="H1536" s="48"/>
      <c r="I1536" s="48"/>
      <c r="J1536" s="48"/>
      <c r="K1536" s="48"/>
      <c r="L1536" s="48"/>
      <c r="M1536" s="48"/>
    </row>
    <row r="1537" spans="1:13">
      <c r="A1537" s="48"/>
      <c r="B1537" s="49"/>
      <c r="C1537" s="48"/>
      <c r="D1537" s="48"/>
      <c r="E1537" s="48"/>
      <c r="F1537" s="48"/>
      <c r="G1537" s="48"/>
      <c r="H1537" s="48"/>
      <c r="I1537" s="48"/>
      <c r="J1537" s="48"/>
      <c r="K1537" s="48"/>
      <c r="L1537" s="48"/>
      <c r="M1537" s="48"/>
    </row>
    <row r="1538" spans="1:13">
      <c r="A1538" s="48"/>
      <c r="B1538" s="49"/>
      <c r="C1538" s="48"/>
      <c r="D1538" s="48"/>
      <c r="E1538" s="48"/>
      <c r="F1538" s="48"/>
      <c r="G1538" s="48"/>
      <c r="H1538" s="48"/>
      <c r="I1538" s="48"/>
      <c r="J1538" s="48"/>
      <c r="K1538" s="48"/>
      <c r="L1538" s="48"/>
      <c r="M1538" s="48"/>
    </row>
    <row r="1539" spans="1:13">
      <c r="A1539" s="48"/>
      <c r="B1539" s="49"/>
      <c r="C1539" s="48"/>
      <c r="D1539" s="48"/>
      <c r="E1539" s="48"/>
      <c r="F1539" s="48"/>
      <c r="G1539" s="48"/>
      <c r="H1539" s="48"/>
      <c r="I1539" s="48"/>
      <c r="J1539" s="48"/>
      <c r="K1539" s="48"/>
      <c r="L1539" s="48"/>
      <c r="M1539" s="48"/>
    </row>
    <row r="1540" spans="1:13">
      <c r="A1540" s="48"/>
      <c r="B1540" s="49"/>
      <c r="C1540" s="48"/>
      <c r="D1540" s="48"/>
      <c r="E1540" s="48"/>
      <c r="F1540" s="48"/>
      <c r="G1540" s="48"/>
      <c r="H1540" s="48"/>
      <c r="I1540" s="48"/>
      <c r="J1540" s="48"/>
      <c r="K1540" s="48"/>
      <c r="L1540" s="48"/>
      <c r="M1540" s="48"/>
    </row>
    <row r="1541" spans="1:13">
      <c r="A1541" s="48"/>
      <c r="B1541" s="49"/>
      <c r="C1541" s="48"/>
      <c r="D1541" s="48"/>
      <c r="E1541" s="48"/>
      <c r="F1541" s="48"/>
      <c r="G1541" s="48"/>
      <c r="H1541" s="48"/>
      <c r="I1541" s="48"/>
      <c r="J1541" s="48"/>
      <c r="K1541" s="48"/>
      <c r="L1541" s="48"/>
      <c r="M1541" s="48"/>
    </row>
    <row r="1542" spans="1:13">
      <c r="A1542" s="48"/>
      <c r="B1542" s="49"/>
      <c r="C1542" s="48"/>
      <c r="D1542" s="48"/>
      <c r="E1542" s="48"/>
      <c r="F1542" s="48"/>
      <c r="G1542" s="48"/>
      <c r="H1542" s="48"/>
      <c r="I1542" s="48"/>
      <c r="J1542" s="48"/>
      <c r="K1542" s="48"/>
      <c r="L1542" s="48"/>
      <c r="M1542" s="48"/>
    </row>
    <row r="1543" spans="1:13">
      <c r="A1543" s="48"/>
      <c r="B1543" s="49"/>
      <c r="C1543" s="48"/>
      <c r="D1543" s="48"/>
      <c r="E1543" s="48"/>
      <c r="F1543" s="48"/>
      <c r="G1543" s="48"/>
      <c r="H1543" s="48"/>
      <c r="I1543" s="48"/>
      <c r="J1543" s="48"/>
      <c r="K1543" s="48"/>
      <c r="L1543" s="48"/>
      <c r="M1543" s="48"/>
    </row>
    <row r="1544" spans="1:13">
      <c r="A1544" s="48"/>
      <c r="B1544" s="49"/>
      <c r="C1544" s="48"/>
      <c r="D1544" s="48"/>
      <c r="E1544" s="48"/>
      <c r="F1544" s="48"/>
      <c r="G1544" s="48"/>
      <c r="H1544" s="48"/>
      <c r="I1544" s="48"/>
      <c r="J1544" s="48"/>
      <c r="K1544" s="48"/>
      <c r="L1544" s="48"/>
      <c r="M1544" s="48"/>
    </row>
    <row r="1545" spans="1:13">
      <c r="A1545" s="48"/>
      <c r="B1545" s="49"/>
      <c r="C1545" s="48"/>
      <c r="D1545" s="48"/>
      <c r="E1545" s="48"/>
      <c r="F1545" s="48"/>
      <c r="G1545" s="48"/>
      <c r="H1545" s="48"/>
      <c r="I1545" s="48"/>
      <c r="J1545" s="48"/>
      <c r="K1545" s="48"/>
      <c r="L1545" s="48"/>
      <c r="M1545" s="48"/>
    </row>
    <row r="1546" spans="1:13">
      <c r="A1546" s="48"/>
      <c r="B1546" s="49"/>
      <c r="C1546" s="48"/>
      <c r="D1546" s="48"/>
      <c r="E1546" s="48"/>
      <c r="F1546" s="48"/>
      <c r="G1546" s="48"/>
      <c r="H1546" s="48"/>
      <c r="I1546" s="48"/>
      <c r="J1546" s="48"/>
      <c r="K1546" s="48"/>
      <c r="L1546" s="48"/>
      <c r="M1546" s="48"/>
    </row>
    <row r="1547" spans="1:13">
      <c r="A1547" s="48"/>
      <c r="B1547" s="49"/>
      <c r="C1547" s="48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</row>
    <row r="1548" spans="1:13">
      <c r="A1548" s="48"/>
      <c r="B1548" s="49"/>
      <c r="C1548" s="48"/>
      <c r="D1548" s="48"/>
      <c r="E1548" s="48"/>
      <c r="F1548" s="48"/>
      <c r="G1548" s="48"/>
      <c r="H1548" s="48"/>
      <c r="I1548" s="48"/>
      <c r="J1548" s="48"/>
      <c r="K1548" s="48"/>
      <c r="L1548" s="48"/>
      <c r="M1548" s="48"/>
    </row>
    <row r="1549" spans="1:13">
      <c r="A1549" s="48"/>
      <c r="B1549" s="49"/>
      <c r="C1549" s="48"/>
      <c r="D1549" s="48"/>
      <c r="E1549" s="48"/>
      <c r="F1549" s="48"/>
      <c r="G1549" s="48"/>
      <c r="H1549" s="48"/>
      <c r="I1549" s="48"/>
      <c r="J1549" s="48"/>
      <c r="K1549" s="48"/>
      <c r="L1549" s="48"/>
      <c r="M1549" s="48"/>
    </row>
    <row r="1550" spans="1:13">
      <c r="A1550" s="48"/>
      <c r="B1550" s="49"/>
      <c r="C1550" s="48"/>
      <c r="D1550" s="48"/>
      <c r="E1550" s="48"/>
      <c r="F1550" s="48"/>
      <c r="G1550" s="48"/>
      <c r="H1550" s="48"/>
      <c r="I1550" s="48"/>
      <c r="J1550" s="48"/>
      <c r="K1550" s="48"/>
      <c r="L1550" s="48"/>
      <c r="M1550" s="48"/>
    </row>
    <row r="1551" spans="1:13">
      <c r="A1551" s="48"/>
      <c r="B1551" s="49"/>
      <c r="C1551" s="48"/>
      <c r="D1551" s="48"/>
      <c r="E1551" s="48"/>
      <c r="F1551" s="48"/>
      <c r="G1551" s="48"/>
      <c r="H1551" s="48"/>
      <c r="I1551" s="48"/>
      <c r="J1551" s="48"/>
      <c r="K1551" s="48"/>
      <c r="L1551" s="48"/>
      <c r="M1551" s="48"/>
    </row>
    <row r="1552" spans="1:13">
      <c r="A1552" s="48"/>
      <c r="B1552" s="49"/>
      <c r="C1552" s="48"/>
      <c r="D1552" s="48"/>
      <c r="E1552" s="48"/>
      <c r="F1552" s="48"/>
      <c r="G1552" s="48"/>
      <c r="H1552" s="48"/>
      <c r="I1552" s="48"/>
      <c r="J1552" s="48"/>
      <c r="K1552" s="48"/>
      <c r="L1552" s="48"/>
      <c r="M1552" s="48"/>
    </row>
    <row r="1553" spans="1:13">
      <c r="A1553" s="48"/>
      <c r="B1553" s="49"/>
      <c r="C1553" s="48"/>
      <c r="D1553" s="48"/>
      <c r="E1553" s="48"/>
      <c r="F1553" s="48"/>
      <c r="G1553" s="48"/>
      <c r="H1553" s="48"/>
      <c r="I1553" s="48"/>
      <c r="J1553" s="48"/>
      <c r="K1553" s="48"/>
      <c r="L1553" s="48"/>
      <c r="M1553" s="48"/>
    </row>
    <row r="1554" spans="1:13">
      <c r="A1554" s="48"/>
      <c r="B1554" s="49"/>
      <c r="C1554" s="48"/>
      <c r="D1554" s="48"/>
      <c r="E1554" s="48"/>
      <c r="F1554" s="48"/>
      <c r="G1554" s="48"/>
      <c r="H1554" s="48"/>
      <c r="I1554" s="48"/>
      <c r="J1554" s="48"/>
      <c r="K1554" s="48"/>
      <c r="L1554" s="48"/>
      <c r="M1554" s="48"/>
    </row>
    <row r="1555" spans="1:13">
      <c r="A1555" s="48"/>
      <c r="B1555" s="49"/>
      <c r="C1555" s="48"/>
      <c r="D1555" s="48"/>
      <c r="E1555" s="48"/>
      <c r="F1555" s="48"/>
      <c r="G1555" s="48"/>
      <c r="H1555" s="48"/>
      <c r="I1555" s="48"/>
      <c r="J1555" s="48"/>
      <c r="K1555" s="48"/>
      <c r="L1555" s="48"/>
      <c r="M1555" s="48"/>
    </row>
    <row r="1556" spans="1:13">
      <c r="A1556" s="48"/>
      <c r="B1556" s="49"/>
      <c r="C1556" s="48"/>
      <c r="D1556" s="48"/>
      <c r="E1556" s="48"/>
      <c r="F1556" s="48"/>
      <c r="G1556" s="48"/>
      <c r="H1556" s="48"/>
      <c r="I1556" s="48"/>
      <c r="J1556" s="48"/>
      <c r="K1556" s="48"/>
      <c r="L1556" s="48"/>
      <c r="M1556" s="48"/>
    </row>
    <row r="1557" spans="1:13">
      <c r="A1557" s="48"/>
      <c r="B1557" s="49"/>
      <c r="C1557" s="48"/>
      <c r="D1557" s="48"/>
      <c r="E1557" s="48"/>
      <c r="F1557" s="48"/>
      <c r="G1557" s="48"/>
      <c r="H1557" s="48"/>
      <c r="I1557" s="48"/>
      <c r="J1557" s="48"/>
      <c r="K1557" s="48"/>
      <c r="L1557" s="48"/>
      <c r="M1557" s="48"/>
    </row>
    <row r="1558" spans="1:13">
      <c r="A1558" s="48"/>
      <c r="B1558" s="49"/>
      <c r="C1558" s="48"/>
      <c r="D1558" s="48"/>
      <c r="E1558" s="48"/>
      <c r="F1558" s="48"/>
      <c r="G1558" s="48"/>
      <c r="H1558" s="48"/>
      <c r="I1558" s="48"/>
      <c r="J1558" s="48"/>
      <c r="K1558" s="48"/>
      <c r="L1558" s="48"/>
      <c r="M1558" s="48"/>
    </row>
    <row r="1559" spans="1:13">
      <c r="A1559" s="48"/>
      <c r="B1559" s="49"/>
      <c r="C1559" s="48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</row>
    <row r="1560" spans="1:13">
      <c r="A1560" s="48"/>
      <c r="B1560" s="49"/>
      <c r="C1560" s="48"/>
      <c r="D1560" s="48"/>
      <c r="E1560" s="48"/>
      <c r="F1560" s="48"/>
      <c r="G1560" s="48"/>
      <c r="H1560" s="48"/>
      <c r="I1560" s="48"/>
      <c r="J1560" s="48"/>
      <c r="K1560" s="48"/>
      <c r="L1560" s="48"/>
      <c r="M1560" s="48"/>
    </row>
    <row r="1561" spans="1:13">
      <c r="A1561" s="48"/>
      <c r="B1561" s="49"/>
      <c r="C1561" s="48"/>
      <c r="D1561" s="48"/>
      <c r="E1561" s="48"/>
      <c r="F1561" s="48"/>
      <c r="G1561" s="48"/>
      <c r="H1561" s="48"/>
      <c r="I1561" s="48"/>
      <c r="J1561" s="48"/>
      <c r="K1561" s="48"/>
      <c r="L1561" s="48"/>
      <c r="M1561" s="48"/>
    </row>
    <row r="1562" spans="1:13">
      <c r="A1562" s="48"/>
      <c r="B1562" s="49"/>
      <c r="C1562" s="48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</row>
    <row r="1563" spans="1:13">
      <c r="A1563" s="48"/>
      <c r="B1563" s="49"/>
      <c r="C1563" s="48"/>
      <c r="D1563" s="48"/>
      <c r="E1563" s="48"/>
      <c r="F1563" s="48"/>
      <c r="G1563" s="48"/>
      <c r="H1563" s="48"/>
      <c r="I1563" s="48"/>
      <c r="J1563" s="48"/>
      <c r="K1563" s="48"/>
      <c r="L1563" s="48"/>
      <c r="M1563" s="48"/>
    </row>
    <row r="1564" spans="1:13">
      <c r="A1564" s="48"/>
      <c r="B1564" s="49"/>
      <c r="C1564" s="48"/>
      <c r="D1564" s="48"/>
      <c r="E1564" s="48"/>
      <c r="F1564" s="48"/>
      <c r="G1564" s="48"/>
      <c r="H1564" s="48"/>
      <c r="I1564" s="48"/>
      <c r="J1564" s="48"/>
      <c r="K1564" s="48"/>
      <c r="L1564" s="48"/>
      <c r="M1564" s="48"/>
    </row>
    <row r="1565" spans="1:13">
      <c r="A1565" s="48"/>
      <c r="B1565" s="49"/>
      <c r="C1565" s="48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</row>
    <row r="1566" spans="1:13">
      <c r="A1566" s="48"/>
      <c r="B1566" s="49"/>
      <c r="C1566" s="48"/>
      <c r="D1566" s="48"/>
      <c r="E1566" s="48"/>
      <c r="F1566" s="48"/>
      <c r="G1566" s="48"/>
      <c r="H1566" s="48"/>
      <c r="I1566" s="48"/>
      <c r="J1566" s="48"/>
      <c r="K1566" s="48"/>
      <c r="L1566" s="48"/>
      <c r="M1566" s="48"/>
    </row>
    <row r="1567" spans="1:13">
      <c r="A1567" s="48"/>
      <c r="B1567" s="49"/>
      <c r="C1567" s="48"/>
      <c r="D1567" s="48"/>
      <c r="E1567" s="48"/>
      <c r="F1567" s="48"/>
      <c r="G1567" s="48"/>
      <c r="H1567" s="48"/>
      <c r="I1567" s="48"/>
      <c r="J1567" s="48"/>
      <c r="K1567" s="48"/>
      <c r="L1567" s="48"/>
      <c r="M1567" s="48"/>
    </row>
    <row r="1568" spans="1:13">
      <c r="A1568" s="48"/>
      <c r="B1568" s="49"/>
      <c r="C1568" s="48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</row>
    <row r="1569" spans="1:13">
      <c r="A1569" s="48"/>
      <c r="B1569" s="49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  <c r="M1569" s="48"/>
    </row>
    <row r="1570" spans="1:13">
      <c r="A1570" s="48"/>
      <c r="B1570" s="49"/>
      <c r="C1570" s="48"/>
      <c r="D1570" s="48"/>
      <c r="E1570" s="48"/>
      <c r="F1570" s="48"/>
      <c r="G1570" s="48"/>
      <c r="H1570" s="48"/>
      <c r="I1570" s="48"/>
      <c r="J1570" s="48"/>
      <c r="K1570" s="48"/>
      <c r="L1570" s="48"/>
      <c r="M1570" s="48"/>
    </row>
    <row r="1571" spans="1:13">
      <c r="A1571" s="48"/>
      <c r="B1571" s="49"/>
      <c r="C1571" s="48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</row>
    <row r="1572" spans="1:13">
      <c r="A1572" s="48"/>
      <c r="B1572" s="49"/>
      <c r="C1572" s="48"/>
      <c r="D1572" s="48"/>
      <c r="E1572" s="48"/>
      <c r="F1572" s="48"/>
      <c r="G1572" s="48"/>
      <c r="H1572" s="48"/>
      <c r="I1572" s="48"/>
      <c r="J1572" s="48"/>
      <c r="K1572" s="48"/>
      <c r="L1572" s="48"/>
      <c r="M1572" s="48"/>
    </row>
    <row r="1573" spans="1:13">
      <c r="A1573" s="48"/>
      <c r="B1573" s="49"/>
      <c r="C1573" s="48"/>
      <c r="D1573" s="48"/>
      <c r="E1573" s="48"/>
      <c r="F1573" s="48"/>
      <c r="G1573" s="48"/>
      <c r="H1573" s="48"/>
      <c r="I1573" s="48"/>
      <c r="J1573" s="48"/>
      <c r="K1573" s="48"/>
      <c r="L1573" s="48"/>
      <c r="M1573" s="48"/>
    </row>
    <row r="1574" spans="1:13">
      <c r="A1574" s="48"/>
      <c r="B1574" s="49"/>
      <c r="C1574" s="48"/>
      <c r="D1574" s="48"/>
      <c r="E1574" s="48"/>
      <c r="F1574" s="48"/>
      <c r="G1574" s="48"/>
      <c r="H1574" s="48"/>
      <c r="I1574" s="48"/>
      <c r="J1574" s="48"/>
      <c r="K1574" s="48"/>
      <c r="L1574" s="48"/>
      <c r="M1574" s="48"/>
    </row>
    <row r="1575" spans="1:13">
      <c r="A1575" s="48"/>
      <c r="B1575" s="49"/>
      <c r="C1575" s="48"/>
      <c r="D1575" s="48"/>
      <c r="E1575" s="48"/>
      <c r="F1575" s="48"/>
      <c r="G1575" s="48"/>
      <c r="H1575" s="48"/>
      <c r="I1575" s="48"/>
      <c r="J1575" s="48"/>
      <c r="K1575" s="48"/>
      <c r="L1575" s="48"/>
      <c r="M1575" s="48"/>
    </row>
    <row r="1576" spans="1:13">
      <c r="A1576" s="48"/>
      <c r="B1576" s="49"/>
      <c r="C1576" s="48"/>
      <c r="D1576" s="48"/>
      <c r="E1576" s="48"/>
      <c r="F1576" s="48"/>
      <c r="G1576" s="48"/>
      <c r="H1576" s="48"/>
      <c r="I1576" s="48"/>
      <c r="J1576" s="48"/>
      <c r="K1576" s="48"/>
      <c r="L1576" s="48"/>
      <c r="M1576" s="48"/>
    </row>
    <row r="1577" spans="1:13">
      <c r="A1577" s="48"/>
      <c r="B1577" s="49"/>
      <c r="C1577" s="48"/>
      <c r="D1577" s="48"/>
      <c r="E1577" s="48"/>
      <c r="F1577" s="48"/>
      <c r="G1577" s="48"/>
      <c r="H1577" s="48"/>
      <c r="I1577" s="48"/>
      <c r="J1577" s="48"/>
      <c r="K1577" s="48"/>
      <c r="L1577" s="48"/>
      <c r="M1577" s="48"/>
    </row>
    <row r="1578" spans="1:13">
      <c r="A1578" s="48"/>
      <c r="B1578" s="49"/>
      <c r="C1578" s="48"/>
      <c r="D1578" s="48"/>
      <c r="E1578" s="48"/>
      <c r="F1578" s="48"/>
      <c r="G1578" s="48"/>
      <c r="H1578" s="48"/>
      <c r="I1578" s="48"/>
      <c r="J1578" s="48"/>
      <c r="K1578" s="48"/>
      <c r="L1578" s="48"/>
      <c r="M1578" s="48"/>
    </row>
    <row r="1579" spans="1:13">
      <c r="A1579" s="48"/>
      <c r="B1579" s="49"/>
      <c r="C1579" s="48"/>
      <c r="D1579" s="48"/>
      <c r="E1579" s="48"/>
      <c r="F1579" s="48"/>
      <c r="G1579" s="48"/>
      <c r="H1579" s="48"/>
      <c r="I1579" s="48"/>
      <c r="J1579" s="48"/>
      <c r="K1579" s="48"/>
      <c r="L1579" s="48"/>
      <c r="M1579" s="48"/>
    </row>
    <row r="1580" spans="1:13">
      <c r="A1580" s="48"/>
      <c r="B1580" s="49"/>
      <c r="C1580" s="48"/>
      <c r="D1580" s="48"/>
      <c r="E1580" s="48"/>
      <c r="F1580" s="48"/>
      <c r="G1580" s="48"/>
      <c r="H1580" s="48"/>
      <c r="I1580" s="48"/>
      <c r="J1580" s="48"/>
      <c r="K1580" s="48"/>
      <c r="L1580" s="48"/>
      <c r="M1580" s="48"/>
    </row>
    <row r="1581" spans="1:13">
      <c r="A1581" s="48"/>
      <c r="B1581" s="49"/>
      <c r="C1581" s="48"/>
      <c r="D1581" s="48"/>
      <c r="E1581" s="48"/>
      <c r="F1581" s="48"/>
      <c r="G1581" s="48"/>
      <c r="H1581" s="48"/>
      <c r="I1581" s="48"/>
      <c r="J1581" s="48"/>
      <c r="K1581" s="48"/>
      <c r="L1581" s="48"/>
      <c r="M1581" s="48"/>
    </row>
    <row r="1582" spans="1:13">
      <c r="A1582" s="48"/>
      <c r="B1582" s="49"/>
      <c r="C1582" s="48"/>
      <c r="D1582" s="48"/>
      <c r="E1582" s="48"/>
      <c r="F1582" s="48"/>
      <c r="G1582" s="48"/>
      <c r="H1582" s="48"/>
      <c r="I1582" s="48"/>
      <c r="J1582" s="48"/>
      <c r="K1582" s="48"/>
      <c r="L1582" s="48"/>
      <c r="M1582" s="48"/>
    </row>
    <row r="1583" spans="1:13">
      <c r="A1583" s="48"/>
      <c r="B1583" s="49"/>
      <c r="C1583" s="48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</row>
    <row r="1584" spans="1:13">
      <c r="A1584" s="48"/>
      <c r="B1584" s="49"/>
      <c r="C1584" s="48"/>
      <c r="D1584" s="48"/>
      <c r="E1584" s="48"/>
      <c r="F1584" s="48"/>
      <c r="G1584" s="48"/>
      <c r="H1584" s="48"/>
      <c r="I1584" s="48"/>
      <c r="J1584" s="48"/>
      <c r="K1584" s="48"/>
      <c r="L1584" s="48"/>
      <c r="M1584" s="48"/>
    </row>
    <row r="1585" spans="1:13">
      <c r="A1585" s="48"/>
      <c r="B1585" s="49"/>
      <c r="C1585" s="48"/>
      <c r="D1585" s="48"/>
      <c r="E1585" s="48"/>
      <c r="F1585" s="48"/>
      <c r="G1585" s="48"/>
      <c r="H1585" s="48"/>
      <c r="I1585" s="48"/>
      <c r="J1585" s="48"/>
      <c r="K1585" s="48"/>
      <c r="L1585" s="48"/>
      <c r="M1585" s="48"/>
    </row>
    <row r="1586" spans="1:13">
      <c r="A1586" s="48"/>
      <c r="B1586" s="49"/>
      <c r="C1586" s="48"/>
      <c r="D1586" s="48"/>
      <c r="E1586" s="48"/>
      <c r="F1586" s="48"/>
      <c r="G1586" s="48"/>
      <c r="H1586" s="48"/>
      <c r="I1586" s="48"/>
      <c r="J1586" s="48"/>
      <c r="K1586" s="48"/>
      <c r="L1586" s="48"/>
      <c r="M1586" s="48"/>
    </row>
    <row r="1587" spans="1:13">
      <c r="A1587" s="48"/>
      <c r="B1587" s="49"/>
      <c r="C1587" s="48"/>
      <c r="D1587" s="48"/>
      <c r="E1587" s="48"/>
      <c r="F1587" s="48"/>
      <c r="G1587" s="48"/>
      <c r="H1587" s="48"/>
      <c r="I1587" s="48"/>
      <c r="J1587" s="48"/>
      <c r="K1587" s="48"/>
      <c r="L1587" s="48"/>
      <c r="M1587" s="48"/>
    </row>
    <row r="1588" spans="1:13">
      <c r="A1588" s="48"/>
      <c r="B1588" s="49"/>
      <c r="C1588" s="48"/>
      <c r="D1588" s="48"/>
      <c r="E1588" s="48"/>
      <c r="F1588" s="48"/>
      <c r="G1588" s="48"/>
      <c r="H1588" s="48"/>
      <c r="I1588" s="48"/>
      <c r="J1588" s="48"/>
      <c r="K1588" s="48"/>
      <c r="L1588" s="48"/>
      <c r="M1588" s="48"/>
    </row>
    <row r="1589" spans="1:13">
      <c r="A1589" s="48"/>
      <c r="B1589" s="49"/>
      <c r="C1589" s="48"/>
      <c r="D1589" s="48"/>
      <c r="E1589" s="48"/>
      <c r="F1589" s="48"/>
      <c r="G1589" s="48"/>
      <c r="H1589" s="48"/>
      <c r="I1589" s="48"/>
      <c r="J1589" s="48"/>
      <c r="K1589" s="48"/>
      <c r="L1589" s="48"/>
      <c r="M1589" s="48"/>
    </row>
    <row r="1590" spans="1:13">
      <c r="A1590" s="48"/>
      <c r="B1590" s="49"/>
      <c r="C1590" s="48"/>
      <c r="D1590" s="48"/>
      <c r="E1590" s="48"/>
      <c r="F1590" s="48"/>
      <c r="G1590" s="48"/>
      <c r="H1590" s="48"/>
      <c r="I1590" s="48"/>
      <c r="J1590" s="48"/>
      <c r="K1590" s="48"/>
      <c r="L1590" s="48"/>
      <c r="M1590" s="48"/>
    </row>
    <row r="1591" spans="1:13">
      <c r="A1591" s="48"/>
      <c r="B1591" s="49"/>
      <c r="C1591" s="48"/>
      <c r="D1591" s="48"/>
      <c r="E1591" s="48"/>
      <c r="F1591" s="48"/>
      <c r="G1591" s="48"/>
      <c r="H1591" s="48"/>
      <c r="I1591" s="48"/>
      <c r="J1591" s="48"/>
      <c r="K1591" s="48"/>
      <c r="L1591" s="48"/>
      <c r="M1591" s="48"/>
    </row>
    <row r="1592" spans="1:13">
      <c r="A1592" s="48"/>
      <c r="B1592" s="49"/>
      <c r="C1592" s="48"/>
      <c r="D1592" s="48"/>
      <c r="E1592" s="48"/>
      <c r="F1592" s="48"/>
      <c r="G1592" s="48"/>
      <c r="H1592" s="48"/>
      <c r="I1592" s="48"/>
      <c r="J1592" s="48"/>
      <c r="K1592" s="48"/>
      <c r="L1592" s="48"/>
      <c r="M1592" s="48"/>
    </row>
    <row r="1593" spans="1:13">
      <c r="A1593" s="48"/>
      <c r="B1593" s="49"/>
      <c r="C1593" s="48"/>
      <c r="D1593" s="48"/>
      <c r="E1593" s="48"/>
      <c r="F1593" s="48"/>
      <c r="G1593" s="48"/>
      <c r="H1593" s="48"/>
      <c r="I1593" s="48"/>
      <c r="J1593" s="48"/>
      <c r="K1593" s="48"/>
      <c r="L1593" s="48"/>
      <c r="M1593" s="48"/>
    </row>
    <row r="1594" spans="1:13">
      <c r="A1594" s="48"/>
      <c r="B1594" s="49"/>
      <c r="C1594" s="48"/>
      <c r="D1594" s="48"/>
      <c r="E1594" s="48"/>
      <c r="F1594" s="48"/>
      <c r="G1594" s="48"/>
      <c r="H1594" s="48"/>
      <c r="I1594" s="48"/>
      <c r="J1594" s="48"/>
      <c r="K1594" s="48"/>
      <c r="L1594" s="48"/>
      <c r="M1594" s="48"/>
    </row>
    <row r="1595" spans="1:13">
      <c r="A1595" s="48"/>
      <c r="B1595" s="49"/>
      <c r="C1595" s="48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</row>
    <row r="1596" spans="1:13">
      <c r="A1596" s="48"/>
      <c r="B1596" s="49"/>
      <c r="C1596" s="48"/>
      <c r="D1596" s="48"/>
      <c r="E1596" s="48"/>
      <c r="F1596" s="48"/>
      <c r="G1596" s="48"/>
      <c r="H1596" s="48"/>
      <c r="I1596" s="48"/>
      <c r="J1596" s="48"/>
      <c r="K1596" s="48"/>
      <c r="L1596" s="48"/>
      <c r="M1596" s="48"/>
    </row>
    <row r="1597" spans="1:13">
      <c r="A1597" s="48"/>
      <c r="B1597" s="49"/>
      <c r="C1597" s="48"/>
      <c r="D1597" s="48"/>
      <c r="E1597" s="48"/>
      <c r="F1597" s="48"/>
      <c r="G1597" s="48"/>
      <c r="H1597" s="48"/>
      <c r="I1597" s="48"/>
      <c r="J1597" s="48"/>
      <c r="K1597" s="48"/>
      <c r="L1597" s="48"/>
      <c r="M1597" s="48"/>
    </row>
    <row r="1598" spans="1:13">
      <c r="A1598" s="48"/>
      <c r="B1598" s="49"/>
      <c r="C1598" s="48"/>
      <c r="D1598" s="48"/>
      <c r="E1598" s="48"/>
      <c r="F1598" s="48"/>
      <c r="G1598" s="48"/>
      <c r="H1598" s="48"/>
      <c r="I1598" s="48"/>
      <c r="J1598" s="48"/>
      <c r="K1598" s="48"/>
      <c r="L1598" s="48"/>
      <c r="M1598" s="48"/>
    </row>
    <row r="1599" spans="1:13">
      <c r="A1599" s="48"/>
      <c r="B1599" s="49"/>
      <c r="C1599" s="48"/>
      <c r="D1599" s="48"/>
      <c r="E1599" s="48"/>
      <c r="F1599" s="48"/>
      <c r="G1599" s="48"/>
      <c r="H1599" s="48"/>
      <c r="I1599" s="48"/>
      <c r="J1599" s="48"/>
      <c r="K1599" s="48"/>
      <c r="L1599" s="48"/>
      <c r="M1599" s="48"/>
    </row>
    <row r="1600" spans="1:13">
      <c r="A1600" s="48"/>
      <c r="B1600" s="49"/>
      <c r="C1600" s="48"/>
      <c r="D1600" s="48"/>
      <c r="E1600" s="48"/>
      <c r="F1600" s="48"/>
      <c r="G1600" s="48"/>
      <c r="H1600" s="48"/>
      <c r="I1600" s="48"/>
      <c r="J1600" s="48"/>
      <c r="K1600" s="48"/>
      <c r="L1600" s="48"/>
      <c r="M1600" s="48"/>
    </row>
    <row r="1601" spans="1:13">
      <c r="A1601" s="48"/>
      <c r="B1601" s="49"/>
      <c r="C1601" s="48"/>
      <c r="D1601" s="48"/>
      <c r="E1601" s="48"/>
      <c r="F1601" s="48"/>
      <c r="G1601" s="48"/>
      <c r="H1601" s="48"/>
      <c r="I1601" s="48"/>
      <c r="J1601" s="48"/>
      <c r="K1601" s="48"/>
      <c r="L1601" s="48"/>
      <c r="M1601" s="48"/>
    </row>
    <row r="1602" spans="1:13">
      <c r="A1602" s="48"/>
      <c r="B1602" s="49"/>
      <c r="C1602" s="48"/>
      <c r="D1602" s="48"/>
      <c r="E1602" s="48"/>
      <c r="F1602" s="48"/>
      <c r="G1602" s="48"/>
      <c r="H1602" s="48"/>
      <c r="I1602" s="48"/>
      <c r="J1602" s="48"/>
      <c r="K1602" s="48"/>
      <c r="L1602" s="48"/>
      <c r="M1602" s="48"/>
    </row>
    <row r="1603" spans="1:13">
      <c r="A1603" s="48"/>
      <c r="B1603" s="49"/>
      <c r="C1603" s="48"/>
      <c r="D1603" s="48"/>
      <c r="E1603" s="48"/>
      <c r="F1603" s="48"/>
      <c r="G1603" s="48"/>
      <c r="H1603" s="48"/>
      <c r="I1603" s="48"/>
      <c r="J1603" s="48"/>
      <c r="K1603" s="48"/>
      <c r="L1603" s="48"/>
      <c r="M1603" s="48"/>
    </row>
    <row r="1604" spans="1:13">
      <c r="A1604" s="48"/>
      <c r="B1604" s="49"/>
      <c r="C1604" s="48"/>
      <c r="D1604" s="48"/>
      <c r="E1604" s="48"/>
      <c r="F1604" s="48"/>
      <c r="G1604" s="48"/>
      <c r="H1604" s="48"/>
      <c r="I1604" s="48"/>
      <c r="J1604" s="48"/>
      <c r="K1604" s="48"/>
      <c r="L1604" s="48"/>
      <c r="M1604" s="48"/>
    </row>
    <row r="1605" spans="1:13">
      <c r="A1605" s="48"/>
      <c r="B1605" s="49"/>
      <c r="C1605" s="48"/>
      <c r="D1605" s="48"/>
      <c r="E1605" s="48"/>
      <c r="F1605" s="48"/>
      <c r="G1605" s="48"/>
      <c r="H1605" s="48"/>
      <c r="I1605" s="48"/>
      <c r="J1605" s="48"/>
      <c r="K1605" s="48"/>
      <c r="L1605" s="48"/>
      <c r="M1605" s="48"/>
    </row>
    <row r="1606" spans="1:13">
      <c r="A1606" s="48"/>
      <c r="B1606" s="49"/>
      <c r="C1606" s="48"/>
      <c r="D1606" s="48"/>
      <c r="E1606" s="48"/>
      <c r="F1606" s="48"/>
      <c r="G1606" s="48"/>
      <c r="H1606" s="48"/>
      <c r="I1606" s="48"/>
      <c r="J1606" s="48"/>
      <c r="K1606" s="48"/>
      <c r="L1606" s="48"/>
      <c r="M1606" s="48"/>
    </row>
    <row r="1607" spans="1:13">
      <c r="A1607" s="48"/>
      <c r="B1607" s="49"/>
      <c r="C1607" s="48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</row>
    <row r="1608" spans="1:13">
      <c r="A1608" s="48"/>
      <c r="B1608" s="49"/>
      <c r="C1608" s="48"/>
      <c r="D1608" s="48"/>
      <c r="E1608" s="48"/>
      <c r="F1608" s="48"/>
      <c r="G1608" s="48"/>
      <c r="H1608" s="48"/>
      <c r="I1608" s="48"/>
      <c r="J1608" s="48"/>
      <c r="K1608" s="48"/>
      <c r="L1608" s="48"/>
      <c r="M1608" s="48"/>
    </row>
    <row r="1609" spans="1:13">
      <c r="A1609" s="48"/>
      <c r="B1609" s="49"/>
      <c r="C1609" s="48"/>
      <c r="D1609" s="48"/>
      <c r="E1609" s="48"/>
      <c r="F1609" s="48"/>
      <c r="G1609" s="48"/>
      <c r="H1609" s="48"/>
      <c r="I1609" s="48"/>
      <c r="J1609" s="48"/>
      <c r="K1609" s="48"/>
      <c r="L1609" s="48"/>
      <c r="M1609" s="48"/>
    </row>
    <row r="1610" spans="1:13">
      <c r="A1610" s="48"/>
      <c r="B1610" s="49"/>
      <c r="C1610" s="48"/>
      <c r="D1610" s="48"/>
      <c r="E1610" s="48"/>
      <c r="F1610" s="48"/>
      <c r="G1610" s="48"/>
      <c r="H1610" s="48"/>
      <c r="I1610" s="48"/>
      <c r="J1610" s="48"/>
      <c r="K1610" s="48"/>
      <c r="L1610" s="48"/>
      <c r="M1610" s="48"/>
    </row>
    <row r="1611" spans="1:13">
      <c r="A1611" s="48"/>
      <c r="B1611" s="49"/>
      <c r="C1611" s="48"/>
      <c r="D1611" s="48"/>
      <c r="E1611" s="48"/>
      <c r="F1611" s="48"/>
      <c r="G1611" s="48"/>
      <c r="H1611" s="48"/>
      <c r="I1611" s="48"/>
      <c r="J1611" s="48"/>
      <c r="K1611" s="48"/>
      <c r="L1611" s="48"/>
      <c r="M1611" s="48"/>
    </row>
    <row r="1612" spans="1:13">
      <c r="A1612" s="48"/>
      <c r="B1612" s="49"/>
      <c r="C1612" s="48"/>
      <c r="D1612" s="48"/>
      <c r="E1612" s="48"/>
      <c r="F1612" s="48"/>
      <c r="G1612" s="48"/>
      <c r="H1612" s="48"/>
      <c r="I1612" s="48"/>
      <c r="J1612" s="48"/>
      <c r="K1612" s="48"/>
      <c r="L1612" s="48"/>
      <c r="M1612" s="48"/>
    </row>
    <row r="1613" spans="1:13">
      <c r="A1613" s="48"/>
      <c r="B1613" s="49"/>
      <c r="C1613" s="48"/>
      <c r="D1613" s="48"/>
      <c r="E1613" s="48"/>
      <c r="F1613" s="48"/>
      <c r="G1613" s="48"/>
      <c r="H1613" s="48"/>
      <c r="I1613" s="48"/>
      <c r="J1613" s="48"/>
      <c r="K1613" s="48"/>
      <c r="L1613" s="48"/>
      <c r="M1613" s="48"/>
    </row>
    <row r="1614" spans="1:13">
      <c r="A1614" s="48"/>
      <c r="B1614" s="49"/>
      <c r="C1614" s="48"/>
      <c r="D1614" s="48"/>
      <c r="E1614" s="48"/>
      <c r="F1614" s="48"/>
      <c r="G1614" s="48"/>
      <c r="H1614" s="48"/>
      <c r="I1614" s="48"/>
      <c r="J1614" s="48"/>
      <c r="K1614" s="48"/>
      <c r="L1614" s="48"/>
      <c r="M1614" s="48"/>
    </row>
    <row r="1615" spans="1:13">
      <c r="A1615" s="48"/>
      <c r="B1615" s="49"/>
      <c r="C1615" s="48"/>
      <c r="D1615" s="48"/>
      <c r="E1615" s="48"/>
      <c r="F1615" s="48"/>
      <c r="G1615" s="48"/>
      <c r="H1615" s="48"/>
      <c r="I1615" s="48"/>
      <c r="J1615" s="48"/>
      <c r="K1615" s="48"/>
      <c r="L1615" s="48"/>
      <c r="M1615" s="48"/>
    </row>
    <row r="1616" spans="1:13">
      <c r="A1616" s="48"/>
      <c r="B1616" s="49"/>
      <c r="C1616" s="48"/>
      <c r="D1616" s="48"/>
      <c r="E1616" s="48"/>
      <c r="F1616" s="48"/>
      <c r="G1616" s="48"/>
      <c r="H1616" s="48"/>
      <c r="I1616" s="48"/>
      <c r="J1616" s="48"/>
      <c r="K1616" s="48"/>
      <c r="L1616" s="48"/>
      <c r="M1616" s="48"/>
    </row>
    <row r="1617" spans="1:13">
      <c r="A1617" s="48"/>
      <c r="B1617" s="49"/>
      <c r="C1617" s="48"/>
      <c r="D1617" s="48"/>
      <c r="E1617" s="48"/>
      <c r="F1617" s="48"/>
      <c r="G1617" s="48"/>
      <c r="H1617" s="48"/>
      <c r="I1617" s="48"/>
      <c r="J1617" s="48"/>
      <c r="K1617" s="48"/>
      <c r="L1617" s="48"/>
      <c r="M1617" s="48"/>
    </row>
    <row r="1618" spans="1:13">
      <c r="A1618" s="48"/>
      <c r="B1618" s="49"/>
      <c r="C1618" s="48"/>
      <c r="D1618" s="48"/>
      <c r="E1618" s="48"/>
      <c r="F1618" s="48"/>
      <c r="G1618" s="48"/>
      <c r="H1618" s="48"/>
      <c r="I1618" s="48"/>
      <c r="J1618" s="48"/>
      <c r="K1618" s="48"/>
      <c r="L1618" s="48"/>
      <c r="M1618" s="48"/>
    </row>
    <row r="1619" spans="1:13">
      <c r="A1619" s="48"/>
      <c r="B1619" s="49"/>
      <c r="C1619" s="48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</row>
    <row r="1620" spans="1:13">
      <c r="A1620" s="48"/>
      <c r="B1620" s="49"/>
      <c r="C1620" s="48"/>
      <c r="D1620" s="48"/>
      <c r="E1620" s="48"/>
      <c r="F1620" s="48"/>
      <c r="G1620" s="48"/>
      <c r="H1620" s="48"/>
      <c r="I1620" s="48"/>
      <c r="J1620" s="48"/>
      <c r="K1620" s="48"/>
      <c r="L1620" s="48"/>
      <c r="M1620" s="48"/>
    </row>
    <row r="1621" spans="1:13">
      <c r="A1621" s="48"/>
      <c r="B1621" s="49"/>
      <c r="C1621" s="48"/>
      <c r="D1621" s="48"/>
      <c r="E1621" s="48"/>
      <c r="F1621" s="48"/>
      <c r="G1621" s="48"/>
      <c r="H1621" s="48"/>
      <c r="I1621" s="48"/>
      <c r="J1621" s="48"/>
      <c r="K1621" s="48"/>
      <c r="L1621" s="48"/>
      <c r="M1621" s="48"/>
    </row>
    <row r="1622" spans="1:13">
      <c r="A1622" s="48"/>
      <c r="B1622" s="49"/>
      <c r="C1622" s="48"/>
      <c r="D1622" s="48"/>
      <c r="E1622" s="48"/>
      <c r="F1622" s="48"/>
      <c r="G1622" s="48"/>
      <c r="H1622" s="48"/>
      <c r="I1622" s="48"/>
      <c r="J1622" s="48"/>
      <c r="K1622" s="48"/>
      <c r="L1622" s="48"/>
      <c r="M1622" s="48"/>
    </row>
    <row r="1623" spans="1:13">
      <c r="A1623" s="48"/>
      <c r="B1623" s="49"/>
      <c r="C1623" s="48"/>
      <c r="D1623" s="48"/>
      <c r="E1623" s="48"/>
      <c r="F1623" s="48"/>
      <c r="G1623" s="48"/>
      <c r="H1623" s="48"/>
      <c r="I1623" s="48"/>
      <c r="J1623" s="48"/>
      <c r="K1623" s="48"/>
      <c r="L1623" s="48"/>
      <c r="M1623" s="48"/>
    </row>
    <row r="1624" spans="1:13">
      <c r="A1624" s="48"/>
      <c r="B1624" s="49"/>
      <c r="C1624" s="48"/>
      <c r="D1624" s="48"/>
      <c r="E1624" s="48"/>
      <c r="F1624" s="48"/>
      <c r="G1624" s="48"/>
      <c r="H1624" s="48"/>
      <c r="I1624" s="48"/>
      <c r="J1624" s="48"/>
      <c r="K1624" s="48"/>
      <c r="L1624" s="48"/>
      <c r="M1624" s="48"/>
    </row>
    <row r="1625" spans="1:13">
      <c r="A1625" s="48"/>
      <c r="B1625" s="49"/>
      <c r="C1625" s="48"/>
      <c r="D1625" s="48"/>
      <c r="E1625" s="48"/>
      <c r="F1625" s="48"/>
      <c r="G1625" s="48"/>
      <c r="H1625" s="48"/>
      <c r="I1625" s="48"/>
      <c r="J1625" s="48"/>
      <c r="K1625" s="48"/>
      <c r="L1625" s="48"/>
      <c r="M1625" s="48"/>
    </row>
    <row r="1626" spans="1:13">
      <c r="A1626" s="48"/>
      <c r="B1626" s="49"/>
      <c r="C1626" s="48"/>
      <c r="D1626" s="48"/>
      <c r="E1626" s="48"/>
      <c r="F1626" s="48"/>
      <c r="G1626" s="48"/>
      <c r="H1626" s="48"/>
      <c r="I1626" s="48"/>
      <c r="J1626" s="48"/>
      <c r="K1626" s="48"/>
      <c r="L1626" s="48"/>
      <c r="M1626" s="48"/>
    </row>
    <row r="1627" spans="1:13">
      <c r="A1627" s="48"/>
      <c r="B1627" s="49"/>
      <c r="C1627" s="48"/>
      <c r="D1627" s="48"/>
      <c r="E1627" s="48"/>
      <c r="F1627" s="48"/>
      <c r="G1627" s="48"/>
      <c r="H1627" s="48"/>
      <c r="I1627" s="48"/>
      <c r="J1627" s="48"/>
      <c r="K1627" s="48"/>
      <c r="L1627" s="48"/>
      <c r="M1627" s="48"/>
    </row>
    <row r="1628" spans="1:13">
      <c r="A1628" s="48"/>
      <c r="B1628" s="49"/>
      <c r="C1628" s="48"/>
      <c r="D1628" s="48"/>
      <c r="E1628" s="48"/>
      <c r="F1628" s="48"/>
      <c r="G1628" s="48"/>
      <c r="H1628" s="48"/>
      <c r="I1628" s="48"/>
      <c r="J1628" s="48"/>
      <c r="K1628" s="48"/>
      <c r="L1628" s="48"/>
      <c r="M1628" s="48"/>
    </row>
    <row r="1629" spans="1:13">
      <c r="A1629" s="48"/>
      <c r="B1629" s="49"/>
      <c r="C1629" s="48"/>
      <c r="D1629" s="48"/>
      <c r="E1629" s="48"/>
      <c r="F1629" s="48"/>
      <c r="G1629" s="48"/>
      <c r="H1629" s="48"/>
      <c r="I1629" s="48"/>
      <c r="J1629" s="48"/>
      <c r="K1629" s="48"/>
      <c r="L1629" s="48"/>
      <c r="M1629" s="48"/>
    </row>
    <row r="1630" spans="1:13">
      <c r="A1630" s="48"/>
      <c r="B1630" s="49"/>
      <c r="C1630" s="48"/>
      <c r="D1630" s="48"/>
      <c r="E1630" s="48"/>
      <c r="F1630" s="48"/>
      <c r="G1630" s="48"/>
      <c r="H1630" s="48"/>
      <c r="I1630" s="48"/>
      <c r="J1630" s="48"/>
      <c r="K1630" s="48"/>
      <c r="L1630" s="48"/>
      <c r="M1630" s="48"/>
    </row>
    <row r="1631" spans="1:13">
      <c r="A1631" s="48"/>
      <c r="B1631" s="49"/>
      <c r="C1631" s="48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</row>
    <row r="1632" spans="1:13">
      <c r="A1632" s="48"/>
      <c r="B1632" s="49"/>
      <c r="C1632" s="48"/>
      <c r="D1632" s="48"/>
      <c r="E1632" s="48"/>
      <c r="F1632" s="48"/>
      <c r="G1632" s="48"/>
      <c r="H1632" s="48"/>
      <c r="I1632" s="48"/>
      <c r="J1632" s="48"/>
      <c r="K1632" s="48"/>
      <c r="L1632" s="48"/>
      <c r="M1632" s="48"/>
    </row>
    <row r="1633" spans="1:13">
      <c r="A1633" s="48"/>
      <c r="B1633" s="49"/>
      <c r="C1633" s="48"/>
      <c r="D1633" s="48"/>
      <c r="E1633" s="48"/>
      <c r="F1633" s="48"/>
      <c r="G1633" s="48"/>
      <c r="H1633" s="48"/>
      <c r="I1633" s="48"/>
      <c r="J1633" s="48"/>
      <c r="K1633" s="48"/>
      <c r="L1633" s="48"/>
      <c r="M1633" s="48"/>
    </row>
    <row r="1634" spans="1:13">
      <c r="A1634" s="48"/>
      <c r="B1634" s="49"/>
      <c r="C1634" s="48"/>
      <c r="D1634" s="48"/>
      <c r="E1634" s="48"/>
      <c r="F1634" s="48"/>
      <c r="G1634" s="48"/>
      <c r="H1634" s="48"/>
      <c r="I1634" s="48"/>
      <c r="J1634" s="48"/>
      <c r="K1634" s="48"/>
      <c r="L1634" s="48"/>
      <c r="M1634" s="48"/>
    </row>
    <row r="1635" spans="1:13">
      <c r="A1635" s="48"/>
      <c r="B1635" s="49"/>
      <c r="C1635" s="48"/>
      <c r="D1635" s="48"/>
      <c r="E1635" s="48"/>
      <c r="F1635" s="48"/>
      <c r="G1635" s="48"/>
      <c r="H1635" s="48"/>
      <c r="I1635" s="48"/>
      <c r="J1635" s="48"/>
      <c r="K1635" s="48"/>
      <c r="L1635" s="48"/>
      <c r="M1635" s="48"/>
    </row>
    <row r="1636" spans="1:13">
      <c r="A1636" s="48"/>
      <c r="B1636" s="49"/>
      <c r="C1636" s="48"/>
      <c r="D1636" s="48"/>
      <c r="E1636" s="48"/>
      <c r="F1636" s="48"/>
      <c r="G1636" s="48"/>
      <c r="H1636" s="48"/>
      <c r="I1636" s="48"/>
      <c r="J1636" s="48"/>
      <c r="K1636" s="48"/>
      <c r="L1636" s="48"/>
      <c r="M1636" s="48"/>
    </row>
    <row r="1637" spans="1:13">
      <c r="A1637" s="48"/>
      <c r="B1637" s="49"/>
      <c r="C1637" s="48"/>
      <c r="D1637" s="48"/>
      <c r="E1637" s="48"/>
      <c r="F1637" s="48"/>
      <c r="G1637" s="48"/>
      <c r="H1637" s="48"/>
      <c r="I1637" s="48"/>
      <c r="J1637" s="48"/>
      <c r="K1637" s="48"/>
      <c r="L1637" s="48"/>
      <c r="M1637" s="48"/>
    </row>
    <row r="1638" spans="1:13">
      <c r="A1638" s="48"/>
      <c r="B1638" s="49"/>
      <c r="C1638" s="48"/>
      <c r="D1638" s="48"/>
      <c r="E1638" s="48"/>
      <c r="F1638" s="48"/>
      <c r="G1638" s="48"/>
      <c r="H1638" s="48"/>
      <c r="I1638" s="48"/>
      <c r="J1638" s="48"/>
      <c r="K1638" s="48"/>
      <c r="L1638" s="48"/>
      <c r="M1638" s="48"/>
    </row>
    <row r="1639" spans="1:13">
      <c r="A1639" s="48"/>
      <c r="B1639" s="49"/>
      <c r="C1639" s="48"/>
      <c r="D1639" s="48"/>
      <c r="E1639" s="48"/>
      <c r="F1639" s="48"/>
      <c r="G1639" s="48"/>
      <c r="H1639" s="48"/>
      <c r="I1639" s="48"/>
      <c r="J1639" s="48"/>
      <c r="K1639" s="48"/>
      <c r="L1639" s="48"/>
      <c r="M1639" s="48"/>
    </row>
    <row r="1640" spans="1:13">
      <c r="A1640" s="48"/>
      <c r="B1640" s="49"/>
      <c r="C1640" s="48"/>
      <c r="D1640" s="48"/>
      <c r="E1640" s="48"/>
      <c r="F1640" s="48"/>
      <c r="G1640" s="48"/>
      <c r="H1640" s="48"/>
      <c r="I1640" s="48"/>
      <c r="J1640" s="48"/>
      <c r="K1640" s="48"/>
      <c r="L1640" s="48"/>
      <c r="M1640" s="48"/>
    </row>
    <row r="1641" spans="1:13">
      <c r="A1641" s="48"/>
      <c r="B1641" s="49"/>
      <c r="C1641" s="48"/>
      <c r="D1641" s="48"/>
      <c r="E1641" s="48"/>
      <c r="F1641" s="48"/>
      <c r="G1641" s="48"/>
      <c r="H1641" s="48"/>
      <c r="I1641" s="48"/>
      <c r="J1641" s="48"/>
      <c r="K1641" s="48"/>
      <c r="L1641" s="48"/>
      <c r="M1641" s="48"/>
    </row>
    <row r="1642" spans="1:13">
      <c r="A1642" s="48"/>
      <c r="B1642" s="49"/>
      <c r="C1642" s="48"/>
      <c r="D1642" s="48"/>
      <c r="E1642" s="48"/>
      <c r="F1642" s="48"/>
      <c r="G1642" s="48"/>
      <c r="H1642" s="48"/>
      <c r="I1642" s="48"/>
      <c r="J1642" s="48"/>
      <c r="K1642" s="48"/>
      <c r="L1642" s="48"/>
      <c r="M1642" s="48"/>
    </row>
    <row r="1643" spans="1:13">
      <c r="A1643" s="48"/>
      <c r="B1643" s="49"/>
      <c r="C1643" s="48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</row>
    <row r="1644" spans="1:13">
      <c r="A1644" s="48"/>
      <c r="B1644" s="49"/>
      <c r="C1644" s="48"/>
      <c r="D1644" s="48"/>
      <c r="E1644" s="48"/>
      <c r="F1644" s="48"/>
      <c r="G1644" s="48"/>
      <c r="H1644" s="48"/>
      <c r="I1644" s="48"/>
      <c r="J1644" s="48"/>
      <c r="K1644" s="48"/>
      <c r="L1644" s="48"/>
      <c r="M1644" s="48"/>
    </row>
    <row r="1645" spans="1:13">
      <c r="A1645" s="48"/>
      <c r="B1645" s="49"/>
      <c r="C1645" s="48"/>
      <c r="D1645" s="48"/>
      <c r="E1645" s="48"/>
      <c r="F1645" s="48"/>
      <c r="G1645" s="48"/>
      <c r="H1645" s="48"/>
      <c r="I1645" s="48"/>
      <c r="J1645" s="48"/>
      <c r="K1645" s="48"/>
      <c r="L1645" s="48"/>
      <c r="M1645" s="48"/>
    </row>
    <row r="1646" spans="1:13">
      <c r="A1646" s="48"/>
      <c r="B1646" s="49"/>
      <c r="C1646" s="48"/>
      <c r="D1646" s="48"/>
      <c r="E1646" s="48"/>
      <c r="F1646" s="48"/>
      <c r="G1646" s="48"/>
      <c r="H1646" s="48"/>
      <c r="I1646" s="48"/>
      <c r="J1646" s="48"/>
      <c r="K1646" s="48"/>
      <c r="L1646" s="48"/>
      <c r="M1646" s="48"/>
    </row>
    <row r="1647" spans="1:13">
      <c r="A1647" s="48"/>
      <c r="B1647" s="49"/>
      <c r="C1647" s="48"/>
      <c r="D1647" s="48"/>
      <c r="E1647" s="48"/>
      <c r="F1647" s="48"/>
      <c r="G1647" s="48"/>
      <c r="H1647" s="48"/>
      <c r="I1647" s="48"/>
      <c r="J1647" s="48"/>
      <c r="K1647" s="48"/>
      <c r="L1647" s="48"/>
      <c r="M1647" s="48"/>
    </row>
    <row r="1648" spans="1:13">
      <c r="A1648" s="48"/>
      <c r="B1648" s="49"/>
      <c r="C1648" s="48"/>
      <c r="D1648" s="48"/>
      <c r="E1648" s="48"/>
      <c r="F1648" s="48"/>
      <c r="G1648" s="48"/>
      <c r="H1648" s="48"/>
      <c r="I1648" s="48"/>
      <c r="J1648" s="48"/>
      <c r="K1648" s="48"/>
      <c r="L1648" s="48"/>
      <c r="M1648" s="48"/>
    </row>
    <row r="1649" spans="1:13">
      <c r="A1649" s="48"/>
      <c r="B1649" s="49"/>
      <c r="C1649" s="48"/>
      <c r="D1649" s="48"/>
      <c r="E1649" s="48"/>
      <c r="F1649" s="48"/>
      <c r="G1649" s="48"/>
      <c r="H1649" s="48"/>
      <c r="I1649" s="48"/>
      <c r="J1649" s="48"/>
      <c r="K1649" s="48"/>
      <c r="L1649" s="48"/>
      <c r="M1649" s="48"/>
    </row>
    <row r="1650" spans="1:13">
      <c r="A1650" s="48"/>
      <c r="B1650" s="49"/>
      <c r="C1650" s="48"/>
      <c r="D1650" s="48"/>
      <c r="E1650" s="48"/>
      <c r="F1650" s="48"/>
      <c r="G1650" s="48"/>
      <c r="H1650" s="48"/>
      <c r="I1650" s="48"/>
      <c r="J1650" s="48"/>
      <c r="K1650" s="48"/>
      <c r="L1650" s="48"/>
      <c r="M1650" s="48"/>
    </row>
    <row r="1651" spans="1:13">
      <c r="A1651" s="48"/>
      <c r="B1651" s="49"/>
      <c r="C1651" s="48"/>
      <c r="D1651" s="48"/>
      <c r="E1651" s="48"/>
      <c r="F1651" s="48"/>
      <c r="G1651" s="48"/>
      <c r="H1651" s="48"/>
      <c r="I1651" s="48"/>
      <c r="J1651" s="48"/>
      <c r="K1651" s="48"/>
      <c r="L1651" s="48"/>
      <c r="M1651" s="48"/>
    </row>
    <row r="1652" spans="1:13">
      <c r="A1652" s="48"/>
      <c r="B1652" s="49"/>
      <c r="C1652" s="48"/>
      <c r="D1652" s="48"/>
      <c r="E1652" s="48"/>
      <c r="F1652" s="48"/>
      <c r="G1652" s="48"/>
      <c r="H1652" s="48"/>
      <c r="I1652" s="48"/>
      <c r="J1652" s="48"/>
      <c r="K1652" s="48"/>
      <c r="L1652" s="48"/>
      <c r="M1652" s="48"/>
    </row>
    <row r="1653" spans="1:13">
      <c r="A1653" s="48"/>
      <c r="B1653" s="49"/>
      <c r="C1653" s="48"/>
      <c r="D1653" s="48"/>
      <c r="E1653" s="48"/>
      <c r="F1653" s="48"/>
      <c r="G1653" s="48"/>
      <c r="H1653" s="48"/>
      <c r="I1653" s="48"/>
      <c r="J1653" s="48"/>
      <c r="K1653" s="48"/>
      <c r="L1653" s="48"/>
      <c r="M1653" s="48"/>
    </row>
    <row r="1654" spans="1:13">
      <c r="A1654" s="48"/>
      <c r="B1654" s="49"/>
      <c r="C1654" s="48"/>
      <c r="D1654" s="48"/>
      <c r="E1654" s="48"/>
      <c r="F1654" s="48"/>
      <c r="G1654" s="48"/>
      <c r="H1654" s="48"/>
      <c r="I1654" s="48"/>
      <c r="J1654" s="48"/>
      <c r="K1654" s="48"/>
      <c r="L1654" s="48"/>
      <c r="M1654" s="48"/>
    </row>
    <row r="1655" spans="1:13">
      <c r="A1655" s="48"/>
      <c r="B1655" s="49"/>
      <c r="C1655" s="48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</row>
    <row r="1656" spans="1:13">
      <c r="A1656" s="48"/>
      <c r="B1656" s="49"/>
      <c r="C1656" s="48"/>
      <c r="D1656" s="48"/>
      <c r="E1656" s="48"/>
      <c r="F1656" s="48"/>
      <c r="G1656" s="48"/>
      <c r="H1656" s="48"/>
      <c r="I1656" s="48"/>
      <c r="J1656" s="48"/>
      <c r="K1656" s="48"/>
      <c r="L1656" s="48"/>
      <c r="M1656" s="48"/>
    </row>
    <row r="1657" spans="1:13">
      <c r="A1657" s="48"/>
      <c r="B1657" s="49"/>
      <c r="C1657" s="48"/>
      <c r="D1657" s="48"/>
      <c r="E1657" s="48"/>
      <c r="F1657" s="48"/>
      <c r="G1657" s="48"/>
      <c r="H1657" s="48"/>
      <c r="I1657" s="48"/>
      <c r="J1657" s="48"/>
      <c r="K1657" s="48"/>
      <c r="L1657" s="48"/>
      <c r="M1657" s="48"/>
    </row>
    <row r="1658" spans="1:13">
      <c r="A1658" s="48"/>
      <c r="B1658" s="49"/>
      <c r="C1658" s="48"/>
      <c r="D1658" s="48"/>
      <c r="E1658" s="48"/>
      <c r="F1658" s="48"/>
      <c r="G1658" s="48"/>
      <c r="H1658" s="48"/>
      <c r="I1658" s="48"/>
      <c r="J1658" s="48"/>
      <c r="K1658" s="48"/>
      <c r="L1658" s="48"/>
      <c r="M1658" s="48"/>
    </row>
    <row r="1659" spans="1:13">
      <c r="A1659" s="48"/>
      <c r="B1659" s="49"/>
      <c r="C1659" s="48"/>
      <c r="D1659" s="48"/>
      <c r="E1659" s="48"/>
      <c r="F1659" s="48"/>
      <c r="G1659" s="48"/>
      <c r="H1659" s="48"/>
      <c r="I1659" s="48"/>
      <c r="J1659" s="48"/>
      <c r="K1659" s="48"/>
      <c r="L1659" s="48"/>
      <c r="M1659" s="48"/>
    </row>
    <row r="1660" spans="1:13">
      <c r="A1660" s="48"/>
      <c r="B1660" s="49"/>
      <c r="C1660" s="48"/>
      <c r="D1660" s="48"/>
      <c r="E1660" s="48"/>
      <c r="F1660" s="48"/>
      <c r="G1660" s="48"/>
      <c r="H1660" s="48"/>
      <c r="I1660" s="48"/>
      <c r="J1660" s="48"/>
      <c r="K1660" s="48"/>
      <c r="L1660" s="48"/>
      <c r="M1660" s="48"/>
    </row>
    <row r="1661" spans="1:13">
      <c r="A1661" s="48"/>
      <c r="B1661" s="49"/>
      <c r="C1661" s="48"/>
      <c r="D1661" s="48"/>
      <c r="E1661" s="48"/>
      <c r="F1661" s="48"/>
      <c r="G1661" s="48"/>
      <c r="H1661" s="48"/>
      <c r="I1661" s="48"/>
      <c r="J1661" s="48"/>
      <c r="K1661" s="48"/>
      <c r="L1661" s="48"/>
      <c r="M1661" s="48"/>
    </row>
    <row r="1662" spans="1:13">
      <c r="A1662" s="48"/>
      <c r="B1662" s="49"/>
      <c r="C1662" s="48"/>
      <c r="D1662" s="48"/>
      <c r="E1662" s="48"/>
      <c r="F1662" s="48"/>
      <c r="G1662" s="48"/>
      <c r="H1662" s="48"/>
      <c r="I1662" s="48"/>
      <c r="J1662" s="48"/>
      <c r="K1662" s="48"/>
      <c r="L1662" s="48"/>
      <c r="M1662" s="48"/>
    </row>
    <row r="1663" spans="1:13">
      <c r="A1663" s="48"/>
      <c r="B1663" s="49"/>
      <c r="C1663" s="48"/>
      <c r="D1663" s="48"/>
      <c r="E1663" s="48"/>
      <c r="F1663" s="48"/>
      <c r="G1663" s="48"/>
      <c r="H1663" s="48"/>
      <c r="I1663" s="48"/>
      <c r="J1663" s="48"/>
      <c r="K1663" s="48"/>
      <c r="L1663" s="48"/>
      <c r="M1663" s="48"/>
    </row>
    <row r="1664" spans="1:13">
      <c r="A1664" s="48"/>
      <c r="B1664" s="49"/>
      <c r="C1664" s="48"/>
      <c r="D1664" s="48"/>
      <c r="E1664" s="48"/>
      <c r="F1664" s="48"/>
      <c r="G1664" s="48"/>
      <c r="H1664" s="48"/>
      <c r="I1664" s="48"/>
      <c r="J1664" s="48"/>
      <c r="K1664" s="48"/>
      <c r="L1664" s="48"/>
      <c r="M1664" s="48"/>
    </row>
    <row r="1665" spans="1:13">
      <c r="A1665" s="48"/>
      <c r="B1665" s="49"/>
      <c r="C1665" s="48"/>
      <c r="D1665" s="48"/>
      <c r="E1665" s="48"/>
      <c r="F1665" s="48"/>
      <c r="G1665" s="48"/>
      <c r="H1665" s="48"/>
      <c r="I1665" s="48"/>
      <c r="J1665" s="48"/>
      <c r="K1665" s="48"/>
      <c r="L1665" s="48"/>
      <c r="M1665" s="48"/>
    </row>
    <row r="1666" spans="1:13">
      <c r="A1666" s="48"/>
      <c r="B1666" s="49"/>
      <c r="C1666" s="48"/>
      <c r="D1666" s="48"/>
      <c r="E1666" s="48"/>
      <c r="F1666" s="48"/>
      <c r="G1666" s="48"/>
      <c r="H1666" s="48"/>
      <c r="I1666" s="48"/>
      <c r="J1666" s="48"/>
      <c r="K1666" s="48"/>
      <c r="L1666" s="48"/>
      <c r="M1666" s="48"/>
    </row>
    <row r="1667" spans="1:13">
      <c r="A1667" s="48"/>
      <c r="B1667" s="49"/>
      <c r="C1667" s="48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</row>
    <row r="1668" spans="1:13">
      <c r="A1668" s="48"/>
      <c r="B1668" s="49"/>
      <c r="C1668" s="48"/>
      <c r="D1668" s="48"/>
      <c r="E1668" s="48"/>
      <c r="F1668" s="48"/>
      <c r="G1668" s="48"/>
      <c r="H1668" s="48"/>
      <c r="I1668" s="48"/>
      <c r="J1668" s="48"/>
      <c r="K1668" s="48"/>
      <c r="L1668" s="48"/>
      <c r="M1668" s="48"/>
    </row>
    <row r="1669" spans="1:13">
      <c r="A1669" s="48"/>
      <c r="B1669" s="49"/>
      <c r="C1669" s="48"/>
      <c r="D1669" s="48"/>
      <c r="E1669" s="48"/>
      <c r="F1669" s="48"/>
      <c r="G1669" s="48"/>
      <c r="H1669" s="48"/>
      <c r="I1669" s="48"/>
      <c r="J1669" s="48"/>
      <c r="K1669" s="48"/>
      <c r="L1669" s="48"/>
      <c r="M1669" s="48"/>
    </row>
    <row r="1670" spans="1:13">
      <c r="A1670" s="48"/>
      <c r="B1670" s="49"/>
      <c r="C1670" s="48"/>
      <c r="D1670" s="48"/>
      <c r="E1670" s="48"/>
      <c r="F1670" s="48"/>
      <c r="G1670" s="48"/>
      <c r="H1670" s="48"/>
      <c r="I1670" s="48"/>
      <c r="J1670" s="48"/>
      <c r="K1670" s="48"/>
      <c r="L1670" s="48"/>
      <c r="M1670" s="48"/>
    </row>
    <row r="1671" spans="1:13">
      <c r="A1671" s="48"/>
      <c r="B1671" s="49"/>
      <c r="C1671" s="48"/>
      <c r="D1671" s="48"/>
      <c r="E1671" s="48"/>
      <c r="F1671" s="48"/>
      <c r="G1671" s="48"/>
      <c r="H1671" s="48"/>
      <c r="I1671" s="48"/>
      <c r="J1671" s="48"/>
      <c r="K1671" s="48"/>
      <c r="L1671" s="48"/>
      <c r="M1671" s="48"/>
    </row>
    <row r="1672" spans="1:13">
      <c r="A1672" s="48"/>
      <c r="B1672" s="49"/>
      <c r="C1672" s="48"/>
      <c r="D1672" s="48"/>
      <c r="E1672" s="48"/>
      <c r="F1672" s="48"/>
      <c r="G1672" s="48"/>
      <c r="H1672" s="48"/>
      <c r="I1672" s="48"/>
      <c r="J1672" s="48"/>
      <c r="K1672" s="48"/>
      <c r="L1672" s="48"/>
      <c r="M1672" s="48"/>
    </row>
    <row r="1673" spans="1:13">
      <c r="A1673" s="48"/>
      <c r="B1673" s="49"/>
      <c r="C1673" s="48"/>
      <c r="D1673" s="48"/>
      <c r="E1673" s="48"/>
      <c r="F1673" s="48"/>
      <c r="G1673" s="48"/>
      <c r="H1673" s="48"/>
      <c r="I1673" s="48"/>
      <c r="J1673" s="48"/>
      <c r="K1673" s="48"/>
      <c r="L1673" s="48"/>
      <c r="M1673" s="48"/>
    </row>
    <row r="1674" spans="1:13">
      <c r="A1674" s="48"/>
      <c r="B1674" s="49"/>
      <c r="C1674" s="48"/>
      <c r="D1674" s="48"/>
      <c r="E1674" s="48"/>
      <c r="F1674" s="48"/>
      <c r="G1674" s="48"/>
      <c r="H1674" s="48"/>
      <c r="I1674" s="48"/>
      <c r="J1674" s="48"/>
      <c r="K1674" s="48"/>
      <c r="L1674" s="48"/>
      <c r="M1674" s="48"/>
    </row>
    <row r="1675" spans="1:13">
      <c r="A1675" s="48"/>
      <c r="B1675" s="49"/>
      <c r="C1675" s="48"/>
      <c r="D1675" s="48"/>
      <c r="E1675" s="48"/>
      <c r="F1675" s="48"/>
      <c r="G1675" s="48"/>
      <c r="H1675" s="48"/>
      <c r="I1675" s="48"/>
      <c r="J1675" s="48"/>
      <c r="K1675" s="48"/>
      <c r="L1675" s="48"/>
      <c r="M1675" s="48"/>
    </row>
    <row r="1676" spans="1:13">
      <c r="A1676" s="48"/>
      <c r="B1676" s="49"/>
      <c r="C1676" s="48"/>
      <c r="D1676" s="48"/>
      <c r="E1676" s="48"/>
      <c r="F1676" s="48"/>
      <c r="G1676" s="48"/>
      <c r="H1676" s="48"/>
      <c r="I1676" s="48"/>
      <c r="J1676" s="48"/>
      <c r="K1676" s="48"/>
      <c r="L1676" s="48"/>
      <c r="M1676" s="48"/>
    </row>
    <row r="1677" spans="1:13">
      <c r="A1677" s="48"/>
      <c r="B1677" s="49"/>
      <c r="C1677" s="48"/>
      <c r="D1677" s="48"/>
      <c r="E1677" s="48"/>
      <c r="F1677" s="48"/>
      <c r="G1677" s="48"/>
      <c r="H1677" s="48"/>
      <c r="I1677" s="48"/>
      <c r="J1677" s="48"/>
      <c r="K1677" s="48"/>
      <c r="L1677" s="48"/>
      <c r="M1677" s="48"/>
    </row>
    <row r="1678" spans="1:13">
      <c r="A1678" s="48"/>
      <c r="B1678" s="49"/>
      <c r="C1678" s="48"/>
      <c r="D1678" s="48"/>
      <c r="E1678" s="48"/>
      <c r="F1678" s="48"/>
      <c r="G1678" s="48"/>
      <c r="H1678" s="48"/>
      <c r="I1678" s="48"/>
      <c r="J1678" s="48"/>
      <c r="K1678" s="48"/>
      <c r="L1678" s="48"/>
      <c r="M1678" s="48"/>
    </row>
    <row r="1679" spans="1:13">
      <c r="A1679" s="48"/>
      <c r="B1679" s="49"/>
      <c r="C1679" s="48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</row>
    <row r="1680" spans="1:13">
      <c r="A1680" s="48"/>
      <c r="B1680" s="49"/>
      <c r="C1680" s="48"/>
      <c r="D1680" s="48"/>
      <c r="E1680" s="48"/>
      <c r="F1680" s="48"/>
      <c r="G1680" s="48"/>
      <c r="H1680" s="48"/>
      <c r="I1680" s="48"/>
      <c r="J1680" s="48"/>
      <c r="K1680" s="48"/>
      <c r="L1680" s="48"/>
      <c r="M1680" s="48"/>
    </row>
    <row r="1681" spans="1:13">
      <c r="A1681" s="48"/>
      <c r="B1681" s="49"/>
      <c r="C1681" s="48"/>
      <c r="D1681" s="48"/>
      <c r="E1681" s="48"/>
      <c r="F1681" s="48"/>
      <c r="G1681" s="48"/>
      <c r="H1681" s="48"/>
      <c r="I1681" s="48"/>
      <c r="J1681" s="48"/>
      <c r="K1681" s="48"/>
      <c r="L1681" s="48"/>
      <c r="M1681" s="48"/>
    </row>
    <row r="1682" spans="1:13">
      <c r="A1682" s="48"/>
      <c r="B1682" s="49"/>
      <c r="C1682" s="48"/>
      <c r="D1682" s="48"/>
      <c r="E1682" s="48"/>
      <c r="F1682" s="48"/>
      <c r="G1682" s="48"/>
      <c r="H1682" s="48"/>
      <c r="I1682" s="48"/>
      <c r="J1682" s="48"/>
      <c r="K1682" s="48"/>
      <c r="L1682" s="48"/>
      <c r="M1682" s="48"/>
    </row>
    <row r="1683" spans="1:13">
      <c r="A1683" s="48"/>
      <c r="B1683" s="49"/>
      <c r="C1683" s="48"/>
      <c r="D1683" s="48"/>
      <c r="E1683" s="48"/>
      <c r="F1683" s="48"/>
      <c r="G1683" s="48"/>
      <c r="H1683" s="48"/>
      <c r="I1683" s="48"/>
      <c r="J1683" s="48"/>
      <c r="K1683" s="48"/>
      <c r="L1683" s="48"/>
      <c r="M1683" s="48"/>
    </row>
    <row r="1684" spans="1:13">
      <c r="A1684" s="48"/>
      <c r="B1684" s="49"/>
      <c r="C1684" s="48"/>
      <c r="D1684" s="48"/>
      <c r="E1684" s="48"/>
      <c r="F1684" s="48"/>
      <c r="G1684" s="48"/>
      <c r="H1684" s="48"/>
      <c r="I1684" s="48"/>
      <c r="J1684" s="48"/>
      <c r="K1684" s="48"/>
      <c r="L1684" s="48"/>
      <c r="M1684" s="48"/>
    </row>
    <row r="1685" spans="1:13">
      <c r="A1685" s="48"/>
      <c r="B1685" s="49"/>
      <c r="C1685" s="48"/>
      <c r="D1685" s="48"/>
      <c r="E1685" s="48"/>
      <c r="F1685" s="48"/>
      <c r="G1685" s="48"/>
      <c r="H1685" s="48"/>
      <c r="I1685" s="48"/>
      <c r="J1685" s="48"/>
      <c r="K1685" s="48"/>
      <c r="L1685" s="48"/>
      <c r="M1685" s="48"/>
    </row>
    <row r="1686" spans="1:13">
      <c r="A1686" s="48"/>
      <c r="B1686" s="49"/>
      <c r="C1686" s="48"/>
      <c r="D1686" s="48"/>
      <c r="E1686" s="48"/>
      <c r="F1686" s="48"/>
      <c r="G1686" s="48"/>
      <c r="H1686" s="48"/>
      <c r="I1686" s="48"/>
      <c r="J1686" s="48"/>
      <c r="K1686" s="48"/>
      <c r="L1686" s="48"/>
      <c r="M1686" s="48"/>
    </row>
    <row r="1687" spans="1:13">
      <c r="A1687" s="48"/>
      <c r="B1687" s="49"/>
      <c r="C1687" s="48"/>
      <c r="D1687" s="48"/>
      <c r="E1687" s="48"/>
      <c r="F1687" s="48"/>
      <c r="G1687" s="48"/>
      <c r="H1687" s="48"/>
      <c r="I1687" s="48"/>
      <c r="J1687" s="48"/>
      <c r="K1687" s="48"/>
      <c r="L1687" s="48"/>
      <c r="M1687" s="48"/>
    </row>
    <row r="1688" spans="1:13">
      <c r="A1688" s="48"/>
      <c r="B1688" s="49"/>
      <c r="C1688" s="48"/>
      <c r="D1688" s="48"/>
      <c r="E1688" s="48"/>
      <c r="F1688" s="48"/>
      <c r="G1688" s="48"/>
      <c r="H1688" s="48"/>
      <c r="I1688" s="48"/>
      <c r="J1688" s="48"/>
      <c r="K1688" s="48"/>
      <c r="L1688" s="48"/>
      <c r="M1688" s="48"/>
    </row>
    <row r="1689" spans="1:13">
      <c r="A1689" s="48"/>
      <c r="B1689" s="49"/>
      <c r="C1689" s="48"/>
      <c r="D1689" s="48"/>
      <c r="E1689" s="48"/>
      <c r="F1689" s="48"/>
      <c r="G1689" s="48"/>
      <c r="H1689" s="48"/>
      <c r="I1689" s="48"/>
      <c r="J1689" s="48"/>
      <c r="K1689" s="48"/>
      <c r="L1689" s="48"/>
      <c r="M1689" s="48"/>
    </row>
    <row r="1690" spans="1:13">
      <c r="A1690" s="48"/>
      <c r="B1690" s="49"/>
      <c r="C1690" s="48"/>
      <c r="D1690" s="48"/>
      <c r="E1690" s="48"/>
      <c r="F1690" s="48"/>
      <c r="G1690" s="48"/>
      <c r="H1690" s="48"/>
      <c r="I1690" s="48"/>
      <c r="J1690" s="48"/>
      <c r="K1690" s="48"/>
      <c r="L1690" s="48"/>
      <c r="M1690" s="48"/>
    </row>
    <row r="1691" spans="1:13">
      <c r="A1691" s="48"/>
      <c r="B1691" s="49"/>
      <c r="C1691" s="48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</row>
    <row r="1692" spans="1:13">
      <c r="A1692" s="48"/>
      <c r="B1692" s="49"/>
      <c r="C1692" s="48"/>
      <c r="D1692" s="48"/>
      <c r="E1692" s="48"/>
      <c r="F1692" s="48"/>
      <c r="G1692" s="48"/>
      <c r="H1692" s="48"/>
      <c r="I1692" s="48"/>
      <c r="J1692" s="48"/>
      <c r="K1692" s="48"/>
      <c r="L1692" s="48"/>
      <c r="M1692" s="48"/>
    </row>
    <row r="1693" spans="1:13">
      <c r="A1693" s="48"/>
      <c r="B1693" s="49"/>
      <c r="C1693" s="48"/>
      <c r="D1693" s="48"/>
      <c r="E1693" s="48"/>
      <c r="F1693" s="48"/>
      <c r="G1693" s="48"/>
      <c r="H1693" s="48"/>
      <c r="I1693" s="48"/>
      <c r="J1693" s="48"/>
      <c r="K1693" s="48"/>
      <c r="L1693" s="48"/>
      <c r="M1693" s="48"/>
    </row>
    <row r="1694" spans="1:13">
      <c r="A1694" s="48"/>
      <c r="B1694" s="49"/>
      <c r="C1694" s="48"/>
      <c r="D1694" s="48"/>
      <c r="E1694" s="48"/>
      <c r="F1694" s="48"/>
      <c r="G1694" s="48"/>
      <c r="H1694" s="48"/>
      <c r="I1694" s="48"/>
      <c r="J1694" s="48"/>
      <c r="K1694" s="48"/>
      <c r="L1694" s="48"/>
      <c r="M1694" s="48"/>
    </row>
    <row r="1695" spans="1:13">
      <c r="A1695" s="48"/>
      <c r="B1695" s="49"/>
      <c r="C1695" s="48"/>
      <c r="D1695" s="48"/>
      <c r="E1695" s="48"/>
      <c r="F1695" s="48"/>
      <c r="G1695" s="48"/>
      <c r="H1695" s="48"/>
      <c r="I1695" s="48"/>
      <c r="J1695" s="48"/>
      <c r="K1695" s="48"/>
      <c r="L1695" s="48"/>
      <c r="M1695" s="48"/>
    </row>
    <row r="1696" spans="1:13">
      <c r="A1696" s="48"/>
      <c r="B1696" s="49"/>
      <c r="C1696" s="48"/>
      <c r="D1696" s="48"/>
      <c r="E1696" s="48"/>
      <c r="F1696" s="48"/>
      <c r="G1696" s="48"/>
      <c r="H1696" s="48"/>
      <c r="I1696" s="48"/>
      <c r="J1696" s="48"/>
      <c r="K1696" s="48"/>
      <c r="L1696" s="48"/>
      <c r="M1696" s="48"/>
    </row>
    <row r="1697" spans="1:13">
      <c r="A1697" s="48"/>
      <c r="B1697" s="49"/>
      <c r="C1697" s="48"/>
      <c r="D1697" s="48"/>
      <c r="E1697" s="48"/>
      <c r="F1697" s="48"/>
      <c r="G1697" s="48"/>
      <c r="H1697" s="48"/>
      <c r="I1697" s="48"/>
      <c r="J1697" s="48"/>
      <c r="K1697" s="48"/>
      <c r="L1697" s="48"/>
      <c r="M1697" s="48"/>
    </row>
    <row r="1698" spans="1:13">
      <c r="A1698" s="48"/>
      <c r="B1698" s="49"/>
      <c r="C1698" s="48"/>
      <c r="D1698" s="48"/>
      <c r="E1698" s="48"/>
      <c r="F1698" s="48"/>
      <c r="G1698" s="48"/>
      <c r="H1698" s="48"/>
      <c r="I1698" s="48"/>
      <c r="J1698" s="48"/>
      <c r="K1698" s="48"/>
      <c r="L1698" s="48"/>
      <c r="M1698" s="48"/>
    </row>
    <row r="1699" spans="1:13">
      <c r="A1699" s="48"/>
      <c r="B1699" s="49"/>
      <c r="C1699" s="48"/>
      <c r="D1699" s="48"/>
      <c r="E1699" s="48"/>
      <c r="F1699" s="48"/>
      <c r="G1699" s="48"/>
      <c r="H1699" s="48"/>
      <c r="I1699" s="48"/>
      <c r="J1699" s="48"/>
      <c r="K1699" s="48"/>
      <c r="L1699" s="48"/>
      <c r="M1699" s="48"/>
    </row>
    <row r="1700" spans="1:13">
      <c r="A1700" s="48"/>
      <c r="B1700" s="49"/>
      <c r="C1700" s="48"/>
      <c r="D1700" s="48"/>
      <c r="E1700" s="48"/>
      <c r="F1700" s="48"/>
      <c r="G1700" s="48"/>
      <c r="H1700" s="48"/>
      <c r="I1700" s="48"/>
      <c r="J1700" s="48"/>
      <c r="K1700" s="48"/>
      <c r="L1700" s="48"/>
      <c r="M1700" s="48"/>
    </row>
    <row r="1701" spans="1:13">
      <c r="A1701" s="48"/>
      <c r="B1701" s="49"/>
      <c r="C1701" s="48"/>
      <c r="D1701" s="48"/>
      <c r="E1701" s="48"/>
      <c r="F1701" s="48"/>
      <c r="G1701" s="48"/>
      <c r="H1701" s="48"/>
      <c r="I1701" s="48"/>
      <c r="J1701" s="48"/>
      <c r="K1701" s="48"/>
      <c r="L1701" s="48"/>
      <c r="M1701" s="48"/>
    </row>
    <row r="1702" spans="1:13">
      <c r="A1702" s="48"/>
      <c r="B1702" s="49"/>
      <c r="C1702" s="48"/>
      <c r="D1702" s="48"/>
      <c r="E1702" s="48"/>
      <c r="F1702" s="48"/>
      <c r="G1702" s="48"/>
      <c r="H1702" s="48"/>
      <c r="I1702" s="48"/>
      <c r="J1702" s="48"/>
      <c r="K1702" s="48"/>
      <c r="L1702" s="48"/>
      <c r="M1702" s="48"/>
    </row>
    <row r="1703" spans="1:13">
      <c r="A1703" s="48"/>
      <c r="B1703" s="49"/>
      <c r="C1703" s="48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</row>
    <row r="1704" spans="1:13">
      <c r="A1704" s="48"/>
      <c r="B1704" s="49"/>
      <c r="C1704" s="48"/>
      <c r="D1704" s="48"/>
      <c r="E1704" s="48"/>
      <c r="F1704" s="48"/>
      <c r="G1704" s="48"/>
      <c r="H1704" s="48"/>
      <c r="I1704" s="48"/>
      <c r="J1704" s="48"/>
      <c r="K1704" s="48"/>
      <c r="L1704" s="48"/>
      <c r="M1704" s="48"/>
    </row>
    <row r="1705" spans="1:13">
      <c r="A1705" s="48"/>
      <c r="B1705" s="49"/>
      <c r="C1705" s="48"/>
      <c r="D1705" s="48"/>
      <c r="E1705" s="48"/>
      <c r="F1705" s="48"/>
      <c r="G1705" s="48"/>
      <c r="H1705" s="48"/>
      <c r="I1705" s="48"/>
      <c r="J1705" s="48"/>
      <c r="K1705" s="48"/>
      <c r="L1705" s="48"/>
      <c r="M1705" s="48"/>
    </row>
    <row r="1706" spans="1:13">
      <c r="A1706" s="48"/>
      <c r="B1706" s="49"/>
      <c r="C1706" s="48"/>
      <c r="D1706" s="48"/>
      <c r="E1706" s="48"/>
      <c r="F1706" s="48"/>
      <c r="G1706" s="48"/>
      <c r="H1706" s="48"/>
      <c r="I1706" s="48"/>
      <c r="J1706" s="48"/>
      <c r="K1706" s="48"/>
      <c r="L1706" s="48"/>
      <c r="M1706" s="48"/>
    </row>
    <row r="1707" spans="1:13">
      <c r="A1707" s="48"/>
      <c r="B1707" s="49"/>
      <c r="C1707" s="48"/>
      <c r="D1707" s="48"/>
      <c r="E1707" s="48"/>
      <c r="F1707" s="48"/>
      <c r="G1707" s="48"/>
      <c r="H1707" s="48"/>
      <c r="I1707" s="48"/>
      <c r="J1707" s="48"/>
      <c r="K1707" s="48"/>
      <c r="L1707" s="48"/>
      <c r="M1707" s="48"/>
    </row>
    <row r="1708" spans="1:13">
      <c r="A1708" s="48"/>
      <c r="B1708" s="49"/>
      <c r="C1708" s="48"/>
      <c r="D1708" s="48"/>
      <c r="E1708" s="48"/>
      <c r="F1708" s="48"/>
      <c r="G1708" s="48"/>
      <c r="H1708" s="48"/>
      <c r="I1708" s="48"/>
      <c r="J1708" s="48"/>
      <c r="K1708" s="48"/>
      <c r="L1708" s="48"/>
      <c r="M1708" s="48"/>
    </row>
    <row r="1709" spans="1:13">
      <c r="A1709" s="48"/>
      <c r="B1709" s="49"/>
      <c r="C1709" s="48"/>
      <c r="D1709" s="48"/>
      <c r="E1709" s="48"/>
      <c r="F1709" s="48"/>
      <c r="G1709" s="48"/>
      <c r="H1709" s="48"/>
      <c r="I1709" s="48"/>
      <c r="J1709" s="48"/>
      <c r="K1709" s="48"/>
      <c r="L1709" s="48"/>
      <c r="M1709" s="48"/>
    </row>
    <row r="1710" spans="1:13">
      <c r="A1710" s="48"/>
      <c r="B1710" s="49"/>
      <c r="C1710" s="48"/>
      <c r="D1710" s="48"/>
      <c r="E1710" s="48"/>
      <c r="F1710" s="48"/>
      <c r="G1710" s="48"/>
      <c r="H1710" s="48"/>
      <c r="I1710" s="48"/>
      <c r="J1710" s="48"/>
      <c r="K1710" s="48"/>
      <c r="L1710" s="48"/>
      <c r="M1710" s="48"/>
    </row>
    <row r="1711" spans="1:13">
      <c r="A1711" s="48"/>
      <c r="B1711" s="49"/>
      <c r="C1711" s="48"/>
      <c r="D1711" s="48"/>
      <c r="E1711" s="48"/>
      <c r="F1711" s="48"/>
      <c r="G1711" s="48"/>
      <c r="H1711" s="48"/>
      <c r="I1711" s="48"/>
      <c r="J1711" s="48"/>
      <c r="K1711" s="48"/>
      <c r="L1711" s="48"/>
      <c r="M1711" s="48"/>
    </row>
    <row r="1712" spans="1:13">
      <c r="A1712" s="48"/>
      <c r="B1712" s="49"/>
      <c r="C1712" s="48"/>
      <c r="D1712" s="48"/>
      <c r="E1712" s="48"/>
      <c r="F1712" s="48"/>
      <c r="G1712" s="48"/>
      <c r="H1712" s="48"/>
      <c r="I1712" s="48"/>
      <c r="J1712" s="48"/>
      <c r="K1712" s="48"/>
      <c r="L1712" s="48"/>
      <c r="M1712" s="48"/>
    </row>
    <row r="1713" spans="1:13">
      <c r="A1713" s="48"/>
      <c r="B1713" s="49"/>
      <c r="C1713" s="48"/>
      <c r="D1713" s="48"/>
      <c r="E1713" s="48"/>
      <c r="F1713" s="48"/>
      <c r="G1713" s="48"/>
      <c r="H1713" s="48"/>
      <c r="I1713" s="48"/>
      <c r="J1713" s="48"/>
      <c r="K1713" s="48"/>
      <c r="L1713" s="48"/>
      <c r="M1713" s="48"/>
    </row>
    <row r="1714" spans="1:13">
      <c r="A1714" s="48"/>
      <c r="B1714" s="49"/>
      <c r="C1714" s="48"/>
      <c r="D1714" s="48"/>
      <c r="E1714" s="48"/>
      <c r="F1714" s="48"/>
      <c r="G1714" s="48"/>
      <c r="H1714" s="48"/>
      <c r="I1714" s="48"/>
      <c r="J1714" s="48"/>
      <c r="K1714" s="48"/>
      <c r="L1714" s="48"/>
      <c r="M1714" s="48"/>
    </row>
    <row r="1715" spans="1:13">
      <c r="A1715" s="48"/>
      <c r="B1715" s="49"/>
      <c r="C1715" s="48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</row>
    <row r="1716" spans="1:13">
      <c r="A1716" s="48"/>
      <c r="B1716" s="49"/>
      <c r="C1716" s="48"/>
      <c r="D1716" s="48"/>
      <c r="E1716" s="48"/>
      <c r="F1716" s="48"/>
      <c r="G1716" s="48"/>
      <c r="H1716" s="48"/>
      <c r="I1716" s="48"/>
      <c r="J1716" s="48"/>
      <c r="K1716" s="48"/>
      <c r="L1716" s="48"/>
      <c r="M1716" s="48"/>
    </row>
    <row r="1717" spans="1:13">
      <c r="A1717" s="48"/>
      <c r="B1717" s="49"/>
      <c r="C1717" s="48"/>
      <c r="D1717" s="48"/>
      <c r="E1717" s="48"/>
      <c r="F1717" s="48"/>
      <c r="G1717" s="48"/>
      <c r="H1717" s="48"/>
      <c r="I1717" s="48"/>
      <c r="J1717" s="48"/>
      <c r="K1717" s="48"/>
      <c r="L1717" s="48"/>
      <c r="M1717" s="48"/>
    </row>
    <row r="1718" spans="1:13">
      <c r="A1718" s="48"/>
      <c r="B1718" s="49"/>
      <c r="C1718" s="48"/>
      <c r="D1718" s="48"/>
      <c r="E1718" s="48"/>
      <c r="F1718" s="48"/>
      <c r="G1718" s="48"/>
      <c r="H1718" s="48"/>
      <c r="I1718" s="48"/>
      <c r="J1718" s="48"/>
      <c r="K1718" s="48"/>
      <c r="L1718" s="48"/>
      <c r="M1718" s="48"/>
    </row>
    <row r="1719" spans="1:13">
      <c r="A1719" s="48"/>
      <c r="B1719" s="49"/>
      <c r="C1719" s="48"/>
      <c r="D1719" s="48"/>
      <c r="E1719" s="48"/>
      <c r="F1719" s="48"/>
      <c r="G1719" s="48"/>
      <c r="H1719" s="48"/>
      <c r="I1719" s="48"/>
      <c r="J1719" s="48"/>
      <c r="K1719" s="48"/>
      <c r="L1719" s="48"/>
      <c r="M1719" s="48"/>
    </row>
    <row r="1720" spans="1:13">
      <c r="A1720" s="48"/>
      <c r="B1720" s="49"/>
      <c r="C1720" s="48"/>
      <c r="D1720" s="48"/>
      <c r="E1720" s="48"/>
      <c r="F1720" s="48"/>
      <c r="G1720" s="48"/>
      <c r="H1720" s="48"/>
      <c r="I1720" s="48"/>
      <c r="J1720" s="48"/>
      <c r="K1720" s="48"/>
      <c r="L1720" s="48"/>
      <c r="M1720" s="48"/>
    </row>
    <row r="1721" spans="1:13">
      <c r="A1721" s="48"/>
      <c r="B1721" s="49"/>
      <c r="C1721" s="48"/>
      <c r="D1721" s="48"/>
      <c r="E1721" s="48"/>
      <c r="F1721" s="48"/>
      <c r="G1721" s="48"/>
      <c r="H1721" s="48"/>
      <c r="I1721" s="48"/>
      <c r="J1721" s="48"/>
      <c r="K1721" s="48"/>
      <c r="L1721" s="48"/>
      <c r="M1721" s="48"/>
    </row>
    <row r="1722" spans="1:13">
      <c r="A1722" s="48"/>
      <c r="B1722" s="49"/>
      <c r="C1722" s="48"/>
      <c r="D1722" s="48"/>
      <c r="E1722" s="48"/>
      <c r="F1722" s="48"/>
      <c r="G1722" s="48"/>
      <c r="H1722" s="48"/>
      <c r="I1722" s="48"/>
      <c r="J1722" s="48"/>
      <c r="K1722" s="48"/>
      <c r="L1722" s="48"/>
      <c r="M1722" s="48"/>
    </row>
    <row r="1723" spans="1:13">
      <c r="A1723" s="48"/>
      <c r="B1723" s="49"/>
      <c r="C1723" s="48"/>
      <c r="D1723" s="48"/>
      <c r="E1723" s="48"/>
      <c r="F1723" s="48"/>
      <c r="G1723" s="48"/>
      <c r="H1723" s="48"/>
      <c r="I1723" s="48"/>
      <c r="J1723" s="48"/>
      <c r="K1723" s="48"/>
      <c r="L1723" s="48"/>
      <c r="M1723" s="48"/>
    </row>
    <row r="1724" spans="1:13">
      <c r="A1724" s="48"/>
      <c r="B1724" s="49"/>
      <c r="C1724" s="48"/>
      <c r="D1724" s="48"/>
      <c r="E1724" s="48"/>
      <c r="F1724" s="48"/>
      <c r="G1724" s="48"/>
      <c r="H1724" s="48"/>
      <c r="I1724" s="48"/>
      <c r="J1724" s="48"/>
      <c r="K1724" s="48"/>
      <c r="L1724" s="48"/>
      <c r="M1724" s="48"/>
    </row>
    <row r="1725" spans="1:13">
      <c r="A1725" s="48"/>
      <c r="B1725" s="49"/>
      <c r="C1725" s="48"/>
      <c r="D1725" s="48"/>
      <c r="E1725" s="48"/>
      <c r="F1725" s="48"/>
      <c r="G1725" s="48"/>
      <c r="H1725" s="48"/>
      <c r="I1725" s="48"/>
      <c r="J1725" s="48"/>
      <c r="K1725" s="48"/>
      <c r="L1725" s="48"/>
      <c r="M1725" s="48"/>
    </row>
    <row r="1726" spans="1:13">
      <c r="A1726" s="48"/>
      <c r="B1726" s="49"/>
      <c r="C1726" s="48"/>
      <c r="D1726" s="48"/>
      <c r="E1726" s="48"/>
      <c r="F1726" s="48"/>
      <c r="G1726" s="48"/>
      <c r="H1726" s="48"/>
      <c r="I1726" s="48"/>
      <c r="J1726" s="48"/>
      <c r="K1726" s="48"/>
      <c r="L1726" s="48"/>
      <c r="M1726" s="48"/>
    </row>
    <row r="1727" spans="1:13">
      <c r="A1727" s="48"/>
      <c r="B1727" s="49"/>
      <c r="C1727" s="48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</row>
    <row r="1728" spans="1:13">
      <c r="A1728" s="48"/>
      <c r="B1728" s="49"/>
      <c r="C1728" s="48"/>
      <c r="D1728" s="48"/>
      <c r="E1728" s="48"/>
      <c r="F1728" s="48"/>
      <c r="G1728" s="48"/>
      <c r="H1728" s="48"/>
      <c r="I1728" s="48"/>
      <c r="J1728" s="48"/>
      <c r="K1728" s="48"/>
      <c r="L1728" s="48"/>
      <c r="M1728" s="48"/>
    </row>
    <row r="1729" spans="1:13">
      <c r="A1729" s="48"/>
      <c r="B1729" s="49"/>
      <c r="C1729" s="48"/>
      <c r="D1729" s="48"/>
      <c r="E1729" s="48"/>
      <c r="F1729" s="48"/>
      <c r="G1729" s="48"/>
      <c r="H1729" s="48"/>
      <c r="I1729" s="48"/>
      <c r="J1729" s="48"/>
      <c r="K1729" s="48"/>
      <c r="L1729" s="48"/>
      <c r="M1729" s="48"/>
    </row>
    <row r="1730" spans="1:13">
      <c r="A1730" s="48"/>
      <c r="B1730" s="49"/>
      <c r="C1730" s="48"/>
      <c r="D1730" s="48"/>
      <c r="E1730" s="48"/>
      <c r="F1730" s="48"/>
      <c r="G1730" s="48"/>
      <c r="H1730" s="48"/>
      <c r="I1730" s="48"/>
      <c r="J1730" s="48"/>
      <c r="K1730" s="48"/>
      <c r="L1730" s="48"/>
      <c r="M1730" s="48"/>
    </row>
    <row r="1731" spans="1:13">
      <c r="A1731" s="48"/>
      <c r="B1731" s="49"/>
      <c r="C1731" s="48"/>
      <c r="D1731" s="48"/>
      <c r="E1731" s="48"/>
      <c r="F1731" s="48"/>
      <c r="G1731" s="48"/>
      <c r="H1731" s="48"/>
      <c r="I1731" s="48"/>
      <c r="J1731" s="48"/>
      <c r="K1731" s="48"/>
      <c r="L1731" s="48"/>
      <c r="M1731" s="48"/>
    </row>
    <row r="1732" spans="1:13">
      <c r="A1732" s="48"/>
      <c r="B1732" s="49"/>
      <c r="C1732" s="48"/>
      <c r="D1732" s="48"/>
      <c r="E1732" s="48"/>
      <c r="F1732" s="48"/>
      <c r="G1732" s="48"/>
      <c r="H1732" s="48"/>
      <c r="I1732" s="48"/>
      <c r="J1732" s="48"/>
      <c r="K1732" s="48"/>
      <c r="L1732" s="48"/>
      <c r="M1732" s="48"/>
    </row>
    <row r="1733" spans="1:13">
      <c r="A1733" s="48"/>
      <c r="B1733" s="49"/>
      <c r="C1733" s="48"/>
      <c r="D1733" s="48"/>
      <c r="E1733" s="48"/>
      <c r="F1733" s="48"/>
      <c r="G1733" s="48"/>
      <c r="H1733" s="48"/>
      <c r="I1733" s="48"/>
      <c r="J1733" s="48"/>
      <c r="K1733" s="48"/>
      <c r="L1733" s="48"/>
      <c r="M1733" s="48"/>
    </row>
    <row r="1734" spans="1:13">
      <c r="A1734" s="48"/>
      <c r="B1734" s="49"/>
      <c r="C1734" s="48"/>
      <c r="D1734" s="48"/>
      <c r="E1734" s="48"/>
      <c r="F1734" s="48"/>
      <c r="G1734" s="48"/>
      <c r="H1734" s="48"/>
      <c r="I1734" s="48"/>
      <c r="J1734" s="48"/>
      <c r="K1734" s="48"/>
      <c r="L1734" s="48"/>
      <c r="M1734" s="48"/>
    </row>
    <row r="1735" spans="1:13">
      <c r="A1735" s="48"/>
      <c r="B1735" s="49"/>
      <c r="C1735" s="48"/>
      <c r="D1735" s="48"/>
      <c r="E1735" s="48"/>
      <c r="F1735" s="48"/>
      <c r="G1735" s="48"/>
      <c r="H1735" s="48"/>
      <c r="I1735" s="48"/>
      <c r="J1735" s="48"/>
      <c r="K1735" s="48"/>
      <c r="L1735" s="48"/>
      <c r="M1735" s="48"/>
    </row>
    <row r="1736" spans="1:13">
      <c r="A1736" s="48"/>
      <c r="B1736" s="49"/>
      <c r="C1736" s="48"/>
      <c r="D1736" s="48"/>
      <c r="E1736" s="48"/>
      <c r="F1736" s="48"/>
      <c r="G1736" s="48"/>
      <c r="H1736" s="48"/>
      <c r="I1736" s="48"/>
      <c r="J1736" s="48"/>
      <c r="K1736" s="48"/>
      <c r="L1736" s="48"/>
      <c r="M1736" s="48"/>
    </row>
    <row r="1737" spans="1:13">
      <c r="A1737" s="48"/>
      <c r="B1737" s="49"/>
      <c r="C1737" s="48"/>
      <c r="D1737" s="48"/>
      <c r="E1737" s="48"/>
      <c r="F1737" s="48"/>
      <c r="G1737" s="48"/>
      <c r="H1737" s="48"/>
      <c r="I1737" s="48"/>
      <c r="J1737" s="48"/>
      <c r="K1737" s="48"/>
      <c r="L1737" s="48"/>
      <c r="M1737" s="48"/>
    </row>
    <row r="1738" spans="1:13">
      <c r="A1738" s="48"/>
      <c r="B1738" s="49"/>
      <c r="C1738" s="48"/>
      <c r="D1738" s="48"/>
      <c r="E1738" s="48"/>
      <c r="F1738" s="48"/>
      <c r="G1738" s="48"/>
      <c r="H1738" s="48"/>
      <c r="I1738" s="48"/>
      <c r="J1738" s="48"/>
      <c r="K1738" s="48"/>
      <c r="L1738" s="48"/>
      <c r="M1738" s="48"/>
    </row>
    <row r="1739" spans="1:13">
      <c r="A1739" s="48"/>
      <c r="B1739" s="49"/>
      <c r="C1739" s="48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</row>
    <row r="1740" spans="1:13">
      <c r="A1740" s="48"/>
      <c r="B1740" s="49"/>
      <c r="C1740" s="48"/>
      <c r="D1740" s="48"/>
      <c r="E1740" s="48"/>
      <c r="F1740" s="48"/>
      <c r="G1740" s="48"/>
      <c r="H1740" s="48"/>
      <c r="I1740" s="48"/>
      <c r="J1740" s="48"/>
      <c r="K1740" s="48"/>
      <c r="L1740" s="48"/>
      <c r="M1740" s="48"/>
    </row>
    <row r="1741" spans="1:13">
      <c r="A1741" s="48"/>
      <c r="B1741" s="49"/>
      <c r="C1741" s="48"/>
      <c r="D1741" s="48"/>
      <c r="E1741" s="48"/>
      <c r="F1741" s="48"/>
      <c r="G1741" s="48"/>
      <c r="H1741" s="48"/>
      <c r="I1741" s="48"/>
      <c r="J1741" s="48"/>
      <c r="K1741" s="48"/>
      <c r="L1741" s="48"/>
      <c r="M1741" s="48"/>
    </row>
    <row r="1742" spans="1:13">
      <c r="A1742" s="48"/>
      <c r="B1742" s="49"/>
      <c r="C1742" s="48"/>
      <c r="D1742" s="48"/>
      <c r="E1742" s="48"/>
      <c r="F1742" s="48"/>
      <c r="G1742" s="48"/>
      <c r="H1742" s="48"/>
      <c r="I1742" s="48"/>
      <c r="J1742" s="48"/>
      <c r="K1742" s="48"/>
      <c r="L1742" s="48"/>
      <c r="M1742" s="48"/>
    </row>
    <row r="1743" spans="1:13">
      <c r="A1743" s="48"/>
      <c r="B1743" s="49"/>
      <c r="C1743" s="48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</row>
    <row r="1744" spans="1:13">
      <c r="A1744" s="48"/>
      <c r="B1744" s="49"/>
      <c r="C1744" s="48"/>
      <c r="D1744" s="48"/>
      <c r="E1744" s="48"/>
      <c r="F1744" s="48"/>
      <c r="G1744" s="48"/>
      <c r="H1744" s="48"/>
      <c r="I1744" s="48"/>
      <c r="J1744" s="48"/>
      <c r="K1744" s="48"/>
      <c r="L1744" s="48"/>
      <c r="M1744" s="48"/>
    </row>
    <row r="1745" spans="1:13">
      <c r="A1745" s="48"/>
      <c r="B1745" s="49"/>
      <c r="C1745" s="48"/>
      <c r="D1745" s="48"/>
      <c r="E1745" s="48"/>
      <c r="F1745" s="48"/>
      <c r="G1745" s="48"/>
      <c r="H1745" s="48"/>
      <c r="I1745" s="48"/>
      <c r="J1745" s="48"/>
      <c r="K1745" s="48"/>
      <c r="L1745" s="48"/>
      <c r="M1745" s="48"/>
    </row>
    <row r="1746" spans="1:13">
      <c r="A1746" s="48"/>
      <c r="B1746" s="49"/>
      <c r="C1746" s="48"/>
      <c r="D1746" s="48"/>
      <c r="E1746" s="48"/>
      <c r="F1746" s="48"/>
      <c r="G1746" s="48"/>
      <c r="H1746" s="48"/>
      <c r="I1746" s="48"/>
      <c r="J1746" s="48"/>
      <c r="K1746" s="48"/>
      <c r="L1746" s="48"/>
      <c r="M1746" s="48"/>
    </row>
    <row r="1747" spans="1:13">
      <c r="A1747" s="48"/>
      <c r="B1747" s="49"/>
      <c r="C1747" s="48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</row>
    <row r="1748" spans="1:13">
      <c r="A1748" s="48"/>
      <c r="B1748" s="49"/>
      <c r="C1748" s="48"/>
      <c r="D1748" s="48"/>
      <c r="E1748" s="48"/>
      <c r="F1748" s="48"/>
      <c r="G1748" s="48"/>
      <c r="H1748" s="48"/>
      <c r="I1748" s="48"/>
      <c r="J1748" s="48"/>
      <c r="K1748" s="48"/>
      <c r="L1748" s="48"/>
      <c r="M1748" s="48"/>
    </row>
    <row r="1749" spans="1:13">
      <c r="A1749" s="48"/>
      <c r="B1749" s="49"/>
      <c r="C1749" s="48"/>
      <c r="D1749" s="48"/>
      <c r="E1749" s="48"/>
      <c r="F1749" s="48"/>
      <c r="G1749" s="48"/>
      <c r="H1749" s="48"/>
      <c r="I1749" s="48"/>
      <c r="J1749" s="48"/>
      <c r="K1749" s="48"/>
      <c r="L1749" s="48"/>
      <c r="M1749" s="48"/>
    </row>
    <row r="1750" spans="1:13">
      <c r="A1750" s="48"/>
      <c r="B1750" s="49"/>
      <c r="C1750" s="48"/>
      <c r="D1750" s="48"/>
      <c r="E1750" s="48"/>
      <c r="F1750" s="48"/>
      <c r="G1750" s="48"/>
      <c r="H1750" s="48"/>
      <c r="I1750" s="48"/>
      <c r="J1750" s="48"/>
      <c r="K1750" s="48"/>
      <c r="L1750" s="48"/>
      <c r="M1750" s="48"/>
    </row>
    <row r="1751" spans="1:13">
      <c r="A1751" s="48"/>
      <c r="B1751" s="49"/>
      <c r="C1751" s="48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</row>
    <row r="1752" spans="1:13">
      <c r="A1752" s="48"/>
      <c r="B1752" s="49"/>
      <c r="C1752" s="48"/>
      <c r="D1752" s="48"/>
      <c r="E1752" s="48"/>
      <c r="F1752" s="48"/>
      <c r="G1752" s="48"/>
      <c r="H1752" s="48"/>
      <c r="I1752" s="48"/>
      <c r="J1752" s="48"/>
      <c r="K1752" s="48"/>
      <c r="L1752" s="48"/>
      <c r="M1752" s="48"/>
    </row>
    <row r="1753" spans="1:13">
      <c r="A1753" s="48"/>
      <c r="B1753" s="49"/>
      <c r="C1753" s="48"/>
      <c r="D1753" s="48"/>
      <c r="E1753" s="48"/>
      <c r="F1753" s="48"/>
      <c r="G1753" s="48"/>
      <c r="H1753" s="48"/>
      <c r="I1753" s="48"/>
      <c r="J1753" s="48"/>
      <c r="K1753" s="48"/>
      <c r="L1753" s="48"/>
      <c r="M1753" s="48"/>
    </row>
    <row r="1754" spans="1:13">
      <c r="A1754" s="48"/>
      <c r="B1754" s="49"/>
      <c r="C1754" s="48"/>
      <c r="D1754" s="48"/>
      <c r="E1754" s="48"/>
      <c r="F1754" s="48"/>
      <c r="G1754" s="48"/>
      <c r="H1754" s="48"/>
      <c r="I1754" s="48"/>
      <c r="J1754" s="48"/>
      <c r="K1754" s="48"/>
      <c r="L1754" s="48"/>
      <c r="M1754" s="48"/>
    </row>
    <row r="1755" spans="1:13">
      <c r="A1755" s="48"/>
      <c r="B1755" s="49"/>
      <c r="C1755" s="48"/>
      <c r="D1755" s="48"/>
      <c r="E1755" s="48"/>
      <c r="F1755" s="48"/>
      <c r="G1755" s="48"/>
      <c r="H1755" s="48"/>
      <c r="I1755" s="48"/>
      <c r="J1755" s="48"/>
      <c r="K1755" s="48"/>
      <c r="L1755" s="48"/>
      <c r="M1755" s="48"/>
    </row>
    <row r="1756" spans="1:13">
      <c r="A1756" s="48"/>
      <c r="B1756" s="49"/>
      <c r="C1756" s="48"/>
      <c r="D1756" s="48"/>
      <c r="E1756" s="48"/>
      <c r="F1756" s="48"/>
      <c r="G1756" s="48"/>
      <c r="H1756" s="48"/>
      <c r="I1756" s="48"/>
      <c r="J1756" s="48"/>
      <c r="K1756" s="48"/>
      <c r="L1756" s="48"/>
      <c r="M1756" s="48"/>
    </row>
    <row r="1757" spans="1:13">
      <c r="A1757" s="48"/>
      <c r="B1757" s="49"/>
      <c r="C1757" s="48"/>
      <c r="D1757" s="48"/>
      <c r="E1757" s="48"/>
      <c r="F1757" s="48"/>
      <c r="G1757" s="48"/>
      <c r="H1757" s="48"/>
      <c r="I1757" s="48"/>
      <c r="J1757" s="48"/>
      <c r="K1757" s="48"/>
      <c r="L1757" s="48"/>
      <c r="M1757" s="48"/>
    </row>
    <row r="1758" spans="1:13">
      <c r="A1758" s="48"/>
      <c r="B1758" s="49"/>
      <c r="C1758" s="48"/>
      <c r="D1758" s="48"/>
      <c r="E1758" s="48"/>
      <c r="F1758" s="48"/>
      <c r="G1758" s="48"/>
      <c r="H1758" s="48"/>
      <c r="I1758" s="48"/>
      <c r="J1758" s="48"/>
      <c r="K1758" s="48"/>
      <c r="L1758" s="48"/>
      <c r="M1758" s="48"/>
    </row>
    <row r="1759" spans="1:13">
      <c r="A1759" s="48"/>
      <c r="B1759" s="49"/>
      <c r="C1759" s="48"/>
      <c r="D1759" s="48"/>
      <c r="E1759" s="48"/>
      <c r="F1759" s="48"/>
      <c r="G1759" s="48"/>
      <c r="H1759" s="48"/>
      <c r="I1759" s="48"/>
      <c r="J1759" s="48"/>
      <c r="K1759" s="48"/>
      <c r="L1759" s="48"/>
      <c r="M1759" s="48"/>
    </row>
    <row r="1760" spans="1:13">
      <c r="A1760" s="48"/>
      <c r="B1760" s="49"/>
      <c r="C1760" s="48"/>
      <c r="D1760" s="48"/>
      <c r="E1760" s="48"/>
      <c r="F1760" s="48"/>
      <c r="G1760" s="48"/>
      <c r="H1760" s="48"/>
      <c r="I1760" s="48"/>
      <c r="J1760" s="48"/>
      <c r="K1760" s="48"/>
      <c r="L1760" s="48"/>
      <c r="M1760" s="48"/>
    </row>
    <row r="1761" spans="1:13">
      <c r="A1761" s="48"/>
      <c r="B1761" s="49"/>
      <c r="C1761" s="48"/>
      <c r="D1761" s="48"/>
      <c r="E1761" s="48"/>
      <c r="F1761" s="48"/>
      <c r="G1761" s="48"/>
      <c r="H1761" s="48"/>
      <c r="I1761" s="48"/>
      <c r="J1761" s="48"/>
      <c r="K1761" s="48"/>
      <c r="L1761" s="48"/>
      <c r="M1761" s="48"/>
    </row>
    <row r="1762" spans="1:13">
      <c r="A1762" s="48"/>
      <c r="B1762" s="49"/>
      <c r="C1762" s="48"/>
      <c r="D1762" s="48"/>
      <c r="E1762" s="48"/>
      <c r="F1762" s="48"/>
      <c r="G1762" s="48"/>
      <c r="H1762" s="48"/>
      <c r="I1762" s="48"/>
      <c r="J1762" s="48"/>
      <c r="K1762" s="48"/>
      <c r="L1762" s="48"/>
      <c r="M1762" s="48"/>
    </row>
    <row r="1763" spans="1:13">
      <c r="A1763" s="48"/>
      <c r="B1763" s="49"/>
      <c r="C1763" s="48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</row>
    <row r="1764" spans="1:13">
      <c r="A1764" s="48"/>
      <c r="B1764" s="49"/>
      <c r="C1764" s="48"/>
      <c r="D1764" s="48"/>
      <c r="E1764" s="48"/>
      <c r="F1764" s="48"/>
      <c r="G1764" s="48"/>
      <c r="H1764" s="48"/>
      <c r="I1764" s="48"/>
      <c r="J1764" s="48"/>
      <c r="K1764" s="48"/>
      <c r="L1764" s="48"/>
      <c r="M1764" s="48"/>
    </row>
    <row r="1765" spans="1:13">
      <c r="A1765" s="48"/>
      <c r="B1765" s="49"/>
      <c r="C1765" s="48"/>
      <c r="D1765" s="48"/>
      <c r="E1765" s="48"/>
      <c r="F1765" s="48"/>
      <c r="G1765" s="48"/>
      <c r="H1765" s="48"/>
      <c r="I1765" s="48"/>
      <c r="J1765" s="48"/>
      <c r="K1765" s="48"/>
      <c r="L1765" s="48"/>
      <c r="M1765" s="48"/>
    </row>
    <row r="1766" spans="1:13">
      <c r="A1766" s="48"/>
      <c r="B1766" s="49"/>
      <c r="C1766" s="48"/>
      <c r="D1766" s="48"/>
      <c r="E1766" s="48"/>
      <c r="F1766" s="48"/>
      <c r="G1766" s="48"/>
      <c r="H1766" s="48"/>
      <c r="I1766" s="48"/>
      <c r="J1766" s="48"/>
      <c r="K1766" s="48"/>
      <c r="L1766" s="48"/>
      <c r="M1766" s="48"/>
    </row>
    <row r="1767" spans="1:13">
      <c r="A1767" s="48"/>
      <c r="B1767" s="49"/>
      <c r="C1767" s="48"/>
      <c r="D1767" s="48"/>
      <c r="E1767" s="48"/>
      <c r="F1767" s="48"/>
      <c r="G1767" s="48"/>
      <c r="H1767" s="48"/>
      <c r="I1767" s="48"/>
      <c r="J1767" s="48"/>
      <c r="K1767" s="48"/>
      <c r="L1767" s="48"/>
      <c r="M1767" s="48"/>
    </row>
    <row r="1768" spans="1:13">
      <c r="A1768" s="48"/>
      <c r="B1768" s="49"/>
      <c r="C1768" s="48"/>
      <c r="D1768" s="48"/>
      <c r="E1768" s="48"/>
      <c r="F1768" s="48"/>
      <c r="G1768" s="48"/>
      <c r="H1768" s="48"/>
      <c r="I1768" s="48"/>
      <c r="J1768" s="48"/>
      <c r="K1768" s="48"/>
      <c r="L1768" s="48"/>
      <c r="M1768" s="48"/>
    </row>
    <row r="1769" spans="1:13">
      <c r="A1769" s="48"/>
      <c r="B1769" s="49"/>
      <c r="C1769" s="48"/>
      <c r="D1769" s="48"/>
      <c r="E1769" s="48"/>
      <c r="F1769" s="48"/>
      <c r="G1769" s="48"/>
      <c r="H1769" s="48"/>
      <c r="I1769" s="48"/>
      <c r="J1769" s="48"/>
      <c r="K1769" s="48"/>
      <c r="L1769" s="48"/>
      <c r="M1769" s="48"/>
    </row>
    <row r="1770" spans="1:13">
      <c r="A1770" s="48"/>
      <c r="B1770" s="49"/>
      <c r="C1770" s="48"/>
      <c r="D1770" s="48"/>
      <c r="E1770" s="48"/>
      <c r="F1770" s="48"/>
      <c r="G1770" s="48"/>
      <c r="H1770" s="48"/>
      <c r="I1770" s="48"/>
      <c r="J1770" s="48"/>
      <c r="K1770" s="48"/>
      <c r="L1770" s="48"/>
      <c r="M1770" s="48"/>
    </row>
    <row r="1771" spans="1:13">
      <c r="A1771" s="48"/>
      <c r="B1771" s="49"/>
      <c r="C1771" s="48"/>
      <c r="D1771" s="48"/>
      <c r="E1771" s="48"/>
      <c r="F1771" s="48"/>
      <c r="G1771" s="48"/>
      <c r="H1771" s="48"/>
      <c r="I1771" s="48"/>
      <c r="J1771" s="48"/>
      <c r="K1771" s="48"/>
      <c r="L1771" s="48"/>
      <c r="M1771" s="48"/>
    </row>
    <row r="1772" spans="1:13">
      <c r="A1772" s="48"/>
      <c r="B1772" s="49"/>
      <c r="C1772" s="48"/>
      <c r="D1772" s="48"/>
      <c r="E1772" s="48"/>
      <c r="F1772" s="48"/>
      <c r="G1772" s="48"/>
      <c r="H1772" s="48"/>
      <c r="I1772" s="48"/>
      <c r="J1772" s="48"/>
      <c r="K1772" s="48"/>
      <c r="L1772" s="48"/>
      <c r="M1772" s="48"/>
    </row>
    <row r="1773" spans="1:13">
      <c r="A1773" s="48"/>
      <c r="B1773" s="49"/>
      <c r="C1773" s="48"/>
      <c r="D1773" s="48"/>
      <c r="E1773" s="48"/>
      <c r="F1773" s="48"/>
      <c r="G1773" s="48"/>
      <c r="H1773" s="48"/>
      <c r="I1773" s="48"/>
      <c r="J1773" s="48"/>
      <c r="K1773" s="48"/>
      <c r="L1773" s="48"/>
      <c r="M1773" s="48"/>
    </row>
    <row r="1774" spans="1:13">
      <c r="A1774" s="48"/>
      <c r="B1774" s="49"/>
      <c r="C1774" s="48"/>
      <c r="D1774" s="48"/>
      <c r="E1774" s="48"/>
      <c r="F1774" s="48"/>
      <c r="G1774" s="48"/>
      <c r="H1774" s="48"/>
      <c r="I1774" s="48"/>
      <c r="J1774" s="48"/>
      <c r="K1774" s="48"/>
      <c r="L1774" s="48"/>
      <c r="M1774" s="48"/>
    </row>
    <row r="1775" spans="1:13">
      <c r="A1775" s="48"/>
      <c r="B1775" s="49"/>
      <c r="C1775" s="48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</row>
    <row r="1776" spans="1:13">
      <c r="A1776" s="48"/>
      <c r="B1776" s="49"/>
      <c r="C1776" s="48"/>
      <c r="D1776" s="48"/>
      <c r="E1776" s="48"/>
      <c r="F1776" s="48"/>
      <c r="G1776" s="48"/>
      <c r="H1776" s="48"/>
      <c r="I1776" s="48"/>
      <c r="J1776" s="48"/>
      <c r="K1776" s="48"/>
      <c r="L1776" s="48"/>
      <c r="M1776" s="48"/>
    </row>
    <row r="1777" spans="1:13">
      <c r="A1777" s="48"/>
      <c r="B1777" s="49"/>
      <c r="C1777" s="48"/>
      <c r="D1777" s="48"/>
      <c r="E1777" s="48"/>
      <c r="F1777" s="48"/>
      <c r="G1777" s="48"/>
      <c r="H1777" s="48"/>
      <c r="I1777" s="48"/>
      <c r="J1777" s="48"/>
      <c r="K1777" s="48"/>
      <c r="L1777" s="48"/>
      <c r="M1777" s="48"/>
    </row>
    <row r="1778" spans="1:13">
      <c r="A1778" s="48"/>
      <c r="B1778" s="49"/>
      <c r="C1778" s="48"/>
      <c r="D1778" s="48"/>
      <c r="E1778" s="48"/>
      <c r="F1778" s="48"/>
      <c r="G1778" s="48"/>
      <c r="H1778" s="48"/>
      <c r="I1778" s="48"/>
      <c r="J1778" s="48"/>
      <c r="K1778" s="48"/>
      <c r="L1778" s="48"/>
      <c r="M1778" s="48"/>
    </row>
    <row r="1779" spans="1:13">
      <c r="A1779" s="48"/>
      <c r="B1779" s="49"/>
      <c r="C1779" s="48"/>
      <c r="D1779" s="48"/>
      <c r="E1779" s="48"/>
      <c r="F1779" s="48"/>
      <c r="G1779" s="48"/>
      <c r="H1779" s="48"/>
      <c r="I1779" s="48"/>
      <c r="J1779" s="48"/>
      <c r="K1779" s="48"/>
      <c r="L1779" s="48"/>
      <c r="M1779" s="48"/>
    </row>
    <row r="1780" spans="1:13">
      <c r="A1780" s="48"/>
      <c r="B1780" s="49"/>
      <c r="C1780" s="48"/>
      <c r="D1780" s="48"/>
      <c r="E1780" s="48"/>
      <c r="F1780" s="48"/>
      <c r="G1780" s="48"/>
      <c r="H1780" s="48"/>
      <c r="I1780" s="48"/>
      <c r="J1780" s="48"/>
      <c r="K1780" s="48"/>
      <c r="L1780" s="48"/>
      <c r="M1780" s="48"/>
    </row>
    <row r="1781" spans="1:13">
      <c r="A1781" s="48"/>
      <c r="B1781" s="49"/>
      <c r="C1781" s="48"/>
      <c r="D1781" s="48"/>
      <c r="E1781" s="48"/>
      <c r="F1781" s="48"/>
      <c r="G1781" s="48"/>
      <c r="H1781" s="48"/>
      <c r="I1781" s="48"/>
      <c r="J1781" s="48"/>
      <c r="K1781" s="48"/>
      <c r="L1781" s="48"/>
      <c r="M1781" s="48"/>
    </row>
    <row r="1782" spans="1:13">
      <c r="A1782" s="48"/>
      <c r="B1782" s="49"/>
      <c r="C1782" s="48"/>
      <c r="D1782" s="48"/>
      <c r="E1782" s="48"/>
      <c r="F1782" s="48"/>
      <c r="G1782" s="48"/>
      <c r="H1782" s="48"/>
      <c r="I1782" s="48"/>
      <c r="J1782" s="48"/>
      <c r="K1782" s="48"/>
      <c r="L1782" s="48"/>
      <c r="M1782" s="48"/>
    </row>
    <row r="1783" spans="1:13">
      <c r="A1783" s="48"/>
      <c r="B1783" s="49"/>
      <c r="C1783" s="48"/>
      <c r="D1783" s="48"/>
      <c r="E1783" s="48"/>
      <c r="F1783" s="48"/>
      <c r="G1783" s="48"/>
      <c r="H1783" s="48"/>
      <c r="I1783" s="48"/>
      <c r="J1783" s="48"/>
      <c r="K1783" s="48"/>
      <c r="L1783" s="48"/>
      <c r="M1783" s="48"/>
    </row>
    <row r="1784" spans="1:13">
      <c r="A1784" s="48"/>
      <c r="B1784" s="49"/>
      <c r="C1784" s="48"/>
      <c r="D1784" s="48"/>
      <c r="E1784" s="48"/>
      <c r="F1784" s="48"/>
      <c r="G1784" s="48"/>
      <c r="H1784" s="48"/>
      <c r="I1784" s="48"/>
      <c r="J1784" s="48"/>
      <c r="K1784" s="48"/>
      <c r="L1784" s="48"/>
      <c r="M1784" s="48"/>
    </row>
    <row r="1785" spans="1:13">
      <c r="A1785" s="48"/>
      <c r="B1785" s="49"/>
      <c r="C1785" s="48"/>
      <c r="D1785" s="48"/>
      <c r="E1785" s="48"/>
      <c r="F1785" s="48"/>
      <c r="G1785" s="48"/>
      <c r="H1785" s="48"/>
      <c r="I1785" s="48"/>
      <c r="J1785" s="48"/>
      <c r="K1785" s="48"/>
      <c r="L1785" s="48"/>
      <c r="M1785" s="48"/>
    </row>
    <row r="1786" spans="1:13">
      <c r="A1786" s="48"/>
      <c r="B1786" s="49"/>
      <c r="C1786" s="48"/>
      <c r="D1786" s="48"/>
      <c r="E1786" s="48"/>
      <c r="F1786" s="48"/>
      <c r="G1786" s="48"/>
      <c r="H1786" s="48"/>
      <c r="I1786" s="48"/>
      <c r="J1786" s="48"/>
      <c r="K1786" s="48"/>
      <c r="L1786" s="48"/>
      <c r="M1786" s="48"/>
    </row>
    <row r="1787" spans="1:13">
      <c r="A1787" s="48"/>
      <c r="B1787" s="49"/>
      <c r="C1787" s="48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</row>
    <row r="1788" spans="1:13">
      <c r="A1788" s="48"/>
      <c r="B1788" s="49"/>
      <c r="C1788" s="48"/>
      <c r="D1788" s="48"/>
      <c r="E1788" s="48"/>
      <c r="F1788" s="48"/>
      <c r="G1788" s="48"/>
      <c r="H1788" s="48"/>
      <c r="I1788" s="48"/>
      <c r="J1788" s="48"/>
      <c r="K1788" s="48"/>
      <c r="L1788" s="48"/>
      <c r="M1788" s="48"/>
    </row>
    <row r="1789" spans="1:13">
      <c r="A1789" s="48"/>
      <c r="B1789" s="49"/>
      <c r="C1789" s="48"/>
      <c r="D1789" s="48"/>
      <c r="E1789" s="48"/>
      <c r="F1789" s="48"/>
      <c r="G1789" s="48"/>
      <c r="H1789" s="48"/>
      <c r="I1789" s="48"/>
      <c r="J1789" s="48"/>
      <c r="K1789" s="48"/>
      <c r="L1789" s="48"/>
      <c r="M1789" s="48"/>
    </row>
    <row r="1790" spans="1:13">
      <c r="A1790" s="48"/>
      <c r="B1790" s="49"/>
      <c r="C1790" s="48"/>
      <c r="D1790" s="48"/>
      <c r="E1790" s="48"/>
      <c r="F1790" s="48"/>
      <c r="G1790" s="48"/>
      <c r="H1790" s="48"/>
      <c r="I1790" s="48"/>
      <c r="J1790" s="48"/>
      <c r="K1790" s="48"/>
      <c r="L1790" s="48"/>
      <c r="M1790" s="48"/>
    </row>
    <row r="1791" spans="1:13">
      <c r="A1791" s="48"/>
      <c r="B1791" s="49"/>
      <c r="C1791" s="48"/>
      <c r="D1791" s="48"/>
      <c r="E1791" s="48"/>
      <c r="F1791" s="48"/>
      <c r="G1791" s="48"/>
      <c r="H1791" s="48"/>
      <c r="I1791" s="48"/>
      <c r="J1791" s="48"/>
      <c r="K1791" s="48"/>
      <c r="L1791" s="48"/>
      <c r="M1791" s="48"/>
    </row>
    <row r="1792" spans="1:13">
      <c r="A1792" s="48"/>
      <c r="B1792" s="49"/>
      <c r="C1792" s="48"/>
      <c r="D1792" s="48"/>
      <c r="E1792" s="48"/>
      <c r="F1792" s="48"/>
      <c r="G1792" s="48"/>
      <c r="H1792" s="48"/>
      <c r="I1792" s="48"/>
      <c r="J1792" s="48"/>
      <c r="K1792" s="48"/>
      <c r="L1792" s="48"/>
      <c r="M1792" s="48"/>
    </row>
    <row r="1793" spans="1:13">
      <c r="A1793" s="48"/>
      <c r="B1793" s="49"/>
      <c r="C1793" s="48"/>
      <c r="D1793" s="48"/>
      <c r="E1793" s="48"/>
      <c r="F1793" s="48"/>
      <c r="G1793" s="48"/>
      <c r="H1793" s="48"/>
      <c r="I1793" s="48"/>
      <c r="J1793" s="48"/>
      <c r="K1793" s="48"/>
      <c r="L1793" s="48"/>
      <c r="M1793" s="48"/>
    </row>
    <row r="1794" spans="1:13">
      <c r="A1794" s="48"/>
      <c r="B1794" s="49"/>
      <c r="C1794" s="48"/>
      <c r="D1794" s="48"/>
      <c r="E1794" s="48"/>
      <c r="F1794" s="48"/>
      <c r="G1794" s="48"/>
      <c r="H1794" s="48"/>
      <c r="I1794" s="48"/>
      <c r="J1794" s="48"/>
      <c r="K1794" s="48"/>
      <c r="L1794" s="48"/>
      <c r="M1794" s="48"/>
    </row>
    <row r="1795" spans="1:13">
      <c r="A1795" s="48"/>
      <c r="B1795" s="49"/>
      <c r="C1795" s="48"/>
      <c r="D1795" s="48"/>
      <c r="E1795" s="48"/>
      <c r="F1795" s="48"/>
      <c r="G1795" s="48"/>
      <c r="H1795" s="48"/>
      <c r="I1795" s="48"/>
      <c r="J1795" s="48"/>
      <c r="K1795" s="48"/>
      <c r="L1795" s="48"/>
      <c r="M1795" s="48"/>
    </row>
    <row r="1796" spans="1:13">
      <c r="A1796" s="48"/>
      <c r="B1796" s="49"/>
      <c r="C1796" s="48"/>
      <c r="D1796" s="48"/>
      <c r="E1796" s="48"/>
      <c r="F1796" s="48"/>
      <c r="G1796" s="48"/>
      <c r="H1796" s="48"/>
      <c r="I1796" s="48"/>
      <c r="J1796" s="48"/>
      <c r="K1796" s="48"/>
      <c r="L1796" s="48"/>
      <c r="M1796" s="48"/>
    </row>
    <row r="1797" spans="1:13">
      <c r="A1797" s="48"/>
      <c r="B1797" s="49"/>
      <c r="C1797" s="48"/>
      <c r="D1797" s="48"/>
      <c r="E1797" s="48"/>
      <c r="F1797" s="48"/>
      <c r="G1797" s="48"/>
      <c r="H1797" s="48"/>
      <c r="I1797" s="48"/>
      <c r="J1797" s="48"/>
      <c r="K1797" s="48"/>
      <c r="L1797" s="48"/>
      <c r="M1797" s="48"/>
    </row>
    <row r="1798" spans="1:13">
      <c r="A1798" s="48"/>
      <c r="B1798" s="49"/>
      <c r="C1798" s="48"/>
      <c r="D1798" s="48"/>
      <c r="E1798" s="48"/>
      <c r="F1798" s="48"/>
      <c r="G1798" s="48"/>
      <c r="H1798" s="48"/>
      <c r="I1798" s="48"/>
      <c r="J1798" s="48"/>
      <c r="K1798" s="48"/>
      <c r="L1798" s="48"/>
      <c r="M1798" s="48"/>
    </row>
    <row r="1799" spans="1:13">
      <c r="A1799" s="48"/>
      <c r="B1799" s="49"/>
      <c r="C1799" s="48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</row>
    <row r="1800" spans="1:13">
      <c r="A1800" s="48"/>
      <c r="B1800" s="49"/>
      <c r="C1800" s="48"/>
      <c r="D1800" s="48"/>
      <c r="E1800" s="48"/>
      <c r="F1800" s="48"/>
      <c r="G1800" s="48"/>
      <c r="H1800" s="48"/>
      <c r="I1800" s="48"/>
      <c r="J1800" s="48"/>
      <c r="K1800" s="48"/>
      <c r="L1800" s="48"/>
      <c r="M1800" s="48"/>
    </row>
    <row r="1801" spans="1:13">
      <c r="A1801" s="48"/>
      <c r="B1801" s="49"/>
      <c r="C1801" s="48"/>
      <c r="D1801" s="48"/>
      <c r="E1801" s="48"/>
      <c r="F1801" s="48"/>
      <c r="G1801" s="48"/>
      <c r="H1801" s="48"/>
      <c r="I1801" s="48"/>
      <c r="J1801" s="48"/>
      <c r="K1801" s="48"/>
      <c r="L1801" s="48"/>
      <c r="M1801" s="48"/>
    </row>
    <row r="1802" spans="1:13">
      <c r="A1802" s="48"/>
      <c r="B1802" s="49"/>
      <c r="C1802" s="48"/>
      <c r="D1802" s="48"/>
      <c r="E1802" s="48"/>
      <c r="F1802" s="48"/>
      <c r="G1802" s="48"/>
      <c r="H1802" s="48"/>
      <c r="I1802" s="48"/>
      <c r="J1802" s="48"/>
      <c r="K1802" s="48"/>
      <c r="L1802" s="48"/>
      <c r="M1802" s="48"/>
    </row>
    <row r="1803" spans="1:13">
      <c r="A1803" s="48"/>
      <c r="B1803" s="49"/>
      <c r="C1803" s="48"/>
      <c r="D1803" s="48"/>
      <c r="E1803" s="48"/>
      <c r="F1803" s="48"/>
      <c r="G1803" s="48"/>
      <c r="H1803" s="48"/>
      <c r="I1803" s="48"/>
      <c r="J1803" s="48"/>
      <c r="K1803" s="48"/>
      <c r="L1803" s="48"/>
      <c r="M1803" s="48"/>
    </row>
    <row r="1804" spans="1:13">
      <c r="A1804" s="48"/>
      <c r="B1804" s="49"/>
      <c r="C1804" s="48"/>
      <c r="D1804" s="48"/>
      <c r="E1804" s="48"/>
      <c r="F1804" s="48"/>
      <c r="G1804" s="48"/>
      <c r="H1804" s="48"/>
      <c r="I1804" s="48"/>
      <c r="J1804" s="48"/>
      <c r="K1804" s="48"/>
      <c r="L1804" s="48"/>
      <c r="M1804" s="48"/>
    </row>
    <row r="1805" spans="1:13">
      <c r="A1805" s="48"/>
      <c r="B1805" s="49"/>
      <c r="C1805" s="48"/>
      <c r="D1805" s="48"/>
      <c r="E1805" s="48"/>
      <c r="F1805" s="48"/>
      <c r="G1805" s="48"/>
      <c r="H1805" s="48"/>
      <c r="I1805" s="48"/>
      <c r="J1805" s="48"/>
      <c r="K1805" s="48"/>
      <c r="L1805" s="48"/>
      <c r="M1805" s="48"/>
    </row>
    <row r="1806" spans="1:13">
      <c r="A1806" s="48"/>
      <c r="B1806" s="49"/>
      <c r="C1806" s="48"/>
      <c r="D1806" s="48"/>
      <c r="E1806" s="48"/>
      <c r="F1806" s="48"/>
      <c r="G1806" s="48"/>
      <c r="H1806" s="48"/>
      <c r="I1806" s="48"/>
      <c r="J1806" s="48"/>
      <c r="K1806" s="48"/>
      <c r="L1806" s="48"/>
      <c r="M1806" s="48"/>
    </row>
    <row r="1807" spans="1:13">
      <c r="A1807" s="48"/>
      <c r="B1807" s="49"/>
      <c r="C1807" s="48"/>
      <c r="D1807" s="48"/>
      <c r="E1807" s="48"/>
      <c r="F1807" s="48"/>
      <c r="G1807" s="48"/>
      <c r="H1807" s="48"/>
      <c r="I1807" s="48"/>
      <c r="J1807" s="48"/>
      <c r="K1807" s="48"/>
      <c r="L1807" s="48"/>
      <c r="M1807" s="48"/>
    </row>
    <row r="1808" spans="1:13">
      <c r="A1808" s="48"/>
      <c r="B1808" s="49"/>
      <c r="C1808" s="48"/>
      <c r="D1808" s="48"/>
      <c r="E1808" s="48"/>
      <c r="F1808" s="48"/>
      <c r="G1808" s="48"/>
      <c r="H1808" s="48"/>
      <c r="I1808" s="48"/>
      <c r="J1808" s="48"/>
      <c r="K1808" s="48"/>
      <c r="L1808" s="48"/>
      <c r="M1808" s="48"/>
    </row>
    <row r="1809" spans="1:13">
      <c r="A1809" s="48"/>
      <c r="B1809" s="49"/>
      <c r="C1809" s="48"/>
      <c r="D1809" s="48"/>
      <c r="E1809" s="48"/>
      <c r="F1809" s="48"/>
      <c r="G1809" s="48"/>
      <c r="H1809" s="48"/>
      <c r="I1809" s="48"/>
      <c r="J1809" s="48"/>
      <c r="K1809" s="48"/>
      <c r="L1809" s="48"/>
      <c r="M1809" s="48"/>
    </row>
    <row r="1810" spans="1:13">
      <c r="A1810" s="48"/>
      <c r="B1810" s="49"/>
      <c r="C1810" s="48"/>
      <c r="D1810" s="48"/>
      <c r="E1810" s="48"/>
      <c r="F1810" s="48"/>
      <c r="G1810" s="48"/>
      <c r="H1810" s="48"/>
      <c r="I1810" s="48"/>
      <c r="J1810" s="48"/>
      <c r="K1810" s="48"/>
      <c r="L1810" s="48"/>
      <c r="M1810" s="48"/>
    </row>
    <row r="1811" spans="1:13">
      <c r="A1811" s="48"/>
      <c r="B1811" s="49"/>
      <c r="C1811" s="48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</row>
    <row r="1812" spans="1:13">
      <c r="A1812" s="48"/>
      <c r="B1812" s="49"/>
      <c r="C1812" s="48"/>
      <c r="D1812" s="48"/>
      <c r="E1812" s="48"/>
      <c r="F1812" s="48"/>
      <c r="G1812" s="48"/>
      <c r="H1812" s="48"/>
      <c r="I1812" s="48"/>
      <c r="J1812" s="48"/>
      <c r="K1812" s="48"/>
      <c r="L1812" s="48"/>
      <c r="M1812" s="48"/>
    </row>
    <row r="1813" spans="1:13">
      <c r="A1813" s="48"/>
      <c r="B1813" s="49"/>
      <c r="C1813" s="48"/>
      <c r="D1813" s="48"/>
      <c r="E1813" s="48"/>
      <c r="F1813" s="48"/>
      <c r="G1813" s="48"/>
      <c r="H1813" s="48"/>
      <c r="I1813" s="48"/>
      <c r="J1813" s="48"/>
      <c r="K1813" s="48"/>
      <c r="L1813" s="48"/>
      <c r="M1813" s="48"/>
    </row>
    <row r="1814" spans="1:13">
      <c r="A1814" s="48"/>
      <c r="B1814" s="49"/>
      <c r="C1814" s="48"/>
      <c r="D1814" s="48"/>
      <c r="E1814" s="48"/>
      <c r="F1814" s="48"/>
      <c r="G1814" s="48"/>
      <c r="H1814" s="48"/>
      <c r="I1814" s="48"/>
      <c r="J1814" s="48"/>
      <c r="K1814" s="48"/>
      <c r="L1814" s="48"/>
      <c r="M1814" s="48"/>
    </row>
    <row r="1815" spans="1:13">
      <c r="A1815" s="48"/>
      <c r="B1815" s="49"/>
      <c r="C1815" s="48"/>
      <c r="D1815" s="48"/>
      <c r="E1815" s="48"/>
      <c r="F1815" s="48"/>
      <c r="G1815" s="48"/>
      <c r="H1815" s="48"/>
      <c r="I1815" s="48"/>
      <c r="J1815" s="48"/>
      <c r="K1815" s="48"/>
      <c r="L1815" s="48"/>
      <c r="M1815" s="48"/>
    </row>
    <row r="1816" spans="1:13">
      <c r="A1816" s="48"/>
      <c r="B1816" s="49"/>
      <c r="C1816" s="48"/>
      <c r="D1816" s="48"/>
      <c r="E1816" s="48"/>
      <c r="F1816" s="48"/>
      <c r="G1816" s="48"/>
      <c r="H1816" s="48"/>
      <c r="I1816" s="48"/>
      <c r="J1816" s="48"/>
      <c r="K1816" s="48"/>
      <c r="L1816" s="48"/>
      <c r="M1816" s="48"/>
    </row>
    <row r="1817" spans="1:13">
      <c r="A1817" s="48"/>
      <c r="B1817" s="49"/>
      <c r="C1817" s="48"/>
      <c r="D1817" s="48"/>
      <c r="E1817" s="48"/>
      <c r="F1817" s="48"/>
      <c r="G1817" s="48"/>
      <c r="H1817" s="48"/>
      <c r="I1817" s="48"/>
      <c r="J1817" s="48"/>
      <c r="K1817" s="48"/>
      <c r="L1817" s="48"/>
      <c r="M1817" s="48"/>
    </row>
    <row r="1818" spans="1:13">
      <c r="A1818" s="48"/>
      <c r="B1818" s="49"/>
      <c r="C1818" s="48"/>
      <c r="D1818" s="48"/>
      <c r="E1818" s="48"/>
      <c r="F1818" s="48"/>
      <c r="G1818" s="48"/>
      <c r="H1818" s="48"/>
      <c r="I1818" s="48"/>
      <c r="J1818" s="48"/>
      <c r="K1818" s="48"/>
      <c r="L1818" s="48"/>
      <c r="M1818" s="48"/>
    </row>
    <row r="1819" spans="1:13">
      <c r="A1819" s="48"/>
      <c r="B1819" s="49"/>
      <c r="C1819" s="48"/>
      <c r="D1819" s="48"/>
      <c r="E1819" s="48"/>
      <c r="F1819" s="48"/>
      <c r="G1819" s="48"/>
      <c r="H1819" s="48"/>
      <c r="I1819" s="48"/>
      <c r="J1819" s="48"/>
      <c r="K1819" s="48"/>
      <c r="L1819" s="48"/>
      <c r="M1819" s="48"/>
    </row>
    <row r="1820" spans="1:13">
      <c r="A1820" s="48"/>
      <c r="B1820" s="49"/>
      <c r="C1820" s="48"/>
      <c r="D1820" s="48"/>
      <c r="E1820" s="48"/>
      <c r="F1820" s="48"/>
      <c r="G1820" s="48"/>
      <c r="H1820" s="48"/>
      <c r="I1820" s="48"/>
      <c r="J1820" s="48"/>
      <c r="K1820" s="48"/>
      <c r="L1820" s="48"/>
      <c r="M1820" s="48"/>
    </row>
    <row r="1821" spans="1:13">
      <c r="A1821" s="48"/>
      <c r="B1821" s="49"/>
      <c r="C1821" s="48"/>
      <c r="D1821" s="48"/>
      <c r="E1821" s="48"/>
      <c r="F1821" s="48"/>
      <c r="G1821" s="48"/>
      <c r="H1821" s="48"/>
      <c r="I1821" s="48"/>
      <c r="J1821" s="48"/>
      <c r="K1821" s="48"/>
      <c r="L1821" s="48"/>
      <c r="M1821" s="48"/>
    </row>
    <row r="1822" spans="1:13">
      <c r="A1822" s="48"/>
      <c r="B1822" s="49"/>
      <c r="C1822" s="48"/>
      <c r="D1822" s="48"/>
      <c r="E1822" s="48"/>
      <c r="F1822" s="48"/>
      <c r="G1822" s="48"/>
      <c r="H1822" s="48"/>
      <c r="I1822" s="48"/>
      <c r="J1822" s="48"/>
      <c r="K1822" s="48"/>
      <c r="L1822" s="48"/>
      <c r="M1822" s="48"/>
    </row>
    <row r="1823" spans="1:13">
      <c r="A1823" s="48"/>
      <c r="B1823" s="49"/>
      <c r="C1823" s="48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</row>
    <row r="1824" spans="1:13">
      <c r="A1824" s="48"/>
      <c r="B1824" s="49"/>
      <c r="C1824" s="48"/>
      <c r="D1824" s="48"/>
      <c r="E1824" s="48"/>
      <c r="F1824" s="48"/>
      <c r="G1824" s="48"/>
      <c r="H1824" s="48"/>
      <c r="I1824" s="48"/>
      <c r="J1824" s="48"/>
      <c r="K1824" s="48"/>
      <c r="L1824" s="48"/>
      <c r="M1824" s="48"/>
    </row>
    <row r="1825" spans="1:13">
      <c r="A1825" s="48"/>
      <c r="B1825" s="49"/>
      <c r="C1825" s="48"/>
      <c r="D1825" s="48"/>
      <c r="E1825" s="48"/>
      <c r="F1825" s="48"/>
      <c r="G1825" s="48"/>
      <c r="H1825" s="48"/>
      <c r="I1825" s="48"/>
      <c r="J1825" s="48"/>
      <c r="K1825" s="48"/>
      <c r="L1825" s="48"/>
      <c r="M1825" s="48"/>
    </row>
    <row r="1826" spans="1:13">
      <c r="A1826" s="48"/>
      <c r="B1826" s="49"/>
      <c r="C1826" s="48"/>
      <c r="D1826" s="48"/>
      <c r="E1826" s="48"/>
      <c r="F1826" s="48"/>
      <c r="G1826" s="48"/>
      <c r="H1826" s="48"/>
      <c r="I1826" s="48"/>
      <c r="J1826" s="48"/>
      <c r="K1826" s="48"/>
      <c r="L1826" s="48"/>
      <c r="M1826" s="48"/>
    </row>
    <row r="1827" spans="1:13">
      <c r="A1827" s="48"/>
      <c r="B1827" s="49"/>
      <c r="C1827" s="48"/>
      <c r="D1827" s="48"/>
      <c r="E1827" s="48"/>
      <c r="F1827" s="48"/>
      <c r="G1827" s="48"/>
      <c r="H1827" s="48"/>
      <c r="I1827" s="48"/>
      <c r="J1827" s="48"/>
      <c r="K1827" s="48"/>
      <c r="L1827" s="48"/>
      <c r="M1827" s="48"/>
    </row>
    <row r="1828" spans="1:13">
      <c r="A1828" s="48"/>
      <c r="B1828" s="49"/>
      <c r="C1828" s="48"/>
      <c r="D1828" s="48"/>
      <c r="E1828" s="48"/>
      <c r="F1828" s="48"/>
      <c r="G1828" s="48"/>
      <c r="H1828" s="48"/>
      <c r="I1828" s="48"/>
      <c r="J1828" s="48"/>
      <c r="K1828" s="48"/>
      <c r="L1828" s="48"/>
      <c r="M1828" s="48"/>
    </row>
    <row r="1829" spans="1:13">
      <c r="A1829" s="48"/>
      <c r="B1829" s="49"/>
      <c r="C1829" s="48"/>
      <c r="D1829" s="48"/>
      <c r="E1829" s="48"/>
      <c r="F1829" s="48"/>
      <c r="G1829" s="48"/>
      <c r="H1829" s="48"/>
      <c r="I1829" s="48"/>
      <c r="J1829" s="48"/>
      <c r="K1829" s="48"/>
      <c r="L1829" s="48"/>
      <c r="M1829" s="48"/>
    </row>
    <row r="1830" spans="1:13">
      <c r="A1830" s="48"/>
      <c r="B1830" s="49"/>
      <c r="C1830" s="48"/>
      <c r="D1830" s="48"/>
      <c r="E1830" s="48"/>
      <c r="F1830" s="48"/>
      <c r="G1830" s="48"/>
      <c r="H1830" s="48"/>
      <c r="I1830" s="48"/>
      <c r="J1830" s="48"/>
      <c r="K1830" s="48"/>
      <c r="L1830" s="48"/>
      <c r="M1830" s="48"/>
    </row>
    <row r="1831" spans="1:13">
      <c r="A1831" s="48"/>
      <c r="B1831" s="49"/>
      <c r="C1831" s="48"/>
      <c r="D1831" s="48"/>
      <c r="E1831" s="48"/>
      <c r="F1831" s="48"/>
      <c r="G1831" s="48"/>
      <c r="H1831" s="48"/>
      <c r="I1831" s="48"/>
      <c r="J1831" s="48"/>
      <c r="K1831" s="48"/>
      <c r="L1831" s="48"/>
      <c r="M1831" s="48"/>
    </row>
    <row r="1832" spans="1:13">
      <c r="A1832" s="48"/>
      <c r="B1832" s="49"/>
      <c r="C1832" s="48"/>
      <c r="D1832" s="48"/>
      <c r="E1832" s="48"/>
      <c r="F1832" s="48"/>
      <c r="G1832" s="48"/>
      <c r="H1832" s="48"/>
      <c r="I1832" s="48"/>
      <c r="J1832" s="48"/>
      <c r="K1832" s="48"/>
      <c r="L1832" s="48"/>
      <c r="M1832" s="48"/>
    </row>
    <row r="1833" spans="1:13">
      <c r="A1833" s="48"/>
      <c r="B1833" s="49"/>
      <c r="C1833" s="48"/>
      <c r="D1833" s="48"/>
      <c r="E1833" s="48"/>
      <c r="F1833" s="48"/>
      <c r="G1833" s="48"/>
      <c r="H1833" s="48"/>
      <c r="I1833" s="48"/>
      <c r="J1833" s="48"/>
      <c r="K1833" s="48"/>
      <c r="L1833" s="48"/>
      <c r="M1833" s="4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Exchange rate table</vt:lpstr>
      <vt:lpstr>AR</vt:lpstr>
      <vt:lpstr>AP</vt:lpstr>
      <vt:lpstr>Pacific Exchange Rate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Chan</dc:creator>
  <cp:lastModifiedBy>mhkusr16 RPA PROJECT</cp:lastModifiedBy>
  <cp:lastPrinted>2023-12-22T07:02:24Z</cp:lastPrinted>
  <dcterms:created xsi:type="dcterms:W3CDTF">2017-01-10T07:49:35Z</dcterms:created>
  <dcterms:modified xsi:type="dcterms:W3CDTF">2024-03-05T06:29:08Z</dcterms:modified>
</cp:coreProperties>
</file>