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Sheet2" sheetId="3" r:id="rId3"/>
  </sheets>
  <definedNames>
    <definedName name="_xlnm._FilterDatabase" localSheetId="0" hidden="1">汇总MHK!$A$1:$V$1503</definedName>
    <definedName name="_xlnm._FilterDatabase" localSheetId="1" hidden="1">汇总MZQ!$A$1:$X$852</definedName>
  </definedNames>
  <calcPr calcId="145621"/>
</workbook>
</file>

<file path=xl/calcChain.xml><?xml version="1.0" encoding="utf-8"?>
<calcChain xmlns="http://schemas.openxmlformats.org/spreadsheetml/2006/main">
  <c r="W853" i="5" l="1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Q1503" i="5"/>
  <c r="R1503" i="5" s="1"/>
  <c r="S1503" i="5" s="1"/>
  <c r="J1503" i="5"/>
  <c r="R1502" i="5"/>
  <c r="S1502" i="5" s="1"/>
  <c r="Q1502" i="5"/>
  <c r="J1502" i="5"/>
  <c r="Q1501" i="5"/>
  <c r="R1501" i="5" s="1"/>
  <c r="S1501" i="5" s="1"/>
  <c r="J1501" i="5"/>
  <c r="R1500" i="5"/>
  <c r="S1500" i="5" s="1"/>
  <c r="Q1500" i="5"/>
  <c r="J1500" i="5"/>
  <c r="Q1499" i="5"/>
  <c r="R1499" i="5" s="1"/>
  <c r="S1499" i="5" s="1"/>
  <c r="J1499" i="5"/>
  <c r="R1498" i="5"/>
  <c r="S1498" i="5" s="1"/>
  <c r="Q1498" i="5"/>
  <c r="J1498" i="5"/>
  <c r="Q1497" i="5"/>
  <c r="R1497" i="5" s="1"/>
  <c r="S1497" i="5" s="1"/>
  <c r="J1497" i="5"/>
  <c r="R1496" i="5"/>
  <c r="S1496" i="5" s="1"/>
  <c r="Q1496" i="5"/>
  <c r="J1496" i="5"/>
  <c r="Q1495" i="5"/>
  <c r="R1495" i="5" s="1"/>
  <c r="S1495" i="5" s="1"/>
  <c r="J1495" i="5"/>
  <c r="R1494" i="5"/>
  <c r="S1494" i="5" s="1"/>
  <c r="Q1494" i="5"/>
  <c r="J1494" i="5"/>
  <c r="Q1493" i="5"/>
  <c r="R1493" i="5" s="1"/>
  <c r="S1493" i="5" s="1"/>
  <c r="J1493" i="5"/>
  <c r="R1492" i="5"/>
  <c r="S1492" i="5" s="1"/>
  <c r="Q1492" i="5"/>
  <c r="J1492" i="5"/>
  <c r="Q1491" i="5"/>
  <c r="R1491" i="5" s="1"/>
  <c r="S1491" i="5" s="1"/>
  <c r="J1491" i="5"/>
  <c r="R1490" i="5"/>
  <c r="S1490" i="5" s="1"/>
  <c r="Q1490" i="5"/>
  <c r="J1490" i="5"/>
  <c r="Q1489" i="5"/>
  <c r="R1489" i="5" s="1"/>
  <c r="S1489" i="5" s="1"/>
  <c r="J1489" i="5"/>
  <c r="R1488" i="5"/>
  <c r="S1488" i="5" s="1"/>
  <c r="Q1488" i="5"/>
  <c r="J1488" i="5"/>
  <c r="Q1487" i="5"/>
  <c r="R1487" i="5" s="1"/>
  <c r="S1487" i="5" s="1"/>
  <c r="J1487" i="5"/>
  <c r="R1486" i="5"/>
  <c r="S1486" i="5" s="1"/>
  <c r="Q1486" i="5"/>
  <c r="J1486" i="5"/>
  <c r="Q1485" i="5"/>
  <c r="R1485" i="5" s="1"/>
  <c r="S1485" i="5" s="1"/>
  <c r="J1485" i="5"/>
  <c r="R1484" i="5"/>
  <c r="S1484" i="5" s="1"/>
  <c r="Q1484" i="5"/>
  <c r="J1484" i="5"/>
  <c r="Q1483" i="5"/>
  <c r="R1483" i="5" s="1"/>
  <c r="S1483" i="5" s="1"/>
  <c r="J1483" i="5"/>
  <c r="R1482" i="5"/>
  <c r="S1482" i="5" s="1"/>
  <c r="Q1482" i="5"/>
  <c r="J1482" i="5"/>
  <c r="Q1481" i="5"/>
  <c r="R1481" i="5" s="1"/>
  <c r="S1481" i="5" s="1"/>
  <c r="J1481" i="5"/>
  <c r="R1480" i="5"/>
  <c r="S1480" i="5" s="1"/>
  <c r="Q1480" i="5"/>
  <c r="J1480" i="5"/>
  <c r="Q1479" i="5"/>
  <c r="R1479" i="5" s="1"/>
  <c r="S1479" i="5" s="1"/>
  <c r="J1479" i="5"/>
  <c r="R1478" i="5"/>
  <c r="S1478" i="5" s="1"/>
  <c r="Q1478" i="5"/>
  <c r="J1478" i="5"/>
  <c r="Q1477" i="5"/>
  <c r="R1477" i="5" s="1"/>
  <c r="S1477" i="5" s="1"/>
  <c r="J1477" i="5"/>
  <c r="R1476" i="5"/>
  <c r="S1476" i="5" s="1"/>
  <c r="Q1476" i="5"/>
  <c r="J1476" i="5"/>
  <c r="Q1475" i="5"/>
  <c r="R1475" i="5" s="1"/>
  <c r="S1475" i="5" s="1"/>
  <c r="J1475" i="5"/>
  <c r="R1474" i="5"/>
  <c r="S1474" i="5" s="1"/>
  <c r="Q1474" i="5"/>
  <c r="J1474" i="5"/>
  <c r="Q1473" i="5"/>
  <c r="R1473" i="5" s="1"/>
  <c r="S1473" i="5" s="1"/>
  <c r="J1473" i="5"/>
  <c r="R1472" i="5"/>
  <c r="S1472" i="5" s="1"/>
  <c r="Q1472" i="5"/>
  <c r="J1472" i="5"/>
  <c r="Q1471" i="5"/>
  <c r="R1471" i="5" s="1"/>
  <c r="S1471" i="5" s="1"/>
  <c r="J1471" i="5"/>
  <c r="R1470" i="5"/>
  <c r="S1470" i="5" s="1"/>
  <c r="Q1470" i="5"/>
  <c r="J1470" i="5"/>
  <c r="Q1469" i="5"/>
  <c r="R1469" i="5" s="1"/>
  <c r="S1469" i="5" s="1"/>
  <c r="J1469" i="5"/>
  <c r="R1468" i="5"/>
  <c r="S1468" i="5" s="1"/>
  <c r="Q1468" i="5"/>
  <c r="J1468" i="5"/>
  <c r="Q1467" i="5"/>
  <c r="R1467" i="5" s="1"/>
  <c r="S1467" i="5" s="1"/>
  <c r="J1467" i="5"/>
  <c r="R1466" i="5"/>
  <c r="S1466" i="5" s="1"/>
  <c r="Q1466" i="5"/>
  <c r="J1466" i="5"/>
  <c r="Q1465" i="5"/>
  <c r="R1465" i="5" s="1"/>
  <c r="S1465" i="5" s="1"/>
  <c r="J1465" i="5"/>
  <c r="R1464" i="5"/>
  <c r="S1464" i="5" s="1"/>
  <c r="Q1464" i="5"/>
  <c r="J1464" i="5"/>
  <c r="Q1463" i="5"/>
  <c r="R1463" i="5" s="1"/>
  <c r="S1463" i="5" s="1"/>
  <c r="J1463" i="5"/>
  <c r="R1462" i="5"/>
  <c r="S1462" i="5" s="1"/>
  <c r="Q1462" i="5"/>
  <c r="J1462" i="5"/>
  <c r="Q1461" i="5"/>
  <c r="R1461" i="5" s="1"/>
  <c r="S1461" i="5" s="1"/>
  <c r="J1461" i="5"/>
  <c r="R1460" i="5"/>
  <c r="S1460" i="5" s="1"/>
  <c r="Q1460" i="5"/>
  <c r="J1460" i="5"/>
  <c r="Q1459" i="5"/>
  <c r="R1459" i="5" s="1"/>
  <c r="S1459" i="5" s="1"/>
  <c r="J1459" i="5"/>
  <c r="R1458" i="5"/>
  <c r="S1458" i="5" s="1"/>
  <c r="Q1458" i="5"/>
  <c r="J1458" i="5"/>
  <c r="Q1457" i="5"/>
  <c r="R1457" i="5" s="1"/>
  <c r="S1457" i="5" s="1"/>
  <c r="J1457" i="5"/>
  <c r="R1456" i="5"/>
  <c r="S1456" i="5" s="1"/>
  <c r="Q1456" i="5"/>
  <c r="J1456" i="5"/>
  <c r="Q1455" i="5"/>
  <c r="R1455" i="5" s="1"/>
  <c r="S1455" i="5" s="1"/>
  <c r="J1455" i="5"/>
  <c r="R1454" i="5"/>
  <c r="S1454" i="5" s="1"/>
  <c r="Q1454" i="5"/>
  <c r="J1454" i="5"/>
  <c r="Q1453" i="5"/>
  <c r="R1453" i="5" s="1"/>
  <c r="S1453" i="5" s="1"/>
  <c r="J1453" i="5"/>
  <c r="R1452" i="5"/>
  <c r="S1452" i="5" s="1"/>
  <c r="Q1452" i="5"/>
  <c r="J1452" i="5"/>
  <c r="Q1451" i="5"/>
  <c r="R1451" i="5" s="1"/>
  <c r="S1451" i="5" s="1"/>
  <c r="J1451" i="5"/>
  <c r="R1450" i="5"/>
  <c r="S1450" i="5" s="1"/>
  <c r="Q1450" i="5"/>
  <c r="J1450" i="5"/>
  <c r="Q1449" i="5"/>
  <c r="R1449" i="5" s="1"/>
  <c r="S1449" i="5" s="1"/>
  <c r="J1449" i="5"/>
  <c r="R1448" i="5"/>
  <c r="S1448" i="5" s="1"/>
  <c r="Q1448" i="5"/>
  <c r="J1448" i="5"/>
  <c r="Q1447" i="5"/>
  <c r="R1447" i="5" s="1"/>
  <c r="S1447" i="5" s="1"/>
  <c r="J1447" i="5"/>
  <c r="R1446" i="5"/>
  <c r="S1446" i="5" s="1"/>
  <c r="Q1446" i="5"/>
  <c r="J1446" i="5"/>
  <c r="Q1445" i="5"/>
  <c r="R1445" i="5" s="1"/>
  <c r="S1445" i="5" s="1"/>
  <c r="J1445" i="5"/>
  <c r="R1444" i="5"/>
  <c r="S1444" i="5" s="1"/>
  <c r="Q1444" i="5"/>
  <c r="J1444" i="5"/>
  <c r="Q1443" i="5"/>
  <c r="R1443" i="5" s="1"/>
  <c r="S1443" i="5" s="1"/>
  <c r="J1443" i="5"/>
  <c r="R1442" i="5"/>
  <c r="S1442" i="5" s="1"/>
  <c r="Q1442" i="5"/>
  <c r="J1442" i="5"/>
  <c r="Q1441" i="5"/>
  <c r="R1441" i="5" s="1"/>
  <c r="S1441" i="5" s="1"/>
  <c r="J1441" i="5"/>
  <c r="R1440" i="5"/>
  <c r="S1440" i="5" s="1"/>
  <c r="Q1440" i="5"/>
  <c r="J1440" i="5"/>
  <c r="Q1439" i="5"/>
  <c r="R1439" i="5" s="1"/>
  <c r="S1439" i="5" s="1"/>
  <c r="J1439" i="5"/>
  <c r="R1438" i="5"/>
  <c r="S1438" i="5" s="1"/>
  <c r="Q1438" i="5"/>
  <c r="J1438" i="5"/>
  <c r="Q1437" i="5"/>
  <c r="R1437" i="5" s="1"/>
  <c r="S1437" i="5" s="1"/>
  <c r="J1437" i="5"/>
  <c r="R1436" i="5"/>
  <c r="S1436" i="5" s="1"/>
  <c r="Q1436" i="5"/>
  <c r="J1436" i="5"/>
  <c r="Q1435" i="5"/>
  <c r="R1435" i="5" s="1"/>
  <c r="S1435" i="5" s="1"/>
  <c r="J1435" i="5"/>
  <c r="R1434" i="5"/>
  <c r="S1434" i="5" s="1"/>
  <c r="Q1434" i="5"/>
  <c r="J1434" i="5"/>
  <c r="Q1433" i="5"/>
  <c r="R1433" i="5" s="1"/>
  <c r="S1433" i="5" s="1"/>
  <c r="J1433" i="5"/>
  <c r="R1432" i="5"/>
  <c r="S1432" i="5" s="1"/>
  <c r="Q1432" i="5"/>
  <c r="J1432" i="5"/>
  <c r="Q1431" i="5"/>
  <c r="R1431" i="5" s="1"/>
  <c r="S1431" i="5" s="1"/>
  <c r="J1431" i="5"/>
  <c r="R1430" i="5"/>
  <c r="S1430" i="5" s="1"/>
  <c r="Q1430" i="5"/>
  <c r="J1430" i="5"/>
  <c r="Q1429" i="5"/>
  <c r="R1429" i="5" s="1"/>
  <c r="S1429" i="5" s="1"/>
  <c r="J1429" i="5"/>
  <c r="R1428" i="5"/>
  <c r="S1428" i="5" s="1"/>
  <c r="Q1428" i="5"/>
  <c r="J1428" i="5"/>
  <c r="Q1427" i="5"/>
  <c r="R1427" i="5" s="1"/>
  <c r="S1427" i="5" s="1"/>
  <c r="J1427" i="5"/>
  <c r="R1426" i="5"/>
  <c r="S1426" i="5" s="1"/>
  <c r="Q1426" i="5"/>
  <c r="J1426" i="5"/>
  <c r="Q1425" i="5"/>
  <c r="R1425" i="5" s="1"/>
  <c r="S1425" i="5" s="1"/>
  <c r="J1425" i="5"/>
  <c r="R1424" i="5"/>
  <c r="S1424" i="5" s="1"/>
  <c r="Q1424" i="5"/>
  <c r="J1424" i="5"/>
  <c r="Q1423" i="5"/>
  <c r="R1423" i="5" s="1"/>
  <c r="S1423" i="5" s="1"/>
  <c r="J1423" i="5"/>
  <c r="R1422" i="5"/>
  <c r="S1422" i="5" s="1"/>
  <c r="Q1422" i="5"/>
  <c r="J1422" i="5"/>
  <c r="Q1421" i="5"/>
  <c r="R1421" i="5" s="1"/>
  <c r="S1421" i="5" s="1"/>
  <c r="J1421" i="5"/>
  <c r="R1420" i="5"/>
  <c r="S1420" i="5" s="1"/>
  <c r="Q1420" i="5"/>
  <c r="J1420" i="5"/>
  <c r="Q1419" i="5"/>
  <c r="R1419" i="5" s="1"/>
  <c r="S1419" i="5" s="1"/>
  <c r="J1419" i="5"/>
  <c r="Q1418" i="5"/>
  <c r="R1418" i="5" s="1"/>
  <c r="S1418" i="5" s="1"/>
  <c r="J1418" i="5"/>
  <c r="Q1417" i="5"/>
  <c r="R1417" i="5" s="1"/>
  <c r="S1417" i="5" s="1"/>
  <c r="J1417" i="5"/>
  <c r="R1416" i="5"/>
  <c r="S1416" i="5" s="1"/>
  <c r="Q1416" i="5"/>
  <c r="J1416" i="5"/>
  <c r="Q1415" i="5"/>
  <c r="R1415" i="5" s="1"/>
  <c r="S1415" i="5" s="1"/>
  <c r="J1415" i="5"/>
  <c r="R1414" i="5"/>
  <c r="S1414" i="5" s="1"/>
  <c r="Q1414" i="5"/>
  <c r="J1414" i="5"/>
  <c r="Q1413" i="5"/>
  <c r="R1413" i="5" s="1"/>
  <c r="S1413" i="5" s="1"/>
  <c r="J1413" i="5"/>
  <c r="R1412" i="5"/>
  <c r="S1412" i="5" s="1"/>
  <c r="Q1412" i="5"/>
  <c r="J1412" i="5"/>
  <c r="Q1411" i="5"/>
  <c r="R1411" i="5" s="1"/>
  <c r="S1411" i="5" s="1"/>
  <c r="J1411" i="5"/>
  <c r="R1410" i="5"/>
  <c r="S1410" i="5" s="1"/>
  <c r="Q1410" i="5"/>
  <c r="J1410" i="5"/>
  <c r="Q1409" i="5"/>
  <c r="R1409" i="5" s="1"/>
  <c r="S1409" i="5" s="1"/>
  <c r="J1409" i="5"/>
  <c r="R1408" i="5"/>
  <c r="S1408" i="5" s="1"/>
  <c r="Q1408" i="5"/>
  <c r="J1408" i="5"/>
  <c r="Q1407" i="5"/>
  <c r="R1407" i="5" s="1"/>
  <c r="S1407" i="5" s="1"/>
  <c r="J1407" i="5"/>
  <c r="R1406" i="5"/>
  <c r="S1406" i="5" s="1"/>
  <c r="Q1406" i="5"/>
  <c r="J1406" i="5"/>
  <c r="Q1405" i="5"/>
  <c r="R1405" i="5" s="1"/>
  <c r="S1405" i="5" s="1"/>
  <c r="J1405" i="5"/>
  <c r="R1404" i="5"/>
  <c r="S1404" i="5" s="1"/>
  <c r="Q1404" i="5"/>
  <c r="J1404" i="5"/>
  <c r="Q1403" i="5"/>
  <c r="R1403" i="5" s="1"/>
  <c r="S1403" i="5" s="1"/>
  <c r="J1403" i="5"/>
  <c r="R1402" i="5"/>
  <c r="S1402" i="5" s="1"/>
  <c r="Q1402" i="5"/>
  <c r="J1402" i="5"/>
  <c r="Q1401" i="5"/>
  <c r="R1401" i="5" s="1"/>
  <c r="S1401" i="5" s="1"/>
  <c r="J1401" i="5"/>
  <c r="R1400" i="5"/>
  <c r="S1400" i="5" s="1"/>
  <c r="Q1400" i="5"/>
  <c r="J1400" i="5"/>
  <c r="Q1399" i="5"/>
  <c r="R1399" i="5" s="1"/>
  <c r="S1399" i="5" s="1"/>
  <c r="J1399" i="5"/>
  <c r="R1398" i="5"/>
  <c r="S1398" i="5" s="1"/>
  <c r="Q1398" i="5"/>
  <c r="J1398" i="5"/>
  <c r="Q1397" i="5"/>
  <c r="R1397" i="5" s="1"/>
  <c r="S1397" i="5" s="1"/>
  <c r="J1397" i="5"/>
  <c r="R1396" i="5"/>
  <c r="S1396" i="5" s="1"/>
  <c r="Q1396" i="5"/>
  <c r="J1396" i="5"/>
  <c r="Q1395" i="5"/>
  <c r="R1395" i="5" s="1"/>
  <c r="S1395" i="5" s="1"/>
  <c r="J1395" i="5"/>
  <c r="R1394" i="5"/>
  <c r="S1394" i="5" s="1"/>
  <c r="Q1394" i="5"/>
  <c r="J1394" i="5"/>
  <c r="Q1393" i="5"/>
  <c r="R1393" i="5" s="1"/>
  <c r="S1393" i="5" s="1"/>
  <c r="J1393" i="5"/>
  <c r="R1392" i="5"/>
  <c r="S1392" i="5" s="1"/>
  <c r="Q1392" i="5"/>
  <c r="J1392" i="5"/>
  <c r="Q1391" i="5"/>
  <c r="R1391" i="5" s="1"/>
  <c r="S1391" i="5" s="1"/>
  <c r="J1391" i="5"/>
  <c r="R1390" i="5"/>
  <c r="S1390" i="5" s="1"/>
  <c r="Q1390" i="5"/>
  <c r="J1390" i="5"/>
  <c r="Q1389" i="5"/>
  <c r="R1389" i="5" s="1"/>
  <c r="S1389" i="5" s="1"/>
  <c r="J1389" i="5"/>
  <c r="R1388" i="5"/>
  <c r="S1388" i="5" s="1"/>
  <c r="Q1388" i="5"/>
  <c r="J1388" i="5"/>
  <c r="Q1387" i="5"/>
  <c r="R1387" i="5" s="1"/>
  <c r="S1387" i="5" s="1"/>
  <c r="J1387" i="5"/>
  <c r="R1386" i="5"/>
  <c r="S1386" i="5" s="1"/>
  <c r="Q1386" i="5"/>
  <c r="J1386" i="5"/>
  <c r="Q1385" i="5"/>
  <c r="R1385" i="5" s="1"/>
  <c r="S1385" i="5" s="1"/>
  <c r="J1385" i="5"/>
  <c r="R1384" i="5"/>
  <c r="S1384" i="5" s="1"/>
  <c r="Q1384" i="5"/>
  <c r="J1384" i="5"/>
  <c r="Q1383" i="5"/>
  <c r="R1383" i="5" s="1"/>
  <c r="S1383" i="5" s="1"/>
  <c r="J1383" i="5"/>
  <c r="R1382" i="5"/>
  <c r="S1382" i="5" s="1"/>
  <c r="Q1382" i="5"/>
  <c r="J1382" i="5"/>
  <c r="Q1381" i="5"/>
  <c r="R1381" i="5" s="1"/>
  <c r="S1381" i="5" s="1"/>
  <c r="J1381" i="5"/>
  <c r="R1380" i="5"/>
  <c r="S1380" i="5" s="1"/>
  <c r="Q1380" i="5"/>
  <c r="J1380" i="5"/>
  <c r="Q1379" i="5"/>
  <c r="R1379" i="5" s="1"/>
  <c r="S1379" i="5" s="1"/>
  <c r="J1379" i="5"/>
  <c r="R1378" i="5"/>
  <c r="S1378" i="5" s="1"/>
  <c r="Q1378" i="5"/>
  <c r="J1378" i="5"/>
  <c r="Q1377" i="5"/>
  <c r="R1377" i="5" s="1"/>
  <c r="S1377" i="5" s="1"/>
  <c r="J1377" i="5"/>
  <c r="R1376" i="5"/>
  <c r="S1376" i="5" s="1"/>
  <c r="Q1376" i="5"/>
  <c r="J1376" i="5"/>
  <c r="Q1375" i="5"/>
  <c r="R1375" i="5" s="1"/>
  <c r="S1375" i="5" s="1"/>
  <c r="J1375" i="5"/>
  <c r="R1374" i="5"/>
  <c r="S1374" i="5" s="1"/>
  <c r="Q1374" i="5"/>
  <c r="J1374" i="5"/>
  <c r="Q1373" i="5"/>
  <c r="R1373" i="5" s="1"/>
  <c r="S1373" i="5" s="1"/>
  <c r="J1373" i="5"/>
  <c r="R1372" i="5"/>
  <c r="S1372" i="5" s="1"/>
  <c r="Q1372" i="5"/>
  <c r="J1372" i="5"/>
  <c r="Q1371" i="5"/>
  <c r="R1371" i="5" s="1"/>
  <c r="S1371" i="5" s="1"/>
  <c r="J1371" i="5"/>
  <c r="R1370" i="5"/>
  <c r="S1370" i="5" s="1"/>
  <c r="Q1370" i="5"/>
  <c r="J1370" i="5"/>
  <c r="Q1369" i="5"/>
  <c r="R1369" i="5" s="1"/>
  <c r="S1369" i="5" s="1"/>
  <c r="J1369" i="5"/>
  <c r="R1368" i="5"/>
  <c r="S1368" i="5" s="1"/>
  <c r="Q1368" i="5"/>
  <c r="J1368" i="5"/>
  <c r="Q1367" i="5"/>
  <c r="R1367" i="5" s="1"/>
  <c r="S1367" i="5" s="1"/>
  <c r="J1367" i="5"/>
  <c r="R1366" i="5"/>
  <c r="S1366" i="5" s="1"/>
  <c r="Q1366" i="5"/>
  <c r="J1366" i="5"/>
  <c r="Q1365" i="5"/>
  <c r="R1365" i="5" s="1"/>
  <c r="S1365" i="5" s="1"/>
  <c r="J1365" i="5"/>
  <c r="R1364" i="5"/>
  <c r="S1364" i="5" s="1"/>
  <c r="Q1364" i="5"/>
  <c r="J1364" i="5"/>
  <c r="Q1363" i="5"/>
  <c r="R1363" i="5" s="1"/>
  <c r="S1363" i="5" s="1"/>
  <c r="J1363" i="5"/>
  <c r="R1362" i="5"/>
  <c r="S1362" i="5" s="1"/>
  <c r="Q1362" i="5"/>
  <c r="J1362" i="5"/>
  <c r="Q1361" i="5"/>
  <c r="R1361" i="5" s="1"/>
  <c r="S1361" i="5" s="1"/>
  <c r="J1361" i="5"/>
  <c r="R1360" i="5"/>
  <c r="S1360" i="5" s="1"/>
  <c r="Q1360" i="5"/>
  <c r="J1360" i="5"/>
  <c r="Q1359" i="5"/>
  <c r="R1359" i="5" s="1"/>
  <c r="S1359" i="5" s="1"/>
  <c r="J1359" i="5"/>
  <c r="R1358" i="5"/>
  <c r="S1358" i="5" s="1"/>
  <c r="Q1358" i="5"/>
  <c r="J1358" i="5"/>
  <c r="Q1357" i="5"/>
  <c r="R1357" i="5" s="1"/>
  <c r="S1357" i="5" s="1"/>
  <c r="J1357" i="5"/>
  <c r="R1356" i="5"/>
  <c r="S1356" i="5" s="1"/>
  <c r="Q1356" i="5"/>
  <c r="J1356" i="5"/>
  <c r="Q1355" i="5"/>
  <c r="R1355" i="5" s="1"/>
  <c r="S1355" i="5" s="1"/>
  <c r="J1355" i="5"/>
  <c r="R1354" i="5"/>
  <c r="S1354" i="5" s="1"/>
  <c r="Q1354" i="5"/>
  <c r="J1354" i="5"/>
  <c r="S1353" i="5"/>
  <c r="Q1353" i="5"/>
  <c r="R1353" i="5" s="1"/>
  <c r="J1353" i="5"/>
  <c r="R1352" i="5"/>
  <c r="S1352" i="5" s="1"/>
  <c r="Q1352" i="5"/>
  <c r="J1352" i="5"/>
  <c r="S1351" i="5"/>
  <c r="Q1351" i="5"/>
  <c r="R1351" i="5" s="1"/>
  <c r="J1351" i="5"/>
  <c r="R1350" i="5"/>
  <c r="S1350" i="5" s="1"/>
  <c r="Q1350" i="5"/>
  <c r="J1350" i="5"/>
  <c r="S1349" i="5"/>
  <c r="Q1349" i="5"/>
  <c r="R1349" i="5" s="1"/>
  <c r="J1349" i="5"/>
  <c r="R1348" i="5"/>
  <c r="S1348" i="5" s="1"/>
  <c r="Q1348" i="5"/>
  <c r="J1348" i="5"/>
  <c r="S1347" i="5"/>
  <c r="Q1347" i="5"/>
  <c r="R1347" i="5" s="1"/>
  <c r="J1347" i="5"/>
  <c r="R1346" i="5"/>
  <c r="S1346" i="5" s="1"/>
  <c r="Q1346" i="5"/>
  <c r="J1346" i="5"/>
  <c r="S1345" i="5"/>
  <c r="Q1345" i="5"/>
  <c r="R1345" i="5" s="1"/>
  <c r="J1345" i="5"/>
  <c r="R1344" i="5"/>
  <c r="S1344" i="5" s="1"/>
  <c r="Q1344" i="5"/>
  <c r="J1344" i="5"/>
  <c r="S1343" i="5"/>
  <c r="Q1343" i="5"/>
  <c r="R1343" i="5" s="1"/>
  <c r="J1343" i="5"/>
  <c r="R1342" i="5"/>
  <c r="S1342" i="5" s="1"/>
  <c r="Q1342" i="5"/>
  <c r="J1342" i="5"/>
  <c r="S1341" i="5"/>
  <c r="Q1341" i="5"/>
  <c r="R1341" i="5" s="1"/>
  <c r="J1341" i="5"/>
  <c r="R1340" i="5"/>
  <c r="S1340" i="5" s="1"/>
  <c r="Q1340" i="5"/>
  <c r="J1340" i="5"/>
  <c r="S1339" i="5"/>
  <c r="Q1339" i="5"/>
  <c r="R1339" i="5" s="1"/>
  <c r="J1339" i="5"/>
  <c r="Q1338" i="5"/>
  <c r="R1338" i="5" s="1"/>
  <c r="S1338" i="5" s="1"/>
  <c r="J1338" i="5"/>
  <c r="R1337" i="5"/>
  <c r="S1337" i="5" s="1"/>
  <c r="Q1337" i="5"/>
  <c r="J1337" i="5"/>
  <c r="Q1336" i="5"/>
  <c r="R1336" i="5" s="1"/>
  <c r="S1336" i="5" s="1"/>
  <c r="J1336" i="5"/>
  <c r="R1335" i="5"/>
  <c r="S1335" i="5" s="1"/>
  <c r="Q1335" i="5"/>
  <c r="J1335" i="5"/>
  <c r="Q1334" i="5"/>
  <c r="R1334" i="5" s="1"/>
  <c r="S1334" i="5" s="1"/>
  <c r="J1334" i="5"/>
  <c r="R1333" i="5"/>
  <c r="S1333" i="5" s="1"/>
  <c r="Q1333" i="5"/>
  <c r="J1333" i="5"/>
  <c r="Q1332" i="5"/>
  <c r="R1332" i="5" s="1"/>
  <c r="S1332" i="5" s="1"/>
  <c r="J1332" i="5"/>
  <c r="R1331" i="5"/>
  <c r="S1331" i="5" s="1"/>
  <c r="Q1331" i="5"/>
  <c r="J1331" i="5"/>
  <c r="Q1330" i="5"/>
  <c r="R1330" i="5" s="1"/>
  <c r="S1330" i="5" s="1"/>
  <c r="J1330" i="5"/>
  <c r="R1329" i="5"/>
  <c r="S1329" i="5" s="1"/>
  <c r="Q1329" i="5"/>
  <c r="J1329" i="5"/>
  <c r="Q1328" i="5"/>
  <c r="R1328" i="5" s="1"/>
  <c r="S1328" i="5" s="1"/>
  <c r="J1328" i="5"/>
  <c r="R1327" i="5"/>
  <c r="S1327" i="5" s="1"/>
  <c r="Q1327" i="5"/>
  <c r="J1327" i="5"/>
  <c r="Q1326" i="5"/>
  <c r="R1326" i="5" s="1"/>
  <c r="S1326" i="5" s="1"/>
  <c r="J1326" i="5"/>
  <c r="R1325" i="5"/>
  <c r="S1325" i="5" s="1"/>
  <c r="Q1325" i="5"/>
  <c r="J1325" i="5"/>
  <c r="Q1324" i="5"/>
  <c r="R1324" i="5" s="1"/>
  <c r="S1324" i="5" s="1"/>
  <c r="J1324" i="5"/>
  <c r="R1323" i="5"/>
  <c r="S1323" i="5" s="1"/>
  <c r="Q1323" i="5"/>
  <c r="J1323" i="5"/>
  <c r="Q1322" i="5"/>
  <c r="R1322" i="5" s="1"/>
  <c r="S1322" i="5" s="1"/>
  <c r="J1322" i="5"/>
  <c r="R1321" i="5"/>
  <c r="S1321" i="5" s="1"/>
  <c r="Q1321" i="5"/>
  <c r="J1321" i="5"/>
  <c r="Q1320" i="5"/>
  <c r="R1320" i="5" s="1"/>
  <c r="S1320" i="5" s="1"/>
  <c r="J1320" i="5"/>
  <c r="R1319" i="5"/>
  <c r="S1319" i="5" s="1"/>
  <c r="Q1319" i="5"/>
  <c r="J1319" i="5"/>
  <c r="Q1318" i="5"/>
  <c r="R1318" i="5" s="1"/>
  <c r="S1318" i="5" s="1"/>
  <c r="J1318" i="5"/>
  <c r="R1317" i="5"/>
  <c r="S1317" i="5" s="1"/>
  <c r="Q1317" i="5"/>
  <c r="J1317" i="5"/>
  <c r="Q1316" i="5"/>
  <c r="R1316" i="5" s="1"/>
  <c r="S1316" i="5" s="1"/>
  <c r="J1316" i="5"/>
  <c r="R1315" i="5"/>
  <c r="S1315" i="5" s="1"/>
  <c r="Q1315" i="5"/>
  <c r="J1315" i="5"/>
  <c r="Q1314" i="5"/>
  <c r="R1314" i="5" s="1"/>
  <c r="S1314" i="5" s="1"/>
  <c r="J1314" i="5"/>
  <c r="R1313" i="5"/>
  <c r="S1313" i="5" s="1"/>
  <c r="Q1313" i="5"/>
  <c r="J1313" i="5"/>
  <c r="Q1312" i="5"/>
  <c r="R1312" i="5" s="1"/>
  <c r="S1312" i="5" s="1"/>
  <c r="J1312" i="5"/>
  <c r="R1311" i="5"/>
  <c r="S1311" i="5" s="1"/>
  <c r="Q1311" i="5"/>
  <c r="J1311" i="5"/>
  <c r="Q1310" i="5"/>
  <c r="R1310" i="5" s="1"/>
  <c r="S1310" i="5" s="1"/>
  <c r="J1310" i="5"/>
  <c r="R1309" i="5"/>
  <c r="S1309" i="5" s="1"/>
  <c r="Q1309" i="5"/>
  <c r="J1309" i="5"/>
  <c r="Q1308" i="5"/>
  <c r="R1308" i="5" s="1"/>
  <c r="S1308" i="5" s="1"/>
  <c r="J1308" i="5"/>
  <c r="R1307" i="5"/>
  <c r="S1307" i="5" s="1"/>
  <c r="Q1307" i="5"/>
  <c r="J1307" i="5"/>
  <c r="Q1306" i="5"/>
  <c r="R1306" i="5" s="1"/>
  <c r="S1306" i="5" s="1"/>
  <c r="J1306" i="5"/>
  <c r="R1305" i="5"/>
  <c r="S1305" i="5" s="1"/>
  <c r="Q1305" i="5"/>
  <c r="J1305" i="5"/>
  <c r="Q1304" i="5"/>
  <c r="R1304" i="5" s="1"/>
  <c r="S1304" i="5" s="1"/>
  <c r="J1304" i="5"/>
  <c r="R1303" i="5"/>
  <c r="S1303" i="5" s="1"/>
  <c r="Q1303" i="5"/>
  <c r="J1303" i="5"/>
  <c r="Q1302" i="5"/>
  <c r="R1302" i="5" s="1"/>
  <c r="S1302" i="5" s="1"/>
  <c r="J1302" i="5"/>
  <c r="R1301" i="5"/>
  <c r="S1301" i="5" s="1"/>
  <c r="Q1301" i="5"/>
  <c r="J1301" i="5"/>
  <c r="Q1300" i="5"/>
  <c r="R1300" i="5" s="1"/>
  <c r="S1300" i="5" s="1"/>
  <c r="J1300" i="5"/>
  <c r="R1299" i="5"/>
  <c r="S1299" i="5" s="1"/>
  <c r="Q1299" i="5"/>
  <c r="J1299" i="5"/>
  <c r="Q1298" i="5"/>
  <c r="R1298" i="5" s="1"/>
  <c r="S1298" i="5" s="1"/>
  <c r="J1298" i="5"/>
  <c r="R1297" i="5"/>
  <c r="S1297" i="5" s="1"/>
  <c r="Q1297" i="5"/>
  <c r="J1297" i="5"/>
  <c r="Q1296" i="5"/>
  <c r="R1296" i="5" s="1"/>
  <c r="S1296" i="5" s="1"/>
  <c r="J1296" i="5"/>
  <c r="R1295" i="5"/>
  <c r="S1295" i="5" s="1"/>
  <c r="Q1295" i="5"/>
  <c r="J1295" i="5"/>
  <c r="Q1294" i="5"/>
  <c r="R1294" i="5" s="1"/>
  <c r="S1294" i="5" s="1"/>
  <c r="J1294" i="5"/>
  <c r="R1293" i="5"/>
  <c r="S1293" i="5" s="1"/>
  <c r="Q1293" i="5"/>
  <c r="J1293" i="5"/>
  <c r="Q1292" i="5"/>
  <c r="R1292" i="5" s="1"/>
  <c r="S1292" i="5" s="1"/>
  <c r="J1292" i="5"/>
  <c r="R1291" i="5"/>
  <c r="S1291" i="5" s="1"/>
  <c r="Q1291" i="5"/>
  <c r="J1291" i="5"/>
  <c r="Q1290" i="5"/>
  <c r="R1290" i="5" s="1"/>
  <c r="S1290" i="5" s="1"/>
  <c r="J1290" i="5"/>
  <c r="R1289" i="5"/>
  <c r="S1289" i="5" s="1"/>
  <c r="Q1289" i="5"/>
  <c r="J1289" i="5"/>
  <c r="Q1288" i="5"/>
  <c r="R1288" i="5" s="1"/>
  <c r="S1288" i="5" s="1"/>
  <c r="J1288" i="5"/>
  <c r="R1287" i="5"/>
  <c r="S1287" i="5" s="1"/>
  <c r="Q1287" i="5"/>
  <c r="J1287" i="5"/>
  <c r="Q1286" i="5"/>
  <c r="R1286" i="5" s="1"/>
  <c r="S1286" i="5" s="1"/>
  <c r="J1286" i="5"/>
  <c r="R1285" i="5"/>
  <c r="S1285" i="5" s="1"/>
  <c r="Q1285" i="5"/>
  <c r="J1285" i="5"/>
  <c r="Q1284" i="5"/>
  <c r="R1284" i="5" s="1"/>
  <c r="S1284" i="5" s="1"/>
  <c r="J1284" i="5"/>
  <c r="R1283" i="5"/>
  <c r="S1283" i="5" s="1"/>
  <c r="Q1283" i="5"/>
  <c r="J1283" i="5"/>
  <c r="Q1282" i="5"/>
  <c r="R1282" i="5" s="1"/>
  <c r="S1282" i="5" s="1"/>
  <c r="J1282" i="5"/>
  <c r="R1281" i="5"/>
  <c r="S1281" i="5" s="1"/>
  <c r="Q1281" i="5"/>
  <c r="J1281" i="5"/>
  <c r="Q1280" i="5"/>
  <c r="R1280" i="5" s="1"/>
  <c r="S1280" i="5" s="1"/>
  <c r="J1280" i="5"/>
  <c r="R1279" i="5"/>
  <c r="S1279" i="5" s="1"/>
  <c r="Q1279" i="5"/>
  <c r="J1279" i="5"/>
  <c r="Q1278" i="5"/>
  <c r="R1278" i="5" s="1"/>
  <c r="S1278" i="5" s="1"/>
  <c r="J1278" i="5"/>
  <c r="R1277" i="5"/>
  <c r="S1277" i="5" s="1"/>
  <c r="Q1277" i="5"/>
  <c r="J1277" i="5"/>
  <c r="Q1276" i="5"/>
  <c r="R1276" i="5" s="1"/>
  <c r="S1276" i="5" s="1"/>
  <c r="J1276" i="5"/>
  <c r="R1275" i="5"/>
  <c r="S1275" i="5" s="1"/>
  <c r="Q1275" i="5"/>
  <c r="J1275" i="5"/>
  <c r="Q1274" i="5"/>
  <c r="R1274" i="5" s="1"/>
  <c r="S1274" i="5" s="1"/>
  <c r="J1274" i="5"/>
  <c r="R1273" i="5"/>
  <c r="S1273" i="5" s="1"/>
  <c r="Q1273" i="5"/>
  <c r="J1273" i="5"/>
  <c r="Q1272" i="5"/>
  <c r="R1272" i="5" s="1"/>
  <c r="S1272" i="5" s="1"/>
  <c r="J1272" i="5"/>
  <c r="R1271" i="5"/>
  <c r="S1271" i="5" s="1"/>
  <c r="Q1271" i="5"/>
  <c r="J1271" i="5"/>
  <c r="Q1270" i="5"/>
  <c r="R1270" i="5" s="1"/>
  <c r="S1270" i="5" s="1"/>
  <c r="J1270" i="5"/>
  <c r="R1269" i="5"/>
  <c r="S1269" i="5" s="1"/>
  <c r="Q1269" i="5"/>
  <c r="J1269" i="5"/>
  <c r="Q1268" i="5"/>
  <c r="R1268" i="5" s="1"/>
  <c r="S1268" i="5" s="1"/>
  <c r="J1268" i="5"/>
  <c r="R1267" i="5"/>
  <c r="S1267" i="5" s="1"/>
  <c r="Q1267" i="5"/>
  <c r="J1267" i="5"/>
  <c r="Q1266" i="5"/>
  <c r="R1266" i="5" s="1"/>
  <c r="S1266" i="5" s="1"/>
  <c r="J1266" i="5"/>
  <c r="R1265" i="5"/>
  <c r="S1265" i="5" s="1"/>
  <c r="Q1265" i="5"/>
  <c r="J1265" i="5"/>
  <c r="Q1264" i="5"/>
  <c r="R1264" i="5" s="1"/>
  <c r="S1264" i="5" s="1"/>
  <c r="J1264" i="5"/>
  <c r="R1263" i="5"/>
  <c r="S1263" i="5" s="1"/>
  <c r="Q1263" i="5"/>
  <c r="J1263" i="5"/>
  <c r="Q1262" i="5"/>
  <c r="R1262" i="5" s="1"/>
  <c r="S1262" i="5" s="1"/>
  <c r="J1262" i="5"/>
  <c r="R1261" i="5"/>
  <c r="S1261" i="5" s="1"/>
  <c r="Q1261" i="5"/>
  <c r="J1261" i="5"/>
  <c r="Q1260" i="5"/>
  <c r="R1260" i="5" s="1"/>
  <c r="S1260" i="5" s="1"/>
  <c r="J1260" i="5"/>
  <c r="R1259" i="5"/>
  <c r="S1259" i="5" s="1"/>
  <c r="Q1259" i="5"/>
  <c r="J1259" i="5"/>
  <c r="Q1258" i="5"/>
  <c r="R1258" i="5" s="1"/>
  <c r="S1258" i="5" s="1"/>
  <c r="J1258" i="5"/>
  <c r="R1257" i="5"/>
  <c r="S1257" i="5" s="1"/>
  <c r="Q1257" i="5"/>
  <c r="J1257" i="5"/>
  <c r="Q1256" i="5"/>
  <c r="R1256" i="5" s="1"/>
  <c r="S1256" i="5" s="1"/>
  <c r="J1256" i="5"/>
  <c r="R1255" i="5"/>
  <c r="S1255" i="5" s="1"/>
  <c r="Q1255" i="5"/>
  <c r="J1255" i="5"/>
  <c r="Q1254" i="5"/>
  <c r="R1254" i="5" s="1"/>
  <c r="S1254" i="5" s="1"/>
  <c r="J1254" i="5"/>
  <c r="R1253" i="5"/>
  <c r="S1253" i="5" s="1"/>
  <c r="Q1253" i="5"/>
  <c r="J1253" i="5"/>
  <c r="Q1252" i="5"/>
  <c r="R1252" i="5" s="1"/>
  <c r="S1252" i="5" s="1"/>
  <c r="J1252" i="5"/>
  <c r="R1251" i="5"/>
  <c r="S1251" i="5" s="1"/>
  <c r="Q1251" i="5"/>
  <c r="J1251" i="5"/>
  <c r="Q1250" i="5"/>
  <c r="R1250" i="5" s="1"/>
  <c r="S1250" i="5" s="1"/>
  <c r="J1250" i="5"/>
  <c r="R1249" i="5"/>
  <c r="S1249" i="5" s="1"/>
  <c r="Q1249" i="5"/>
  <c r="J1249" i="5"/>
  <c r="Q1248" i="5"/>
  <c r="R1248" i="5" s="1"/>
  <c r="S1248" i="5" s="1"/>
  <c r="J1248" i="5"/>
  <c r="R1247" i="5"/>
  <c r="S1247" i="5" s="1"/>
  <c r="Q1247" i="5"/>
  <c r="J1247" i="5"/>
  <c r="Q1246" i="5"/>
  <c r="R1246" i="5" s="1"/>
  <c r="S1246" i="5" s="1"/>
  <c r="J1246" i="5"/>
  <c r="R1245" i="5"/>
  <c r="S1245" i="5" s="1"/>
  <c r="Q1245" i="5"/>
  <c r="J1245" i="5"/>
  <c r="Q1244" i="5"/>
  <c r="R1244" i="5" s="1"/>
  <c r="S1244" i="5" s="1"/>
  <c r="J1244" i="5"/>
  <c r="R1243" i="5"/>
  <c r="S1243" i="5" s="1"/>
  <c r="Q1243" i="5"/>
  <c r="J1243" i="5"/>
  <c r="Q1242" i="5"/>
  <c r="R1242" i="5" s="1"/>
  <c r="S1242" i="5" s="1"/>
  <c r="J1242" i="5"/>
  <c r="R1241" i="5"/>
  <c r="S1241" i="5" s="1"/>
  <c r="Q1241" i="5"/>
  <c r="J1241" i="5"/>
  <c r="Q1240" i="5"/>
  <c r="R1240" i="5" s="1"/>
  <c r="S1240" i="5" s="1"/>
  <c r="J1240" i="5"/>
  <c r="R1239" i="5"/>
  <c r="S1239" i="5" s="1"/>
  <c r="Q1239" i="5"/>
  <c r="J1239" i="5"/>
  <c r="Q1238" i="5"/>
  <c r="R1238" i="5" s="1"/>
  <c r="S1238" i="5" s="1"/>
  <c r="J1238" i="5"/>
  <c r="R1237" i="5"/>
  <c r="S1237" i="5" s="1"/>
  <c r="Q1237" i="5"/>
  <c r="J1237" i="5"/>
  <c r="Q1236" i="5"/>
  <c r="R1236" i="5" s="1"/>
  <c r="S1236" i="5" s="1"/>
  <c r="J1236" i="5"/>
  <c r="R1235" i="5"/>
  <c r="S1235" i="5" s="1"/>
  <c r="Q1235" i="5"/>
  <c r="J1235" i="5"/>
  <c r="Q1234" i="5"/>
  <c r="R1234" i="5" s="1"/>
  <c r="S1234" i="5" s="1"/>
  <c r="J1234" i="5"/>
  <c r="R1233" i="5"/>
  <c r="S1233" i="5" s="1"/>
  <c r="Q1233" i="5"/>
  <c r="J1233" i="5"/>
  <c r="Q1232" i="5"/>
  <c r="R1232" i="5" s="1"/>
  <c r="S1232" i="5" s="1"/>
  <c r="J1232" i="5"/>
  <c r="R1231" i="5"/>
  <c r="S1231" i="5" s="1"/>
  <c r="Q1231" i="5"/>
  <c r="J1231" i="5"/>
  <c r="Q1230" i="5"/>
  <c r="R1230" i="5" s="1"/>
  <c r="S1230" i="5" s="1"/>
  <c r="J1230" i="5"/>
  <c r="R1229" i="5"/>
  <c r="S1229" i="5" s="1"/>
  <c r="Q1229" i="5"/>
  <c r="J1229" i="5"/>
  <c r="Q1228" i="5"/>
  <c r="R1228" i="5" s="1"/>
  <c r="S1228" i="5" s="1"/>
  <c r="J1228" i="5"/>
  <c r="R1227" i="5"/>
  <c r="S1227" i="5" s="1"/>
  <c r="Q1227" i="5"/>
  <c r="J1227" i="5"/>
  <c r="Q1226" i="5"/>
  <c r="R1226" i="5" s="1"/>
  <c r="S1226" i="5" s="1"/>
  <c r="J1226" i="5"/>
  <c r="R1225" i="5"/>
  <c r="S1225" i="5" s="1"/>
  <c r="Q1225" i="5"/>
  <c r="J1225" i="5"/>
  <c r="Q1224" i="5"/>
  <c r="R1224" i="5" s="1"/>
  <c r="S1224" i="5" s="1"/>
  <c r="J1224" i="5"/>
  <c r="R1223" i="5"/>
  <c r="S1223" i="5" s="1"/>
  <c r="Q1223" i="5"/>
  <c r="J1223" i="5"/>
  <c r="Q1222" i="5"/>
  <c r="R1222" i="5" s="1"/>
  <c r="S1222" i="5" s="1"/>
  <c r="J1222" i="5"/>
  <c r="R1221" i="5"/>
  <c r="S1221" i="5" s="1"/>
  <c r="Q1221" i="5"/>
  <c r="J1221" i="5"/>
  <c r="Q1220" i="5"/>
  <c r="R1220" i="5" s="1"/>
  <c r="S1220" i="5" s="1"/>
  <c r="J1220" i="5"/>
  <c r="R1219" i="5"/>
  <c r="S1219" i="5" s="1"/>
  <c r="Q1219" i="5"/>
  <c r="J1219" i="5"/>
  <c r="Q1218" i="5"/>
  <c r="R1218" i="5" s="1"/>
  <c r="S1218" i="5" s="1"/>
  <c r="J1218" i="5"/>
  <c r="R1217" i="5"/>
  <c r="S1217" i="5" s="1"/>
  <c r="Q1217" i="5"/>
  <c r="J1217" i="5"/>
  <c r="Q1216" i="5"/>
  <c r="R1216" i="5" s="1"/>
  <c r="S1216" i="5" s="1"/>
  <c r="J1216" i="5"/>
  <c r="R1215" i="5"/>
  <c r="S1215" i="5" s="1"/>
  <c r="Q1215" i="5"/>
  <c r="J1215" i="5"/>
  <c r="Q1214" i="5"/>
  <c r="R1214" i="5" s="1"/>
  <c r="S1214" i="5" s="1"/>
  <c r="J1214" i="5"/>
  <c r="R1213" i="5"/>
  <c r="S1213" i="5" s="1"/>
  <c r="Q1213" i="5"/>
  <c r="J1213" i="5"/>
  <c r="Q1212" i="5"/>
  <c r="R1212" i="5" s="1"/>
  <c r="S1212" i="5" s="1"/>
  <c r="J1212" i="5"/>
  <c r="R1211" i="5"/>
  <c r="S1211" i="5" s="1"/>
  <c r="Q1211" i="5"/>
  <c r="J1211" i="5"/>
  <c r="Q1210" i="5"/>
  <c r="R1210" i="5" s="1"/>
  <c r="S1210" i="5" s="1"/>
  <c r="J1210" i="5"/>
  <c r="R1209" i="5"/>
  <c r="S1209" i="5" s="1"/>
  <c r="Q1209" i="5"/>
  <c r="J1209" i="5"/>
  <c r="Q1208" i="5"/>
  <c r="R1208" i="5" s="1"/>
  <c r="S1208" i="5" s="1"/>
  <c r="J1208" i="5"/>
  <c r="R1207" i="5"/>
  <c r="S1207" i="5" s="1"/>
  <c r="Q1207" i="5"/>
  <c r="J1207" i="5"/>
  <c r="Q1206" i="5"/>
  <c r="R1206" i="5" s="1"/>
  <c r="S1206" i="5" s="1"/>
  <c r="J1206" i="5"/>
  <c r="R1205" i="5"/>
  <c r="S1205" i="5" s="1"/>
  <c r="Q1205" i="5"/>
  <c r="J1205" i="5"/>
  <c r="Q1204" i="5"/>
  <c r="R1204" i="5" s="1"/>
  <c r="S1204" i="5" s="1"/>
  <c r="J1204" i="5"/>
  <c r="R1203" i="5"/>
  <c r="S1203" i="5" s="1"/>
  <c r="Q1203" i="5"/>
  <c r="J1203" i="5"/>
  <c r="Q1202" i="5"/>
  <c r="R1202" i="5" s="1"/>
  <c r="S1202" i="5" s="1"/>
  <c r="J1202" i="5"/>
  <c r="R1201" i="5"/>
  <c r="S1201" i="5" s="1"/>
  <c r="Q1201" i="5"/>
  <c r="J1201" i="5"/>
  <c r="Q1200" i="5"/>
  <c r="R1200" i="5" s="1"/>
  <c r="S1200" i="5" s="1"/>
  <c r="J1200" i="5"/>
  <c r="R1199" i="5"/>
  <c r="S1199" i="5" s="1"/>
  <c r="Q1199" i="5"/>
  <c r="J1199" i="5"/>
  <c r="Q1198" i="5"/>
  <c r="R1198" i="5" s="1"/>
  <c r="S1198" i="5" s="1"/>
  <c r="J1198" i="5"/>
  <c r="R1197" i="5"/>
  <c r="S1197" i="5" s="1"/>
  <c r="Q1197" i="5"/>
  <c r="J1197" i="5"/>
  <c r="Q1196" i="5"/>
  <c r="R1196" i="5" s="1"/>
  <c r="S1196" i="5" s="1"/>
  <c r="J1196" i="5"/>
  <c r="R1195" i="5"/>
  <c r="S1195" i="5" s="1"/>
  <c r="Q1195" i="5"/>
  <c r="J1195" i="5"/>
  <c r="Q1194" i="5"/>
  <c r="R1194" i="5" s="1"/>
  <c r="S1194" i="5" s="1"/>
  <c r="J1194" i="5"/>
  <c r="R1193" i="5"/>
  <c r="S1193" i="5" s="1"/>
  <c r="Q1193" i="5"/>
  <c r="J1193" i="5"/>
  <c r="Q1192" i="5"/>
  <c r="R1192" i="5" s="1"/>
  <c r="S1192" i="5" s="1"/>
  <c r="J1192" i="5"/>
  <c r="R1191" i="5"/>
  <c r="S1191" i="5" s="1"/>
  <c r="Q1191" i="5"/>
  <c r="J1191" i="5"/>
  <c r="Q1190" i="5"/>
  <c r="R1190" i="5" s="1"/>
  <c r="S1190" i="5" s="1"/>
  <c r="J1190" i="5"/>
  <c r="R1189" i="5"/>
  <c r="S1189" i="5" s="1"/>
  <c r="Q1189" i="5"/>
  <c r="J1189" i="5"/>
  <c r="Q1188" i="5"/>
  <c r="R1188" i="5" s="1"/>
  <c r="S1188" i="5" s="1"/>
  <c r="J1188" i="5"/>
  <c r="R1187" i="5"/>
  <c r="S1187" i="5" s="1"/>
  <c r="Q1187" i="5"/>
  <c r="J1187" i="5"/>
  <c r="Q1186" i="5"/>
  <c r="R1186" i="5" s="1"/>
  <c r="S1186" i="5" s="1"/>
  <c r="J1186" i="5"/>
  <c r="R1185" i="5"/>
  <c r="S1185" i="5" s="1"/>
  <c r="Q1185" i="5"/>
  <c r="J1185" i="5"/>
  <c r="Q1184" i="5"/>
  <c r="R1184" i="5" s="1"/>
  <c r="S1184" i="5" s="1"/>
  <c r="J1184" i="5"/>
  <c r="R1183" i="5"/>
  <c r="S1183" i="5" s="1"/>
  <c r="Q1183" i="5"/>
  <c r="J1183" i="5"/>
  <c r="Q1182" i="5"/>
  <c r="R1182" i="5" s="1"/>
  <c r="S1182" i="5" s="1"/>
  <c r="J1182" i="5"/>
  <c r="R1181" i="5"/>
  <c r="S1181" i="5" s="1"/>
  <c r="Q1181" i="5"/>
  <c r="J1181" i="5"/>
  <c r="Q1180" i="5"/>
  <c r="R1180" i="5" s="1"/>
  <c r="S1180" i="5" s="1"/>
  <c r="J1180" i="5"/>
  <c r="R1179" i="5"/>
  <c r="S1179" i="5" s="1"/>
  <c r="Q1179" i="5"/>
  <c r="J1179" i="5"/>
  <c r="Q1178" i="5"/>
  <c r="R1178" i="5" s="1"/>
  <c r="S1178" i="5" s="1"/>
  <c r="J1178" i="5"/>
  <c r="R1177" i="5"/>
  <c r="S1177" i="5" s="1"/>
  <c r="Q1177" i="5"/>
  <c r="J1177" i="5"/>
  <c r="Q1176" i="5"/>
  <c r="R1176" i="5" s="1"/>
  <c r="S1176" i="5" s="1"/>
  <c r="J1176" i="5"/>
  <c r="R1175" i="5"/>
  <c r="S1175" i="5" s="1"/>
  <c r="Q1175" i="5"/>
  <c r="J1175" i="5"/>
  <c r="Q1174" i="5"/>
  <c r="R1174" i="5" s="1"/>
  <c r="S1174" i="5" s="1"/>
  <c r="J1174" i="5"/>
  <c r="R1173" i="5"/>
  <c r="S1173" i="5" s="1"/>
  <c r="Q1173" i="5"/>
  <c r="J1173" i="5"/>
  <c r="Q1172" i="5"/>
  <c r="R1172" i="5" s="1"/>
  <c r="S1172" i="5" s="1"/>
  <c r="J1172" i="5"/>
  <c r="R1171" i="5"/>
  <c r="S1171" i="5" s="1"/>
  <c r="Q1171" i="5"/>
  <c r="J1171" i="5"/>
  <c r="Q1170" i="5"/>
  <c r="R1170" i="5" s="1"/>
  <c r="S1170" i="5" s="1"/>
  <c r="J1170" i="5"/>
  <c r="Q1169" i="5"/>
  <c r="R1169" i="5" s="1"/>
  <c r="S1169" i="5" s="1"/>
  <c r="J1169" i="5"/>
  <c r="R1168" i="5"/>
  <c r="S1168" i="5" s="1"/>
  <c r="Q1168" i="5"/>
  <c r="J1168" i="5"/>
  <c r="Q1167" i="5"/>
  <c r="R1167" i="5" s="1"/>
  <c r="S1167" i="5" s="1"/>
  <c r="J1167" i="5"/>
  <c r="R1166" i="5"/>
  <c r="S1166" i="5" s="1"/>
  <c r="Q1166" i="5"/>
  <c r="J1166" i="5"/>
  <c r="Q1165" i="5"/>
  <c r="R1165" i="5" s="1"/>
  <c r="S1165" i="5" s="1"/>
  <c r="J1165" i="5"/>
  <c r="R1164" i="5"/>
  <c r="S1164" i="5" s="1"/>
  <c r="Q1164" i="5"/>
  <c r="J1164" i="5"/>
  <c r="Q1163" i="5"/>
  <c r="R1163" i="5" s="1"/>
  <c r="S1163" i="5" s="1"/>
  <c r="J1163" i="5"/>
  <c r="R1162" i="5"/>
  <c r="S1162" i="5" s="1"/>
  <c r="Q1162" i="5"/>
  <c r="J1162" i="5"/>
  <c r="Q1161" i="5"/>
  <c r="R1161" i="5" s="1"/>
  <c r="S1161" i="5" s="1"/>
  <c r="J1161" i="5"/>
  <c r="R1160" i="5"/>
  <c r="S1160" i="5" s="1"/>
  <c r="Q1160" i="5"/>
  <c r="J1160" i="5"/>
  <c r="Q1159" i="5"/>
  <c r="R1159" i="5" s="1"/>
  <c r="S1159" i="5" s="1"/>
  <c r="J1159" i="5"/>
  <c r="R1158" i="5"/>
  <c r="S1158" i="5" s="1"/>
  <c r="Q1158" i="5"/>
  <c r="J1158" i="5"/>
  <c r="Q1157" i="5"/>
  <c r="R1157" i="5" s="1"/>
  <c r="S1157" i="5" s="1"/>
  <c r="J1157" i="5"/>
  <c r="R1156" i="5"/>
  <c r="S1156" i="5" s="1"/>
  <c r="Q1156" i="5"/>
  <c r="J1156" i="5"/>
  <c r="Q1155" i="5"/>
  <c r="R1155" i="5" s="1"/>
  <c r="S1155" i="5" s="1"/>
  <c r="J1155" i="5"/>
  <c r="R1154" i="5"/>
  <c r="S1154" i="5" s="1"/>
  <c r="Q1154" i="5"/>
  <c r="J1154" i="5"/>
  <c r="Q1153" i="5"/>
  <c r="R1153" i="5" s="1"/>
  <c r="S1153" i="5" s="1"/>
  <c r="J1153" i="5"/>
  <c r="R1152" i="5"/>
  <c r="S1152" i="5" s="1"/>
  <c r="Q1152" i="5"/>
  <c r="J1152" i="5"/>
  <c r="Q1151" i="5"/>
  <c r="R1151" i="5" s="1"/>
  <c r="S1151" i="5" s="1"/>
  <c r="J1151" i="5"/>
  <c r="R1150" i="5"/>
  <c r="S1150" i="5" s="1"/>
  <c r="Q1150" i="5"/>
  <c r="J1150" i="5"/>
  <c r="Q1149" i="5"/>
  <c r="R1149" i="5" s="1"/>
  <c r="S1149" i="5" s="1"/>
  <c r="J1149" i="5"/>
  <c r="R1148" i="5"/>
  <c r="S1148" i="5" s="1"/>
  <c r="Q1148" i="5"/>
  <c r="J1148" i="5"/>
  <c r="Q1147" i="5"/>
  <c r="R1147" i="5" s="1"/>
  <c r="S1147" i="5" s="1"/>
  <c r="J1147" i="5"/>
  <c r="R1146" i="5"/>
  <c r="S1146" i="5" s="1"/>
  <c r="Q1146" i="5"/>
  <c r="J1146" i="5"/>
  <c r="Q1145" i="5"/>
  <c r="R1145" i="5" s="1"/>
  <c r="S1145" i="5" s="1"/>
  <c r="J1145" i="5"/>
  <c r="R1144" i="5"/>
  <c r="S1144" i="5" s="1"/>
  <c r="Q1144" i="5"/>
  <c r="J1144" i="5"/>
  <c r="Q1143" i="5"/>
  <c r="R1143" i="5" s="1"/>
  <c r="S1143" i="5" s="1"/>
  <c r="J1143" i="5"/>
  <c r="R1142" i="5"/>
  <c r="S1142" i="5" s="1"/>
  <c r="Q1142" i="5"/>
  <c r="J1142" i="5"/>
  <c r="Q1141" i="5"/>
  <c r="R1141" i="5" s="1"/>
  <c r="S1141" i="5" s="1"/>
  <c r="J1141" i="5"/>
  <c r="R1140" i="5"/>
  <c r="S1140" i="5" s="1"/>
  <c r="Q1140" i="5"/>
  <c r="J1140" i="5"/>
  <c r="Q1139" i="5"/>
  <c r="R1139" i="5" s="1"/>
  <c r="S1139" i="5" s="1"/>
  <c r="J1139" i="5"/>
  <c r="R1138" i="5"/>
  <c r="S1138" i="5" s="1"/>
  <c r="Q1138" i="5"/>
  <c r="J1138" i="5"/>
  <c r="Q1137" i="5"/>
  <c r="R1137" i="5" s="1"/>
  <c r="S1137" i="5" s="1"/>
  <c r="J1137" i="5"/>
  <c r="R1136" i="5"/>
  <c r="S1136" i="5" s="1"/>
  <c r="Q1136" i="5"/>
  <c r="J1136" i="5"/>
  <c r="Q1135" i="5"/>
  <c r="R1135" i="5" s="1"/>
  <c r="S1135" i="5" s="1"/>
  <c r="J1135" i="5"/>
  <c r="R1134" i="5"/>
  <c r="S1134" i="5" s="1"/>
  <c r="Q1134" i="5"/>
  <c r="J1134" i="5"/>
  <c r="Q1133" i="5"/>
  <c r="R1133" i="5" s="1"/>
  <c r="S1133" i="5" s="1"/>
  <c r="J1133" i="5"/>
  <c r="R1132" i="5"/>
  <c r="S1132" i="5" s="1"/>
  <c r="Q1132" i="5"/>
  <c r="J1132" i="5"/>
  <c r="Q1131" i="5"/>
  <c r="R1131" i="5" s="1"/>
  <c r="S1131" i="5" s="1"/>
  <c r="J1131" i="5"/>
  <c r="R1130" i="5"/>
  <c r="S1130" i="5" s="1"/>
  <c r="Q1130" i="5"/>
  <c r="J1130" i="5"/>
  <c r="Q1129" i="5"/>
  <c r="R1129" i="5" s="1"/>
  <c r="S1129" i="5" s="1"/>
  <c r="J1129" i="5"/>
  <c r="R1128" i="5"/>
  <c r="S1128" i="5" s="1"/>
  <c r="Q1128" i="5"/>
  <c r="J1128" i="5"/>
  <c r="Q1127" i="5"/>
  <c r="R1127" i="5" s="1"/>
  <c r="S1127" i="5" s="1"/>
  <c r="J1127" i="5"/>
  <c r="R1126" i="5"/>
  <c r="S1126" i="5" s="1"/>
  <c r="Q1126" i="5"/>
  <c r="J1126" i="5"/>
  <c r="Q1125" i="5"/>
  <c r="R1125" i="5" s="1"/>
  <c r="S1125" i="5" s="1"/>
  <c r="J1125" i="5"/>
  <c r="R1124" i="5"/>
  <c r="S1124" i="5" s="1"/>
  <c r="Q1124" i="5"/>
  <c r="J1124" i="5"/>
  <c r="Q1123" i="5"/>
  <c r="R1123" i="5" s="1"/>
  <c r="S1123" i="5" s="1"/>
  <c r="J1123" i="5"/>
  <c r="R1122" i="5"/>
  <c r="S1122" i="5" s="1"/>
  <c r="Q1122" i="5"/>
  <c r="J1122" i="5"/>
  <c r="Q1121" i="5"/>
  <c r="R1121" i="5" s="1"/>
  <c r="S1121" i="5" s="1"/>
  <c r="J1121" i="5"/>
  <c r="R1120" i="5"/>
  <c r="S1120" i="5" s="1"/>
  <c r="Q1120" i="5"/>
  <c r="J1120" i="5"/>
  <c r="Q1119" i="5"/>
  <c r="R1119" i="5" s="1"/>
  <c r="S1119" i="5" s="1"/>
  <c r="J1119" i="5"/>
  <c r="R1118" i="5"/>
  <c r="S1118" i="5" s="1"/>
  <c r="Q1118" i="5"/>
  <c r="J1118" i="5"/>
  <c r="Q1117" i="5"/>
  <c r="R1117" i="5" s="1"/>
  <c r="S1117" i="5" s="1"/>
  <c r="J1117" i="5"/>
  <c r="R1116" i="5"/>
  <c r="S1116" i="5" s="1"/>
  <c r="Q1116" i="5"/>
  <c r="J1116" i="5"/>
  <c r="Q1115" i="5"/>
  <c r="R1115" i="5" s="1"/>
  <c r="S1115" i="5" s="1"/>
  <c r="J1115" i="5"/>
  <c r="R1114" i="5"/>
  <c r="S1114" i="5" s="1"/>
  <c r="Q1114" i="5"/>
  <c r="J1114" i="5"/>
  <c r="Q1113" i="5"/>
  <c r="R1113" i="5" s="1"/>
  <c r="S1113" i="5" s="1"/>
  <c r="J1113" i="5"/>
  <c r="R1112" i="5"/>
  <c r="S1112" i="5" s="1"/>
  <c r="Q1112" i="5"/>
  <c r="J1112" i="5"/>
  <c r="Q1111" i="5"/>
  <c r="R1111" i="5" s="1"/>
  <c r="S1111" i="5" s="1"/>
  <c r="J1111" i="5"/>
  <c r="R1110" i="5"/>
  <c r="S1110" i="5" s="1"/>
  <c r="Q1110" i="5"/>
  <c r="J1110" i="5"/>
  <c r="Q1109" i="5"/>
  <c r="R1109" i="5" s="1"/>
  <c r="S1109" i="5" s="1"/>
  <c r="J1109" i="5"/>
  <c r="R1108" i="5"/>
  <c r="S1108" i="5" s="1"/>
  <c r="Q1108" i="5"/>
  <c r="J1108" i="5"/>
  <c r="Q1107" i="5"/>
  <c r="R1107" i="5" s="1"/>
  <c r="S1107" i="5" s="1"/>
  <c r="J1107" i="5"/>
  <c r="R1106" i="5"/>
  <c r="S1106" i="5" s="1"/>
  <c r="Q1106" i="5"/>
  <c r="J1106" i="5"/>
  <c r="Q1105" i="5"/>
  <c r="R1105" i="5" s="1"/>
  <c r="S1105" i="5" s="1"/>
  <c r="J1105" i="5"/>
  <c r="R1104" i="5"/>
  <c r="S1104" i="5" s="1"/>
  <c r="Q1104" i="5"/>
  <c r="J1104" i="5"/>
  <c r="Q1103" i="5"/>
  <c r="R1103" i="5" s="1"/>
  <c r="S1103" i="5" s="1"/>
  <c r="J1103" i="5"/>
  <c r="R1102" i="5"/>
  <c r="S1102" i="5" s="1"/>
  <c r="Q1102" i="5"/>
  <c r="J1102" i="5"/>
  <c r="Q1101" i="5"/>
  <c r="R1101" i="5" s="1"/>
  <c r="S1101" i="5" s="1"/>
  <c r="J1101" i="5"/>
  <c r="R1100" i="5"/>
  <c r="S1100" i="5" s="1"/>
  <c r="Q1100" i="5"/>
  <c r="J1100" i="5"/>
  <c r="Q1099" i="5"/>
  <c r="R1099" i="5" s="1"/>
  <c r="S1099" i="5" s="1"/>
  <c r="J1099" i="5"/>
  <c r="R1098" i="5"/>
  <c r="S1098" i="5" s="1"/>
  <c r="Q1098" i="5"/>
  <c r="J1098" i="5"/>
  <c r="Q1097" i="5"/>
  <c r="R1097" i="5" s="1"/>
  <c r="S1097" i="5" s="1"/>
  <c r="J1097" i="5"/>
  <c r="R1096" i="5"/>
  <c r="S1096" i="5" s="1"/>
  <c r="Q1096" i="5"/>
  <c r="J1096" i="5"/>
  <c r="Q1095" i="5"/>
  <c r="R1095" i="5" s="1"/>
  <c r="S1095" i="5" s="1"/>
  <c r="J1095" i="5"/>
  <c r="R1094" i="5"/>
  <c r="S1094" i="5" s="1"/>
  <c r="Q1094" i="5"/>
  <c r="J1094" i="5"/>
  <c r="Q1093" i="5"/>
  <c r="R1093" i="5" s="1"/>
  <c r="S1093" i="5" s="1"/>
  <c r="J1093" i="5"/>
  <c r="R1092" i="5"/>
  <c r="S1092" i="5" s="1"/>
  <c r="Q1092" i="5"/>
  <c r="J1092" i="5"/>
  <c r="Q1091" i="5"/>
  <c r="R1091" i="5" s="1"/>
  <c r="S1091" i="5" s="1"/>
  <c r="J1091" i="5"/>
  <c r="R1090" i="5"/>
  <c r="S1090" i="5" s="1"/>
  <c r="Q1090" i="5"/>
  <c r="J1090" i="5"/>
  <c r="Q1089" i="5"/>
  <c r="R1089" i="5" s="1"/>
  <c r="S1089" i="5" s="1"/>
  <c r="J1089" i="5"/>
  <c r="R1088" i="5"/>
  <c r="S1088" i="5" s="1"/>
  <c r="Q1088" i="5"/>
  <c r="J1088" i="5"/>
  <c r="Q1087" i="5"/>
  <c r="R1087" i="5" s="1"/>
  <c r="S1087" i="5" s="1"/>
  <c r="J1087" i="5"/>
  <c r="R1086" i="5"/>
  <c r="S1086" i="5" s="1"/>
  <c r="Q1086" i="5"/>
  <c r="J1086" i="5"/>
  <c r="Q1085" i="5"/>
  <c r="R1085" i="5" s="1"/>
  <c r="S1085" i="5" s="1"/>
  <c r="J1085" i="5"/>
  <c r="R1084" i="5"/>
  <c r="S1084" i="5" s="1"/>
  <c r="Q1084" i="5"/>
  <c r="J1084" i="5"/>
  <c r="Q1083" i="5"/>
  <c r="R1083" i="5" s="1"/>
  <c r="S1083" i="5" s="1"/>
  <c r="J1083" i="5"/>
  <c r="R1082" i="5"/>
  <c r="S1082" i="5" s="1"/>
  <c r="Q1082" i="5"/>
  <c r="J1082" i="5"/>
  <c r="Q1081" i="5"/>
  <c r="R1081" i="5" s="1"/>
  <c r="S1081" i="5" s="1"/>
  <c r="J1081" i="5"/>
  <c r="R1080" i="5"/>
  <c r="S1080" i="5" s="1"/>
  <c r="Q1080" i="5"/>
  <c r="J1080" i="5"/>
  <c r="Q1079" i="5"/>
  <c r="R1079" i="5" s="1"/>
  <c r="S1079" i="5" s="1"/>
  <c r="J1079" i="5"/>
  <c r="R1078" i="5"/>
  <c r="S1078" i="5" s="1"/>
  <c r="Q1078" i="5"/>
  <c r="J1078" i="5"/>
  <c r="Q1077" i="5"/>
  <c r="R1077" i="5" s="1"/>
  <c r="S1077" i="5" s="1"/>
  <c r="J1077" i="5"/>
  <c r="R1076" i="5"/>
  <c r="S1076" i="5" s="1"/>
  <c r="Q1076" i="5"/>
  <c r="J1076" i="5"/>
  <c r="Q1075" i="5"/>
  <c r="R1075" i="5" s="1"/>
  <c r="S1075" i="5" s="1"/>
  <c r="J1075" i="5"/>
  <c r="R1074" i="5"/>
  <c r="S1074" i="5" s="1"/>
  <c r="Q1074" i="5"/>
  <c r="J1074" i="5"/>
  <c r="Q1073" i="5"/>
  <c r="R1073" i="5" s="1"/>
  <c r="S1073" i="5" s="1"/>
  <c r="J1073" i="5"/>
  <c r="R1072" i="5"/>
  <c r="S1072" i="5" s="1"/>
  <c r="Q1072" i="5"/>
  <c r="J1072" i="5"/>
  <c r="Q1071" i="5"/>
  <c r="R1071" i="5" s="1"/>
  <c r="S1071" i="5" s="1"/>
  <c r="J1071" i="5"/>
  <c r="R1070" i="5"/>
  <c r="S1070" i="5" s="1"/>
  <c r="Q1070" i="5"/>
  <c r="J1070" i="5"/>
  <c r="Q1069" i="5"/>
  <c r="R1069" i="5" s="1"/>
  <c r="S1069" i="5" s="1"/>
  <c r="J1069" i="5"/>
  <c r="R1068" i="5"/>
  <c r="S1068" i="5" s="1"/>
  <c r="Q1068" i="5"/>
  <c r="J1068" i="5"/>
  <c r="Q1067" i="5"/>
  <c r="R1067" i="5" s="1"/>
  <c r="S1067" i="5" s="1"/>
  <c r="J1067" i="5"/>
  <c r="R1066" i="5"/>
  <c r="S1066" i="5" s="1"/>
  <c r="Q1066" i="5"/>
  <c r="J1066" i="5"/>
  <c r="Q1065" i="5"/>
  <c r="R1065" i="5" s="1"/>
  <c r="S1065" i="5" s="1"/>
  <c r="J1065" i="5"/>
  <c r="R1064" i="5"/>
  <c r="S1064" i="5" s="1"/>
  <c r="Q1064" i="5"/>
  <c r="J1064" i="5"/>
  <c r="Q1063" i="5"/>
  <c r="R1063" i="5" s="1"/>
  <c r="S1063" i="5" s="1"/>
  <c r="J1063" i="5"/>
  <c r="R1062" i="5"/>
  <c r="S1062" i="5" s="1"/>
  <c r="Q1062" i="5"/>
  <c r="J1062" i="5"/>
  <c r="Q1061" i="5"/>
  <c r="R1061" i="5" s="1"/>
  <c r="S1061" i="5" s="1"/>
  <c r="J1061" i="5"/>
  <c r="R1060" i="5"/>
  <c r="S1060" i="5" s="1"/>
  <c r="Q1060" i="5"/>
  <c r="J1060" i="5"/>
  <c r="Q1059" i="5"/>
  <c r="R1059" i="5" s="1"/>
  <c r="S1059" i="5" s="1"/>
  <c r="J1059" i="5"/>
  <c r="R1058" i="5"/>
  <c r="S1058" i="5" s="1"/>
  <c r="Q1058" i="5"/>
  <c r="J1058" i="5"/>
  <c r="Q1057" i="5"/>
  <c r="R1057" i="5" s="1"/>
  <c r="S1057" i="5" s="1"/>
  <c r="J1057" i="5"/>
  <c r="R1056" i="5"/>
  <c r="S1056" i="5" s="1"/>
  <c r="Q1056" i="5"/>
  <c r="J1056" i="5"/>
  <c r="Q1055" i="5"/>
  <c r="R1055" i="5" s="1"/>
  <c r="S1055" i="5" s="1"/>
  <c r="J1055" i="5"/>
  <c r="R1054" i="5"/>
  <c r="S1054" i="5" s="1"/>
  <c r="Q1054" i="5"/>
  <c r="J1054" i="5"/>
  <c r="Q1053" i="5"/>
  <c r="R1053" i="5" s="1"/>
  <c r="S1053" i="5" s="1"/>
  <c r="J1053" i="5"/>
  <c r="R1052" i="5"/>
  <c r="S1052" i="5" s="1"/>
  <c r="Q1052" i="5"/>
  <c r="J1052" i="5"/>
  <c r="Q1051" i="5"/>
  <c r="R1051" i="5" s="1"/>
  <c r="S1051" i="5" s="1"/>
  <c r="J1051" i="5"/>
  <c r="R1050" i="5"/>
  <c r="S1050" i="5" s="1"/>
  <c r="Q1050" i="5"/>
  <c r="J1050" i="5"/>
  <c r="Q1049" i="5"/>
  <c r="R1049" i="5" s="1"/>
  <c r="S1049" i="5" s="1"/>
  <c r="J1049" i="5"/>
  <c r="R1048" i="5"/>
  <c r="S1048" i="5" s="1"/>
  <c r="Q1048" i="5"/>
  <c r="J1048" i="5"/>
  <c r="Q1047" i="5"/>
  <c r="R1047" i="5" s="1"/>
  <c r="S1047" i="5" s="1"/>
  <c r="J1047" i="5"/>
  <c r="R1046" i="5"/>
  <c r="S1046" i="5" s="1"/>
  <c r="Q1046" i="5"/>
  <c r="J1046" i="5"/>
  <c r="Q1045" i="5"/>
  <c r="R1045" i="5" s="1"/>
  <c r="S1045" i="5" s="1"/>
  <c r="J1045" i="5"/>
  <c r="R1044" i="5"/>
  <c r="S1044" i="5" s="1"/>
  <c r="Q1044" i="5"/>
  <c r="J1044" i="5"/>
  <c r="Q1043" i="5"/>
  <c r="R1043" i="5" s="1"/>
  <c r="S1043" i="5" s="1"/>
  <c r="J1043" i="5"/>
  <c r="R1042" i="5"/>
  <c r="S1042" i="5" s="1"/>
  <c r="Q1042" i="5"/>
  <c r="J1042" i="5"/>
  <c r="Q1041" i="5"/>
  <c r="R1041" i="5" s="1"/>
  <c r="S1041" i="5" s="1"/>
  <c r="J1041" i="5"/>
  <c r="R1040" i="5"/>
  <c r="S1040" i="5" s="1"/>
  <c r="Q1040" i="5"/>
  <c r="J1040" i="5"/>
  <c r="Q1039" i="5"/>
  <c r="R1039" i="5" s="1"/>
  <c r="S1039" i="5" s="1"/>
  <c r="J1039" i="5"/>
  <c r="R1038" i="5"/>
  <c r="S1038" i="5" s="1"/>
  <c r="Q1038" i="5"/>
  <c r="J1038" i="5"/>
  <c r="Q1037" i="5"/>
  <c r="R1037" i="5" s="1"/>
  <c r="S1037" i="5" s="1"/>
  <c r="J1037" i="5"/>
  <c r="R1036" i="5"/>
  <c r="S1036" i="5" s="1"/>
  <c r="Q1036" i="5"/>
  <c r="J1036" i="5"/>
  <c r="Q1035" i="5"/>
  <c r="R1035" i="5" s="1"/>
  <c r="S1035" i="5" s="1"/>
  <c r="J1035" i="5"/>
  <c r="R1034" i="5"/>
  <c r="S1034" i="5" s="1"/>
  <c r="Q1034" i="5"/>
  <c r="J1034" i="5"/>
  <c r="Q1033" i="5"/>
  <c r="R1033" i="5" s="1"/>
  <c r="S1033" i="5" s="1"/>
  <c r="J1033" i="5"/>
  <c r="R1032" i="5"/>
  <c r="S1032" i="5" s="1"/>
  <c r="Q1032" i="5"/>
  <c r="J1032" i="5"/>
  <c r="Q1031" i="5"/>
  <c r="R1031" i="5" s="1"/>
  <c r="S1031" i="5" s="1"/>
  <c r="J1031" i="5"/>
  <c r="R1030" i="5"/>
  <c r="S1030" i="5" s="1"/>
  <c r="Q1030" i="5"/>
  <c r="J1030" i="5"/>
  <c r="Q1029" i="5"/>
  <c r="R1029" i="5" s="1"/>
  <c r="S1029" i="5" s="1"/>
  <c r="J1029" i="5"/>
  <c r="R1028" i="5"/>
  <c r="S1028" i="5" s="1"/>
  <c r="Q1028" i="5"/>
  <c r="J1028" i="5"/>
  <c r="Q1027" i="5"/>
  <c r="R1027" i="5" s="1"/>
  <c r="S1027" i="5" s="1"/>
  <c r="J1027" i="5"/>
  <c r="R1026" i="5"/>
  <c r="S1026" i="5" s="1"/>
  <c r="Q1026" i="5"/>
  <c r="J1026" i="5"/>
  <c r="Q1025" i="5"/>
  <c r="R1025" i="5" s="1"/>
  <c r="S1025" i="5" s="1"/>
  <c r="J1025" i="5"/>
  <c r="R1024" i="5"/>
  <c r="S1024" i="5" s="1"/>
  <c r="Q1024" i="5"/>
  <c r="J1024" i="5"/>
  <c r="Q1023" i="5"/>
  <c r="R1023" i="5" s="1"/>
  <c r="S1023" i="5" s="1"/>
  <c r="J1023" i="5"/>
  <c r="R1022" i="5"/>
  <c r="S1022" i="5" s="1"/>
  <c r="Q1022" i="5"/>
  <c r="J1022" i="5"/>
  <c r="Q1021" i="5"/>
  <c r="R1021" i="5" s="1"/>
  <c r="S1021" i="5" s="1"/>
  <c r="J1021" i="5"/>
  <c r="R1020" i="5"/>
  <c r="S1020" i="5" s="1"/>
  <c r="Q1020" i="5"/>
  <c r="J1020" i="5"/>
  <c r="Q1019" i="5"/>
  <c r="R1019" i="5" s="1"/>
  <c r="S1019" i="5" s="1"/>
  <c r="J1019" i="5"/>
  <c r="R1018" i="5"/>
  <c r="S1018" i="5" s="1"/>
  <c r="Q1018" i="5"/>
  <c r="J1018" i="5"/>
  <c r="Q1017" i="5"/>
  <c r="R1017" i="5" s="1"/>
  <c r="S1017" i="5" s="1"/>
  <c r="J1017" i="5"/>
  <c r="R1016" i="5"/>
  <c r="S1016" i="5" s="1"/>
  <c r="Q1016" i="5"/>
  <c r="J1016" i="5"/>
  <c r="Q1015" i="5"/>
  <c r="R1015" i="5" s="1"/>
  <c r="S1015" i="5" s="1"/>
  <c r="J1015" i="5"/>
  <c r="R1014" i="5"/>
  <c r="S1014" i="5" s="1"/>
  <c r="Q1014" i="5"/>
  <c r="J1014" i="5"/>
  <c r="Q1013" i="5"/>
  <c r="R1013" i="5" s="1"/>
  <c r="S1013" i="5" s="1"/>
  <c r="J1013" i="5"/>
  <c r="R1012" i="5"/>
  <c r="S1012" i="5" s="1"/>
  <c r="Q1012" i="5"/>
  <c r="J1012" i="5"/>
  <c r="Q1011" i="5"/>
  <c r="R1011" i="5" s="1"/>
  <c r="S1011" i="5" s="1"/>
  <c r="J1011" i="5"/>
  <c r="R1010" i="5"/>
  <c r="S1010" i="5" s="1"/>
  <c r="Q1010" i="5"/>
  <c r="J1010" i="5"/>
  <c r="Q1009" i="5"/>
  <c r="R1009" i="5" s="1"/>
  <c r="S1009" i="5" s="1"/>
  <c r="J1009" i="5"/>
  <c r="R1008" i="5"/>
  <c r="S1008" i="5" s="1"/>
  <c r="Q1008" i="5"/>
  <c r="J1008" i="5"/>
  <c r="Q1007" i="5"/>
  <c r="R1007" i="5" s="1"/>
  <c r="S1007" i="5" s="1"/>
  <c r="J1007" i="5"/>
  <c r="R1006" i="5"/>
  <c r="S1006" i="5" s="1"/>
  <c r="Q1006" i="5"/>
  <c r="J1006" i="5"/>
  <c r="Q1005" i="5"/>
  <c r="R1005" i="5" s="1"/>
  <c r="S1005" i="5" s="1"/>
  <c r="J1005" i="5"/>
  <c r="R1004" i="5"/>
  <c r="S1004" i="5" s="1"/>
  <c r="Q1004" i="5"/>
  <c r="J1004" i="5"/>
  <c r="Q1003" i="5"/>
  <c r="R1003" i="5" s="1"/>
  <c r="S1003" i="5" s="1"/>
  <c r="J1003" i="5"/>
  <c r="R1002" i="5"/>
  <c r="S1002" i="5" s="1"/>
  <c r="Q1002" i="5"/>
  <c r="J1002" i="5"/>
  <c r="Q1001" i="5"/>
  <c r="R1001" i="5" s="1"/>
  <c r="S1001" i="5" s="1"/>
  <c r="J1001" i="5"/>
  <c r="R1000" i="5"/>
  <c r="S1000" i="5" s="1"/>
  <c r="Q1000" i="5"/>
  <c r="J1000" i="5"/>
  <c r="Q999" i="5"/>
  <c r="R999" i="5" s="1"/>
  <c r="S999" i="5" s="1"/>
  <c r="J999" i="5"/>
  <c r="R998" i="5"/>
  <c r="S998" i="5" s="1"/>
  <c r="Q998" i="5"/>
  <c r="J998" i="5"/>
  <c r="Q997" i="5"/>
  <c r="R997" i="5" s="1"/>
  <c r="S997" i="5" s="1"/>
  <c r="J997" i="5"/>
  <c r="R996" i="5"/>
  <c r="S996" i="5" s="1"/>
  <c r="Q996" i="5"/>
  <c r="J996" i="5"/>
  <c r="Q995" i="5"/>
  <c r="R995" i="5" s="1"/>
  <c r="S995" i="5" s="1"/>
  <c r="J995" i="5"/>
  <c r="R994" i="5"/>
  <c r="S994" i="5" s="1"/>
  <c r="Q994" i="5"/>
  <c r="J994" i="5"/>
  <c r="Q993" i="5"/>
  <c r="R993" i="5" s="1"/>
  <c r="S993" i="5" s="1"/>
  <c r="J993" i="5"/>
  <c r="R992" i="5"/>
  <c r="S992" i="5" s="1"/>
  <c r="Q992" i="5"/>
  <c r="J992" i="5"/>
  <c r="Q991" i="5"/>
  <c r="R991" i="5" s="1"/>
  <c r="S991" i="5" s="1"/>
  <c r="J991" i="5"/>
  <c r="R990" i="5"/>
  <c r="S990" i="5" s="1"/>
  <c r="Q990" i="5"/>
  <c r="J990" i="5"/>
  <c r="Q989" i="5"/>
  <c r="R989" i="5" s="1"/>
  <c r="S989" i="5" s="1"/>
  <c r="J989" i="5"/>
  <c r="R988" i="5"/>
  <c r="S988" i="5" s="1"/>
  <c r="Q988" i="5"/>
  <c r="J988" i="5"/>
  <c r="Q987" i="5"/>
  <c r="R987" i="5" s="1"/>
  <c r="S987" i="5" s="1"/>
  <c r="J987" i="5"/>
  <c r="R986" i="5"/>
  <c r="S986" i="5" s="1"/>
  <c r="Q986" i="5"/>
  <c r="J986" i="5"/>
  <c r="Q985" i="5"/>
  <c r="R985" i="5" s="1"/>
  <c r="S985" i="5" s="1"/>
  <c r="J985" i="5"/>
  <c r="R984" i="5"/>
  <c r="S984" i="5" s="1"/>
  <c r="Q984" i="5"/>
  <c r="J984" i="5"/>
  <c r="Q983" i="5"/>
  <c r="R983" i="5" s="1"/>
  <c r="S983" i="5" s="1"/>
  <c r="J983" i="5"/>
  <c r="R982" i="5"/>
  <c r="S982" i="5" s="1"/>
  <c r="Q982" i="5"/>
  <c r="J982" i="5"/>
  <c r="Q981" i="5"/>
  <c r="R981" i="5" s="1"/>
  <c r="S981" i="5" s="1"/>
  <c r="J981" i="5"/>
  <c r="R980" i="5"/>
  <c r="S980" i="5" s="1"/>
  <c r="Q980" i="5"/>
  <c r="J980" i="5"/>
  <c r="Q979" i="5"/>
  <c r="R979" i="5" s="1"/>
  <c r="S979" i="5" s="1"/>
  <c r="J979" i="5"/>
  <c r="R978" i="5"/>
  <c r="S978" i="5" s="1"/>
  <c r="Q978" i="5"/>
  <c r="J978" i="5"/>
  <c r="Q977" i="5"/>
  <c r="R977" i="5" s="1"/>
  <c r="S977" i="5" s="1"/>
  <c r="J977" i="5"/>
  <c r="R976" i="5"/>
  <c r="S976" i="5" s="1"/>
  <c r="Q976" i="5"/>
  <c r="J976" i="5"/>
  <c r="Q975" i="5"/>
  <c r="R975" i="5" s="1"/>
  <c r="S975" i="5" s="1"/>
  <c r="J975" i="5"/>
  <c r="R974" i="5"/>
  <c r="S974" i="5" s="1"/>
  <c r="Q974" i="5"/>
  <c r="J974" i="5"/>
  <c r="Q973" i="5"/>
  <c r="R973" i="5" s="1"/>
  <c r="S973" i="5" s="1"/>
  <c r="J973" i="5"/>
  <c r="R972" i="5"/>
  <c r="S972" i="5" s="1"/>
  <c r="Q972" i="5"/>
  <c r="J972" i="5"/>
  <c r="Q971" i="5"/>
  <c r="R971" i="5" s="1"/>
  <c r="S971" i="5" s="1"/>
  <c r="J971" i="5"/>
  <c r="R970" i="5"/>
  <c r="S970" i="5" s="1"/>
  <c r="Q970" i="5"/>
  <c r="J970" i="5"/>
  <c r="Q969" i="5"/>
  <c r="R969" i="5" s="1"/>
  <c r="S969" i="5" s="1"/>
  <c r="J969" i="5"/>
  <c r="R968" i="5"/>
  <c r="S968" i="5" s="1"/>
  <c r="Q968" i="5"/>
  <c r="J968" i="5"/>
  <c r="Q967" i="5"/>
  <c r="R967" i="5" s="1"/>
  <c r="S967" i="5" s="1"/>
  <c r="J967" i="5"/>
  <c r="R966" i="5"/>
  <c r="S966" i="5" s="1"/>
  <c r="Q966" i="5"/>
  <c r="J966" i="5"/>
  <c r="Q965" i="5"/>
  <c r="R965" i="5" s="1"/>
  <c r="S965" i="5" s="1"/>
  <c r="J965" i="5"/>
  <c r="R964" i="5"/>
  <c r="S964" i="5" s="1"/>
  <c r="Q964" i="5"/>
  <c r="J964" i="5"/>
  <c r="Q963" i="5"/>
  <c r="R963" i="5" s="1"/>
  <c r="S963" i="5" s="1"/>
  <c r="J963" i="5"/>
  <c r="R962" i="5"/>
  <c r="S962" i="5" s="1"/>
  <c r="Q962" i="5"/>
  <c r="J962" i="5"/>
  <c r="Q961" i="5"/>
  <c r="R961" i="5" s="1"/>
  <c r="S961" i="5" s="1"/>
  <c r="J961" i="5"/>
  <c r="R960" i="5"/>
  <c r="S960" i="5" s="1"/>
  <c r="Q960" i="5"/>
  <c r="J960" i="5"/>
  <c r="Q959" i="5"/>
  <c r="R959" i="5" s="1"/>
  <c r="S959" i="5" s="1"/>
  <c r="J959" i="5"/>
  <c r="R958" i="5"/>
  <c r="S958" i="5" s="1"/>
  <c r="Q958" i="5"/>
  <c r="J958" i="5"/>
  <c r="Q957" i="5"/>
  <c r="R957" i="5" s="1"/>
  <c r="S957" i="5" s="1"/>
  <c r="J957" i="5"/>
  <c r="R956" i="5"/>
  <c r="S956" i="5" s="1"/>
  <c r="Q956" i="5"/>
  <c r="J956" i="5"/>
  <c r="Q955" i="5"/>
  <c r="R955" i="5" s="1"/>
  <c r="S955" i="5" s="1"/>
  <c r="J955" i="5"/>
  <c r="R954" i="5"/>
  <c r="S954" i="5" s="1"/>
  <c r="Q954" i="5"/>
  <c r="J954" i="5"/>
  <c r="Q953" i="5"/>
  <c r="R953" i="5" s="1"/>
  <c r="S953" i="5" s="1"/>
  <c r="J953" i="5"/>
  <c r="R952" i="5"/>
  <c r="S952" i="5" s="1"/>
  <c r="Q952" i="5"/>
  <c r="J952" i="5"/>
  <c r="Q951" i="5"/>
  <c r="R951" i="5" s="1"/>
  <c r="S951" i="5" s="1"/>
  <c r="J951" i="5"/>
  <c r="R950" i="5"/>
  <c r="S950" i="5" s="1"/>
  <c r="Q950" i="5"/>
  <c r="J950" i="5"/>
  <c r="Q949" i="5"/>
  <c r="R949" i="5" s="1"/>
  <c r="S949" i="5" s="1"/>
  <c r="J949" i="5"/>
  <c r="R948" i="5"/>
  <c r="S948" i="5" s="1"/>
  <c r="Q948" i="5"/>
  <c r="J948" i="5"/>
  <c r="Q947" i="5"/>
  <c r="R947" i="5" s="1"/>
  <c r="S947" i="5" s="1"/>
  <c r="J947" i="5"/>
  <c r="R946" i="5"/>
  <c r="S946" i="5" s="1"/>
  <c r="Q946" i="5"/>
  <c r="J946" i="5"/>
  <c r="Q945" i="5"/>
  <c r="R945" i="5" s="1"/>
  <c r="S945" i="5" s="1"/>
  <c r="J945" i="5"/>
  <c r="R944" i="5"/>
  <c r="S944" i="5" s="1"/>
  <c r="Q944" i="5"/>
  <c r="J944" i="5"/>
  <c r="Q943" i="5"/>
  <c r="R943" i="5" s="1"/>
  <c r="S943" i="5" s="1"/>
  <c r="J943" i="5"/>
  <c r="R942" i="5"/>
  <c r="S942" i="5" s="1"/>
  <c r="Q942" i="5"/>
  <c r="J942" i="5"/>
  <c r="Q941" i="5"/>
  <c r="R941" i="5" s="1"/>
  <c r="S941" i="5" s="1"/>
  <c r="J941" i="5"/>
  <c r="R940" i="5"/>
  <c r="S940" i="5" s="1"/>
  <c r="Q940" i="5"/>
  <c r="J940" i="5"/>
  <c r="Q939" i="5"/>
  <c r="R939" i="5" s="1"/>
  <c r="S939" i="5" s="1"/>
  <c r="J939" i="5"/>
  <c r="R938" i="5"/>
  <c r="S938" i="5" s="1"/>
  <c r="Q938" i="5"/>
  <c r="J938" i="5"/>
  <c r="Q937" i="5"/>
  <c r="R937" i="5" s="1"/>
  <c r="S937" i="5" s="1"/>
  <c r="J937" i="5"/>
  <c r="R936" i="5"/>
  <c r="S936" i="5" s="1"/>
  <c r="Q936" i="5"/>
  <c r="J936" i="5"/>
  <c r="Q935" i="5"/>
  <c r="R935" i="5" s="1"/>
  <c r="S935" i="5" s="1"/>
  <c r="J935" i="5"/>
  <c r="R934" i="5"/>
  <c r="S934" i="5" s="1"/>
  <c r="Q934" i="5"/>
  <c r="J934" i="5"/>
  <c r="Q933" i="5"/>
  <c r="R933" i="5" s="1"/>
  <c r="S933" i="5" s="1"/>
  <c r="J933" i="5"/>
  <c r="R932" i="5"/>
  <c r="S932" i="5" s="1"/>
  <c r="Q932" i="5"/>
  <c r="J932" i="5"/>
  <c r="Q931" i="5"/>
  <c r="R931" i="5" s="1"/>
  <c r="S931" i="5" s="1"/>
  <c r="J931" i="5"/>
  <c r="R930" i="5"/>
  <c r="S930" i="5" s="1"/>
  <c r="Q930" i="5"/>
  <c r="J930" i="5"/>
  <c r="Q929" i="5"/>
  <c r="R929" i="5" s="1"/>
  <c r="S929" i="5" s="1"/>
  <c r="J929" i="5"/>
  <c r="R928" i="5"/>
  <c r="S928" i="5" s="1"/>
  <c r="Q928" i="5"/>
  <c r="J928" i="5"/>
  <c r="Q927" i="5"/>
  <c r="R927" i="5" s="1"/>
  <c r="S927" i="5" s="1"/>
  <c r="J927" i="5"/>
  <c r="R926" i="5"/>
  <c r="S926" i="5" s="1"/>
  <c r="Q926" i="5"/>
  <c r="J926" i="5"/>
  <c r="Q925" i="5"/>
  <c r="R925" i="5" s="1"/>
  <c r="S925" i="5" s="1"/>
  <c r="J925" i="5"/>
  <c r="R924" i="5"/>
  <c r="S924" i="5" s="1"/>
  <c r="Q924" i="5"/>
  <c r="J924" i="5"/>
  <c r="Q923" i="5"/>
  <c r="R923" i="5" s="1"/>
  <c r="S923" i="5" s="1"/>
  <c r="J923" i="5"/>
  <c r="R922" i="5"/>
  <c r="S922" i="5" s="1"/>
  <c r="Q922" i="5"/>
  <c r="J922" i="5"/>
  <c r="Q921" i="5"/>
  <c r="R921" i="5" s="1"/>
  <c r="S921" i="5" s="1"/>
  <c r="J921" i="5"/>
  <c r="R920" i="5"/>
  <c r="S920" i="5" s="1"/>
  <c r="Q920" i="5"/>
  <c r="J920" i="5"/>
  <c r="Q919" i="5"/>
  <c r="R919" i="5" s="1"/>
  <c r="S919" i="5" s="1"/>
  <c r="J919" i="5"/>
  <c r="R918" i="5"/>
  <c r="S918" i="5" s="1"/>
  <c r="Q918" i="5"/>
  <c r="J918" i="5"/>
  <c r="Q917" i="5"/>
  <c r="R917" i="5" s="1"/>
  <c r="S917" i="5" s="1"/>
  <c r="J917" i="5"/>
  <c r="R916" i="5"/>
  <c r="S916" i="5" s="1"/>
  <c r="Q916" i="5"/>
  <c r="J916" i="5"/>
  <c r="Q915" i="5"/>
  <c r="R915" i="5" s="1"/>
  <c r="S915" i="5" s="1"/>
  <c r="J915" i="5"/>
  <c r="R914" i="5"/>
  <c r="S914" i="5" s="1"/>
  <c r="Q914" i="5"/>
  <c r="J914" i="5"/>
  <c r="Q913" i="5"/>
  <c r="R913" i="5" s="1"/>
  <c r="S913" i="5" s="1"/>
  <c r="J913" i="5"/>
  <c r="R912" i="5"/>
  <c r="S912" i="5" s="1"/>
  <c r="Q912" i="5"/>
  <c r="J912" i="5"/>
  <c r="Q911" i="5"/>
  <c r="R911" i="5" s="1"/>
  <c r="S911" i="5" s="1"/>
  <c r="J911" i="5"/>
  <c r="R910" i="5"/>
  <c r="S910" i="5" s="1"/>
  <c r="Q910" i="5"/>
  <c r="J910" i="5"/>
  <c r="Q909" i="5"/>
  <c r="R909" i="5" s="1"/>
  <c r="S909" i="5" s="1"/>
  <c r="J909" i="5"/>
  <c r="R908" i="5"/>
  <c r="S908" i="5" s="1"/>
  <c r="Q908" i="5"/>
  <c r="J908" i="5"/>
  <c r="Q907" i="5"/>
  <c r="R907" i="5" s="1"/>
  <c r="S907" i="5" s="1"/>
  <c r="J907" i="5"/>
  <c r="R906" i="5"/>
  <c r="S906" i="5" s="1"/>
  <c r="Q906" i="5"/>
  <c r="J906" i="5"/>
  <c r="Q905" i="5"/>
  <c r="R905" i="5" s="1"/>
  <c r="S905" i="5" s="1"/>
  <c r="J905" i="5"/>
  <c r="R904" i="5"/>
  <c r="S904" i="5" s="1"/>
  <c r="Q904" i="5"/>
  <c r="J904" i="5"/>
  <c r="Q903" i="5"/>
  <c r="R903" i="5" s="1"/>
  <c r="S903" i="5" s="1"/>
  <c r="J903" i="5"/>
  <c r="R902" i="5"/>
  <c r="S902" i="5" s="1"/>
  <c r="Q902" i="5"/>
  <c r="J902" i="5"/>
  <c r="Q901" i="5"/>
  <c r="R901" i="5" s="1"/>
  <c r="S901" i="5" s="1"/>
  <c r="J901" i="5"/>
  <c r="R900" i="5"/>
  <c r="S900" i="5" s="1"/>
  <c r="Q900" i="5"/>
  <c r="J900" i="5"/>
  <c r="Q899" i="5"/>
  <c r="R899" i="5" s="1"/>
  <c r="S899" i="5" s="1"/>
  <c r="J899" i="5"/>
  <c r="R898" i="5"/>
  <c r="S898" i="5" s="1"/>
  <c r="Q898" i="5"/>
  <c r="J898" i="5"/>
  <c r="Q897" i="5"/>
  <c r="R897" i="5" s="1"/>
  <c r="S897" i="5" s="1"/>
  <c r="J897" i="5"/>
  <c r="R896" i="5"/>
  <c r="S896" i="5" s="1"/>
  <c r="Q896" i="5"/>
  <c r="J896" i="5"/>
  <c r="Q895" i="5"/>
  <c r="R895" i="5" s="1"/>
  <c r="S895" i="5" s="1"/>
  <c r="J895" i="5"/>
  <c r="R894" i="5"/>
  <c r="S894" i="5" s="1"/>
  <c r="Q894" i="5"/>
  <c r="J894" i="5"/>
  <c r="Q893" i="5"/>
  <c r="R893" i="5" s="1"/>
  <c r="S893" i="5" s="1"/>
  <c r="J893" i="5"/>
  <c r="R892" i="5"/>
  <c r="S892" i="5" s="1"/>
  <c r="Q892" i="5"/>
  <c r="J892" i="5"/>
  <c r="Q891" i="5"/>
  <c r="R891" i="5" s="1"/>
  <c r="S891" i="5" s="1"/>
  <c r="J891" i="5"/>
  <c r="R890" i="5"/>
  <c r="S890" i="5" s="1"/>
  <c r="Q890" i="5"/>
  <c r="J890" i="5"/>
  <c r="Q889" i="5"/>
  <c r="R889" i="5" s="1"/>
  <c r="S889" i="5" s="1"/>
  <c r="J889" i="5"/>
  <c r="R888" i="5"/>
  <c r="S888" i="5" s="1"/>
  <c r="Q888" i="5"/>
  <c r="J888" i="5"/>
  <c r="Q887" i="5"/>
  <c r="R887" i="5" s="1"/>
  <c r="S887" i="5" s="1"/>
  <c r="J887" i="5"/>
  <c r="R886" i="5"/>
  <c r="S886" i="5" s="1"/>
  <c r="Q886" i="5"/>
  <c r="J886" i="5"/>
  <c r="Q885" i="5"/>
  <c r="R885" i="5" s="1"/>
  <c r="S885" i="5" s="1"/>
  <c r="J885" i="5"/>
  <c r="R884" i="5"/>
  <c r="S884" i="5" s="1"/>
  <c r="Q884" i="5"/>
  <c r="J884" i="5"/>
  <c r="Q883" i="5"/>
  <c r="R883" i="5" s="1"/>
  <c r="S883" i="5" s="1"/>
  <c r="J883" i="5"/>
  <c r="R882" i="5"/>
  <c r="S882" i="5" s="1"/>
  <c r="Q882" i="5"/>
  <c r="J882" i="5"/>
  <c r="Q881" i="5"/>
  <c r="R881" i="5" s="1"/>
  <c r="S881" i="5" s="1"/>
  <c r="J881" i="5"/>
  <c r="R880" i="5"/>
  <c r="S880" i="5" s="1"/>
  <c r="Q880" i="5"/>
  <c r="J880" i="5"/>
  <c r="Q879" i="5"/>
  <c r="R879" i="5" s="1"/>
  <c r="S879" i="5" s="1"/>
  <c r="J879" i="5"/>
  <c r="R878" i="5"/>
  <c r="S878" i="5" s="1"/>
  <c r="Q878" i="5"/>
  <c r="J878" i="5"/>
  <c r="Q877" i="5"/>
  <c r="R877" i="5" s="1"/>
  <c r="S877" i="5" s="1"/>
  <c r="J877" i="5"/>
  <c r="R876" i="5"/>
  <c r="S876" i="5" s="1"/>
  <c r="Q876" i="5"/>
  <c r="J876" i="5"/>
  <c r="Q875" i="5"/>
  <c r="R875" i="5" s="1"/>
  <c r="S875" i="5" s="1"/>
  <c r="J875" i="5"/>
  <c r="R874" i="5"/>
  <c r="S874" i="5" s="1"/>
  <c r="Q874" i="5"/>
  <c r="J874" i="5"/>
  <c r="Q873" i="5"/>
  <c r="R873" i="5" s="1"/>
  <c r="S873" i="5" s="1"/>
  <c r="J873" i="5"/>
  <c r="R872" i="5"/>
  <c r="S872" i="5" s="1"/>
  <c r="Q872" i="5"/>
  <c r="J872" i="5"/>
  <c r="Q871" i="5"/>
  <c r="R871" i="5" s="1"/>
  <c r="S871" i="5" s="1"/>
  <c r="J871" i="5"/>
  <c r="R870" i="5"/>
  <c r="S870" i="5" s="1"/>
  <c r="Q870" i="5"/>
  <c r="J870" i="5"/>
  <c r="Q869" i="5"/>
  <c r="R869" i="5" s="1"/>
  <c r="S869" i="5" s="1"/>
  <c r="J869" i="5"/>
  <c r="R868" i="5"/>
  <c r="S868" i="5" s="1"/>
  <c r="Q868" i="5"/>
  <c r="J868" i="5"/>
  <c r="Q867" i="5"/>
  <c r="R867" i="5" s="1"/>
  <c r="S867" i="5" s="1"/>
  <c r="J867" i="5"/>
  <c r="R866" i="5"/>
  <c r="S866" i="5" s="1"/>
  <c r="Q866" i="5"/>
  <c r="J866" i="5"/>
  <c r="Q865" i="5"/>
  <c r="R865" i="5" s="1"/>
  <c r="S865" i="5" s="1"/>
  <c r="J865" i="5"/>
  <c r="R864" i="5"/>
  <c r="S864" i="5" s="1"/>
  <c r="Q864" i="5"/>
  <c r="J864" i="5"/>
  <c r="Q863" i="5"/>
  <c r="R863" i="5" s="1"/>
  <c r="S863" i="5" s="1"/>
  <c r="J863" i="5"/>
  <c r="R862" i="5"/>
  <c r="S862" i="5" s="1"/>
  <c r="Q862" i="5"/>
  <c r="J862" i="5"/>
  <c r="Q861" i="5"/>
  <c r="R861" i="5" s="1"/>
  <c r="S861" i="5" s="1"/>
  <c r="J861" i="5"/>
  <c r="R860" i="5"/>
  <c r="S860" i="5" s="1"/>
  <c r="Q860" i="5"/>
  <c r="J860" i="5"/>
  <c r="Q859" i="5"/>
  <c r="R859" i="5" s="1"/>
  <c r="S859" i="5" s="1"/>
  <c r="J859" i="5"/>
  <c r="R858" i="5"/>
  <c r="S858" i="5" s="1"/>
  <c r="Q858" i="5"/>
  <c r="J858" i="5"/>
  <c r="Q857" i="5"/>
  <c r="R857" i="5" s="1"/>
  <c r="S857" i="5" s="1"/>
  <c r="J857" i="5"/>
  <c r="R856" i="5"/>
  <c r="S856" i="5" s="1"/>
  <c r="Q856" i="5"/>
  <c r="J856" i="5"/>
  <c r="Q855" i="5"/>
  <c r="R855" i="5" s="1"/>
  <c r="S855" i="5" s="1"/>
  <c r="J855" i="5"/>
  <c r="R854" i="5"/>
  <c r="S854" i="5" s="1"/>
  <c r="Q854" i="5"/>
  <c r="J854" i="5"/>
  <c r="Q853" i="5"/>
  <c r="R853" i="5" s="1"/>
  <c r="S853" i="5" s="1"/>
  <c r="J853" i="5"/>
  <c r="Q1371" i="2"/>
  <c r="R1371" i="2" s="1"/>
  <c r="S1371" i="2" s="1"/>
  <c r="Q1446" i="2"/>
  <c r="R1446" i="2" s="1"/>
  <c r="S1446" i="2" s="1"/>
  <c r="Q1045" i="2"/>
  <c r="R1045" i="2" s="1"/>
  <c r="S1045" i="2" s="1"/>
  <c r="Q1370" i="2"/>
  <c r="R1370" i="2" s="1"/>
  <c r="S1370" i="2" s="1"/>
  <c r="Q1403" i="2"/>
  <c r="R1403" i="2" s="1"/>
  <c r="S1403" i="2" s="1"/>
  <c r="Q1171" i="2"/>
  <c r="R1171" i="2" s="1"/>
  <c r="S1171" i="2" s="1"/>
  <c r="Q1384" i="2"/>
  <c r="R1384" i="2" s="1"/>
  <c r="S1384" i="2" s="1"/>
  <c r="Q1044" i="2"/>
  <c r="R1044" i="2" s="1"/>
  <c r="S1044" i="2" s="1"/>
  <c r="Q1118" i="2"/>
  <c r="R1118" i="2" s="1"/>
  <c r="S1118" i="2" s="1"/>
  <c r="Q954" i="2"/>
  <c r="R954" i="2" s="1"/>
  <c r="S954" i="2" s="1"/>
  <c r="Q950" i="2"/>
  <c r="R950" i="2" s="1"/>
  <c r="S950" i="2" s="1"/>
  <c r="Q951" i="2"/>
  <c r="R951" i="2" s="1"/>
  <c r="S951" i="2" s="1"/>
  <c r="Q1113" i="2"/>
  <c r="R1113" i="2" s="1"/>
  <c r="S1113" i="2" s="1"/>
  <c r="Q660" i="2"/>
  <c r="R660" i="2" s="1"/>
  <c r="S660" i="2" s="1"/>
  <c r="Q659" i="2"/>
  <c r="R659" i="2" s="1"/>
  <c r="S659" i="2" s="1"/>
  <c r="Q1168" i="2"/>
  <c r="R1168" i="2" s="1"/>
  <c r="S1168" i="2" s="1"/>
  <c r="Q1391" i="2"/>
  <c r="R1391" i="2" s="1"/>
  <c r="S1391" i="2" s="1"/>
  <c r="Q1390" i="2"/>
  <c r="R1390" i="2" s="1"/>
  <c r="S1390" i="2" s="1"/>
  <c r="Q1398" i="2"/>
  <c r="R1398" i="2" s="1"/>
  <c r="S1398" i="2" s="1"/>
  <c r="Q1175" i="2"/>
  <c r="R1175" i="2" s="1"/>
  <c r="S1175" i="2" s="1"/>
  <c r="Q1176" i="2"/>
  <c r="R1176" i="2" s="1"/>
  <c r="S1176" i="2" s="1"/>
  <c r="Q1250" i="2"/>
  <c r="R1250" i="2" s="1"/>
  <c r="S1250" i="2" s="1"/>
  <c r="Q768" i="2"/>
  <c r="R768" i="2" s="1"/>
  <c r="S768" i="2" s="1"/>
  <c r="Q774" i="2"/>
  <c r="R774" i="2" s="1"/>
  <c r="S774" i="2" s="1"/>
  <c r="Q824" i="2"/>
  <c r="R824" i="2" s="1"/>
  <c r="S824" i="2" s="1"/>
  <c r="Q831" i="2"/>
  <c r="R831" i="2" s="1"/>
  <c r="S831" i="2" s="1"/>
  <c r="Q867" i="2"/>
  <c r="R867" i="2" s="1"/>
  <c r="S867" i="2" s="1"/>
  <c r="Q909" i="2"/>
  <c r="R909" i="2" s="1"/>
  <c r="S909" i="2" s="1"/>
  <c r="Q1192" i="2"/>
  <c r="R1192" i="2" s="1"/>
  <c r="S1192" i="2" s="1"/>
  <c r="Q1393" i="2"/>
  <c r="R1393" i="2" s="1"/>
  <c r="S1393" i="2" s="1"/>
  <c r="Q1392" i="2"/>
  <c r="R1392" i="2" s="1"/>
  <c r="S1392" i="2" s="1"/>
  <c r="Q872" i="2"/>
  <c r="R872" i="2" s="1"/>
  <c r="S872" i="2" s="1"/>
  <c r="Q830" i="2"/>
  <c r="R830" i="2" s="1"/>
  <c r="S830" i="2" s="1"/>
  <c r="Q868" i="2"/>
  <c r="R868" i="2" s="1"/>
  <c r="S868" i="2" s="1"/>
  <c r="Q1177" i="2"/>
  <c r="R1177" i="2" s="1"/>
  <c r="S1177" i="2" s="1"/>
  <c r="Q1191" i="2"/>
  <c r="R1191" i="2" s="1"/>
  <c r="S1191" i="2" s="1"/>
  <c r="Q1109" i="2"/>
  <c r="R1109" i="2" s="1"/>
  <c r="S1109" i="2" s="1"/>
  <c r="Q1107" i="2"/>
  <c r="R1107" i="2" s="1"/>
  <c r="S1107" i="2" s="1"/>
  <c r="Q1108" i="2"/>
  <c r="R1108" i="2" s="1"/>
  <c r="S1108" i="2" s="1"/>
  <c r="Q1121" i="2"/>
  <c r="R1121" i="2" s="1"/>
  <c r="S1121" i="2" s="1"/>
  <c r="Q1020" i="2"/>
  <c r="R1020" i="2" s="1"/>
  <c r="S1020" i="2" s="1"/>
  <c r="Q1027" i="2"/>
  <c r="R1027" i="2" s="1"/>
  <c r="S1027" i="2" s="1"/>
  <c r="Q1411" i="2"/>
  <c r="R1411" i="2" s="1"/>
  <c r="S1411" i="2" s="1"/>
  <c r="Q1409" i="2"/>
  <c r="R1409" i="2" s="1"/>
  <c r="S1409" i="2" s="1"/>
  <c r="Q1412" i="2"/>
  <c r="R1412" i="2" s="1"/>
  <c r="S1412" i="2" s="1"/>
  <c r="Q1410" i="2"/>
  <c r="R1410" i="2" s="1"/>
  <c r="S1410" i="2" s="1"/>
  <c r="Q877" i="2"/>
  <c r="R877" i="2" s="1"/>
  <c r="S877" i="2" s="1"/>
  <c r="Q1195" i="2"/>
  <c r="R1195" i="2" s="1"/>
  <c r="S1195" i="2" s="1"/>
  <c r="Q1193" i="2"/>
  <c r="R1193" i="2" s="1"/>
  <c r="S1193" i="2" s="1"/>
  <c r="Q92" i="2"/>
  <c r="R92" i="2" s="1"/>
  <c r="S92" i="2" s="1"/>
  <c r="Q93" i="2"/>
  <c r="R93" i="2" s="1"/>
  <c r="S93" i="2" s="1"/>
  <c r="Q332" i="2"/>
  <c r="R332" i="2" s="1"/>
  <c r="S332" i="2" s="1"/>
  <c r="Q331" i="2"/>
  <c r="R331" i="2" s="1"/>
  <c r="S331" i="2" s="1"/>
  <c r="Q1110" i="2"/>
  <c r="R1110" i="2" s="1"/>
  <c r="S1110" i="2" s="1"/>
  <c r="Q1122" i="2"/>
  <c r="R1122" i="2" s="1"/>
  <c r="S1122" i="2" s="1"/>
  <c r="Q1021" i="2"/>
  <c r="R1021" i="2" s="1"/>
  <c r="S1021" i="2" s="1"/>
  <c r="Q1028" i="2"/>
  <c r="R1028" i="2" s="1"/>
  <c r="S1028" i="2" s="1"/>
  <c r="Q1042" i="2"/>
  <c r="R1042" i="2" s="1"/>
  <c r="S1042" i="2" s="1"/>
  <c r="Q1111" i="2"/>
  <c r="R1111" i="2" s="1"/>
  <c r="S1111" i="2" s="1"/>
  <c r="Q1112" i="2"/>
  <c r="R1112" i="2" s="1"/>
  <c r="S1112" i="2" s="1"/>
  <c r="Q1447" i="2"/>
  <c r="R1447" i="2" s="1"/>
  <c r="S1447" i="2" s="1"/>
  <c r="Q1404" i="2"/>
  <c r="R1404" i="2" s="1"/>
  <c r="S1404" i="2" s="1"/>
  <c r="Q536" i="2"/>
  <c r="R536" i="2" s="1"/>
  <c r="S536" i="2" s="1"/>
  <c r="Q955" i="2"/>
  <c r="R955" i="2" s="1"/>
  <c r="S955" i="2" s="1"/>
  <c r="Q952" i="2"/>
  <c r="R952" i="2" s="1"/>
  <c r="S952" i="2" s="1"/>
  <c r="Q948" i="2"/>
  <c r="R948" i="2" s="1"/>
  <c r="S948" i="2" s="1"/>
  <c r="Q947" i="2"/>
  <c r="R947" i="2" s="1"/>
  <c r="S947" i="2" s="1"/>
  <c r="Q680" i="2"/>
  <c r="R680" i="2" s="1"/>
  <c r="S680" i="2" s="1"/>
  <c r="Q684" i="2"/>
  <c r="R684" i="2" s="1"/>
  <c r="S684" i="2" s="1"/>
  <c r="Q722" i="2"/>
  <c r="R722" i="2" s="1"/>
  <c r="S722" i="2" s="1"/>
  <c r="Q910" i="2"/>
  <c r="R910" i="2" s="1"/>
  <c r="S910" i="2" s="1"/>
  <c r="Q334" i="2"/>
  <c r="R334" i="2" s="1"/>
  <c r="S334" i="2" s="1"/>
  <c r="Q198" i="2"/>
  <c r="R198" i="2" s="1"/>
  <c r="S198" i="2" s="1"/>
  <c r="Q190" i="2"/>
  <c r="R190" i="2" s="1"/>
  <c r="S190" i="2" s="1"/>
  <c r="Q185" i="2"/>
  <c r="R185" i="2" s="1"/>
  <c r="S185" i="2" s="1"/>
  <c r="Q649" i="2"/>
  <c r="R649" i="2" s="1"/>
  <c r="S649" i="2" s="1"/>
  <c r="Q650" i="2"/>
  <c r="R650" i="2" s="1"/>
  <c r="S650" i="2" s="1"/>
  <c r="Q651" i="2"/>
  <c r="R651" i="2" s="1"/>
  <c r="S651" i="2" s="1"/>
  <c r="Q652" i="2"/>
  <c r="R652" i="2" s="1"/>
  <c r="S652" i="2" s="1"/>
  <c r="Q1251" i="2"/>
  <c r="R1251" i="2" s="1"/>
  <c r="S1251" i="2" s="1"/>
  <c r="Q1252" i="2"/>
  <c r="R1252" i="2" s="1"/>
  <c r="S1252" i="2" s="1"/>
  <c r="Q1253" i="2"/>
  <c r="R1253" i="2" s="1"/>
  <c r="S1253" i="2" s="1"/>
  <c r="Q1365" i="2"/>
  <c r="R1365" i="2" s="1"/>
  <c r="S1365" i="2" s="1"/>
  <c r="Q1174" i="2"/>
  <c r="R1174" i="2" s="1"/>
  <c r="S1174" i="2" s="1"/>
  <c r="Q1173" i="2"/>
  <c r="R1173" i="2" s="1"/>
  <c r="S1173" i="2" s="1"/>
  <c r="Q1386" i="2"/>
  <c r="R1386" i="2" s="1"/>
  <c r="S1386" i="2" s="1"/>
  <c r="Q1394" i="2"/>
  <c r="R1394" i="2" s="1"/>
  <c r="S1394" i="2" s="1"/>
  <c r="Q668" i="2"/>
  <c r="R668" i="2" s="1"/>
  <c r="S668" i="2" s="1"/>
  <c r="Q1364" i="2"/>
  <c r="R1364" i="2" s="1"/>
  <c r="S1364" i="2" s="1"/>
  <c r="Q1389" i="2"/>
  <c r="R1389" i="2" s="1"/>
  <c r="S1389" i="2" s="1"/>
  <c r="Q827" i="2"/>
  <c r="R827" i="2" s="1"/>
  <c r="S827" i="2" s="1"/>
  <c r="Q837" i="2"/>
  <c r="R837" i="2" s="1"/>
  <c r="S837" i="2" s="1"/>
  <c r="Q834" i="2"/>
  <c r="R834" i="2" s="1"/>
  <c r="S834" i="2" s="1"/>
  <c r="Q865" i="2"/>
  <c r="R865" i="2" s="1"/>
  <c r="S865" i="2" s="1"/>
  <c r="Q863" i="2"/>
  <c r="R863" i="2" s="1"/>
  <c r="S863" i="2" s="1"/>
  <c r="Q879" i="2"/>
  <c r="R879" i="2" s="1"/>
  <c r="S879" i="2" s="1"/>
  <c r="Q657" i="2"/>
  <c r="R657" i="2" s="1"/>
  <c r="S657" i="2" s="1"/>
  <c r="Q1114" i="2"/>
  <c r="R1114" i="2" s="1"/>
  <c r="S1114" i="2" s="1"/>
  <c r="Q1169" i="2"/>
  <c r="R1169" i="2" s="1"/>
  <c r="S1169" i="2" s="1"/>
  <c r="Q838" i="2"/>
  <c r="R838" i="2" s="1"/>
  <c r="S838" i="2" s="1"/>
  <c r="Q442" i="2"/>
  <c r="R442" i="2" s="1"/>
  <c r="S442" i="2" s="1"/>
  <c r="Q367" i="2"/>
  <c r="R367" i="2" s="1"/>
  <c r="S367" i="2" s="1"/>
  <c r="Q366" i="2"/>
  <c r="R366" i="2" s="1"/>
  <c r="S366" i="2" s="1"/>
  <c r="Q365" i="2"/>
  <c r="R365" i="2" s="1"/>
  <c r="S365" i="2" s="1"/>
  <c r="Q770" i="2"/>
  <c r="R770" i="2" s="1"/>
  <c r="S770" i="2" s="1"/>
  <c r="Q769" i="2"/>
  <c r="R769" i="2" s="1"/>
  <c r="S769" i="2" s="1"/>
  <c r="Q94" i="2"/>
  <c r="R94" i="2" s="1"/>
  <c r="S94" i="2" s="1"/>
  <c r="Q75" i="2"/>
  <c r="R75" i="2" s="1"/>
  <c r="S75" i="2" s="1"/>
  <c r="Q95" i="2"/>
  <c r="R95" i="2" s="1"/>
  <c r="S95" i="2" s="1"/>
  <c r="Q428" i="2"/>
  <c r="R428" i="2" s="1"/>
  <c r="S428" i="2" s="1"/>
  <c r="Q426" i="2"/>
  <c r="R426" i="2" s="1"/>
  <c r="S426" i="2" s="1"/>
  <c r="Q427" i="2"/>
  <c r="R427" i="2" s="1"/>
  <c r="S427" i="2" s="1"/>
  <c r="Q178" i="2"/>
  <c r="R178" i="2" s="1"/>
  <c r="S178" i="2" s="1"/>
  <c r="Q177" i="2"/>
  <c r="R177" i="2" s="1"/>
  <c r="S177" i="2" s="1"/>
  <c r="Q84" i="2"/>
  <c r="R84" i="2" s="1"/>
  <c r="S84" i="2" s="1"/>
  <c r="Q236" i="2"/>
  <c r="R236" i="2" s="1"/>
  <c r="S236" i="2" s="1"/>
  <c r="Q528" i="2"/>
  <c r="R528" i="2" s="1"/>
  <c r="S528" i="2" s="1"/>
  <c r="Q524" i="2"/>
  <c r="R524" i="2" s="1"/>
  <c r="S524" i="2" s="1"/>
  <c r="Q522" i="2"/>
  <c r="R522" i="2" s="1"/>
  <c r="S522" i="2" s="1"/>
  <c r="Q523" i="2"/>
  <c r="R523" i="2" s="1"/>
  <c r="S523" i="2" s="1"/>
  <c r="Q521" i="2"/>
  <c r="R521" i="2" s="1"/>
  <c r="S521" i="2" s="1"/>
  <c r="Q110" i="2"/>
  <c r="R110" i="2" s="1"/>
  <c r="S110" i="2" s="1"/>
  <c r="Q1414" i="2"/>
  <c r="R1414" i="2" s="1"/>
  <c r="S1414" i="2" s="1"/>
  <c r="Q1413" i="2"/>
  <c r="R1413" i="2" s="1"/>
  <c r="S1413" i="2" s="1"/>
  <c r="Q956" i="2"/>
  <c r="R956" i="2" s="1"/>
  <c r="S956" i="2" s="1"/>
  <c r="Q953" i="2"/>
  <c r="R953" i="2" s="1"/>
  <c r="S953" i="2" s="1"/>
  <c r="Q949" i="2"/>
  <c r="R949" i="2" s="1"/>
  <c r="S949" i="2" s="1"/>
  <c r="Q665" i="2"/>
  <c r="R665" i="2" s="1"/>
  <c r="S665" i="2" s="1"/>
  <c r="Q664" i="2"/>
  <c r="R664" i="2" s="1"/>
  <c r="S664" i="2" s="1"/>
  <c r="Q1196" i="2"/>
  <c r="R1196" i="2" s="1"/>
  <c r="S1196" i="2" s="1"/>
  <c r="Q1194" i="2"/>
  <c r="R1194" i="2" s="1"/>
  <c r="S1194" i="2" s="1"/>
  <c r="Q1385" i="2"/>
  <c r="R1385" i="2" s="1"/>
  <c r="S1385" i="2" s="1"/>
  <c r="Q1166" i="2"/>
  <c r="R1166" i="2" s="1"/>
  <c r="S1166" i="2" s="1"/>
  <c r="Q1165" i="2"/>
  <c r="R1165" i="2" s="1"/>
  <c r="S1165" i="2" s="1"/>
  <c r="Q532" i="2"/>
  <c r="R532" i="2" s="1"/>
  <c r="S532" i="2" s="1"/>
  <c r="Q656" i="2"/>
  <c r="R656" i="2" s="1"/>
  <c r="S656" i="2" s="1"/>
  <c r="Q1372" i="2"/>
  <c r="R1372" i="2" s="1"/>
  <c r="S1372" i="2" s="1"/>
  <c r="Q531" i="2"/>
  <c r="R531" i="2" s="1"/>
  <c r="S531" i="2" s="1"/>
  <c r="Q325" i="2"/>
  <c r="R325" i="2" s="1"/>
  <c r="S325" i="2" s="1"/>
  <c r="Q326" i="2"/>
  <c r="R326" i="2" s="1"/>
  <c r="S326" i="2" s="1"/>
  <c r="Q874" i="2"/>
  <c r="R874" i="2" s="1"/>
  <c r="S874" i="2" s="1"/>
  <c r="Q931" i="2"/>
  <c r="R931" i="2" s="1"/>
  <c r="S931" i="2" s="1"/>
  <c r="Q945" i="2"/>
  <c r="R945" i="2" s="1"/>
  <c r="S945" i="2" s="1"/>
  <c r="Q1047" i="2"/>
  <c r="R1047" i="2" s="1"/>
  <c r="S1047" i="2" s="1"/>
  <c r="Q1115" i="2"/>
  <c r="R1115" i="2" s="1"/>
  <c r="S1115" i="2" s="1"/>
  <c r="Q723" i="2"/>
  <c r="R723" i="2" s="1"/>
  <c r="S723" i="2" s="1"/>
  <c r="Q873" i="2"/>
  <c r="R873" i="2" s="1"/>
  <c r="S873" i="2" s="1"/>
  <c r="Q1018" i="2"/>
  <c r="R1018" i="2" s="1"/>
  <c r="S1018" i="2" s="1"/>
  <c r="Q1060" i="2"/>
  <c r="R1060" i="2" s="1"/>
  <c r="S1060" i="2" s="1"/>
  <c r="Q438" i="2"/>
  <c r="R438" i="2" s="1"/>
  <c r="S438" i="2" s="1"/>
  <c r="Q439" i="2"/>
  <c r="R439" i="2" s="1"/>
  <c r="S439" i="2" s="1"/>
  <c r="Q440" i="2"/>
  <c r="R440" i="2" s="1"/>
  <c r="S440" i="2" s="1"/>
  <c r="Q337" i="2"/>
  <c r="R337" i="2" s="1"/>
  <c r="S337" i="2" s="1"/>
  <c r="Q685" i="2"/>
  <c r="R685" i="2" s="1"/>
  <c r="S685" i="2" s="1"/>
  <c r="Q689" i="2"/>
  <c r="R689" i="2" s="1"/>
  <c r="S689" i="2" s="1"/>
  <c r="Q249" i="2"/>
  <c r="R249" i="2" s="1"/>
  <c r="S249" i="2" s="1"/>
  <c r="Q1124" i="2"/>
  <c r="R1124" i="2" s="1"/>
  <c r="S1124" i="2" s="1"/>
  <c r="Q944" i="2"/>
  <c r="R944" i="2" s="1"/>
  <c r="S944" i="2" s="1"/>
  <c r="Q119" i="2"/>
  <c r="R119" i="2" s="1"/>
  <c r="S119" i="2" s="1"/>
  <c r="Q327" i="2"/>
  <c r="R327" i="2" s="1"/>
  <c r="S327" i="2" s="1"/>
  <c r="Q328" i="2"/>
  <c r="R328" i="2" s="1"/>
  <c r="S328" i="2" s="1"/>
  <c r="Q329" i="2"/>
  <c r="R329" i="2" s="1"/>
  <c r="S329" i="2" s="1"/>
  <c r="Q115" i="2"/>
  <c r="R115" i="2" s="1"/>
  <c r="S115" i="2" s="1"/>
  <c r="Q370" i="2"/>
  <c r="R370" i="2" s="1"/>
  <c r="S370" i="2" s="1"/>
  <c r="Q369" i="2"/>
  <c r="R369" i="2" s="1"/>
  <c r="S369" i="2" s="1"/>
  <c r="Q368" i="2"/>
  <c r="R368" i="2" s="1"/>
  <c r="S368" i="2" s="1"/>
  <c r="Q1249" i="2"/>
  <c r="R1249" i="2" s="1"/>
  <c r="S1249" i="2" s="1"/>
  <c r="Q1058" i="2"/>
  <c r="R1058" i="2" s="1"/>
  <c r="S1058" i="2" s="1"/>
  <c r="Q1029" i="2"/>
  <c r="R1029" i="2" s="1"/>
  <c r="S1029" i="2" s="1"/>
  <c r="Q1116" i="2"/>
  <c r="R1116" i="2" s="1"/>
  <c r="S1116" i="2" s="1"/>
  <c r="Q875" i="2"/>
  <c r="R875" i="2" s="1"/>
  <c r="S875" i="2" s="1"/>
  <c r="Q963" i="2"/>
  <c r="R963" i="2" s="1"/>
  <c r="S963" i="2" s="1"/>
  <c r="Q1016" i="2"/>
  <c r="R1016" i="2" s="1"/>
  <c r="S1016" i="2" s="1"/>
  <c r="Q1056" i="2"/>
  <c r="R1056" i="2" s="1"/>
  <c r="S1056" i="2" s="1"/>
  <c r="Q1057" i="2"/>
  <c r="R1057" i="2" s="1"/>
  <c r="S1057" i="2" s="1"/>
  <c r="Q958" i="2"/>
  <c r="R958" i="2" s="1"/>
  <c r="S958" i="2" s="1"/>
  <c r="Q1117" i="2"/>
  <c r="R1117" i="2" s="1"/>
  <c r="S1117" i="2" s="1"/>
  <c r="Q338" i="2"/>
  <c r="R338" i="2" s="1"/>
  <c r="S338" i="2" s="1"/>
  <c r="Q432" i="2"/>
  <c r="R432" i="2" s="1"/>
  <c r="S432" i="2" s="1"/>
  <c r="Q441" i="2"/>
  <c r="R441" i="2" s="1"/>
  <c r="S441" i="2" s="1"/>
  <c r="Q517" i="2"/>
  <c r="R517" i="2" s="1"/>
  <c r="S517" i="2" s="1"/>
  <c r="Q1046" i="2"/>
  <c r="R1046" i="2" s="1"/>
  <c r="S1046" i="2" s="1"/>
  <c r="Q1308" i="2"/>
  <c r="R1308" i="2" s="1"/>
  <c r="S1308" i="2" s="1"/>
  <c r="Q1307" i="2"/>
  <c r="R1307" i="2" s="1"/>
  <c r="S1307" i="2" s="1"/>
  <c r="Q243" i="2"/>
  <c r="R243" i="2" s="1"/>
  <c r="S243" i="2" s="1"/>
  <c r="Q725" i="2"/>
  <c r="R725" i="2" s="1"/>
  <c r="S725" i="2" s="1"/>
  <c r="Q232" i="2"/>
  <c r="R232" i="2" s="1"/>
  <c r="S232" i="2" s="1"/>
  <c r="Q425" i="2"/>
  <c r="R425" i="2" s="1"/>
  <c r="S425" i="2" s="1"/>
  <c r="Q224" i="2"/>
  <c r="R224" i="2" s="1"/>
  <c r="S224" i="2" s="1"/>
  <c r="Q225" i="2"/>
  <c r="R225" i="2" s="1"/>
  <c r="S225" i="2" s="1"/>
  <c r="Q200" i="2"/>
  <c r="R200" i="2" s="1"/>
  <c r="S200" i="2" s="1"/>
  <c r="Q537" i="2"/>
  <c r="R537" i="2" s="1"/>
  <c r="S537" i="2" s="1"/>
  <c r="Q525" i="2"/>
  <c r="R525" i="2" s="1"/>
  <c r="S525" i="2" s="1"/>
  <c r="Q678" i="2"/>
  <c r="R678" i="2" s="1"/>
  <c r="S678" i="2" s="1"/>
  <c r="Q183" i="2"/>
  <c r="R183" i="2" s="1"/>
  <c r="S183" i="2" s="1"/>
  <c r="Q1397" i="2"/>
  <c r="R1397" i="2" s="1"/>
  <c r="S1397" i="2" s="1"/>
  <c r="Q1062" i="2"/>
  <c r="R1062" i="2" s="1"/>
  <c r="S1062" i="2" s="1"/>
  <c r="Q862" i="2"/>
  <c r="R862" i="2" s="1"/>
  <c r="S862" i="2" s="1"/>
  <c r="Q683" i="2"/>
  <c r="R683" i="2" s="1"/>
  <c r="S683" i="2" s="1"/>
  <c r="Q962" i="2"/>
  <c r="R962" i="2" s="1"/>
  <c r="S962" i="2" s="1"/>
  <c r="Q138" i="2"/>
  <c r="R138" i="2" s="1"/>
  <c r="S138" i="2" s="1"/>
  <c r="Q825" i="2"/>
  <c r="R825" i="2" s="1"/>
  <c r="S825" i="2" s="1"/>
  <c r="Q835" i="2"/>
  <c r="R835" i="2" s="1"/>
  <c r="S835" i="2" s="1"/>
  <c r="Q833" i="2"/>
  <c r="R833" i="2" s="1"/>
  <c r="S833" i="2" s="1"/>
  <c r="Q828" i="2"/>
  <c r="R828" i="2" s="1"/>
  <c r="S828" i="2" s="1"/>
  <c r="Q826" i="2"/>
  <c r="R826" i="2" s="1"/>
  <c r="S826" i="2" s="1"/>
  <c r="Q836" i="2"/>
  <c r="R836" i="2" s="1"/>
  <c r="S836" i="2" s="1"/>
  <c r="Q864" i="2"/>
  <c r="R864" i="2" s="1"/>
  <c r="S864" i="2" s="1"/>
  <c r="Q880" i="2"/>
  <c r="R880" i="2" s="1"/>
  <c r="S880" i="2" s="1"/>
  <c r="Q878" i="2"/>
  <c r="R878" i="2" s="1"/>
  <c r="S878" i="2" s="1"/>
  <c r="Q397" i="2"/>
  <c r="R397" i="2" s="1"/>
  <c r="S397" i="2" s="1"/>
  <c r="Q339" i="2"/>
  <c r="R339" i="2" s="1"/>
  <c r="S339" i="2" s="1"/>
  <c r="Q342" i="2"/>
  <c r="R342" i="2" s="1"/>
  <c r="S342" i="2" s="1"/>
  <c r="Q1023" i="2"/>
  <c r="R1023" i="2" s="1"/>
  <c r="S1023" i="2" s="1"/>
  <c r="Q1024" i="2"/>
  <c r="R1024" i="2" s="1"/>
  <c r="S1024" i="2" s="1"/>
  <c r="Q1025" i="2"/>
  <c r="R1025" i="2" s="1"/>
  <c r="S1025" i="2" s="1"/>
  <c r="Q1040" i="2"/>
  <c r="R1040" i="2" s="1"/>
  <c r="S1040" i="2" s="1"/>
  <c r="Q1041" i="2"/>
  <c r="R1041" i="2" s="1"/>
  <c r="S1041" i="2" s="1"/>
  <c r="Q1043" i="2"/>
  <c r="R1043" i="2" s="1"/>
  <c r="S1043" i="2" s="1"/>
  <c r="Q832" i="2"/>
  <c r="R832" i="2" s="1"/>
  <c r="S832" i="2" s="1"/>
  <c r="Q681" i="2"/>
  <c r="R681" i="2" s="1"/>
  <c r="S681" i="2" s="1"/>
  <c r="Q527" i="2"/>
  <c r="R527" i="2" s="1"/>
  <c r="S527" i="2" s="1"/>
  <c r="Q238" i="2"/>
  <c r="R238" i="2" s="1"/>
  <c r="S238" i="2" s="1"/>
  <c r="Q644" i="2"/>
  <c r="R644" i="2" s="1"/>
  <c r="S644" i="2" s="1"/>
  <c r="Q663" i="2"/>
  <c r="R663" i="2" s="1"/>
  <c r="S663" i="2" s="1"/>
  <c r="Q679" i="2"/>
  <c r="R679" i="2" s="1"/>
  <c r="S679" i="2" s="1"/>
  <c r="Q539" i="2"/>
  <c r="R539" i="2" s="1"/>
  <c r="S539" i="2" s="1"/>
  <c r="Q341" i="2"/>
  <c r="R341" i="2" s="1"/>
  <c r="S341" i="2" s="1"/>
  <c r="Q372" i="2"/>
  <c r="R372" i="2" s="1"/>
  <c r="S372" i="2" s="1"/>
  <c r="Q373" i="2"/>
  <c r="R373" i="2" s="1"/>
  <c r="S373" i="2" s="1"/>
  <c r="Q374" i="2"/>
  <c r="R374" i="2" s="1"/>
  <c r="S374" i="2" s="1"/>
  <c r="Q375" i="2"/>
  <c r="R375" i="2" s="1"/>
  <c r="S375" i="2" s="1"/>
  <c r="Q538" i="2"/>
  <c r="R538" i="2" s="1"/>
  <c r="S538" i="2" s="1"/>
  <c r="Q712" i="2"/>
  <c r="R712" i="2" s="1"/>
  <c r="S712" i="2" s="1"/>
  <c r="Q713" i="2"/>
  <c r="R713" i="2" s="1"/>
  <c r="S713" i="2" s="1"/>
  <c r="Q714" i="2"/>
  <c r="R714" i="2" s="1"/>
  <c r="S714" i="2" s="1"/>
  <c r="Q653" i="2"/>
  <c r="R653" i="2" s="1"/>
  <c r="S653" i="2" s="1"/>
  <c r="Q669" i="2"/>
  <c r="R669" i="2" s="1"/>
  <c r="S669" i="2" s="1"/>
  <c r="Q187" i="2"/>
  <c r="R187" i="2" s="1"/>
  <c r="S187" i="2" s="1"/>
  <c r="Q431" i="2"/>
  <c r="R431" i="2" s="1"/>
  <c r="S431" i="2" s="1"/>
  <c r="Q371" i="2"/>
  <c r="R371" i="2" s="1"/>
  <c r="S371" i="2" s="1"/>
  <c r="Q1247" i="2"/>
  <c r="R1247" i="2" s="1"/>
  <c r="S1247" i="2" s="1"/>
  <c r="Q1248" i="2"/>
  <c r="R1248" i="2" s="1"/>
  <c r="S1248" i="2" s="1"/>
  <c r="Q1374" i="2"/>
  <c r="R1374" i="2" s="1"/>
  <c r="S1374" i="2" s="1"/>
  <c r="Q1367" i="2"/>
  <c r="R1367" i="2" s="1"/>
  <c r="S1367" i="2" s="1"/>
  <c r="Q1375" i="2"/>
  <c r="R1375" i="2" s="1"/>
  <c r="S1375" i="2" s="1"/>
  <c r="Q1254" i="2"/>
  <c r="R1254" i="2" s="1"/>
  <c r="S1254" i="2" s="1"/>
  <c r="Q1366" i="2"/>
  <c r="R1366" i="2" s="1"/>
  <c r="S1366" i="2" s="1"/>
  <c r="Q933" i="2"/>
  <c r="R933" i="2" s="1"/>
  <c r="S933" i="2" s="1"/>
  <c r="Q960" i="2"/>
  <c r="R960" i="2" s="1"/>
  <c r="S960" i="2" s="1"/>
  <c r="Q961" i="2"/>
  <c r="R961" i="2" s="1"/>
  <c r="S961" i="2" s="1"/>
  <c r="Q199" i="2"/>
  <c r="R199" i="2" s="1"/>
  <c r="S199" i="2" s="1"/>
  <c r="Q191" i="2"/>
  <c r="R191" i="2" s="1"/>
  <c r="S191" i="2" s="1"/>
  <c r="Q186" i="2"/>
  <c r="R186" i="2" s="1"/>
  <c r="S186" i="2" s="1"/>
  <c r="Q544" i="2"/>
  <c r="R544" i="2" s="1"/>
  <c r="S544" i="2" s="1"/>
  <c r="Q429" i="2"/>
  <c r="R429" i="2" s="1"/>
  <c r="S429" i="2" s="1"/>
  <c r="Q153" i="2"/>
  <c r="R153" i="2" s="1"/>
  <c r="S153" i="2" s="1"/>
  <c r="Q87" i="2"/>
  <c r="R87" i="2" s="1"/>
  <c r="S87" i="2" s="1"/>
  <c r="Q154" i="2"/>
  <c r="R154" i="2" s="1"/>
  <c r="S154" i="2" s="1"/>
  <c r="Q88" i="2"/>
  <c r="R88" i="2" s="1"/>
  <c r="S88" i="2" s="1"/>
  <c r="Q125" i="2"/>
  <c r="R125" i="2" s="1"/>
  <c r="S125" i="2" s="1"/>
  <c r="Q134" i="2"/>
  <c r="R134" i="2" s="1"/>
  <c r="S134" i="2" s="1"/>
  <c r="Q159" i="2"/>
  <c r="R159" i="2" s="1"/>
  <c r="S159" i="2" s="1"/>
  <c r="Q168" i="2"/>
  <c r="R168" i="2" s="1"/>
  <c r="S168" i="2" s="1"/>
  <c r="Q174" i="2"/>
  <c r="R174" i="2" s="1"/>
  <c r="S174" i="2" s="1"/>
  <c r="Q176" i="2"/>
  <c r="R176" i="2" s="1"/>
  <c r="S176" i="2" s="1"/>
  <c r="Q117" i="2"/>
  <c r="R117" i="2" s="1"/>
  <c r="S117" i="2" s="1"/>
  <c r="Q1019" i="2"/>
  <c r="R1019" i="2" s="1"/>
  <c r="S1019" i="2" s="1"/>
  <c r="Q313" i="2"/>
  <c r="R313" i="2" s="1"/>
  <c r="S313" i="2" s="1"/>
  <c r="Q1387" i="2"/>
  <c r="R1387" i="2" s="1"/>
  <c r="S1387" i="2" s="1"/>
  <c r="Q1395" i="2"/>
  <c r="R1395" i="2" s="1"/>
  <c r="S1395" i="2" s="1"/>
  <c r="Q1453" i="2"/>
  <c r="R1453" i="2" s="1"/>
  <c r="S1453" i="2" s="1"/>
  <c r="Q1449" i="2"/>
  <c r="R1449" i="2" s="1"/>
  <c r="S1449" i="2" s="1"/>
  <c r="Q1503" i="2"/>
  <c r="R1503" i="2" s="1"/>
  <c r="S1503" i="2" s="1"/>
  <c r="Q85" i="2"/>
  <c r="R85" i="2" s="1"/>
  <c r="S85" i="2" s="1"/>
  <c r="Q1388" i="2"/>
  <c r="R1388" i="2" s="1"/>
  <c r="S1388" i="2" s="1"/>
  <c r="Q1396" i="2"/>
  <c r="R1396" i="2" s="1"/>
  <c r="S1396" i="2" s="1"/>
  <c r="Q195" i="2"/>
  <c r="R195" i="2" s="1"/>
  <c r="S195" i="2" s="1"/>
  <c r="Q203" i="2"/>
  <c r="R203" i="2" s="1"/>
  <c r="S203" i="2" s="1"/>
  <c r="Q433" i="2"/>
  <c r="R433" i="2" s="1"/>
  <c r="S433" i="2" s="1"/>
  <c r="Q104" i="2"/>
  <c r="R104" i="2" s="1"/>
  <c r="S104" i="2" s="1"/>
  <c r="Q542" i="2"/>
  <c r="R542" i="2" s="1"/>
  <c r="S542" i="2" s="1"/>
  <c r="Q1419" i="2"/>
  <c r="R1419" i="2" s="1"/>
  <c r="S1419" i="2" s="1"/>
  <c r="Q1376" i="2"/>
  <c r="R1376" i="2" s="1"/>
  <c r="S1376" i="2" s="1"/>
  <c r="Q1317" i="2"/>
  <c r="R1317" i="2" s="1"/>
  <c r="S1317" i="2" s="1"/>
  <c r="Q1318" i="2"/>
  <c r="R1318" i="2" s="1"/>
  <c r="S1318" i="2" s="1"/>
  <c r="Q1319" i="2"/>
  <c r="R1319" i="2" s="1"/>
  <c r="S1319" i="2" s="1"/>
  <c r="Q1320" i="2"/>
  <c r="R1320" i="2" s="1"/>
  <c r="S1320" i="2" s="1"/>
  <c r="Q1377" i="2"/>
  <c r="R1377" i="2" s="1"/>
  <c r="S1377" i="2" s="1"/>
  <c r="Q1378" i="2"/>
  <c r="R1378" i="2" s="1"/>
  <c r="S1378" i="2" s="1"/>
  <c r="Q1255" i="2"/>
  <c r="R1255" i="2" s="1"/>
  <c r="S1255" i="2" s="1"/>
  <c r="Q1257" i="2"/>
  <c r="R1257" i="2" s="1"/>
  <c r="S1257" i="2" s="1"/>
  <c r="Q1258" i="2"/>
  <c r="R1258" i="2" s="1"/>
  <c r="S1258" i="2" s="1"/>
  <c r="Q1301" i="2"/>
  <c r="R1301" i="2" s="1"/>
  <c r="S1301" i="2" s="1"/>
  <c r="Q1304" i="2"/>
  <c r="R1304" i="2" s="1"/>
  <c r="S1304" i="2" s="1"/>
  <c r="Q1380" i="2"/>
  <c r="R1380" i="2" s="1"/>
  <c r="S1380" i="2" s="1"/>
  <c r="Q1381" i="2"/>
  <c r="R1381" i="2" s="1"/>
  <c r="S1381" i="2" s="1"/>
  <c r="Q1256" i="2"/>
  <c r="R1256" i="2" s="1"/>
  <c r="S1256" i="2" s="1"/>
  <c r="Q1259" i="2"/>
  <c r="R1259" i="2" s="1"/>
  <c r="S1259" i="2" s="1"/>
  <c r="Q1260" i="2"/>
  <c r="R1260" i="2" s="1"/>
  <c r="S1260" i="2" s="1"/>
  <c r="Q1299" i="2"/>
  <c r="R1299" i="2" s="1"/>
  <c r="S1299" i="2" s="1"/>
  <c r="Q1302" i="2"/>
  <c r="R1302" i="2" s="1"/>
  <c r="S1302" i="2" s="1"/>
  <c r="Q1300" i="2"/>
  <c r="R1300" i="2" s="1"/>
  <c r="S1300" i="2" s="1"/>
  <c r="Q1303" i="2"/>
  <c r="R1303" i="2" s="1"/>
  <c r="S1303" i="2" s="1"/>
  <c r="Q1382" i="2"/>
  <c r="R1382" i="2" s="1"/>
  <c r="S1382" i="2" s="1"/>
  <c r="Q1383" i="2"/>
  <c r="R1383" i="2" s="1"/>
  <c r="S1383" i="2" s="1"/>
  <c r="Q1261" i="2"/>
  <c r="R1261" i="2" s="1"/>
  <c r="S1261" i="2" s="1"/>
  <c r="Q1305" i="2"/>
  <c r="R1305" i="2" s="1"/>
  <c r="S1305" i="2" s="1"/>
  <c r="Q1309" i="2"/>
  <c r="R1309" i="2" s="1"/>
  <c r="S1309" i="2" s="1"/>
  <c r="Q1306" i="2"/>
  <c r="R1306" i="2" s="1"/>
  <c r="S1306" i="2" s="1"/>
  <c r="Q1033" i="2"/>
  <c r="R1033" i="2" s="1"/>
  <c r="S1033" i="2" s="1"/>
  <c r="Q1170" i="2"/>
  <c r="R1170" i="2" s="1"/>
  <c r="S1170" i="2" s="1"/>
  <c r="Q227" i="2"/>
  <c r="R227" i="2" s="1"/>
  <c r="S227" i="2" s="1"/>
  <c r="Q247" i="2"/>
  <c r="R247" i="2" s="1"/>
  <c r="S247" i="2" s="1"/>
  <c r="Q340" i="2"/>
  <c r="R340" i="2" s="1"/>
  <c r="S340" i="2" s="1"/>
  <c r="Q127" i="2"/>
  <c r="R127" i="2" s="1"/>
  <c r="S127" i="2" s="1"/>
  <c r="Q196" i="2"/>
  <c r="R196" i="2" s="1"/>
  <c r="S196" i="2" s="1"/>
  <c r="Q80" i="2"/>
  <c r="R80" i="2" s="1"/>
  <c r="S80" i="2" s="1"/>
  <c r="Q197" i="2"/>
  <c r="R197" i="2" s="1"/>
  <c r="S197" i="2" s="1"/>
  <c r="Q228" i="2"/>
  <c r="R228" i="2" s="1"/>
  <c r="S228" i="2" s="1"/>
  <c r="Q161" i="2"/>
  <c r="R161" i="2" s="1"/>
  <c r="S161" i="2" s="1"/>
  <c r="Q81" i="2"/>
  <c r="R81" i="2" s="1"/>
  <c r="S81" i="2" s="1"/>
  <c r="Q226" i="2"/>
  <c r="R226" i="2" s="1"/>
  <c r="S226" i="2" s="1"/>
  <c r="Q202" i="2"/>
  <c r="R202" i="2" s="1"/>
  <c r="S202" i="2" s="1"/>
  <c r="Q229" i="2"/>
  <c r="R229" i="2" s="1"/>
  <c r="S229" i="2" s="1"/>
  <c r="Q230" i="2"/>
  <c r="R230" i="2" s="1"/>
  <c r="S230" i="2" s="1"/>
  <c r="Q105" i="2"/>
  <c r="R105" i="2" s="1"/>
  <c r="S105" i="2" s="1"/>
  <c r="Q146" i="2"/>
  <c r="R146" i="2" s="1"/>
  <c r="S146" i="2" s="1"/>
  <c r="Q147" i="2"/>
  <c r="R147" i="2" s="1"/>
  <c r="S147" i="2" s="1"/>
  <c r="Q148" i="2"/>
  <c r="R148" i="2" s="1"/>
  <c r="S148" i="2" s="1"/>
  <c r="Q106" i="2"/>
  <c r="R106" i="2" s="1"/>
  <c r="S106" i="2" s="1"/>
  <c r="Q932" i="2"/>
  <c r="R932" i="2" s="1"/>
  <c r="S932" i="2" s="1"/>
  <c r="Q946" i="2"/>
  <c r="R946" i="2" s="1"/>
  <c r="S946" i="2" s="1"/>
  <c r="Q829" i="2"/>
  <c r="R829" i="2" s="1"/>
  <c r="S829" i="2" s="1"/>
  <c r="Q324" i="2"/>
  <c r="R324" i="2" s="1"/>
  <c r="S324" i="2" s="1"/>
  <c r="Q908" i="2"/>
  <c r="R908" i="2" s="1"/>
  <c r="S908" i="2" s="1"/>
  <c r="Q881" i="2"/>
  <c r="R881" i="2" s="1"/>
  <c r="S881" i="2" s="1"/>
  <c r="Q882" i="2"/>
  <c r="R882" i="2" s="1"/>
  <c r="S882" i="2" s="1"/>
  <c r="Q922" i="2"/>
  <c r="R922" i="2" s="1"/>
  <c r="S922" i="2" s="1"/>
  <c r="Q926" i="2"/>
  <c r="R926" i="2" s="1"/>
  <c r="S926" i="2" s="1"/>
  <c r="Q927" i="2"/>
  <c r="R927" i="2" s="1"/>
  <c r="S927" i="2" s="1"/>
  <c r="Q925" i="2"/>
  <c r="R925" i="2" s="1"/>
  <c r="S925" i="2" s="1"/>
  <c r="Q924" i="2"/>
  <c r="R924" i="2" s="1"/>
  <c r="S924" i="2" s="1"/>
  <c r="Q923" i="2"/>
  <c r="R923" i="2" s="1"/>
  <c r="S923" i="2" s="1"/>
  <c r="Q928" i="2"/>
  <c r="R928" i="2" s="1"/>
  <c r="S928" i="2" s="1"/>
  <c r="Q929" i="2"/>
  <c r="R929" i="2" s="1"/>
  <c r="S929" i="2" s="1"/>
  <c r="Q930" i="2"/>
  <c r="R930" i="2" s="1"/>
  <c r="S930" i="2" s="1"/>
  <c r="Q938" i="2"/>
  <c r="R938" i="2" s="1"/>
  <c r="S938" i="2" s="1"/>
  <c r="Q937" i="2"/>
  <c r="R937" i="2" s="1"/>
  <c r="S937" i="2" s="1"/>
  <c r="Q936" i="2"/>
  <c r="R936" i="2" s="1"/>
  <c r="S936" i="2" s="1"/>
  <c r="Q935" i="2"/>
  <c r="R935" i="2" s="1"/>
  <c r="S935" i="2" s="1"/>
  <c r="Q934" i="2"/>
  <c r="R934" i="2" s="1"/>
  <c r="S934" i="2" s="1"/>
  <c r="Q940" i="2"/>
  <c r="R940" i="2" s="1"/>
  <c r="S940" i="2" s="1"/>
  <c r="Q939" i="2"/>
  <c r="R939" i="2" s="1"/>
  <c r="S939" i="2" s="1"/>
  <c r="Q915" i="2"/>
  <c r="R915" i="2" s="1"/>
  <c r="S915" i="2" s="1"/>
  <c r="Q914" i="2"/>
  <c r="R914" i="2" s="1"/>
  <c r="S914" i="2" s="1"/>
  <c r="Q911" i="2"/>
  <c r="R911" i="2" s="1"/>
  <c r="S911" i="2" s="1"/>
  <c r="Q912" i="2"/>
  <c r="R912" i="2" s="1"/>
  <c r="S912" i="2" s="1"/>
  <c r="Q913" i="2"/>
  <c r="R913" i="2" s="1"/>
  <c r="S913" i="2" s="1"/>
  <c r="Q917" i="2"/>
  <c r="R917" i="2" s="1"/>
  <c r="S917" i="2" s="1"/>
  <c r="Q918" i="2"/>
  <c r="R918" i="2" s="1"/>
  <c r="S918" i="2" s="1"/>
  <c r="Q916" i="2"/>
  <c r="R916" i="2" s="1"/>
  <c r="S916" i="2" s="1"/>
  <c r="Q921" i="2"/>
  <c r="R921" i="2" s="1"/>
  <c r="S921" i="2" s="1"/>
  <c r="Q920" i="2"/>
  <c r="R920" i="2" s="1"/>
  <c r="S920" i="2" s="1"/>
  <c r="Q919" i="2"/>
  <c r="R919" i="2" s="1"/>
  <c r="S919" i="2" s="1"/>
  <c r="Q245" i="2"/>
  <c r="R245" i="2" s="1"/>
  <c r="S245" i="2" s="1"/>
  <c r="Q319" i="2"/>
  <c r="R319" i="2" s="1"/>
  <c r="S319" i="2" s="1"/>
  <c r="Q194" i="2"/>
  <c r="R194" i="2" s="1"/>
  <c r="S194" i="2" s="1"/>
  <c r="Q131" i="2"/>
  <c r="R131" i="2" s="1"/>
  <c r="S131" i="2" s="1"/>
  <c r="Q167" i="2"/>
  <c r="R167" i="2" s="1"/>
  <c r="S167" i="2" s="1"/>
  <c r="Q166" i="2"/>
  <c r="R166" i="2" s="1"/>
  <c r="S166" i="2" s="1"/>
  <c r="Q1448" i="2"/>
  <c r="R1448" i="2" s="1"/>
  <c r="S1448" i="2" s="1"/>
  <c r="Q1450" i="2"/>
  <c r="R1450" i="2" s="1"/>
  <c r="S1450" i="2" s="1"/>
  <c r="Q1466" i="2"/>
  <c r="R1466" i="2" s="1"/>
  <c r="S1466" i="2" s="1"/>
  <c r="Q942" i="2"/>
  <c r="R942" i="2" s="1"/>
  <c r="S942" i="2" s="1"/>
  <c r="Q674" i="2"/>
  <c r="R674" i="2" s="1"/>
  <c r="S674" i="2" s="1"/>
  <c r="Q682" i="2"/>
  <c r="R682" i="2" s="1"/>
  <c r="S682" i="2" s="1"/>
  <c r="Q766" i="2"/>
  <c r="R766" i="2" s="1"/>
  <c r="S766" i="2" s="1"/>
  <c r="Q869" i="2"/>
  <c r="R869" i="2" s="1"/>
  <c r="S869" i="2" s="1"/>
  <c r="Q1017" i="2"/>
  <c r="R1017" i="2" s="1"/>
  <c r="S1017" i="2" s="1"/>
  <c r="Q1119" i="2"/>
  <c r="R1119" i="2" s="1"/>
  <c r="S1119" i="2" s="1"/>
  <c r="Q1190" i="2"/>
  <c r="R1190" i="2" s="1"/>
  <c r="S1190" i="2" s="1"/>
  <c r="Q654" i="2"/>
  <c r="R654" i="2" s="1"/>
  <c r="S654" i="2" s="1"/>
  <c r="Q675" i="2"/>
  <c r="R675" i="2" s="1"/>
  <c r="S675" i="2" s="1"/>
  <c r="Q866" i="2"/>
  <c r="R866" i="2" s="1"/>
  <c r="S866" i="2" s="1"/>
  <c r="Q1172" i="2"/>
  <c r="R1172" i="2" s="1"/>
  <c r="S1172" i="2" s="1"/>
  <c r="Q1379" i="2"/>
  <c r="R1379" i="2" s="1"/>
  <c r="S1379" i="2" s="1"/>
  <c r="Q145" i="2"/>
  <c r="R145" i="2" s="1"/>
  <c r="S145" i="2" s="1"/>
  <c r="Q430" i="2"/>
  <c r="R430" i="2" s="1"/>
  <c r="S430" i="2" s="1"/>
  <c r="Q86" i="2"/>
  <c r="R86" i="2" s="1"/>
  <c r="S86" i="2" s="1"/>
  <c r="Q241" i="2"/>
  <c r="R241" i="2" s="1"/>
  <c r="S241" i="2" s="1"/>
  <c r="Q250" i="2"/>
  <c r="R250" i="2" s="1"/>
  <c r="S250" i="2" s="1"/>
  <c r="Q318" i="2"/>
  <c r="R318" i="2" s="1"/>
  <c r="S318" i="2" s="1"/>
  <c r="Q246" i="2"/>
  <c r="R246" i="2" s="1"/>
  <c r="S246" i="2" s="1"/>
  <c r="Q156" i="2"/>
  <c r="R156" i="2" s="1"/>
  <c r="S156" i="2" s="1"/>
  <c r="Q118" i="2"/>
  <c r="R118" i="2" s="1"/>
  <c r="S118" i="2" s="1"/>
  <c r="Q173" i="2"/>
  <c r="R173" i="2" s="1"/>
  <c r="S173" i="2" s="1"/>
  <c r="Q91" i="2"/>
  <c r="R91" i="2" s="1"/>
  <c r="S91" i="2" s="1"/>
  <c r="Q139" i="2"/>
  <c r="R139" i="2" s="1"/>
  <c r="S139" i="2" s="1"/>
  <c r="Q330" i="2"/>
  <c r="R330" i="2" s="1"/>
  <c r="S330" i="2" s="1"/>
  <c r="Q189" i="2"/>
  <c r="R189" i="2" s="1"/>
  <c r="S189" i="2" s="1"/>
  <c r="Q136" i="2"/>
  <c r="R136" i="2" s="1"/>
  <c r="S136" i="2" s="1"/>
  <c r="Q144" i="2"/>
  <c r="R144" i="2" s="1"/>
  <c r="S144" i="2" s="1"/>
  <c r="Q122" i="2"/>
  <c r="R122" i="2" s="1"/>
  <c r="S122" i="2" s="1"/>
  <c r="Q143" i="2"/>
  <c r="R143" i="2" s="1"/>
  <c r="S143" i="2" s="1"/>
  <c r="Q677" i="2"/>
  <c r="R677" i="2" s="1"/>
  <c r="S677" i="2" s="1"/>
  <c r="Q1034" i="2"/>
  <c r="R1034" i="2" s="1"/>
  <c r="S1034" i="2" s="1"/>
  <c r="Q1498" i="2"/>
  <c r="R1498" i="2" s="1"/>
  <c r="S1498" i="2" s="1"/>
  <c r="Q1499" i="2"/>
  <c r="R1499" i="2" s="1"/>
  <c r="S1499" i="2" s="1"/>
  <c r="Q1500" i="2"/>
  <c r="R1500" i="2" s="1"/>
  <c r="S1500" i="2" s="1"/>
  <c r="Q1502" i="2"/>
  <c r="R1502" i="2" s="1"/>
  <c r="S1502" i="2" s="1"/>
  <c r="Q1458" i="2"/>
  <c r="R1458" i="2" s="1"/>
  <c r="S1458" i="2" s="1"/>
  <c r="Q726" i="2"/>
  <c r="R726" i="2" s="1"/>
  <c r="S726" i="2" s="1"/>
  <c r="Q727" i="2"/>
  <c r="R727" i="2" s="1"/>
  <c r="S727" i="2" s="1"/>
  <c r="Q728" i="2"/>
  <c r="R728" i="2" s="1"/>
  <c r="S728" i="2" s="1"/>
  <c r="Q839" i="2"/>
  <c r="R839" i="2" s="1"/>
  <c r="S839" i="2" s="1"/>
  <c r="Q729" i="2"/>
  <c r="R729" i="2" s="1"/>
  <c r="S729" i="2" s="1"/>
  <c r="Q730" i="2"/>
  <c r="R730" i="2" s="1"/>
  <c r="S730" i="2" s="1"/>
  <c r="Q731" i="2"/>
  <c r="R731" i="2" s="1"/>
  <c r="S731" i="2" s="1"/>
  <c r="Q840" i="2"/>
  <c r="R840" i="2" s="1"/>
  <c r="S840" i="2" s="1"/>
  <c r="Q434" i="2"/>
  <c r="R434" i="2" s="1"/>
  <c r="S434" i="2" s="1"/>
  <c r="Q393" i="2"/>
  <c r="R393" i="2" s="1"/>
  <c r="S393" i="2" s="1"/>
  <c r="Q435" i="2"/>
  <c r="R435" i="2" s="1"/>
  <c r="S435" i="2" s="1"/>
  <c r="Q394" i="2"/>
  <c r="R394" i="2" s="1"/>
  <c r="S394" i="2" s="1"/>
  <c r="Q436" i="2"/>
  <c r="R436" i="2" s="1"/>
  <c r="S436" i="2" s="1"/>
  <c r="Q395" i="2"/>
  <c r="R395" i="2" s="1"/>
  <c r="S395" i="2" s="1"/>
  <c r="Q437" i="2"/>
  <c r="R437" i="2" s="1"/>
  <c r="S437" i="2" s="1"/>
  <c r="Q396" i="2"/>
  <c r="R396" i="2" s="1"/>
  <c r="S396" i="2" s="1"/>
  <c r="Q870" i="2"/>
  <c r="R870" i="2" s="1"/>
  <c r="S870" i="2" s="1"/>
  <c r="Q871" i="2"/>
  <c r="R871" i="2" s="1"/>
  <c r="S871" i="2" s="1"/>
  <c r="Q1407" i="2"/>
  <c r="R1407" i="2" s="1"/>
  <c r="S1407" i="2" s="1"/>
  <c r="Q1405" i="2"/>
  <c r="R1405" i="2" s="1"/>
  <c r="S1405" i="2" s="1"/>
  <c r="Q1406" i="2"/>
  <c r="R1406" i="2" s="1"/>
  <c r="S1406" i="2" s="1"/>
  <c r="Q152" i="2"/>
  <c r="R152" i="2" s="1"/>
  <c r="S152" i="2" s="1"/>
  <c r="Q692" i="2"/>
  <c r="R692" i="2" s="1"/>
  <c r="S692" i="2" s="1"/>
  <c r="Q693" i="2"/>
  <c r="R693" i="2" s="1"/>
  <c r="S693" i="2" s="1"/>
  <c r="Q694" i="2"/>
  <c r="R694" i="2" s="1"/>
  <c r="S694" i="2" s="1"/>
  <c r="Q695" i="2"/>
  <c r="R695" i="2" s="1"/>
  <c r="S695" i="2" s="1"/>
  <c r="Q696" i="2"/>
  <c r="R696" i="2" s="1"/>
  <c r="S696" i="2" s="1"/>
  <c r="Q1459" i="2"/>
  <c r="R1459" i="2" s="1"/>
  <c r="S1459" i="2" s="1"/>
  <c r="Q1369" i="2"/>
  <c r="R1369" i="2" s="1"/>
  <c r="S1369" i="2" s="1"/>
  <c r="Q661" i="2"/>
  <c r="R661" i="2" s="1"/>
  <c r="S661" i="2" s="1"/>
  <c r="Q321" i="2"/>
  <c r="R321" i="2" s="1"/>
  <c r="S321" i="2" s="1"/>
  <c r="Q314" i="2"/>
  <c r="R314" i="2" s="1"/>
  <c r="S314" i="2" s="1"/>
  <c r="Q315" i="2"/>
  <c r="R315" i="2" s="1"/>
  <c r="S315" i="2" s="1"/>
  <c r="Q253" i="2"/>
  <c r="R253" i="2" s="1"/>
  <c r="S253" i="2" s="1"/>
  <c r="Q251" i="2"/>
  <c r="R251" i="2" s="1"/>
  <c r="S251" i="2" s="1"/>
  <c r="Q335" i="2"/>
  <c r="R335" i="2" s="1"/>
  <c r="S335" i="2" s="1"/>
  <c r="Q128" i="2"/>
  <c r="R128" i="2" s="1"/>
  <c r="S128" i="2" s="1"/>
  <c r="Q126" i="2"/>
  <c r="R126" i="2" s="1"/>
  <c r="S126" i="2" s="1"/>
  <c r="Q111" i="2"/>
  <c r="R111" i="2" s="1"/>
  <c r="S111" i="2" s="1"/>
  <c r="Q112" i="2"/>
  <c r="R112" i="2" s="1"/>
  <c r="S112" i="2" s="1"/>
  <c r="Q113" i="2"/>
  <c r="R113" i="2" s="1"/>
  <c r="S113" i="2" s="1"/>
  <c r="Q120" i="2"/>
  <c r="R120" i="2" s="1"/>
  <c r="S120" i="2" s="1"/>
  <c r="Q121" i="2"/>
  <c r="R121" i="2" s="1"/>
  <c r="S121" i="2" s="1"/>
  <c r="Q142" i="2"/>
  <c r="R142" i="2" s="1"/>
  <c r="S142" i="2" s="1"/>
  <c r="Q231" i="2"/>
  <c r="R231" i="2" s="1"/>
  <c r="S231" i="2" s="1"/>
  <c r="Q233" i="2"/>
  <c r="R233" i="2" s="1"/>
  <c r="S233" i="2" s="1"/>
  <c r="Q242" i="2"/>
  <c r="R242" i="2" s="1"/>
  <c r="S242" i="2" s="1"/>
  <c r="Q244" i="2"/>
  <c r="R244" i="2" s="1"/>
  <c r="S244" i="2" s="1"/>
  <c r="Q201" i="2"/>
  <c r="R201" i="2" s="1"/>
  <c r="S201" i="2" s="1"/>
  <c r="Q526" i="2"/>
  <c r="R526" i="2" s="1"/>
  <c r="S526" i="2" s="1"/>
  <c r="Q666" i="2"/>
  <c r="R666" i="2" s="1"/>
  <c r="S666" i="2" s="1"/>
  <c r="Q645" i="2"/>
  <c r="R645" i="2" s="1"/>
  <c r="S645" i="2" s="1"/>
  <c r="Q180" i="2"/>
  <c r="R180" i="2" s="1"/>
  <c r="S180" i="2" s="1"/>
  <c r="Q237" i="2"/>
  <c r="R237" i="2" s="1"/>
  <c r="S237" i="2" s="1"/>
  <c r="Q316" i="2"/>
  <c r="R316" i="2" s="1"/>
  <c r="S316" i="2" s="1"/>
  <c r="Q116" i="2"/>
  <c r="R116" i="2" s="1"/>
  <c r="S116" i="2" s="1"/>
  <c r="Q320" i="2"/>
  <c r="R320" i="2" s="1"/>
  <c r="S320" i="2" s="1"/>
  <c r="Q254" i="2"/>
  <c r="R254" i="2" s="1"/>
  <c r="S254" i="2" s="1"/>
  <c r="Q179" i="2"/>
  <c r="R179" i="2" s="1"/>
  <c r="S179" i="2" s="1"/>
  <c r="Q184" i="2"/>
  <c r="R184" i="2" s="1"/>
  <c r="S184" i="2" s="1"/>
  <c r="Q234" i="2"/>
  <c r="R234" i="2" s="1"/>
  <c r="S234" i="2" s="1"/>
  <c r="Q376" i="2"/>
  <c r="R376" i="2" s="1"/>
  <c r="S376" i="2" s="1"/>
  <c r="Q724" i="2"/>
  <c r="R724" i="2" s="1"/>
  <c r="S724" i="2" s="1"/>
  <c r="Q1031" i="2"/>
  <c r="R1031" i="2" s="1"/>
  <c r="S1031" i="2" s="1"/>
  <c r="Q717" i="2"/>
  <c r="R717" i="2" s="1"/>
  <c r="S717" i="2" s="1"/>
  <c r="Q1494" i="2"/>
  <c r="R1494" i="2" s="1"/>
  <c r="S1494" i="2" s="1"/>
  <c r="Q1495" i="2"/>
  <c r="R1495" i="2" s="1"/>
  <c r="S1495" i="2" s="1"/>
  <c r="Q1454" i="2"/>
  <c r="R1454" i="2" s="1"/>
  <c r="S1454" i="2" s="1"/>
  <c r="Q1467" i="2"/>
  <c r="R1467" i="2" s="1"/>
  <c r="S1467" i="2" s="1"/>
  <c r="Q1451" i="2"/>
  <c r="R1451" i="2" s="1"/>
  <c r="S1451" i="2" s="1"/>
  <c r="Q697" i="2"/>
  <c r="R697" i="2" s="1"/>
  <c r="S697" i="2" s="1"/>
  <c r="Q841" i="2"/>
  <c r="R841" i="2" s="1"/>
  <c r="S841" i="2" s="1"/>
  <c r="Q732" i="2"/>
  <c r="R732" i="2" s="1"/>
  <c r="S732" i="2" s="1"/>
  <c r="Q733" i="2"/>
  <c r="R733" i="2" s="1"/>
  <c r="S733" i="2" s="1"/>
  <c r="Q1415" i="2"/>
  <c r="R1415" i="2" s="1"/>
  <c r="S1415" i="2" s="1"/>
  <c r="Q135" i="2"/>
  <c r="R135" i="2" s="1"/>
  <c r="S135" i="2" s="1"/>
  <c r="Q160" i="2"/>
  <c r="R160" i="2" s="1"/>
  <c r="S160" i="2" s="1"/>
  <c r="Q162" i="2"/>
  <c r="R162" i="2" s="1"/>
  <c r="S162" i="2" s="1"/>
  <c r="Q181" i="2"/>
  <c r="R181" i="2" s="1"/>
  <c r="S181" i="2" s="1"/>
  <c r="Q711" i="2"/>
  <c r="R711" i="2" s="1"/>
  <c r="S711" i="2" s="1"/>
  <c r="Q322" i="2"/>
  <c r="R322" i="2" s="1"/>
  <c r="S322" i="2" s="1"/>
  <c r="Q317" i="2"/>
  <c r="R317" i="2" s="1"/>
  <c r="S317" i="2" s="1"/>
  <c r="Q248" i="2"/>
  <c r="R248" i="2" s="1"/>
  <c r="S248" i="2" s="1"/>
  <c r="Q716" i="2"/>
  <c r="R716" i="2" s="1"/>
  <c r="S716" i="2" s="1"/>
  <c r="Q518" i="2"/>
  <c r="R518" i="2" s="1"/>
  <c r="S518" i="2" s="1"/>
  <c r="Q133" i="2"/>
  <c r="R133" i="2" s="1"/>
  <c r="S133" i="2" s="1"/>
  <c r="Q140" i="2"/>
  <c r="R140" i="2" s="1"/>
  <c r="S140" i="2" s="1"/>
  <c r="Q163" i="2"/>
  <c r="R163" i="2" s="1"/>
  <c r="S163" i="2" s="1"/>
  <c r="Q170" i="2"/>
  <c r="R170" i="2" s="1"/>
  <c r="S170" i="2" s="1"/>
  <c r="Q1496" i="2"/>
  <c r="R1496" i="2" s="1"/>
  <c r="S1496" i="2" s="1"/>
  <c r="Q1493" i="2"/>
  <c r="R1493" i="2" s="1"/>
  <c r="S1493" i="2" s="1"/>
  <c r="Q1460" i="2"/>
  <c r="R1460" i="2" s="1"/>
  <c r="S1460" i="2" s="1"/>
  <c r="Q700" i="2"/>
  <c r="R700" i="2" s="1"/>
  <c r="S700" i="2" s="1"/>
  <c r="Q698" i="2"/>
  <c r="R698" i="2" s="1"/>
  <c r="S698" i="2" s="1"/>
  <c r="Q701" i="2"/>
  <c r="R701" i="2" s="1"/>
  <c r="S701" i="2" s="1"/>
  <c r="Q718" i="2"/>
  <c r="R718" i="2" s="1"/>
  <c r="S718" i="2" s="1"/>
  <c r="Q702" i="2"/>
  <c r="R702" i="2" s="1"/>
  <c r="S702" i="2" s="1"/>
  <c r="Q699" i="2"/>
  <c r="R699" i="2" s="1"/>
  <c r="S699" i="2" s="1"/>
  <c r="Q719" i="2"/>
  <c r="R719" i="2" s="1"/>
  <c r="S719" i="2" s="1"/>
  <c r="Q1501" i="2"/>
  <c r="R1501" i="2" s="1"/>
  <c r="S1501" i="2" s="1"/>
  <c r="Q861" i="2"/>
  <c r="R861" i="2" s="1"/>
  <c r="S861" i="2" s="1"/>
  <c r="Q734" i="2"/>
  <c r="R734" i="2" s="1"/>
  <c r="S734" i="2" s="1"/>
  <c r="Q759" i="2"/>
  <c r="R759" i="2" s="1"/>
  <c r="S759" i="2" s="1"/>
  <c r="Q760" i="2"/>
  <c r="R760" i="2" s="1"/>
  <c r="S760" i="2" s="1"/>
  <c r="Q655" i="2"/>
  <c r="R655" i="2" s="1"/>
  <c r="S655" i="2" s="1"/>
  <c r="Q658" i="2"/>
  <c r="R658" i="2" s="1"/>
  <c r="S658" i="2" s="1"/>
  <c r="Q543" i="2"/>
  <c r="R543" i="2" s="1"/>
  <c r="S543" i="2" s="1"/>
  <c r="Q772" i="2"/>
  <c r="R772" i="2" s="1"/>
  <c r="S772" i="2" s="1"/>
  <c r="Q1059" i="2"/>
  <c r="R1059" i="2" s="1"/>
  <c r="S1059" i="2" s="1"/>
  <c r="Q761" i="2"/>
  <c r="R761" i="2" s="1"/>
  <c r="S761" i="2" s="1"/>
  <c r="Q519" i="2"/>
  <c r="R519" i="2" s="1"/>
  <c r="S519" i="2" s="1"/>
  <c r="Q767" i="2"/>
  <c r="R767" i="2" s="1"/>
  <c r="S767" i="2" s="1"/>
  <c r="Q1026" i="2"/>
  <c r="R1026" i="2" s="1"/>
  <c r="S1026" i="2" s="1"/>
  <c r="Q1452" i="2"/>
  <c r="R1452" i="2" s="1"/>
  <c r="S1452" i="2" s="1"/>
  <c r="Q1408" i="2"/>
  <c r="R1408" i="2" s="1"/>
  <c r="S1408" i="2" s="1"/>
  <c r="Q377" i="2"/>
  <c r="R377" i="2" s="1"/>
  <c r="S377" i="2" s="1"/>
  <c r="Q533" i="2"/>
  <c r="R533" i="2" s="1"/>
  <c r="S533" i="2" s="1"/>
  <c r="Q336" i="2"/>
  <c r="R336" i="2" s="1"/>
  <c r="S336" i="2" s="1"/>
  <c r="Q78" i="2"/>
  <c r="R78" i="2" s="1"/>
  <c r="S78" i="2" s="1"/>
  <c r="Q79" i="2"/>
  <c r="R79" i="2" s="1"/>
  <c r="S79" i="2" s="1"/>
  <c r="Q520" i="2"/>
  <c r="R520" i="2" s="1"/>
  <c r="S520" i="2" s="1"/>
  <c r="Q541" i="2"/>
  <c r="R541" i="2" s="1"/>
  <c r="S541" i="2" s="1"/>
  <c r="Q96" i="2"/>
  <c r="R96" i="2" s="1"/>
  <c r="S96" i="2" s="1"/>
  <c r="Q97" i="2"/>
  <c r="R97" i="2" s="1"/>
  <c r="S97" i="2" s="1"/>
  <c r="Q98" i="2"/>
  <c r="R98" i="2" s="1"/>
  <c r="S98" i="2" s="1"/>
  <c r="Q99" i="2"/>
  <c r="R99" i="2" s="1"/>
  <c r="S99" i="2" s="1"/>
  <c r="Q100" i="2"/>
  <c r="R100" i="2" s="1"/>
  <c r="S100" i="2" s="1"/>
  <c r="Q101" i="2"/>
  <c r="R101" i="2" s="1"/>
  <c r="S101" i="2" s="1"/>
  <c r="Q82" i="2"/>
  <c r="R82" i="2" s="1"/>
  <c r="S82" i="2" s="1"/>
  <c r="Q76" i="2"/>
  <c r="R76" i="2" s="1"/>
  <c r="S76" i="2" s="1"/>
  <c r="Q102" i="2"/>
  <c r="R102" i="2" s="1"/>
  <c r="S102" i="2" s="1"/>
  <c r="Q103" i="2"/>
  <c r="R103" i="2" s="1"/>
  <c r="S103" i="2" s="1"/>
  <c r="Q182" i="2"/>
  <c r="R182" i="2" s="1"/>
  <c r="S182" i="2" s="1"/>
  <c r="Q662" i="2"/>
  <c r="R662" i="2" s="1"/>
  <c r="S662" i="2" s="1"/>
  <c r="Q646" i="2"/>
  <c r="R646" i="2" s="1"/>
  <c r="S646" i="2" s="1"/>
  <c r="Q323" i="2"/>
  <c r="R323" i="2" s="1"/>
  <c r="S323" i="2" s="1"/>
  <c r="Q333" i="2"/>
  <c r="R333" i="2" s="1"/>
  <c r="S333" i="2" s="1"/>
  <c r="Q239" i="2"/>
  <c r="R239" i="2" s="1"/>
  <c r="S239" i="2" s="1"/>
  <c r="Q240" i="2"/>
  <c r="R240" i="2" s="1"/>
  <c r="S240" i="2" s="1"/>
  <c r="Q123" i="2"/>
  <c r="R123" i="2" s="1"/>
  <c r="S123" i="2" s="1"/>
  <c r="Q149" i="2"/>
  <c r="R149" i="2" s="1"/>
  <c r="S149" i="2" s="1"/>
  <c r="Q107" i="2"/>
  <c r="R107" i="2" s="1"/>
  <c r="S107" i="2" s="1"/>
  <c r="Q108" i="2"/>
  <c r="R108" i="2" s="1"/>
  <c r="S108" i="2" s="1"/>
  <c r="Q150" i="2"/>
  <c r="R150" i="2" s="1"/>
  <c r="S150" i="2" s="1"/>
  <c r="Q90" i="2"/>
  <c r="R90" i="2" s="1"/>
  <c r="S90" i="2" s="1"/>
  <c r="Q169" i="2"/>
  <c r="R169" i="2" s="1"/>
  <c r="S169" i="2" s="1"/>
  <c r="Q235" i="2"/>
  <c r="R235" i="2" s="1"/>
  <c r="S235" i="2" s="1"/>
  <c r="Q255" i="2"/>
  <c r="R255" i="2" s="1"/>
  <c r="S255" i="2" s="1"/>
  <c r="Q158" i="2"/>
  <c r="R158" i="2" s="1"/>
  <c r="S158" i="2" s="1"/>
  <c r="Q941" i="2"/>
  <c r="R941" i="2" s="1"/>
  <c r="S941" i="2" s="1"/>
  <c r="Q129" i="2"/>
  <c r="R129" i="2" s="1"/>
  <c r="S129" i="2" s="1"/>
  <c r="Q771" i="2"/>
  <c r="R771" i="2" s="1"/>
  <c r="S771" i="2" s="1"/>
  <c r="Q648" i="2"/>
  <c r="R648" i="2" s="1"/>
  <c r="S648" i="2" s="1"/>
  <c r="Q529" i="2"/>
  <c r="R529" i="2" s="1"/>
  <c r="S529" i="2" s="1"/>
  <c r="Q530" i="2"/>
  <c r="R530" i="2" s="1"/>
  <c r="S530" i="2" s="1"/>
  <c r="Q1400" i="2"/>
  <c r="R1400" i="2" s="1"/>
  <c r="S1400" i="2" s="1"/>
  <c r="Q1401" i="2"/>
  <c r="R1401" i="2" s="1"/>
  <c r="S1401" i="2" s="1"/>
  <c r="Q1399" i="2"/>
  <c r="R1399" i="2" s="1"/>
  <c r="S1399" i="2" s="1"/>
  <c r="Q1373" i="2"/>
  <c r="R1373" i="2" s="1"/>
  <c r="S1373" i="2" s="1"/>
  <c r="Q1402" i="2"/>
  <c r="R1402" i="2" s="1"/>
  <c r="S1402" i="2" s="1"/>
  <c r="Q959" i="2"/>
  <c r="R959" i="2" s="1"/>
  <c r="S959" i="2" s="1"/>
  <c r="Q1022" i="2"/>
  <c r="R1022" i="2" s="1"/>
  <c r="S1022" i="2" s="1"/>
  <c r="Q1061" i="2"/>
  <c r="R1061" i="2" s="1"/>
  <c r="S1061" i="2" s="1"/>
  <c r="Q672" i="2"/>
  <c r="R672" i="2" s="1"/>
  <c r="S672" i="2" s="1"/>
  <c r="Q673" i="2"/>
  <c r="R673" i="2" s="1"/>
  <c r="S673" i="2" s="1"/>
  <c r="Q89" i="2"/>
  <c r="R89" i="2" s="1"/>
  <c r="S89" i="2" s="1"/>
  <c r="Q155" i="2"/>
  <c r="R155" i="2" s="1"/>
  <c r="S155" i="2" s="1"/>
  <c r="Q141" i="2"/>
  <c r="R141" i="2" s="1"/>
  <c r="S141" i="2" s="1"/>
  <c r="Q164" i="2"/>
  <c r="R164" i="2" s="1"/>
  <c r="S164" i="2" s="1"/>
  <c r="Q171" i="2"/>
  <c r="R171" i="2" s="1"/>
  <c r="S171" i="2" s="1"/>
  <c r="Q188" i="2"/>
  <c r="R188" i="2" s="1"/>
  <c r="S188" i="2" s="1"/>
  <c r="Q540" i="2"/>
  <c r="R540" i="2" s="1"/>
  <c r="S540" i="2" s="1"/>
  <c r="Q157" i="2"/>
  <c r="R157" i="2" s="1"/>
  <c r="S157" i="2" s="1"/>
  <c r="Q124" i="2"/>
  <c r="R124" i="2" s="1"/>
  <c r="S124" i="2" s="1"/>
  <c r="Q1032" i="2"/>
  <c r="R1032" i="2" s="1"/>
  <c r="S1032" i="2" s="1"/>
  <c r="Q1455" i="2"/>
  <c r="R1455" i="2" s="1"/>
  <c r="S1455" i="2" s="1"/>
  <c r="Q1497" i="2"/>
  <c r="R1497" i="2" s="1"/>
  <c r="S1497" i="2" s="1"/>
  <c r="Q1456" i="2"/>
  <c r="R1456" i="2" s="1"/>
  <c r="S1456" i="2" s="1"/>
  <c r="Q1457" i="2"/>
  <c r="R1457" i="2" s="1"/>
  <c r="S1457" i="2" s="1"/>
  <c r="Q647" i="2"/>
  <c r="R647" i="2" s="1"/>
  <c r="S647" i="2" s="1"/>
  <c r="Q137" i="2"/>
  <c r="R137" i="2" s="1"/>
  <c r="S137" i="2" s="1"/>
  <c r="Q151" i="2"/>
  <c r="R151" i="2" s="1"/>
  <c r="S151" i="2" s="1"/>
  <c r="Q175" i="2"/>
  <c r="R175" i="2" s="1"/>
  <c r="S175" i="2" s="1"/>
  <c r="Q192" i="2"/>
  <c r="R192" i="2" s="1"/>
  <c r="S192" i="2" s="1"/>
  <c r="Q165" i="2"/>
  <c r="R165" i="2" s="1"/>
  <c r="S165" i="2" s="1"/>
  <c r="Q130" i="2"/>
  <c r="R130" i="2" s="1"/>
  <c r="S130" i="2" s="1"/>
  <c r="Q1422" i="2"/>
  <c r="R1422" i="2" s="1"/>
  <c r="S1422" i="2" s="1"/>
  <c r="Q1420" i="2"/>
  <c r="R1420" i="2" s="1"/>
  <c r="S1420" i="2" s="1"/>
  <c r="Q1445" i="2"/>
  <c r="R1445" i="2" s="1"/>
  <c r="S1445" i="2" s="1"/>
  <c r="Q1421" i="2"/>
  <c r="R1421" i="2" s="1"/>
  <c r="S1421" i="2" s="1"/>
  <c r="Q1418" i="2"/>
  <c r="R1418" i="2" s="1"/>
  <c r="S1418" i="2" s="1"/>
  <c r="Q1417" i="2"/>
  <c r="R1417" i="2" s="1"/>
  <c r="S1417" i="2" s="1"/>
  <c r="Q1167" i="2"/>
  <c r="R1167" i="2" s="1"/>
  <c r="S1167" i="2" s="1"/>
  <c r="Q1163" i="2"/>
  <c r="R1163" i="2" s="1"/>
  <c r="S1163" i="2" s="1"/>
  <c r="Q762" i="2"/>
  <c r="R762" i="2" s="1"/>
  <c r="S762" i="2" s="1"/>
  <c r="Q763" i="2"/>
  <c r="R763" i="2" s="1"/>
  <c r="S763" i="2" s="1"/>
  <c r="Q764" i="2"/>
  <c r="R764" i="2" s="1"/>
  <c r="S764" i="2" s="1"/>
  <c r="Q765" i="2"/>
  <c r="R765" i="2" s="1"/>
  <c r="S765" i="2" s="1"/>
  <c r="Q83" i="2"/>
  <c r="R83" i="2" s="1"/>
  <c r="S83" i="2" s="1"/>
  <c r="Q172" i="2"/>
  <c r="R172" i="2" s="1"/>
  <c r="S172" i="2" s="1"/>
  <c r="Q876" i="2"/>
  <c r="R876" i="2" s="1"/>
  <c r="S876" i="2" s="1"/>
  <c r="Q720" i="2"/>
  <c r="R720" i="2" s="1"/>
  <c r="S720" i="2" s="1"/>
  <c r="Q703" i="2"/>
  <c r="R703" i="2" s="1"/>
  <c r="S703" i="2" s="1"/>
  <c r="Q704" i="2"/>
  <c r="R704" i="2" s="1"/>
  <c r="S704" i="2" s="1"/>
  <c r="Q705" i="2"/>
  <c r="R705" i="2" s="1"/>
  <c r="S705" i="2" s="1"/>
  <c r="Q706" i="2"/>
  <c r="R706" i="2" s="1"/>
  <c r="S706" i="2" s="1"/>
  <c r="Q707" i="2"/>
  <c r="R707" i="2" s="1"/>
  <c r="S707" i="2" s="1"/>
  <c r="Q708" i="2"/>
  <c r="R708" i="2" s="1"/>
  <c r="S708" i="2" s="1"/>
  <c r="Q709" i="2"/>
  <c r="R709" i="2" s="1"/>
  <c r="S709" i="2" s="1"/>
  <c r="Q77" i="2"/>
  <c r="R77" i="2" s="1"/>
  <c r="S77" i="2" s="1"/>
  <c r="Q132" i="2"/>
  <c r="R132" i="2" s="1"/>
  <c r="S132" i="2" s="1"/>
  <c r="Q1030" i="2"/>
  <c r="R1030" i="2" s="1"/>
  <c r="S1030" i="2" s="1"/>
  <c r="Q943" i="2"/>
  <c r="R943" i="2" s="1"/>
  <c r="S943" i="2" s="1"/>
  <c r="Q667" i="2"/>
  <c r="R667" i="2" s="1"/>
  <c r="S667" i="2" s="1"/>
  <c r="Q676" i="2"/>
  <c r="R676" i="2" s="1"/>
  <c r="S676" i="2" s="1"/>
  <c r="Q670" i="2"/>
  <c r="R670" i="2" s="1"/>
  <c r="S670" i="2" s="1"/>
  <c r="Q691" i="2"/>
  <c r="R691" i="2" s="1"/>
  <c r="S691" i="2" s="1"/>
  <c r="Q690" i="2"/>
  <c r="R690" i="2" s="1"/>
  <c r="S690" i="2" s="1"/>
  <c r="Q643" i="2"/>
  <c r="R643" i="2" s="1"/>
  <c r="S643" i="2" s="1"/>
  <c r="Q1368" i="2"/>
  <c r="R1368" i="2" s="1"/>
  <c r="S1368" i="2" s="1"/>
  <c r="Q715" i="2"/>
  <c r="R715" i="2" s="1"/>
  <c r="S715" i="2" s="1"/>
  <c r="Q1123" i="2"/>
  <c r="R1123" i="2" s="1"/>
  <c r="S1123" i="2" s="1"/>
  <c r="Q109" i="2"/>
  <c r="R109" i="2" s="1"/>
  <c r="S109" i="2" s="1"/>
  <c r="Q193" i="2"/>
  <c r="R193" i="2" s="1"/>
  <c r="S193" i="2" s="1"/>
  <c r="Q114" i="2"/>
  <c r="R114" i="2" s="1"/>
  <c r="S114" i="2" s="1"/>
  <c r="Q710" i="2"/>
  <c r="R710" i="2" s="1"/>
  <c r="S710" i="2" s="1"/>
  <c r="Q721" i="2"/>
  <c r="R721" i="2" s="1"/>
  <c r="S721" i="2" s="1"/>
  <c r="Q775" i="2"/>
  <c r="R775" i="2" s="1"/>
  <c r="S775" i="2" s="1"/>
  <c r="Q823" i="2"/>
  <c r="R823" i="2" s="1"/>
  <c r="S823" i="2" s="1"/>
  <c r="Q957" i="2"/>
  <c r="R957" i="2" s="1"/>
  <c r="S957" i="2" s="1"/>
  <c r="Q1164" i="2"/>
  <c r="R1164" i="2" s="1"/>
  <c r="S1164" i="2" s="1"/>
  <c r="Q671" i="2"/>
  <c r="R671" i="2" s="1"/>
  <c r="S671" i="2" s="1"/>
  <c r="Q1120" i="2"/>
  <c r="R1120" i="2" s="1"/>
  <c r="S1120" i="2" s="1"/>
  <c r="Q687" i="2"/>
  <c r="R687" i="2" s="1"/>
  <c r="S687" i="2" s="1"/>
  <c r="Q688" i="2"/>
  <c r="R688" i="2" s="1"/>
  <c r="S688" i="2" s="1"/>
  <c r="Q534" i="2"/>
  <c r="R534" i="2" s="1"/>
  <c r="S534" i="2" s="1"/>
  <c r="Q535" i="2"/>
  <c r="R535" i="2" s="1"/>
  <c r="S535" i="2" s="1"/>
  <c r="Q773" i="2"/>
  <c r="R773" i="2" s="1"/>
  <c r="S773" i="2" s="1"/>
  <c r="Q686" i="2"/>
  <c r="R686" i="2" s="1"/>
  <c r="S686" i="2" s="1"/>
  <c r="P1371" i="2"/>
  <c r="P1446" i="2"/>
  <c r="P1045" i="2"/>
  <c r="P1370" i="2"/>
  <c r="P1403" i="2"/>
  <c r="P1171" i="2"/>
  <c r="P1384" i="2"/>
  <c r="P1044" i="2"/>
  <c r="P1118" i="2"/>
  <c r="P954" i="2"/>
  <c r="P950" i="2"/>
  <c r="P951" i="2"/>
  <c r="P1113" i="2"/>
  <c r="P660" i="2"/>
  <c r="P659" i="2"/>
  <c r="P1168" i="2"/>
  <c r="P1391" i="2"/>
  <c r="P1390" i="2"/>
  <c r="P1398" i="2"/>
  <c r="P1175" i="2"/>
  <c r="P1176" i="2"/>
  <c r="P1250" i="2"/>
  <c r="P768" i="2"/>
  <c r="P774" i="2"/>
  <c r="P824" i="2"/>
  <c r="P831" i="2"/>
  <c r="P867" i="2"/>
  <c r="P909" i="2"/>
  <c r="P1192" i="2"/>
  <c r="P1393" i="2"/>
  <c r="P1392" i="2"/>
  <c r="P872" i="2"/>
  <c r="P830" i="2"/>
  <c r="P868" i="2"/>
  <c r="P1177" i="2"/>
  <c r="P1191" i="2"/>
  <c r="P1109" i="2"/>
  <c r="P1107" i="2"/>
  <c r="P1108" i="2"/>
  <c r="P1121" i="2"/>
  <c r="P1020" i="2"/>
  <c r="P1027" i="2"/>
  <c r="P1411" i="2"/>
  <c r="P1409" i="2"/>
  <c r="P1412" i="2"/>
  <c r="P1410" i="2"/>
  <c r="P877" i="2"/>
  <c r="P1195" i="2"/>
  <c r="P1193" i="2"/>
  <c r="P92" i="2"/>
  <c r="P93" i="2"/>
  <c r="P332" i="2"/>
  <c r="P331" i="2"/>
  <c r="P1110" i="2"/>
  <c r="P1122" i="2"/>
  <c r="P1021" i="2"/>
  <c r="P1028" i="2"/>
  <c r="P1042" i="2"/>
  <c r="P1111" i="2"/>
  <c r="P1112" i="2"/>
  <c r="P1447" i="2"/>
  <c r="P1404" i="2"/>
  <c r="P536" i="2"/>
  <c r="P955" i="2"/>
  <c r="P952" i="2"/>
  <c r="P948" i="2"/>
  <c r="P947" i="2"/>
  <c r="P680" i="2"/>
  <c r="P684" i="2"/>
  <c r="P722" i="2"/>
  <c r="P910" i="2"/>
  <c r="P334" i="2"/>
  <c r="P198" i="2"/>
  <c r="P190" i="2"/>
  <c r="P185" i="2"/>
  <c r="P649" i="2"/>
  <c r="P650" i="2"/>
  <c r="P651" i="2"/>
  <c r="P652" i="2"/>
  <c r="P1251" i="2"/>
  <c r="P1252" i="2"/>
  <c r="P1253" i="2"/>
  <c r="P1365" i="2"/>
  <c r="P1174" i="2"/>
  <c r="P1173" i="2"/>
  <c r="P1386" i="2"/>
  <c r="P1394" i="2"/>
  <c r="P668" i="2"/>
  <c r="P1364" i="2"/>
  <c r="P1389" i="2"/>
  <c r="P827" i="2"/>
  <c r="P837" i="2"/>
  <c r="P834" i="2"/>
  <c r="P865" i="2"/>
  <c r="P863" i="2"/>
  <c r="P879" i="2"/>
  <c r="P657" i="2"/>
  <c r="P1114" i="2"/>
  <c r="P1169" i="2"/>
  <c r="P838" i="2"/>
  <c r="P442" i="2"/>
  <c r="P367" i="2"/>
  <c r="P366" i="2"/>
  <c r="P365" i="2"/>
  <c r="P770" i="2"/>
  <c r="P769" i="2"/>
  <c r="P94" i="2"/>
  <c r="P75" i="2"/>
  <c r="P95" i="2"/>
  <c r="P428" i="2"/>
  <c r="P426" i="2"/>
  <c r="P427" i="2"/>
  <c r="P178" i="2"/>
  <c r="P177" i="2"/>
  <c r="P84" i="2"/>
  <c r="P236" i="2"/>
  <c r="P528" i="2"/>
  <c r="P524" i="2"/>
  <c r="P522" i="2"/>
  <c r="P523" i="2"/>
  <c r="P521" i="2"/>
  <c r="P110" i="2"/>
  <c r="P1414" i="2"/>
  <c r="P1413" i="2"/>
  <c r="P956" i="2"/>
  <c r="P953" i="2"/>
  <c r="P949" i="2"/>
  <c r="P665" i="2"/>
  <c r="P664" i="2"/>
  <c r="P1196" i="2"/>
  <c r="P1194" i="2"/>
  <c r="P1385" i="2"/>
  <c r="P1166" i="2"/>
  <c r="P1165" i="2"/>
  <c r="P532" i="2"/>
  <c r="P656" i="2"/>
  <c r="P1372" i="2"/>
  <c r="P531" i="2"/>
  <c r="P325" i="2"/>
  <c r="P326" i="2"/>
  <c r="P874" i="2"/>
  <c r="P931" i="2"/>
  <c r="P945" i="2"/>
  <c r="P1047" i="2"/>
  <c r="P1115" i="2"/>
  <c r="P723" i="2"/>
  <c r="P873" i="2"/>
  <c r="P1018" i="2"/>
  <c r="P1060" i="2"/>
  <c r="P438" i="2"/>
  <c r="P439" i="2"/>
  <c r="P440" i="2"/>
  <c r="P337" i="2"/>
  <c r="P685" i="2"/>
  <c r="P689" i="2"/>
  <c r="P249" i="2"/>
  <c r="P1124" i="2"/>
  <c r="P944" i="2"/>
  <c r="P119" i="2"/>
  <c r="P327" i="2"/>
  <c r="P328" i="2"/>
  <c r="P329" i="2"/>
  <c r="P115" i="2"/>
  <c r="P370" i="2"/>
  <c r="P369" i="2"/>
  <c r="P368" i="2"/>
  <c r="P1249" i="2"/>
  <c r="P1058" i="2"/>
  <c r="P1029" i="2"/>
  <c r="P1116" i="2"/>
  <c r="P875" i="2"/>
  <c r="P963" i="2"/>
  <c r="P1016" i="2"/>
  <c r="P1056" i="2"/>
  <c r="P1057" i="2"/>
  <c r="P958" i="2"/>
  <c r="P1117" i="2"/>
  <c r="P338" i="2"/>
  <c r="P432" i="2"/>
  <c r="P441" i="2"/>
  <c r="P517" i="2"/>
  <c r="P1046" i="2"/>
  <c r="P1308" i="2"/>
  <c r="P1307" i="2"/>
  <c r="P243" i="2"/>
  <c r="P725" i="2"/>
  <c r="P232" i="2"/>
  <c r="P425" i="2"/>
  <c r="P224" i="2"/>
  <c r="P225" i="2"/>
  <c r="P200" i="2"/>
  <c r="P537" i="2"/>
  <c r="P525" i="2"/>
  <c r="P678" i="2"/>
  <c r="P183" i="2"/>
  <c r="P1397" i="2"/>
  <c r="P1062" i="2"/>
  <c r="P862" i="2"/>
  <c r="P683" i="2"/>
  <c r="P962" i="2"/>
  <c r="P138" i="2"/>
  <c r="P825" i="2"/>
  <c r="P835" i="2"/>
  <c r="P833" i="2"/>
  <c r="P828" i="2"/>
  <c r="P826" i="2"/>
  <c r="P836" i="2"/>
  <c r="P864" i="2"/>
  <c r="P880" i="2"/>
  <c r="P878" i="2"/>
  <c r="P397" i="2"/>
  <c r="P339" i="2"/>
  <c r="P342" i="2"/>
  <c r="P1023" i="2"/>
  <c r="P1024" i="2"/>
  <c r="P1025" i="2"/>
  <c r="P1040" i="2"/>
  <c r="P1041" i="2"/>
  <c r="P1043" i="2"/>
  <c r="P832" i="2"/>
  <c r="P681" i="2"/>
  <c r="P527" i="2"/>
  <c r="P238" i="2"/>
  <c r="P644" i="2"/>
  <c r="P663" i="2"/>
  <c r="P679" i="2"/>
  <c r="P539" i="2"/>
  <c r="P341" i="2"/>
  <c r="P372" i="2"/>
  <c r="P373" i="2"/>
  <c r="P374" i="2"/>
  <c r="P375" i="2"/>
  <c r="P538" i="2"/>
  <c r="P712" i="2"/>
  <c r="P713" i="2"/>
  <c r="P714" i="2"/>
  <c r="P653" i="2"/>
  <c r="P669" i="2"/>
  <c r="P187" i="2"/>
  <c r="P431" i="2"/>
  <c r="P371" i="2"/>
  <c r="P1247" i="2"/>
  <c r="P1248" i="2"/>
  <c r="P1374" i="2"/>
  <c r="P1367" i="2"/>
  <c r="P1375" i="2"/>
  <c r="P1254" i="2"/>
  <c r="P1366" i="2"/>
  <c r="P933" i="2"/>
  <c r="P960" i="2"/>
  <c r="P961" i="2"/>
  <c r="P199" i="2"/>
  <c r="P191" i="2"/>
  <c r="P186" i="2"/>
  <c r="P544" i="2"/>
  <c r="P429" i="2"/>
  <c r="P153" i="2"/>
  <c r="P87" i="2"/>
  <c r="P154" i="2"/>
  <c r="P88" i="2"/>
  <c r="P125" i="2"/>
  <c r="P134" i="2"/>
  <c r="P159" i="2"/>
  <c r="P168" i="2"/>
  <c r="P174" i="2"/>
  <c r="P176" i="2"/>
  <c r="P117" i="2"/>
  <c r="P1019" i="2"/>
  <c r="P313" i="2"/>
  <c r="P1387" i="2"/>
  <c r="P1395" i="2"/>
  <c r="P1453" i="2"/>
  <c r="P1449" i="2"/>
  <c r="P1503" i="2"/>
  <c r="P85" i="2"/>
  <c r="P1388" i="2"/>
  <c r="P1396" i="2"/>
  <c r="P195" i="2"/>
  <c r="P203" i="2"/>
  <c r="P433" i="2"/>
  <c r="P104" i="2"/>
  <c r="P542" i="2"/>
  <c r="P1419" i="2"/>
  <c r="P1376" i="2"/>
  <c r="P1317" i="2"/>
  <c r="P1318" i="2"/>
  <c r="P1319" i="2"/>
  <c r="P1320" i="2"/>
  <c r="P1377" i="2"/>
  <c r="P1378" i="2"/>
  <c r="P1255" i="2"/>
  <c r="P1257" i="2"/>
  <c r="P1258" i="2"/>
  <c r="P1301" i="2"/>
  <c r="P1304" i="2"/>
  <c r="P1380" i="2"/>
  <c r="P1381" i="2"/>
  <c r="P1256" i="2"/>
  <c r="P1259" i="2"/>
  <c r="P1260" i="2"/>
  <c r="P1299" i="2"/>
  <c r="P1302" i="2"/>
  <c r="P1300" i="2"/>
  <c r="P1303" i="2"/>
  <c r="P1382" i="2"/>
  <c r="P1383" i="2"/>
  <c r="P1261" i="2"/>
  <c r="P1305" i="2"/>
  <c r="P1309" i="2"/>
  <c r="P1306" i="2"/>
  <c r="P1033" i="2"/>
  <c r="P1170" i="2"/>
  <c r="P227" i="2"/>
  <c r="P247" i="2"/>
  <c r="P340" i="2"/>
  <c r="P127" i="2"/>
  <c r="P196" i="2"/>
  <c r="P80" i="2"/>
  <c r="P197" i="2"/>
  <c r="P228" i="2"/>
  <c r="P161" i="2"/>
  <c r="P81" i="2"/>
  <c r="P226" i="2"/>
  <c r="P202" i="2"/>
  <c r="P229" i="2"/>
  <c r="P230" i="2"/>
  <c r="P105" i="2"/>
  <c r="P146" i="2"/>
  <c r="P147" i="2"/>
  <c r="P148" i="2"/>
  <c r="P106" i="2"/>
  <c r="P932" i="2"/>
  <c r="P946" i="2"/>
  <c r="P829" i="2"/>
  <c r="P324" i="2"/>
  <c r="P908" i="2"/>
  <c r="P881" i="2"/>
  <c r="P882" i="2"/>
  <c r="P922" i="2"/>
  <c r="P926" i="2"/>
  <c r="P927" i="2"/>
  <c r="P925" i="2"/>
  <c r="P924" i="2"/>
  <c r="P923" i="2"/>
  <c r="P928" i="2"/>
  <c r="P929" i="2"/>
  <c r="P930" i="2"/>
  <c r="P938" i="2"/>
  <c r="P937" i="2"/>
  <c r="P936" i="2"/>
  <c r="P935" i="2"/>
  <c r="P934" i="2"/>
  <c r="P940" i="2"/>
  <c r="P939" i="2"/>
  <c r="P915" i="2"/>
  <c r="P914" i="2"/>
  <c r="P911" i="2"/>
  <c r="P912" i="2"/>
  <c r="P913" i="2"/>
  <c r="P917" i="2"/>
  <c r="P918" i="2"/>
  <c r="P916" i="2"/>
  <c r="P921" i="2"/>
  <c r="P920" i="2"/>
  <c r="P919" i="2"/>
  <c r="P245" i="2"/>
  <c r="P319" i="2"/>
  <c r="P194" i="2"/>
  <c r="P131" i="2"/>
  <c r="P167" i="2"/>
  <c r="P166" i="2"/>
  <c r="P1448" i="2"/>
  <c r="P1450" i="2"/>
  <c r="P1466" i="2"/>
  <c r="P942" i="2"/>
  <c r="P674" i="2"/>
  <c r="P682" i="2"/>
  <c r="P766" i="2"/>
  <c r="P869" i="2"/>
  <c r="P1017" i="2"/>
  <c r="P1119" i="2"/>
  <c r="P1190" i="2"/>
  <c r="P654" i="2"/>
  <c r="P675" i="2"/>
  <c r="P866" i="2"/>
  <c r="P1172" i="2"/>
  <c r="P1379" i="2"/>
  <c r="P145" i="2"/>
  <c r="P430" i="2"/>
  <c r="P86" i="2"/>
  <c r="P241" i="2"/>
  <c r="P250" i="2"/>
  <c r="P318" i="2"/>
  <c r="P246" i="2"/>
  <c r="P156" i="2"/>
  <c r="P118" i="2"/>
  <c r="P173" i="2"/>
  <c r="P91" i="2"/>
  <c r="P139" i="2"/>
  <c r="P330" i="2"/>
  <c r="P189" i="2"/>
  <c r="P136" i="2"/>
  <c r="P144" i="2"/>
  <c r="P122" i="2"/>
  <c r="P143" i="2"/>
  <c r="P677" i="2"/>
  <c r="P1034" i="2"/>
  <c r="P1498" i="2"/>
  <c r="P1499" i="2"/>
  <c r="P1500" i="2"/>
  <c r="P1502" i="2"/>
  <c r="P1458" i="2"/>
  <c r="P726" i="2"/>
  <c r="P727" i="2"/>
  <c r="P728" i="2"/>
  <c r="P839" i="2"/>
  <c r="P729" i="2"/>
  <c r="P730" i="2"/>
  <c r="P731" i="2"/>
  <c r="P840" i="2"/>
  <c r="P434" i="2"/>
  <c r="P393" i="2"/>
  <c r="P435" i="2"/>
  <c r="P394" i="2"/>
  <c r="P436" i="2"/>
  <c r="P395" i="2"/>
  <c r="P437" i="2"/>
  <c r="P396" i="2"/>
  <c r="P870" i="2"/>
  <c r="P871" i="2"/>
  <c r="P1407" i="2"/>
  <c r="P1405" i="2"/>
  <c r="P1406" i="2"/>
  <c r="P152" i="2"/>
  <c r="P692" i="2"/>
  <c r="P693" i="2"/>
  <c r="P694" i="2"/>
  <c r="P695" i="2"/>
  <c r="P696" i="2"/>
  <c r="P1459" i="2"/>
  <c r="P1369" i="2"/>
  <c r="P661" i="2"/>
  <c r="P321" i="2"/>
  <c r="P314" i="2"/>
  <c r="P315" i="2"/>
  <c r="P253" i="2"/>
  <c r="P251" i="2"/>
  <c r="P335" i="2"/>
  <c r="P128" i="2"/>
  <c r="P126" i="2"/>
  <c r="P111" i="2"/>
  <c r="P112" i="2"/>
  <c r="P113" i="2"/>
  <c r="P120" i="2"/>
  <c r="P121" i="2"/>
  <c r="P142" i="2"/>
  <c r="P231" i="2"/>
  <c r="P233" i="2"/>
  <c r="P242" i="2"/>
  <c r="P244" i="2"/>
  <c r="P201" i="2"/>
  <c r="P526" i="2"/>
  <c r="P666" i="2"/>
  <c r="P645" i="2"/>
  <c r="P180" i="2"/>
  <c r="P237" i="2"/>
  <c r="P316" i="2"/>
  <c r="P116" i="2"/>
  <c r="P320" i="2"/>
  <c r="P254" i="2"/>
  <c r="P179" i="2"/>
  <c r="P184" i="2"/>
  <c r="P234" i="2"/>
  <c r="P376" i="2"/>
  <c r="P724" i="2"/>
  <c r="P1031" i="2"/>
  <c r="P717" i="2"/>
  <c r="P1494" i="2"/>
  <c r="P1495" i="2"/>
  <c r="P1454" i="2"/>
  <c r="P1467" i="2"/>
  <c r="P1451" i="2"/>
  <c r="P697" i="2"/>
  <c r="P841" i="2"/>
  <c r="P732" i="2"/>
  <c r="P733" i="2"/>
  <c r="P1415" i="2"/>
  <c r="P135" i="2"/>
  <c r="P160" i="2"/>
  <c r="P162" i="2"/>
  <c r="P181" i="2"/>
  <c r="P711" i="2"/>
  <c r="P322" i="2"/>
  <c r="P317" i="2"/>
  <c r="P248" i="2"/>
  <c r="P716" i="2"/>
  <c r="P518" i="2"/>
  <c r="P133" i="2"/>
  <c r="P140" i="2"/>
  <c r="P163" i="2"/>
  <c r="P170" i="2"/>
  <c r="P1496" i="2"/>
  <c r="P1493" i="2"/>
  <c r="P1460" i="2"/>
  <c r="P700" i="2"/>
  <c r="P698" i="2"/>
  <c r="P701" i="2"/>
  <c r="P718" i="2"/>
  <c r="P702" i="2"/>
  <c r="P699" i="2"/>
  <c r="P719" i="2"/>
  <c r="P1501" i="2"/>
  <c r="P861" i="2"/>
  <c r="P734" i="2"/>
  <c r="P759" i="2"/>
  <c r="P760" i="2"/>
  <c r="P655" i="2"/>
  <c r="P658" i="2"/>
  <c r="P543" i="2"/>
  <c r="P772" i="2"/>
  <c r="P1059" i="2"/>
  <c r="P761" i="2"/>
  <c r="P519" i="2"/>
  <c r="P767" i="2"/>
  <c r="P1026" i="2"/>
  <c r="P1452" i="2"/>
  <c r="P1408" i="2"/>
  <c r="P377" i="2"/>
  <c r="P533" i="2"/>
  <c r="P336" i="2"/>
  <c r="P78" i="2"/>
  <c r="P79" i="2"/>
  <c r="P520" i="2"/>
  <c r="P541" i="2"/>
  <c r="P96" i="2"/>
  <c r="P97" i="2"/>
  <c r="P98" i="2"/>
  <c r="P99" i="2"/>
  <c r="P100" i="2"/>
  <c r="P101" i="2"/>
  <c r="P82" i="2"/>
  <c r="P76" i="2"/>
  <c r="P102" i="2"/>
  <c r="P103" i="2"/>
  <c r="P182" i="2"/>
  <c r="P662" i="2"/>
  <c r="P646" i="2"/>
  <c r="P323" i="2"/>
  <c r="P333" i="2"/>
  <c r="P239" i="2"/>
  <c r="P240" i="2"/>
  <c r="P123" i="2"/>
  <c r="P149" i="2"/>
  <c r="P107" i="2"/>
  <c r="P108" i="2"/>
  <c r="P150" i="2"/>
  <c r="P90" i="2"/>
  <c r="P169" i="2"/>
  <c r="P235" i="2"/>
  <c r="P255" i="2"/>
  <c r="P158" i="2"/>
  <c r="P941" i="2"/>
  <c r="P129" i="2"/>
  <c r="P771" i="2"/>
  <c r="P648" i="2"/>
  <c r="P529" i="2"/>
  <c r="P530" i="2"/>
  <c r="P1400" i="2"/>
  <c r="P1401" i="2"/>
  <c r="P1399" i="2"/>
  <c r="P1373" i="2"/>
  <c r="P1402" i="2"/>
  <c r="P959" i="2"/>
  <c r="P1022" i="2"/>
  <c r="P1061" i="2"/>
  <c r="P672" i="2"/>
  <c r="P673" i="2"/>
  <c r="P89" i="2"/>
  <c r="P155" i="2"/>
  <c r="P141" i="2"/>
  <c r="P164" i="2"/>
  <c r="P171" i="2"/>
  <c r="P188" i="2"/>
  <c r="P540" i="2"/>
  <c r="P157" i="2"/>
  <c r="P124" i="2"/>
  <c r="P1032" i="2"/>
  <c r="P1455" i="2"/>
  <c r="P1497" i="2"/>
  <c r="P1456" i="2"/>
  <c r="P1457" i="2"/>
  <c r="P647" i="2"/>
  <c r="P137" i="2"/>
  <c r="P151" i="2"/>
  <c r="P175" i="2"/>
  <c r="P192" i="2"/>
  <c r="P165" i="2"/>
  <c r="P130" i="2"/>
  <c r="P1422" i="2"/>
  <c r="P1420" i="2"/>
  <c r="P1445" i="2"/>
  <c r="P1421" i="2"/>
  <c r="P1418" i="2"/>
  <c r="P1417" i="2"/>
  <c r="P1167" i="2"/>
  <c r="P1163" i="2"/>
  <c r="P762" i="2"/>
  <c r="P763" i="2"/>
  <c r="P764" i="2"/>
  <c r="P765" i="2"/>
  <c r="P83" i="2"/>
  <c r="P172" i="2"/>
  <c r="P876" i="2"/>
  <c r="P720" i="2"/>
  <c r="P703" i="2"/>
  <c r="P704" i="2"/>
  <c r="P705" i="2"/>
  <c r="P706" i="2"/>
  <c r="P707" i="2"/>
  <c r="P708" i="2"/>
  <c r="P709" i="2"/>
  <c r="P77" i="2"/>
  <c r="P132" i="2"/>
  <c r="P1030" i="2"/>
  <c r="P943" i="2"/>
  <c r="P667" i="2"/>
  <c r="P676" i="2"/>
  <c r="P670" i="2"/>
  <c r="P691" i="2"/>
  <c r="P690" i="2"/>
  <c r="P643" i="2"/>
  <c r="P1368" i="2"/>
  <c r="P715" i="2"/>
  <c r="P1123" i="2"/>
  <c r="P109" i="2"/>
  <c r="P193" i="2"/>
  <c r="P114" i="2"/>
  <c r="P710" i="2"/>
  <c r="P721" i="2"/>
  <c r="P775" i="2"/>
  <c r="P823" i="2"/>
  <c r="P957" i="2"/>
  <c r="P1164" i="2"/>
  <c r="P671" i="2"/>
  <c r="P1120" i="2"/>
  <c r="P687" i="2"/>
  <c r="P688" i="2"/>
  <c r="P534" i="2"/>
  <c r="P535" i="2"/>
  <c r="P773" i="2"/>
  <c r="P686" i="2"/>
  <c r="J954" i="2"/>
  <c r="J950" i="2"/>
  <c r="J951" i="2"/>
  <c r="J660" i="2"/>
  <c r="J659" i="2"/>
  <c r="J1175" i="2"/>
  <c r="J1176" i="2"/>
  <c r="J1250" i="2"/>
  <c r="J768" i="2"/>
  <c r="J774" i="2"/>
  <c r="J824" i="2"/>
  <c r="J831" i="2"/>
  <c r="J867" i="2"/>
  <c r="J909" i="2"/>
  <c r="J872" i="2"/>
  <c r="J830" i="2"/>
  <c r="J868" i="2"/>
  <c r="J1177" i="2"/>
  <c r="J1191" i="2"/>
  <c r="J1109" i="2"/>
  <c r="J1107" i="2"/>
  <c r="J1108" i="2"/>
  <c r="J1121" i="2"/>
  <c r="J1020" i="2"/>
  <c r="J1027" i="2"/>
  <c r="J1411" i="2"/>
  <c r="J1409" i="2"/>
  <c r="J1412" i="2"/>
  <c r="J1410" i="2"/>
  <c r="J877" i="2"/>
  <c r="J92" i="2"/>
  <c r="J93" i="2"/>
  <c r="J332" i="2"/>
  <c r="J331" i="2"/>
  <c r="J1110" i="2"/>
  <c r="J1122" i="2"/>
  <c r="J1021" i="2"/>
  <c r="J1028" i="2"/>
  <c r="J536" i="2"/>
  <c r="J955" i="2"/>
  <c r="J952" i="2"/>
  <c r="J948" i="2"/>
  <c r="J947" i="2"/>
  <c r="J680" i="2"/>
  <c r="J198" i="2"/>
  <c r="J190" i="2"/>
  <c r="J185" i="2"/>
  <c r="J649" i="2"/>
  <c r="J650" i="2"/>
  <c r="J651" i="2"/>
  <c r="J652" i="2"/>
  <c r="J1251" i="2"/>
  <c r="J1252" i="2"/>
  <c r="J1253" i="2"/>
  <c r="J1365" i="2"/>
  <c r="J668" i="2"/>
  <c r="J1389" i="2"/>
  <c r="J827" i="2"/>
  <c r="J837" i="2"/>
  <c r="J834" i="2"/>
  <c r="J865" i="2"/>
  <c r="J863" i="2"/>
  <c r="J879" i="2"/>
  <c r="J657" i="2"/>
  <c r="J1114" i="2"/>
  <c r="J1169" i="2"/>
  <c r="J838" i="2"/>
  <c r="J442" i="2"/>
  <c r="J367" i="2"/>
  <c r="J366" i="2"/>
  <c r="J365" i="2"/>
  <c r="J770" i="2"/>
  <c r="J769" i="2"/>
  <c r="J94" i="2"/>
  <c r="J75" i="2"/>
  <c r="J95" i="2"/>
  <c r="J428" i="2"/>
  <c r="J426" i="2"/>
  <c r="J427" i="2"/>
  <c r="J178" i="2"/>
  <c r="J177" i="2"/>
  <c r="J84" i="2"/>
  <c r="J236" i="2"/>
  <c r="J528" i="2"/>
  <c r="J524" i="2"/>
  <c r="J522" i="2"/>
  <c r="J523" i="2"/>
  <c r="J521" i="2"/>
  <c r="J110" i="2"/>
  <c r="J1414" i="2"/>
  <c r="J1413" i="2"/>
  <c r="J956" i="2"/>
  <c r="J953" i="2"/>
  <c r="J949" i="2"/>
  <c r="J665" i="2"/>
  <c r="J664" i="2"/>
  <c r="J532" i="2"/>
  <c r="J656" i="2"/>
  <c r="J1372" i="2"/>
  <c r="J531" i="2"/>
  <c r="J689" i="2"/>
  <c r="J249" i="2"/>
  <c r="J1124" i="2"/>
  <c r="J944" i="2"/>
  <c r="J119" i="2"/>
  <c r="J115" i="2"/>
  <c r="J370" i="2"/>
  <c r="J369" i="2"/>
  <c r="J368" i="2"/>
  <c r="J1249" i="2"/>
  <c r="J1058" i="2"/>
  <c r="J1029" i="2"/>
  <c r="J958" i="2"/>
  <c r="J1117" i="2"/>
  <c r="J1046" i="2"/>
  <c r="J243" i="2"/>
  <c r="J725" i="2"/>
  <c r="J232" i="2"/>
  <c r="J425" i="2"/>
  <c r="J224" i="2"/>
  <c r="J225" i="2"/>
  <c r="J200" i="2"/>
  <c r="J537" i="2"/>
  <c r="J525" i="2"/>
  <c r="J678" i="2"/>
  <c r="J183" i="2"/>
  <c r="J1397" i="2"/>
  <c r="J1062" i="2"/>
  <c r="J862" i="2"/>
  <c r="J683" i="2"/>
  <c r="J962" i="2"/>
  <c r="J138" i="2"/>
  <c r="J825" i="2"/>
  <c r="J835" i="2"/>
  <c r="J833" i="2"/>
  <c r="J828" i="2"/>
  <c r="J826" i="2"/>
  <c r="J836" i="2"/>
  <c r="J864" i="2"/>
  <c r="J880" i="2"/>
  <c r="J878" i="2"/>
  <c r="J397" i="2"/>
  <c r="J339" i="2"/>
  <c r="J342" i="2"/>
  <c r="J1023" i="2"/>
  <c r="J1024" i="2"/>
  <c r="J1025" i="2"/>
  <c r="J1040" i="2"/>
  <c r="J1041" i="2"/>
  <c r="J1043" i="2"/>
  <c r="J832" i="2"/>
  <c r="J681" i="2"/>
  <c r="J527" i="2"/>
  <c r="J238" i="2"/>
  <c r="J644" i="2"/>
  <c r="J663" i="2"/>
  <c r="J679" i="2"/>
  <c r="J539" i="2"/>
  <c r="J341" i="2"/>
  <c r="J372" i="2"/>
  <c r="J373" i="2"/>
  <c r="J374" i="2"/>
  <c r="J375" i="2"/>
  <c r="J538" i="2"/>
  <c r="J712" i="2"/>
  <c r="J713" i="2"/>
  <c r="J714" i="2"/>
  <c r="J653" i="2"/>
  <c r="J669" i="2"/>
  <c r="J187" i="2"/>
  <c r="J431" i="2"/>
  <c r="J371" i="2"/>
  <c r="J1247" i="2"/>
  <c r="J1248" i="2"/>
  <c r="J1374" i="2"/>
  <c r="J1367" i="2"/>
  <c r="J1375" i="2"/>
  <c r="J1254" i="2"/>
  <c r="J1366" i="2"/>
  <c r="J933" i="2"/>
  <c r="J960" i="2"/>
  <c r="J961" i="2"/>
  <c r="J199" i="2"/>
  <c r="J191" i="2"/>
  <c r="J186" i="2"/>
  <c r="J544" i="2"/>
  <c r="J429" i="2"/>
  <c r="J153" i="2"/>
  <c r="J87" i="2"/>
  <c r="J154" i="2"/>
  <c r="J88" i="2"/>
  <c r="J125" i="2"/>
  <c r="J134" i="2"/>
  <c r="J159" i="2"/>
  <c r="J168" i="2"/>
  <c r="J174" i="2"/>
  <c r="J176" i="2"/>
  <c r="J117" i="2"/>
  <c r="J313" i="2"/>
  <c r="J1453" i="2"/>
  <c r="J1449" i="2"/>
  <c r="J1503" i="2"/>
  <c r="J85" i="2"/>
  <c r="J195" i="2"/>
  <c r="J203" i="2"/>
  <c r="J433" i="2"/>
  <c r="J104" i="2"/>
  <c r="J542" i="2"/>
  <c r="J1419" i="2"/>
  <c r="J1376" i="2"/>
  <c r="J1317" i="2"/>
  <c r="J1318" i="2"/>
  <c r="J1319" i="2"/>
  <c r="J1320" i="2"/>
  <c r="J1377" i="2"/>
  <c r="J1378" i="2"/>
  <c r="J1255" i="2"/>
  <c r="J1257" i="2"/>
  <c r="J1258" i="2"/>
  <c r="J1301" i="2"/>
  <c r="J1304" i="2"/>
  <c r="J1380" i="2"/>
  <c r="J1381" i="2"/>
  <c r="J1256" i="2"/>
  <c r="J1259" i="2"/>
  <c r="J1260" i="2"/>
  <c r="J1299" i="2"/>
  <c r="J1302" i="2"/>
  <c r="J1300" i="2"/>
  <c r="J1303" i="2"/>
  <c r="J1382" i="2"/>
  <c r="J1383" i="2"/>
  <c r="J1261" i="2"/>
  <c r="J1305" i="2"/>
  <c r="J1309" i="2"/>
  <c r="J1306" i="2"/>
  <c r="J1033" i="2"/>
  <c r="J1170" i="2"/>
  <c r="J227" i="2"/>
  <c r="J247" i="2"/>
  <c r="J340" i="2"/>
  <c r="J127" i="2"/>
  <c r="J196" i="2"/>
  <c r="J80" i="2"/>
  <c r="J197" i="2"/>
  <c r="J228" i="2"/>
  <c r="J161" i="2"/>
  <c r="J81" i="2"/>
  <c r="J226" i="2"/>
  <c r="J202" i="2"/>
  <c r="J229" i="2"/>
  <c r="J230" i="2"/>
  <c r="J105" i="2"/>
  <c r="J146" i="2"/>
  <c r="J147" i="2"/>
  <c r="J148" i="2"/>
  <c r="J106" i="2"/>
  <c r="J324" i="2"/>
  <c r="J908" i="2"/>
  <c r="J881" i="2"/>
  <c r="J882" i="2"/>
  <c r="J922" i="2"/>
  <c r="J926" i="2"/>
  <c r="J927" i="2"/>
  <c r="J925" i="2"/>
  <c r="J924" i="2"/>
  <c r="J923" i="2"/>
  <c r="J928" i="2"/>
  <c r="J929" i="2"/>
  <c r="J930" i="2"/>
  <c r="J938" i="2"/>
  <c r="J937" i="2"/>
  <c r="J936" i="2"/>
  <c r="J935" i="2"/>
  <c r="J934" i="2"/>
  <c r="J940" i="2"/>
  <c r="J939" i="2"/>
  <c r="J915" i="2"/>
  <c r="J914" i="2"/>
  <c r="J911" i="2"/>
  <c r="J912" i="2"/>
  <c r="J913" i="2"/>
  <c r="J917" i="2"/>
  <c r="J918" i="2"/>
  <c r="J916" i="2"/>
  <c r="J921" i="2"/>
  <c r="J920" i="2"/>
  <c r="J919" i="2"/>
  <c r="J245" i="2"/>
  <c r="J319" i="2"/>
  <c r="J194" i="2"/>
  <c r="J131" i="2"/>
  <c r="J167" i="2"/>
  <c r="J166" i="2"/>
  <c r="J1448" i="2"/>
  <c r="J1450" i="2"/>
  <c r="J1466" i="2"/>
  <c r="J942" i="2"/>
  <c r="J674" i="2"/>
  <c r="J682" i="2"/>
  <c r="J766" i="2"/>
  <c r="J869" i="2"/>
  <c r="J1017" i="2"/>
  <c r="J1119" i="2"/>
  <c r="J1190" i="2"/>
  <c r="J654" i="2"/>
  <c r="J675" i="2"/>
  <c r="J866" i="2"/>
  <c r="J1172" i="2"/>
  <c r="J1379" i="2"/>
  <c r="J145" i="2"/>
  <c r="J430" i="2"/>
  <c r="J86" i="2"/>
  <c r="J241" i="2"/>
  <c r="J250" i="2"/>
  <c r="J318" i="2"/>
  <c r="J246" i="2"/>
  <c r="J156" i="2"/>
  <c r="J118" i="2"/>
  <c r="J173" i="2"/>
  <c r="J91" i="2"/>
  <c r="J139" i="2"/>
  <c r="J189" i="2"/>
  <c r="J136" i="2"/>
  <c r="J144" i="2"/>
  <c r="J122" i="2"/>
  <c r="J143" i="2"/>
  <c r="J677" i="2"/>
  <c r="J1034" i="2"/>
  <c r="J1498" i="2"/>
  <c r="J1499" i="2"/>
  <c r="J1500" i="2"/>
  <c r="J1502" i="2"/>
  <c r="J1458" i="2"/>
  <c r="J726" i="2"/>
  <c r="J727" i="2"/>
  <c r="J728" i="2"/>
  <c r="J839" i="2"/>
  <c r="J729" i="2"/>
  <c r="J730" i="2"/>
  <c r="J731" i="2"/>
  <c r="J840" i="2"/>
  <c r="J434" i="2"/>
  <c r="J393" i="2"/>
  <c r="J435" i="2"/>
  <c r="J394" i="2"/>
  <c r="J436" i="2"/>
  <c r="J395" i="2"/>
  <c r="J437" i="2"/>
  <c r="J396" i="2"/>
  <c r="J870" i="2"/>
  <c r="J871" i="2"/>
  <c r="J1407" i="2"/>
  <c r="J1405" i="2"/>
  <c r="J1406" i="2"/>
  <c r="J152" i="2"/>
  <c r="J692" i="2"/>
  <c r="J693" i="2"/>
  <c r="J694" i="2"/>
  <c r="J695" i="2"/>
  <c r="J696" i="2"/>
  <c r="J1459" i="2"/>
  <c r="J661" i="2"/>
  <c r="J321" i="2"/>
  <c r="J314" i="2"/>
  <c r="J315" i="2"/>
  <c r="J253" i="2"/>
  <c r="J251" i="2"/>
  <c r="J128" i="2"/>
  <c r="J126" i="2"/>
  <c r="J111" i="2"/>
  <c r="J112" i="2"/>
  <c r="J113" i="2"/>
  <c r="J120" i="2"/>
  <c r="J121" i="2"/>
  <c r="J142" i="2"/>
  <c r="J231" i="2"/>
  <c r="J233" i="2"/>
  <c r="J242" i="2"/>
  <c r="J244" i="2"/>
  <c r="J201" i="2"/>
  <c r="J526" i="2"/>
  <c r="J666" i="2"/>
  <c r="J645" i="2"/>
  <c r="J180" i="2"/>
  <c r="J237" i="2"/>
  <c r="J316" i="2"/>
  <c r="J116" i="2"/>
  <c r="J320" i="2"/>
  <c r="J254" i="2"/>
  <c r="J179" i="2"/>
  <c r="J184" i="2"/>
  <c r="J234" i="2"/>
  <c r="J376" i="2"/>
  <c r="J724" i="2"/>
  <c r="J1031" i="2"/>
  <c r="J717" i="2"/>
  <c r="J1494" i="2"/>
  <c r="J1495" i="2"/>
  <c r="J1454" i="2"/>
  <c r="J1467" i="2"/>
  <c r="J1451" i="2"/>
  <c r="J697" i="2"/>
  <c r="J841" i="2"/>
  <c r="J732" i="2"/>
  <c r="J733" i="2"/>
  <c r="J1415" i="2"/>
  <c r="J135" i="2"/>
  <c r="J160" i="2"/>
  <c r="J162" i="2"/>
  <c r="J181" i="2"/>
  <c r="J711" i="2"/>
  <c r="J322" i="2"/>
  <c r="J317" i="2"/>
  <c r="J248" i="2"/>
  <c r="J133" i="2"/>
  <c r="J140" i="2"/>
  <c r="J163" i="2"/>
  <c r="J170" i="2"/>
  <c r="J1496" i="2"/>
  <c r="J1493" i="2"/>
  <c r="J1460" i="2"/>
  <c r="J700" i="2"/>
  <c r="J698" i="2"/>
  <c r="J701" i="2"/>
  <c r="J718" i="2"/>
  <c r="J702" i="2"/>
  <c r="J699" i="2"/>
  <c r="J719" i="2"/>
  <c r="J1501" i="2"/>
  <c r="J861" i="2"/>
  <c r="J734" i="2"/>
  <c r="J759" i="2"/>
  <c r="J760" i="2"/>
  <c r="J655" i="2"/>
  <c r="J658" i="2"/>
  <c r="J543" i="2"/>
  <c r="J772" i="2"/>
  <c r="J1059" i="2"/>
  <c r="J761" i="2"/>
  <c r="J767" i="2"/>
  <c r="J1026" i="2"/>
  <c r="J1452" i="2"/>
  <c r="J1408" i="2"/>
  <c r="J377" i="2"/>
  <c r="J533" i="2"/>
  <c r="J336" i="2"/>
  <c r="J78" i="2"/>
  <c r="J79" i="2"/>
  <c r="J520" i="2"/>
  <c r="J541" i="2"/>
  <c r="J96" i="2"/>
  <c r="J97" i="2"/>
  <c r="J98" i="2"/>
  <c r="J99" i="2"/>
  <c r="J100" i="2"/>
  <c r="J101" i="2"/>
  <c r="J82" i="2"/>
  <c r="J76" i="2"/>
  <c r="J102" i="2"/>
  <c r="J103" i="2"/>
  <c r="J182" i="2"/>
  <c r="J662" i="2"/>
  <c r="J646" i="2"/>
  <c r="J323" i="2"/>
  <c r="J333" i="2"/>
  <c r="J239" i="2"/>
  <c r="J240" i="2"/>
  <c r="J123" i="2"/>
  <c r="J149" i="2"/>
  <c r="J107" i="2"/>
  <c r="J108" i="2"/>
  <c r="J150" i="2"/>
  <c r="J90" i="2"/>
  <c r="J169" i="2"/>
  <c r="J235" i="2"/>
  <c r="J255" i="2"/>
  <c r="J158" i="2"/>
  <c r="J941" i="2"/>
  <c r="J129" i="2"/>
  <c r="J771" i="2"/>
  <c r="J648" i="2"/>
  <c r="J529" i="2"/>
  <c r="J530" i="2"/>
  <c r="J1400" i="2"/>
  <c r="J1401" i="2"/>
  <c r="J1399" i="2"/>
  <c r="J1373" i="2"/>
  <c r="J1402" i="2"/>
  <c r="J959" i="2"/>
  <c r="J1022" i="2"/>
  <c r="J1061" i="2"/>
  <c r="J672" i="2"/>
  <c r="J673" i="2"/>
  <c r="J89" i="2"/>
  <c r="J155" i="2"/>
  <c r="J141" i="2"/>
  <c r="J164" i="2"/>
  <c r="J171" i="2"/>
  <c r="J188" i="2"/>
  <c r="J540" i="2"/>
  <c r="J157" i="2"/>
  <c r="J124" i="2"/>
  <c r="J1032" i="2"/>
  <c r="J1455" i="2"/>
  <c r="J1497" i="2"/>
  <c r="J1456" i="2"/>
  <c r="J1457" i="2"/>
  <c r="J647" i="2"/>
  <c r="J137" i="2"/>
  <c r="J151" i="2"/>
  <c r="J175" i="2"/>
  <c r="J192" i="2"/>
  <c r="J165" i="2"/>
  <c r="J130" i="2"/>
  <c r="J1422" i="2"/>
  <c r="J1420" i="2"/>
  <c r="J1445" i="2"/>
  <c r="J1421" i="2"/>
  <c r="J1418" i="2"/>
  <c r="J1417" i="2"/>
  <c r="J1163" i="2"/>
  <c r="J762" i="2"/>
  <c r="J763" i="2"/>
  <c r="J764" i="2"/>
  <c r="J765" i="2"/>
  <c r="J83" i="2"/>
  <c r="J172" i="2"/>
  <c r="J720" i="2"/>
  <c r="J703" i="2"/>
  <c r="J704" i="2"/>
  <c r="J705" i="2"/>
  <c r="J706" i="2"/>
  <c r="J707" i="2"/>
  <c r="J708" i="2"/>
  <c r="J709" i="2"/>
  <c r="J77" i="2"/>
  <c r="J132" i="2"/>
  <c r="J1030" i="2"/>
  <c r="J943" i="2"/>
  <c r="J667" i="2"/>
  <c r="J676" i="2"/>
  <c r="J670" i="2"/>
  <c r="J691" i="2"/>
  <c r="J690" i="2"/>
  <c r="J643" i="2"/>
  <c r="J1368" i="2"/>
  <c r="J715" i="2"/>
  <c r="J1123" i="2"/>
  <c r="J109" i="2"/>
  <c r="J193" i="2"/>
  <c r="J114" i="2"/>
  <c r="J710" i="2"/>
  <c r="J721" i="2"/>
  <c r="J775" i="2"/>
  <c r="J823" i="2"/>
  <c r="J957" i="2"/>
  <c r="J1164" i="2"/>
  <c r="J671" i="2"/>
  <c r="J1120" i="2"/>
  <c r="J687" i="2"/>
  <c r="J688" i="2"/>
  <c r="J534" i="2"/>
  <c r="J535" i="2"/>
  <c r="J773" i="2"/>
  <c r="J686" i="2"/>
  <c r="W852" i="5" l="1"/>
  <c r="Q852" i="5"/>
  <c r="R852" i="5" s="1"/>
  <c r="S852" i="5" s="1"/>
  <c r="J852" i="5"/>
  <c r="W851" i="5"/>
  <c r="Q851" i="5"/>
  <c r="R851" i="5" s="1"/>
  <c r="S851" i="5" s="1"/>
  <c r="J851" i="5"/>
  <c r="W850" i="5"/>
  <c r="Q850" i="5"/>
  <c r="R850" i="5" s="1"/>
  <c r="S850" i="5" s="1"/>
  <c r="P850" i="5"/>
  <c r="J850" i="5"/>
  <c r="W849" i="5"/>
  <c r="Q849" i="5"/>
  <c r="R849" i="5" s="1"/>
  <c r="S849" i="5" s="1"/>
  <c r="P849" i="5"/>
  <c r="J849" i="5"/>
  <c r="W848" i="5"/>
  <c r="Q848" i="5"/>
  <c r="R848" i="5" s="1"/>
  <c r="S848" i="5" s="1"/>
  <c r="P848" i="5"/>
  <c r="J848" i="5"/>
  <c r="W847" i="5"/>
  <c r="Q847" i="5"/>
  <c r="R847" i="5" s="1"/>
  <c r="S847" i="5" s="1"/>
  <c r="P847" i="5"/>
  <c r="J847" i="5"/>
  <c r="W846" i="5"/>
  <c r="Q846" i="5"/>
  <c r="R846" i="5" s="1"/>
  <c r="S846" i="5" s="1"/>
  <c r="P846" i="5"/>
  <c r="J846" i="5"/>
  <c r="W845" i="5"/>
  <c r="Q845" i="5"/>
  <c r="R845" i="5" s="1"/>
  <c r="S845" i="5" s="1"/>
  <c r="P845" i="5"/>
  <c r="J845" i="5"/>
  <c r="W844" i="5"/>
  <c r="Q844" i="5"/>
  <c r="R844" i="5" s="1"/>
  <c r="S844" i="5" s="1"/>
  <c r="P844" i="5"/>
  <c r="J844" i="5"/>
  <c r="W843" i="5"/>
  <c r="Q843" i="5"/>
  <c r="R843" i="5" s="1"/>
  <c r="S843" i="5" s="1"/>
  <c r="P843" i="5"/>
  <c r="J843" i="5"/>
  <c r="W842" i="5"/>
  <c r="Q842" i="5"/>
  <c r="R842" i="5" s="1"/>
  <c r="S842" i="5" s="1"/>
  <c r="P842" i="5"/>
  <c r="J842" i="5"/>
  <c r="W841" i="5"/>
  <c r="Q841" i="5"/>
  <c r="R841" i="5" s="1"/>
  <c r="S841" i="5" s="1"/>
  <c r="P841" i="5"/>
  <c r="J841" i="5"/>
  <c r="W840" i="5"/>
  <c r="Q840" i="5"/>
  <c r="R840" i="5" s="1"/>
  <c r="S840" i="5" s="1"/>
  <c r="P840" i="5"/>
  <c r="J840" i="5"/>
  <c r="W839" i="5"/>
  <c r="Q839" i="5"/>
  <c r="R839" i="5" s="1"/>
  <c r="S839" i="5" s="1"/>
  <c r="P839" i="5"/>
  <c r="J839" i="5"/>
  <c r="W838" i="5"/>
  <c r="Q838" i="5"/>
  <c r="R838" i="5" s="1"/>
  <c r="S838" i="5" s="1"/>
  <c r="P838" i="5"/>
  <c r="J838" i="5"/>
  <c r="W837" i="5"/>
  <c r="Q837" i="5"/>
  <c r="R837" i="5" s="1"/>
  <c r="S837" i="5" s="1"/>
  <c r="P837" i="5"/>
  <c r="J837" i="5"/>
  <c r="W836" i="5"/>
  <c r="Q836" i="5"/>
  <c r="R836" i="5" s="1"/>
  <c r="S836" i="5" s="1"/>
  <c r="P836" i="5"/>
  <c r="J836" i="5"/>
  <c r="W835" i="5"/>
  <c r="Q835" i="5"/>
  <c r="R835" i="5" s="1"/>
  <c r="S835" i="5" s="1"/>
  <c r="P835" i="5"/>
  <c r="J835" i="5"/>
  <c r="W834" i="5"/>
  <c r="Q834" i="5"/>
  <c r="R834" i="5" s="1"/>
  <c r="S834" i="5" s="1"/>
  <c r="P834" i="5"/>
  <c r="J834" i="5"/>
  <c r="W833" i="5"/>
  <c r="Q833" i="5"/>
  <c r="R833" i="5" s="1"/>
  <c r="S833" i="5" s="1"/>
  <c r="P833" i="5"/>
  <c r="J833" i="5"/>
  <c r="W832" i="5"/>
  <c r="Q832" i="5"/>
  <c r="R832" i="5" s="1"/>
  <c r="S832" i="5" s="1"/>
  <c r="P832" i="5"/>
  <c r="J832" i="5"/>
  <c r="W831" i="5"/>
  <c r="Q831" i="5"/>
  <c r="R831" i="5" s="1"/>
  <c r="S831" i="5" s="1"/>
  <c r="P831" i="5"/>
  <c r="J831" i="5"/>
  <c r="W830" i="5"/>
  <c r="Q830" i="5"/>
  <c r="R830" i="5" s="1"/>
  <c r="S830" i="5" s="1"/>
  <c r="P830" i="5"/>
  <c r="J830" i="5"/>
  <c r="W829" i="5"/>
  <c r="Q829" i="5"/>
  <c r="R829" i="5" s="1"/>
  <c r="S829" i="5" s="1"/>
  <c r="P829" i="5"/>
  <c r="J829" i="5"/>
  <c r="W828" i="5"/>
  <c r="Q828" i="5"/>
  <c r="R828" i="5" s="1"/>
  <c r="S828" i="5" s="1"/>
  <c r="P828" i="5"/>
  <c r="J828" i="5"/>
  <c r="W827" i="5"/>
  <c r="Q827" i="5"/>
  <c r="R827" i="5" s="1"/>
  <c r="S827" i="5" s="1"/>
  <c r="P827" i="5"/>
  <c r="J827" i="5"/>
  <c r="W826" i="5"/>
  <c r="Q826" i="5"/>
  <c r="R826" i="5" s="1"/>
  <c r="S826" i="5" s="1"/>
  <c r="P826" i="5"/>
  <c r="J826" i="5"/>
  <c r="W825" i="5"/>
  <c r="Q825" i="5"/>
  <c r="R825" i="5" s="1"/>
  <c r="S825" i="5" s="1"/>
  <c r="P825" i="5"/>
  <c r="J825" i="5"/>
  <c r="W824" i="5"/>
  <c r="Q824" i="5"/>
  <c r="R824" i="5" s="1"/>
  <c r="S824" i="5" s="1"/>
  <c r="P824" i="5"/>
  <c r="J824" i="5"/>
  <c r="W823" i="5"/>
  <c r="Q823" i="5"/>
  <c r="R823" i="5" s="1"/>
  <c r="S823" i="5" s="1"/>
  <c r="P823" i="5"/>
  <c r="J823" i="5"/>
  <c r="W822" i="5"/>
  <c r="Q822" i="5"/>
  <c r="R822" i="5" s="1"/>
  <c r="S822" i="5" s="1"/>
  <c r="P822" i="5"/>
  <c r="J822" i="5"/>
  <c r="W821" i="5"/>
  <c r="Q821" i="5"/>
  <c r="R821" i="5" s="1"/>
  <c r="S821" i="5" s="1"/>
  <c r="P821" i="5"/>
  <c r="J821" i="5"/>
  <c r="W820" i="5"/>
  <c r="Q820" i="5"/>
  <c r="R820" i="5" s="1"/>
  <c r="S820" i="5" s="1"/>
  <c r="P820" i="5"/>
  <c r="J820" i="5"/>
  <c r="W819" i="5"/>
  <c r="Q819" i="5"/>
  <c r="R819" i="5" s="1"/>
  <c r="S819" i="5" s="1"/>
  <c r="P819" i="5"/>
  <c r="J819" i="5"/>
  <c r="W818" i="5"/>
  <c r="Q818" i="5"/>
  <c r="R818" i="5" s="1"/>
  <c r="S818" i="5" s="1"/>
  <c r="P818" i="5"/>
  <c r="J818" i="5"/>
  <c r="W817" i="5"/>
  <c r="Q817" i="5"/>
  <c r="R817" i="5" s="1"/>
  <c r="S817" i="5" s="1"/>
  <c r="P817" i="5"/>
  <c r="J817" i="5"/>
  <c r="W816" i="5"/>
  <c r="Q816" i="5"/>
  <c r="R816" i="5" s="1"/>
  <c r="S816" i="5" s="1"/>
  <c r="P816" i="5"/>
  <c r="J816" i="5"/>
  <c r="W815" i="5"/>
  <c r="Q815" i="5"/>
  <c r="R815" i="5" s="1"/>
  <c r="S815" i="5" s="1"/>
  <c r="P815" i="5"/>
  <c r="J815" i="5"/>
  <c r="W814" i="5"/>
  <c r="Q814" i="5"/>
  <c r="R814" i="5" s="1"/>
  <c r="S814" i="5" s="1"/>
  <c r="P814" i="5"/>
  <c r="J814" i="5"/>
  <c r="W813" i="5"/>
  <c r="Q813" i="5"/>
  <c r="R813" i="5" s="1"/>
  <c r="S813" i="5" s="1"/>
  <c r="P813" i="5"/>
  <c r="J813" i="5"/>
  <c r="W812" i="5"/>
  <c r="Q812" i="5"/>
  <c r="R812" i="5" s="1"/>
  <c r="S812" i="5" s="1"/>
  <c r="P812" i="5"/>
  <c r="J812" i="5"/>
  <c r="W811" i="5"/>
  <c r="Q811" i="5"/>
  <c r="R811" i="5" s="1"/>
  <c r="S811" i="5" s="1"/>
  <c r="P811" i="5"/>
  <c r="J811" i="5"/>
  <c r="W810" i="5"/>
  <c r="Q810" i="5"/>
  <c r="R810" i="5" s="1"/>
  <c r="S810" i="5" s="1"/>
  <c r="P810" i="5"/>
  <c r="J810" i="5"/>
  <c r="W809" i="5"/>
  <c r="Q809" i="5"/>
  <c r="R809" i="5" s="1"/>
  <c r="S809" i="5" s="1"/>
  <c r="P809" i="5"/>
  <c r="J809" i="5"/>
  <c r="W808" i="5"/>
  <c r="Q808" i="5"/>
  <c r="R808" i="5" s="1"/>
  <c r="S808" i="5" s="1"/>
  <c r="P808" i="5"/>
  <c r="J808" i="5"/>
  <c r="W807" i="5"/>
  <c r="Q807" i="5"/>
  <c r="R807" i="5" s="1"/>
  <c r="S807" i="5" s="1"/>
  <c r="P807" i="5"/>
  <c r="J807" i="5"/>
  <c r="W806" i="5"/>
  <c r="Q806" i="5"/>
  <c r="R806" i="5" s="1"/>
  <c r="S806" i="5" s="1"/>
  <c r="P806" i="5"/>
  <c r="J806" i="5"/>
  <c r="W805" i="5"/>
  <c r="Q805" i="5"/>
  <c r="R805" i="5" s="1"/>
  <c r="S805" i="5" s="1"/>
  <c r="P805" i="5"/>
  <c r="J805" i="5"/>
  <c r="W804" i="5"/>
  <c r="Q804" i="5"/>
  <c r="R804" i="5" s="1"/>
  <c r="S804" i="5" s="1"/>
  <c r="P804" i="5"/>
  <c r="J804" i="5"/>
  <c r="W803" i="5"/>
  <c r="Q803" i="5"/>
  <c r="R803" i="5" s="1"/>
  <c r="S803" i="5" s="1"/>
  <c r="P803" i="5"/>
  <c r="J803" i="5"/>
  <c r="W802" i="5"/>
  <c r="Q802" i="5"/>
  <c r="R802" i="5" s="1"/>
  <c r="S802" i="5" s="1"/>
  <c r="P802" i="5"/>
  <c r="J802" i="5"/>
  <c r="W801" i="5"/>
  <c r="Q801" i="5"/>
  <c r="R801" i="5" s="1"/>
  <c r="S801" i="5" s="1"/>
  <c r="P801" i="5"/>
  <c r="J801" i="5"/>
  <c r="W800" i="5"/>
  <c r="Q800" i="5"/>
  <c r="R800" i="5" s="1"/>
  <c r="S800" i="5" s="1"/>
  <c r="P800" i="5"/>
  <c r="J800" i="5"/>
  <c r="W799" i="5"/>
  <c r="Q799" i="5"/>
  <c r="R799" i="5" s="1"/>
  <c r="S799" i="5" s="1"/>
  <c r="P799" i="5"/>
  <c r="J799" i="5"/>
  <c r="W798" i="5"/>
  <c r="Q798" i="5"/>
  <c r="R798" i="5" s="1"/>
  <c r="S798" i="5" s="1"/>
  <c r="P798" i="5"/>
  <c r="J798" i="5"/>
  <c r="W797" i="5"/>
  <c r="Q797" i="5"/>
  <c r="R797" i="5" s="1"/>
  <c r="S797" i="5" s="1"/>
  <c r="P797" i="5"/>
  <c r="J797" i="5"/>
  <c r="W796" i="5"/>
  <c r="Q796" i="5"/>
  <c r="R796" i="5" s="1"/>
  <c r="S796" i="5" s="1"/>
  <c r="P796" i="5"/>
  <c r="J796" i="5"/>
  <c r="W795" i="5"/>
  <c r="Q795" i="5"/>
  <c r="R795" i="5" s="1"/>
  <c r="S795" i="5" s="1"/>
  <c r="P795" i="5"/>
  <c r="J795" i="5"/>
  <c r="W794" i="5"/>
  <c r="Q794" i="5"/>
  <c r="R794" i="5" s="1"/>
  <c r="S794" i="5" s="1"/>
  <c r="P794" i="5"/>
  <c r="J794" i="5"/>
  <c r="W793" i="5"/>
  <c r="Q793" i="5"/>
  <c r="R793" i="5" s="1"/>
  <c r="S793" i="5" s="1"/>
  <c r="P793" i="5"/>
  <c r="J793" i="5"/>
  <c r="W792" i="5"/>
  <c r="Q792" i="5"/>
  <c r="R792" i="5" s="1"/>
  <c r="S792" i="5" s="1"/>
  <c r="P792" i="5"/>
  <c r="J792" i="5"/>
  <c r="W791" i="5"/>
  <c r="Q791" i="5"/>
  <c r="R791" i="5" s="1"/>
  <c r="S791" i="5" s="1"/>
  <c r="P791" i="5"/>
  <c r="J791" i="5"/>
  <c r="W790" i="5"/>
  <c r="Q790" i="5"/>
  <c r="R790" i="5" s="1"/>
  <c r="S790" i="5" s="1"/>
  <c r="P790" i="5"/>
  <c r="J790" i="5"/>
  <c r="W789" i="5"/>
  <c r="Q789" i="5"/>
  <c r="R789" i="5" s="1"/>
  <c r="S789" i="5" s="1"/>
  <c r="P789" i="5"/>
  <c r="J789" i="5"/>
  <c r="W788" i="5"/>
  <c r="Q788" i="5"/>
  <c r="R788" i="5" s="1"/>
  <c r="S788" i="5" s="1"/>
  <c r="P788" i="5"/>
  <c r="J788" i="5"/>
  <c r="W787" i="5"/>
  <c r="Q787" i="5"/>
  <c r="R787" i="5" s="1"/>
  <c r="S787" i="5" s="1"/>
  <c r="P787" i="5"/>
  <c r="J787" i="5"/>
  <c r="W786" i="5"/>
  <c r="Q786" i="5"/>
  <c r="R786" i="5" s="1"/>
  <c r="S786" i="5" s="1"/>
  <c r="P786" i="5"/>
  <c r="J786" i="5"/>
  <c r="W785" i="5"/>
  <c r="Q785" i="5"/>
  <c r="R785" i="5" s="1"/>
  <c r="S785" i="5" s="1"/>
  <c r="P785" i="5"/>
  <c r="J785" i="5"/>
  <c r="W784" i="5"/>
  <c r="Q784" i="5"/>
  <c r="R784" i="5" s="1"/>
  <c r="S784" i="5" s="1"/>
  <c r="P784" i="5"/>
  <c r="J784" i="5"/>
  <c r="W783" i="5"/>
  <c r="Q783" i="5"/>
  <c r="R783" i="5" s="1"/>
  <c r="S783" i="5" s="1"/>
  <c r="P783" i="5"/>
  <c r="J783" i="5"/>
  <c r="W782" i="5"/>
  <c r="Q782" i="5"/>
  <c r="R782" i="5" s="1"/>
  <c r="S782" i="5" s="1"/>
  <c r="P782" i="5"/>
  <c r="J782" i="5"/>
  <c r="W781" i="5"/>
  <c r="Q781" i="5"/>
  <c r="R781" i="5" s="1"/>
  <c r="S781" i="5" s="1"/>
  <c r="P781" i="5"/>
  <c r="J781" i="5"/>
  <c r="W780" i="5"/>
  <c r="Q780" i="5"/>
  <c r="R780" i="5" s="1"/>
  <c r="S780" i="5" s="1"/>
  <c r="P780" i="5"/>
  <c r="J780" i="5"/>
  <c r="W779" i="5"/>
  <c r="Q779" i="5"/>
  <c r="R779" i="5" s="1"/>
  <c r="S779" i="5" s="1"/>
  <c r="P779" i="5"/>
  <c r="J779" i="5"/>
  <c r="W778" i="5"/>
  <c r="Q778" i="5"/>
  <c r="R778" i="5" s="1"/>
  <c r="S778" i="5" s="1"/>
  <c r="P778" i="5"/>
  <c r="J778" i="5"/>
  <c r="W777" i="5"/>
  <c r="Q777" i="5"/>
  <c r="R777" i="5" s="1"/>
  <c r="S777" i="5" s="1"/>
  <c r="P777" i="5"/>
  <c r="J777" i="5"/>
  <c r="W776" i="5"/>
  <c r="Q776" i="5"/>
  <c r="R776" i="5" s="1"/>
  <c r="S776" i="5" s="1"/>
  <c r="P776" i="5"/>
  <c r="J776" i="5"/>
  <c r="W775" i="5"/>
  <c r="Q775" i="5"/>
  <c r="R775" i="5" s="1"/>
  <c r="S775" i="5" s="1"/>
  <c r="P775" i="5"/>
  <c r="J775" i="5"/>
  <c r="W774" i="5"/>
  <c r="S774" i="5"/>
  <c r="Q774" i="5"/>
  <c r="R774" i="5" s="1"/>
  <c r="P774" i="5"/>
  <c r="J774" i="5"/>
  <c r="W773" i="5"/>
  <c r="Q773" i="5"/>
  <c r="R773" i="5" s="1"/>
  <c r="S773" i="5" s="1"/>
  <c r="P773" i="5"/>
  <c r="J773" i="5"/>
  <c r="W772" i="5"/>
  <c r="Q772" i="5"/>
  <c r="R772" i="5" s="1"/>
  <c r="S772" i="5" s="1"/>
  <c r="P772" i="5"/>
  <c r="J772" i="5"/>
  <c r="W771" i="5"/>
  <c r="Q771" i="5"/>
  <c r="R771" i="5" s="1"/>
  <c r="S771" i="5" s="1"/>
  <c r="P771" i="5"/>
  <c r="J771" i="5"/>
  <c r="W770" i="5"/>
  <c r="S770" i="5"/>
  <c r="Q770" i="5"/>
  <c r="R770" i="5" s="1"/>
  <c r="P770" i="5"/>
  <c r="J770" i="5"/>
  <c r="W769" i="5"/>
  <c r="Q769" i="5"/>
  <c r="R769" i="5" s="1"/>
  <c r="S769" i="5" s="1"/>
  <c r="P769" i="5"/>
  <c r="J769" i="5"/>
  <c r="W768" i="5"/>
  <c r="Q768" i="5"/>
  <c r="R768" i="5" s="1"/>
  <c r="S768" i="5" s="1"/>
  <c r="P768" i="5"/>
  <c r="J768" i="5"/>
  <c r="W767" i="5"/>
  <c r="Q767" i="5"/>
  <c r="R767" i="5" s="1"/>
  <c r="S767" i="5" s="1"/>
  <c r="P767" i="5"/>
  <c r="J767" i="5"/>
  <c r="W766" i="5"/>
  <c r="Q766" i="5"/>
  <c r="R766" i="5" s="1"/>
  <c r="S766" i="5" s="1"/>
  <c r="P766" i="5"/>
  <c r="J766" i="5"/>
  <c r="W765" i="5"/>
  <c r="Q765" i="5"/>
  <c r="R765" i="5" s="1"/>
  <c r="S765" i="5" s="1"/>
  <c r="P765" i="5"/>
  <c r="J765" i="5"/>
  <c r="W764" i="5"/>
  <c r="Q764" i="5"/>
  <c r="R764" i="5" s="1"/>
  <c r="S764" i="5" s="1"/>
  <c r="P764" i="5"/>
  <c r="J764" i="5"/>
  <c r="W763" i="5"/>
  <c r="Q763" i="5"/>
  <c r="R763" i="5" s="1"/>
  <c r="S763" i="5" s="1"/>
  <c r="P763" i="5"/>
  <c r="J763" i="5"/>
  <c r="W762" i="5"/>
  <c r="Q762" i="5"/>
  <c r="R762" i="5" s="1"/>
  <c r="S762" i="5" s="1"/>
  <c r="P762" i="5"/>
  <c r="J762" i="5"/>
  <c r="W761" i="5"/>
  <c r="Q761" i="5"/>
  <c r="R761" i="5" s="1"/>
  <c r="S761" i="5" s="1"/>
  <c r="P761" i="5"/>
  <c r="J761" i="5"/>
  <c r="W760" i="5"/>
  <c r="Q760" i="5"/>
  <c r="R760" i="5" s="1"/>
  <c r="S760" i="5" s="1"/>
  <c r="P760" i="5"/>
  <c r="J760" i="5"/>
  <c r="W759" i="5"/>
  <c r="Q759" i="5"/>
  <c r="R759" i="5" s="1"/>
  <c r="S759" i="5" s="1"/>
  <c r="P759" i="5"/>
  <c r="J759" i="5"/>
  <c r="W758" i="5"/>
  <c r="Q758" i="5"/>
  <c r="R758" i="5" s="1"/>
  <c r="S758" i="5" s="1"/>
  <c r="P758" i="5"/>
  <c r="J758" i="5"/>
  <c r="W757" i="5"/>
  <c r="Q757" i="5"/>
  <c r="R757" i="5" s="1"/>
  <c r="S757" i="5" s="1"/>
  <c r="P757" i="5"/>
  <c r="J757" i="5"/>
  <c r="W756" i="5"/>
  <c r="Q756" i="5"/>
  <c r="R756" i="5" s="1"/>
  <c r="S756" i="5" s="1"/>
  <c r="P756" i="5"/>
  <c r="J756" i="5"/>
  <c r="W755" i="5"/>
  <c r="Q755" i="5"/>
  <c r="R755" i="5" s="1"/>
  <c r="S755" i="5" s="1"/>
  <c r="P755" i="5"/>
  <c r="J755" i="5"/>
  <c r="W754" i="5"/>
  <c r="Q754" i="5"/>
  <c r="R754" i="5" s="1"/>
  <c r="S754" i="5" s="1"/>
  <c r="P754" i="5"/>
  <c r="J754" i="5"/>
  <c r="W753" i="5"/>
  <c r="Q753" i="5"/>
  <c r="R753" i="5" s="1"/>
  <c r="S753" i="5" s="1"/>
  <c r="P753" i="5"/>
  <c r="J753" i="5"/>
  <c r="W752" i="5"/>
  <c r="Q752" i="5"/>
  <c r="R752" i="5" s="1"/>
  <c r="S752" i="5" s="1"/>
  <c r="P752" i="5"/>
  <c r="J752" i="5"/>
  <c r="W751" i="5"/>
  <c r="Q751" i="5"/>
  <c r="R751" i="5" s="1"/>
  <c r="S751" i="5" s="1"/>
  <c r="P751" i="5"/>
  <c r="J751" i="5"/>
  <c r="W750" i="5"/>
  <c r="Q750" i="5"/>
  <c r="R750" i="5" s="1"/>
  <c r="S750" i="5" s="1"/>
  <c r="P750" i="5"/>
  <c r="J750" i="5"/>
  <c r="W749" i="5"/>
  <c r="Q749" i="5"/>
  <c r="R749" i="5" s="1"/>
  <c r="S749" i="5" s="1"/>
  <c r="P749" i="5"/>
  <c r="J749" i="5"/>
  <c r="W748" i="5"/>
  <c r="S748" i="5"/>
  <c r="Q748" i="5"/>
  <c r="R748" i="5" s="1"/>
  <c r="P748" i="5"/>
  <c r="J748" i="5"/>
  <c r="W747" i="5"/>
  <c r="Q747" i="5"/>
  <c r="R747" i="5" s="1"/>
  <c r="S747" i="5" s="1"/>
  <c r="P747" i="5"/>
  <c r="J747" i="5"/>
  <c r="W746" i="5"/>
  <c r="Q746" i="5"/>
  <c r="R746" i="5" s="1"/>
  <c r="S746" i="5" s="1"/>
  <c r="P746" i="5"/>
  <c r="J746" i="5"/>
  <c r="W745" i="5"/>
  <c r="Q745" i="5"/>
  <c r="R745" i="5" s="1"/>
  <c r="S745" i="5" s="1"/>
  <c r="P745" i="5"/>
  <c r="J745" i="5"/>
  <c r="W744" i="5"/>
  <c r="S744" i="5"/>
  <c r="Q744" i="5"/>
  <c r="R744" i="5" s="1"/>
  <c r="P744" i="5"/>
  <c r="J744" i="5"/>
  <c r="W743" i="5"/>
  <c r="Q743" i="5"/>
  <c r="R743" i="5" s="1"/>
  <c r="S743" i="5" s="1"/>
  <c r="P743" i="5"/>
  <c r="J743" i="5"/>
  <c r="W742" i="5"/>
  <c r="Q742" i="5"/>
  <c r="R742" i="5" s="1"/>
  <c r="S742" i="5" s="1"/>
  <c r="P742" i="5"/>
  <c r="J742" i="5"/>
  <c r="W741" i="5"/>
  <c r="Q741" i="5"/>
  <c r="R741" i="5" s="1"/>
  <c r="S741" i="5" s="1"/>
  <c r="P741" i="5"/>
  <c r="J741" i="5"/>
  <c r="W740" i="5"/>
  <c r="S740" i="5"/>
  <c r="Q740" i="5"/>
  <c r="R740" i="5" s="1"/>
  <c r="P740" i="5"/>
  <c r="J740" i="5"/>
  <c r="W739" i="5"/>
  <c r="Q739" i="5"/>
  <c r="R739" i="5" s="1"/>
  <c r="S739" i="5" s="1"/>
  <c r="P739" i="5"/>
  <c r="J739" i="5"/>
  <c r="W738" i="5"/>
  <c r="Q738" i="5"/>
  <c r="R738" i="5" s="1"/>
  <c r="S738" i="5" s="1"/>
  <c r="P738" i="5"/>
  <c r="J738" i="5"/>
  <c r="W737" i="5"/>
  <c r="Q737" i="5"/>
  <c r="R737" i="5" s="1"/>
  <c r="S737" i="5" s="1"/>
  <c r="P737" i="5"/>
  <c r="J737" i="5"/>
  <c r="W736" i="5"/>
  <c r="S736" i="5"/>
  <c r="Q736" i="5"/>
  <c r="R736" i="5" s="1"/>
  <c r="P736" i="5"/>
  <c r="J736" i="5"/>
  <c r="W735" i="5"/>
  <c r="Q735" i="5"/>
  <c r="R735" i="5" s="1"/>
  <c r="S735" i="5" s="1"/>
  <c r="P735" i="5"/>
  <c r="J735" i="5"/>
  <c r="W734" i="5"/>
  <c r="Q734" i="5"/>
  <c r="R734" i="5" s="1"/>
  <c r="S734" i="5" s="1"/>
  <c r="P734" i="5"/>
  <c r="J734" i="5"/>
  <c r="W733" i="5"/>
  <c r="Q733" i="5"/>
  <c r="R733" i="5" s="1"/>
  <c r="S733" i="5" s="1"/>
  <c r="P733" i="5"/>
  <c r="J733" i="5"/>
  <c r="W732" i="5"/>
  <c r="S732" i="5"/>
  <c r="Q732" i="5"/>
  <c r="R732" i="5" s="1"/>
  <c r="P732" i="5"/>
  <c r="J732" i="5"/>
  <c r="W731" i="5"/>
  <c r="Q731" i="5"/>
  <c r="R731" i="5" s="1"/>
  <c r="S731" i="5" s="1"/>
  <c r="P731" i="5"/>
  <c r="J731" i="5"/>
  <c r="W730" i="5"/>
  <c r="Q730" i="5"/>
  <c r="R730" i="5" s="1"/>
  <c r="S730" i="5" s="1"/>
  <c r="P730" i="5"/>
  <c r="J730" i="5"/>
  <c r="W729" i="5"/>
  <c r="Q729" i="5"/>
  <c r="R729" i="5" s="1"/>
  <c r="S729" i="5" s="1"/>
  <c r="P729" i="5"/>
  <c r="J729" i="5"/>
  <c r="W728" i="5"/>
  <c r="S728" i="5"/>
  <c r="Q728" i="5"/>
  <c r="R728" i="5" s="1"/>
  <c r="P728" i="5"/>
  <c r="J728" i="5"/>
  <c r="W727" i="5"/>
  <c r="Q727" i="5"/>
  <c r="R727" i="5" s="1"/>
  <c r="S727" i="5" s="1"/>
  <c r="P727" i="5"/>
  <c r="J727" i="5"/>
  <c r="W726" i="5"/>
  <c r="Q726" i="5"/>
  <c r="R726" i="5" s="1"/>
  <c r="S726" i="5" s="1"/>
  <c r="P726" i="5"/>
  <c r="J726" i="5"/>
  <c r="W725" i="5"/>
  <c r="Q725" i="5"/>
  <c r="R725" i="5" s="1"/>
  <c r="S725" i="5" s="1"/>
  <c r="P725" i="5"/>
  <c r="J725" i="5"/>
  <c r="W724" i="5"/>
  <c r="S724" i="5"/>
  <c r="Q724" i="5"/>
  <c r="R724" i="5" s="1"/>
  <c r="P724" i="5"/>
  <c r="J724" i="5"/>
  <c r="W723" i="5"/>
  <c r="Q723" i="5"/>
  <c r="R723" i="5" s="1"/>
  <c r="S723" i="5" s="1"/>
  <c r="P723" i="5"/>
  <c r="J723" i="5"/>
  <c r="W722" i="5"/>
  <c r="Q722" i="5"/>
  <c r="R722" i="5" s="1"/>
  <c r="S722" i="5" s="1"/>
  <c r="P722" i="5"/>
  <c r="J722" i="5"/>
  <c r="W721" i="5"/>
  <c r="Q721" i="5"/>
  <c r="R721" i="5" s="1"/>
  <c r="S721" i="5" s="1"/>
  <c r="P721" i="5"/>
  <c r="J721" i="5"/>
  <c r="W720" i="5"/>
  <c r="S720" i="5"/>
  <c r="Q720" i="5"/>
  <c r="R720" i="5" s="1"/>
  <c r="P720" i="5"/>
  <c r="J720" i="5"/>
  <c r="W719" i="5"/>
  <c r="Q719" i="5"/>
  <c r="R719" i="5" s="1"/>
  <c r="S719" i="5" s="1"/>
  <c r="P719" i="5"/>
  <c r="J719" i="5"/>
  <c r="W718" i="5"/>
  <c r="Q718" i="5"/>
  <c r="R718" i="5" s="1"/>
  <c r="S718" i="5" s="1"/>
  <c r="P718" i="5"/>
  <c r="J718" i="5"/>
  <c r="W717" i="5"/>
  <c r="Q717" i="5"/>
  <c r="R717" i="5" s="1"/>
  <c r="S717" i="5" s="1"/>
  <c r="P717" i="5"/>
  <c r="J717" i="5"/>
  <c r="W716" i="5"/>
  <c r="S716" i="5"/>
  <c r="Q716" i="5"/>
  <c r="R716" i="5" s="1"/>
  <c r="P716" i="5"/>
  <c r="J716" i="5"/>
  <c r="W715" i="5"/>
  <c r="Q715" i="5"/>
  <c r="R715" i="5" s="1"/>
  <c r="S715" i="5" s="1"/>
  <c r="P715" i="5"/>
  <c r="J715" i="5"/>
  <c r="W714" i="5"/>
  <c r="Q714" i="5"/>
  <c r="R714" i="5" s="1"/>
  <c r="S714" i="5" s="1"/>
  <c r="P714" i="5"/>
  <c r="J714" i="5"/>
  <c r="W713" i="5"/>
  <c r="Q713" i="5"/>
  <c r="R713" i="5" s="1"/>
  <c r="S713" i="5" s="1"/>
  <c r="P713" i="5"/>
  <c r="J713" i="5"/>
  <c r="W712" i="5"/>
  <c r="S712" i="5"/>
  <c r="Q712" i="5"/>
  <c r="R712" i="5" s="1"/>
  <c r="P712" i="5"/>
  <c r="J712" i="5"/>
  <c r="W711" i="5"/>
  <c r="Q711" i="5"/>
  <c r="R711" i="5" s="1"/>
  <c r="S711" i="5" s="1"/>
  <c r="P711" i="5"/>
  <c r="J711" i="5"/>
  <c r="W710" i="5"/>
  <c r="Q710" i="5"/>
  <c r="R710" i="5" s="1"/>
  <c r="S710" i="5" s="1"/>
  <c r="P710" i="5"/>
  <c r="J710" i="5"/>
  <c r="W709" i="5"/>
  <c r="Q709" i="5"/>
  <c r="R709" i="5" s="1"/>
  <c r="S709" i="5" s="1"/>
  <c r="P709" i="5"/>
  <c r="J709" i="5"/>
  <c r="W708" i="5"/>
  <c r="S708" i="5"/>
  <c r="Q708" i="5"/>
  <c r="R708" i="5" s="1"/>
  <c r="P708" i="5"/>
  <c r="J708" i="5"/>
  <c r="W707" i="5"/>
  <c r="Q707" i="5"/>
  <c r="R707" i="5" s="1"/>
  <c r="S707" i="5" s="1"/>
  <c r="P707" i="5"/>
  <c r="J707" i="5"/>
  <c r="W706" i="5"/>
  <c r="Q706" i="5"/>
  <c r="R706" i="5" s="1"/>
  <c r="S706" i="5" s="1"/>
  <c r="P706" i="5"/>
  <c r="J706" i="5"/>
  <c r="W705" i="5"/>
  <c r="Q705" i="5"/>
  <c r="R705" i="5" s="1"/>
  <c r="S705" i="5" s="1"/>
  <c r="P705" i="5"/>
  <c r="J705" i="5"/>
  <c r="W704" i="5"/>
  <c r="S704" i="5"/>
  <c r="Q704" i="5"/>
  <c r="R704" i="5" s="1"/>
  <c r="P704" i="5"/>
  <c r="J704" i="5"/>
  <c r="W703" i="5"/>
  <c r="Q703" i="5"/>
  <c r="R703" i="5" s="1"/>
  <c r="S703" i="5" s="1"/>
  <c r="P703" i="5"/>
  <c r="J703" i="5"/>
  <c r="W702" i="5"/>
  <c r="Q702" i="5"/>
  <c r="R702" i="5" s="1"/>
  <c r="S702" i="5" s="1"/>
  <c r="P702" i="5"/>
  <c r="J702" i="5"/>
  <c r="W701" i="5"/>
  <c r="Q701" i="5"/>
  <c r="R701" i="5" s="1"/>
  <c r="S701" i="5" s="1"/>
  <c r="P701" i="5"/>
  <c r="J701" i="5"/>
  <c r="W700" i="5"/>
  <c r="S700" i="5"/>
  <c r="Q700" i="5"/>
  <c r="R700" i="5" s="1"/>
  <c r="P700" i="5"/>
  <c r="J700" i="5"/>
  <c r="W699" i="5"/>
  <c r="Q699" i="5"/>
  <c r="R699" i="5" s="1"/>
  <c r="S699" i="5" s="1"/>
  <c r="P699" i="5"/>
  <c r="J699" i="5"/>
  <c r="W698" i="5"/>
  <c r="Q698" i="5"/>
  <c r="R698" i="5" s="1"/>
  <c r="S698" i="5" s="1"/>
  <c r="P698" i="5"/>
  <c r="J698" i="5"/>
  <c r="W697" i="5"/>
  <c r="Q697" i="5"/>
  <c r="R697" i="5" s="1"/>
  <c r="S697" i="5" s="1"/>
  <c r="P697" i="5"/>
  <c r="J697" i="5"/>
  <c r="W696" i="5"/>
  <c r="S696" i="5"/>
  <c r="Q696" i="5"/>
  <c r="R696" i="5" s="1"/>
  <c r="P696" i="5"/>
  <c r="J696" i="5"/>
  <c r="W695" i="5"/>
  <c r="Q695" i="5"/>
  <c r="R695" i="5" s="1"/>
  <c r="S695" i="5" s="1"/>
  <c r="P695" i="5"/>
  <c r="J695" i="5"/>
  <c r="W694" i="5"/>
  <c r="Q694" i="5"/>
  <c r="R694" i="5" s="1"/>
  <c r="S694" i="5" s="1"/>
  <c r="P694" i="5"/>
  <c r="J694" i="5"/>
  <c r="W693" i="5"/>
  <c r="Q693" i="5"/>
  <c r="R693" i="5" s="1"/>
  <c r="S693" i="5" s="1"/>
  <c r="P693" i="5"/>
  <c r="J693" i="5"/>
  <c r="W692" i="5"/>
  <c r="S692" i="5"/>
  <c r="Q692" i="5"/>
  <c r="R692" i="5" s="1"/>
  <c r="P692" i="5"/>
  <c r="J692" i="5"/>
  <c r="W691" i="5"/>
  <c r="Q691" i="5"/>
  <c r="R691" i="5" s="1"/>
  <c r="S691" i="5" s="1"/>
  <c r="P691" i="5"/>
  <c r="J691" i="5"/>
  <c r="W690" i="5"/>
  <c r="Q690" i="5"/>
  <c r="R690" i="5" s="1"/>
  <c r="S690" i="5" s="1"/>
  <c r="P690" i="5"/>
  <c r="J690" i="5"/>
  <c r="W689" i="5"/>
  <c r="Q689" i="5"/>
  <c r="R689" i="5" s="1"/>
  <c r="S689" i="5" s="1"/>
  <c r="P689" i="5"/>
  <c r="J689" i="5"/>
  <c r="W688" i="5"/>
  <c r="S688" i="5"/>
  <c r="Q688" i="5"/>
  <c r="R688" i="5" s="1"/>
  <c r="P688" i="5"/>
  <c r="J688" i="5"/>
  <c r="W687" i="5"/>
  <c r="Q687" i="5"/>
  <c r="R687" i="5" s="1"/>
  <c r="S687" i="5" s="1"/>
  <c r="P687" i="5"/>
  <c r="J687" i="5"/>
  <c r="W686" i="5"/>
  <c r="Q686" i="5"/>
  <c r="R686" i="5" s="1"/>
  <c r="S686" i="5" s="1"/>
  <c r="P686" i="5"/>
  <c r="J686" i="5"/>
  <c r="W685" i="5"/>
  <c r="R685" i="5"/>
  <c r="S685" i="5" s="1"/>
  <c r="Q685" i="5"/>
  <c r="P685" i="5"/>
  <c r="J685" i="5"/>
  <c r="W684" i="5"/>
  <c r="Q684" i="5"/>
  <c r="R684" i="5" s="1"/>
  <c r="S684" i="5" s="1"/>
  <c r="P684" i="5"/>
  <c r="J684" i="5"/>
  <c r="W683" i="5"/>
  <c r="R683" i="5"/>
  <c r="S683" i="5" s="1"/>
  <c r="Q683" i="5"/>
  <c r="P683" i="5"/>
  <c r="J683" i="5"/>
  <c r="W682" i="5"/>
  <c r="Q682" i="5"/>
  <c r="R682" i="5" s="1"/>
  <c r="S682" i="5" s="1"/>
  <c r="P682" i="5"/>
  <c r="J682" i="5"/>
  <c r="W681" i="5"/>
  <c r="R681" i="5"/>
  <c r="S681" i="5" s="1"/>
  <c r="Q681" i="5"/>
  <c r="P681" i="5"/>
  <c r="J681" i="5"/>
  <c r="W680" i="5"/>
  <c r="Q680" i="5"/>
  <c r="R680" i="5" s="1"/>
  <c r="S680" i="5" s="1"/>
  <c r="P680" i="5"/>
  <c r="J680" i="5"/>
  <c r="W679" i="5"/>
  <c r="R679" i="5"/>
  <c r="S679" i="5" s="1"/>
  <c r="Q679" i="5"/>
  <c r="P679" i="5"/>
  <c r="J679" i="5"/>
  <c r="W678" i="5"/>
  <c r="Q678" i="5"/>
  <c r="R678" i="5" s="1"/>
  <c r="S678" i="5" s="1"/>
  <c r="P678" i="5"/>
  <c r="J678" i="5"/>
  <c r="W677" i="5"/>
  <c r="R677" i="5"/>
  <c r="S677" i="5" s="1"/>
  <c r="Q677" i="5"/>
  <c r="P677" i="5"/>
  <c r="J677" i="5"/>
  <c r="W676" i="5"/>
  <c r="Q676" i="5"/>
  <c r="R676" i="5" s="1"/>
  <c r="S676" i="5" s="1"/>
  <c r="P676" i="5"/>
  <c r="J676" i="5"/>
  <c r="W675" i="5"/>
  <c r="R675" i="5"/>
  <c r="S675" i="5" s="1"/>
  <c r="Q675" i="5"/>
  <c r="P675" i="5"/>
  <c r="J675" i="5"/>
  <c r="W674" i="5"/>
  <c r="Q674" i="5"/>
  <c r="R674" i="5" s="1"/>
  <c r="S674" i="5" s="1"/>
  <c r="P674" i="5"/>
  <c r="J674" i="5"/>
  <c r="W673" i="5"/>
  <c r="R673" i="5"/>
  <c r="S673" i="5" s="1"/>
  <c r="Q673" i="5"/>
  <c r="P673" i="5"/>
  <c r="J673" i="5"/>
  <c r="W672" i="5"/>
  <c r="Q672" i="5"/>
  <c r="R672" i="5" s="1"/>
  <c r="S672" i="5" s="1"/>
  <c r="P672" i="5"/>
  <c r="J672" i="5"/>
  <c r="W671" i="5"/>
  <c r="R671" i="5"/>
  <c r="S671" i="5" s="1"/>
  <c r="Q671" i="5"/>
  <c r="P671" i="5"/>
  <c r="J671" i="5"/>
  <c r="W670" i="5"/>
  <c r="Q670" i="5"/>
  <c r="R670" i="5" s="1"/>
  <c r="S670" i="5" s="1"/>
  <c r="P670" i="5"/>
  <c r="J670" i="5"/>
  <c r="W669" i="5"/>
  <c r="R669" i="5"/>
  <c r="S669" i="5" s="1"/>
  <c r="Q669" i="5"/>
  <c r="P669" i="5"/>
  <c r="J669" i="5"/>
  <c r="W668" i="5"/>
  <c r="Q668" i="5"/>
  <c r="R668" i="5" s="1"/>
  <c r="S668" i="5" s="1"/>
  <c r="P668" i="5"/>
  <c r="J668" i="5"/>
  <c r="W667" i="5"/>
  <c r="R667" i="5"/>
  <c r="S667" i="5" s="1"/>
  <c r="Q667" i="5"/>
  <c r="P667" i="5"/>
  <c r="J667" i="5"/>
  <c r="W666" i="5"/>
  <c r="Q666" i="5"/>
  <c r="R666" i="5" s="1"/>
  <c r="S666" i="5" s="1"/>
  <c r="P666" i="5"/>
  <c r="J666" i="5"/>
  <c r="W665" i="5"/>
  <c r="R665" i="5"/>
  <c r="S665" i="5" s="1"/>
  <c r="Q665" i="5"/>
  <c r="P665" i="5"/>
  <c r="J665" i="5"/>
  <c r="W664" i="5"/>
  <c r="Q664" i="5"/>
  <c r="R664" i="5" s="1"/>
  <c r="S664" i="5" s="1"/>
  <c r="P664" i="5"/>
  <c r="J664" i="5"/>
  <c r="W663" i="5"/>
  <c r="R663" i="5"/>
  <c r="S663" i="5" s="1"/>
  <c r="Q663" i="5"/>
  <c r="P663" i="5"/>
  <c r="J663" i="5"/>
  <c r="W662" i="5"/>
  <c r="Q662" i="5"/>
  <c r="R662" i="5" s="1"/>
  <c r="S662" i="5" s="1"/>
  <c r="P662" i="5"/>
  <c r="J662" i="5"/>
  <c r="W661" i="5"/>
  <c r="R661" i="5"/>
  <c r="S661" i="5" s="1"/>
  <c r="Q661" i="5"/>
  <c r="P661" i="5"/>
  <c r="J661" i="5"/>
  <c r="W660" i="5"/>
  <c r="Q660" i="5"/>
  <c r="R660" i="5" s="1"/>
  <c r="S660" i="5" s="1"/>
  <c r="P660" i="5"/>
  <c r="J660" i="5"/>
  <c r="W659" i="5"/>
  <c r="R659" i="5"/>
  <c r="S659" i="5" s="1"/>
  <c r="Q659" i="5"/>
  <c r="P659" i="5"/>
  <c r="J659" i="5"/>
  <c r="W658" i="5"/>
  <c r="Q658" i="5"/>
  <c r="R658" i="5" s="1"/>
  <c r="S658" i="5" s="1"/>
  <c r="P658" i="5"/>
  <c r="J658" i="5"/>
  <c r="W657" i="5"/>
  <c r="R657" i="5"/>
  <c r="S657" i="5" s="1"/>
  <c r="Q657" i="5"/>
  <c r="P657" i="5"/>
  <c r="J657" i="5"/>
  <c r="W656" i="5"/>
  <c r="Q656" i="5"/>
  <c r="R656" i="5" s="1"/>
  <c r="S656" i="5" s="1"/>
  <c r="P656" i="5"/>
  <c r="J656" i="5"/>
  <c r="W655" i="5"/>
  <c r="R655" i="5"/>
  <c r="S655" i="5" s="1"/>
  <c r="Q655" i="5"/>
  <c r="P655" i="5"/>
  <c r="J655" i="5"/>
  <c r="W654" i="5"/>
  <c r="Q654" i="5"/>
  <c r="R654" i="5" s="1"/>
  <c r="S654" i="5" s="1"/>
  <c r="P654" i="5"/>
  <c r="J654" i="5"/>
  <c r="W653" i="5"/>
  <c r="R653" i="5"/>
  <c r="S653" i="5" s="1"/>
  <c r="Q653" i="5"/>
  <c r="P653" i="5"/>
  <c r="J653" i="5"/>
  <c r="W652" i="5"/>
  <c r="Q652" i="5"/>
  <c r="R652" i="5" s="1"/>
  <c r="S652" i="5" s="1"/>
  <c r="P652" i="5"/>
  <c r="J652" i="5"/>
  <c r="W651" i="5"/>
  <c r="R651" i="5"/>
  <c r="S651" i="5" s="1"/>
  <c r="Q651" i="5"/>
  <c r="P651" i="5"/>
  <c r="J651" i="5"/>
  <c r="W650" i="5"/>
  <c r="Q650" i="5"/>
  <c r="R650" i="5" s="1"/>
  <c r="S650" i="5" s="1"/>
  <c r="P650" i="5"/>
  <c r="J650" i="5"/>
  <c r="W649" i="5"/>
  <c r="R649" i="5"/>
  <c r="S649" i="5" s="1"/>
  <c r="Q649" i="5"/>
  <c r="P649" i="5"/>
  <c r="J649" i="5"/>
  <c r="W648" i="5"/>
  <c r="Q648" i="5"/>
  <c r="R648" i="5" s="1"/>
  <c r="S648" i="5" s="1"/>
  <c r="P648" i="5"/>
  <c r="J648" i="5"/>
  <c r="W647" i="5"/>
  <c r="R647" i="5"/>
  <c r="S647" i="5" s="1"/>
  <c r="Q647" i="5"/>
  <c r="P647" i="5"/>
  <c r="J647" i="5"/>
  <c r="W646" i="5"/>
  <c r="Q646" i="5"/>
  <c r="R646" i="5" s="1"/>
  <c r="S646" i="5" s="1"/>
  <c r="P646" i="5"/>
  <c r="J646" i="5"/>
  <c r="W645" i="5"/>
  <c r="R645" i="5"/>
  <c r="S645" i="5" s="1"/>
  <c r="Q645" i="5"/>
  <c r="P645" i="5"/>
  <c r="J645" i="5"/>
  <c r="W644" i="5"/>
  <c r="Q644" i="5"/>
  <c r="R644" i="5" s="1"/>
  <c r="S644" i="5" s="1"/>
  <c r="P644" i="5"/>
  <c r="J644" i="5"/>
  <c r="W643" i="5"/>
  <c r="R643" i="5"/>
  <c r="S643" i="5" s="1"/>
  <c r="Q643" i="5"/>
  <c r="P643" i="5"/>
  <c r="J643" i="5"/>
  <c r="W642" i="5"/>
  <c r="Q642" i="5"/>
  <c r="R642" i="5" s="1"/>
  <c r="S642" i="5" s="1"/>
  <c r="P642" i="5"/>
  <c r="J642" i="5"/>
  <c r="W641" i="5"/>
  <c r="R641" i="5"/>
  <c r="S641" i="5" s="1"/>
  <c r="Q641" i="5"/>
  <c r="P641" i="5"/>
  <c r="J641" i="5"/>
  <c r="W640" i="5"/>
  <c r="Q640" i="5"/>
  <c r="R640" i="5" s="1"/>
  <c r="S640" i="5" s="1"/>
  <c r="P640" i="5"/>
  <c r="J640" i="5"/>
  <c r="W639" i="5"/>
  <c r="R639" i="5"/>
  <c r="S639" i="5" s="1"/>
  <c r="Q639" i="5"/>
  <c r="P639" i="5"/>
  <c r="J639" i="5"/>
  <c r="W638" i="5"/>
  <c r="Q638" i="5"/>
  <c r="R638" i="5" s="1"/>
  <c r="S638" i="5" s="1"/>
  <c r="P638" i="5"/>
  <c r="J638" i="5"/>
  <c r="W637" i="5"/>
  <c r="R637" i="5"/>
  <c r="S637" i="5" s="1"/>
  <c r="Q637" i="5"/>
  <c r="P637" i="5"/>
  <c r="J637" i="5"/>
  <c r="W636" i="5"/>
  <c r="Q636" i="5"/>
  <c r="R636" i="5" s="1"/>
  <c r="S636" i="5" s="1"/>
  <c r="P636" i="5"/>
  <c r="J636" i="5"/>
  <c r="W635" i="5"/>
  <c r="R635" i="5"/>
  <c r="S635" i="5" s="1"/>
  <c r="Q635" i="5"/>
  <c r="P635" i="5"/>
  <c r="J635" i="5"/>
  <c r="W634" i="5"/>
  <c r="Q634" i="5"/>
  <c r="R634" i="5" s="1"/>
  <c r="S634" i="5" s="1"/>
  <c r="P634" i="5"/>
  <c r="J634" i="5"/>
  <c r="W633" i="5"/>
  <c r="R633" i="5"/>
  <c r="S633" i="5" s="1"/>
  <c r="Q633" i="5"/>
  <c r="P633" i="5"/>
  <c r="J633" i="5"/>
  <c r="W632" i="5"/>
  <c r="Q632" i="5"/>
  <c r="R632" i="5" s="1"/>
  <c r="S632" i="5" s="1"/>
  <c r="P632" i="5"/>
  <c r="J632" i="5"/>
  <c r="W631" i="5"/>
  <c r="R631" i="5"/>
  <c r="S631" i="5" s="1"/>
  <c r="Q631" i="5"/>
  <c r="P631" i="5"/>
  <c r="J631" i="5"/>
  <c r="W630" i="5"/>
  <c r="Q630" i="5"/>
  <c r="R630" i="5" s="1"/>
  <c r="S630" i="5" s="1"/>
  <c r="P630" i="5"/>
  <c r="J630" i="5"/>
  <c r="W629" i="5"/>
  <c r="R629" i="5"/>
  <c r="S629" i="5" s="1"/>
  <c r="Q629" i="5"/>
  <c r="P629" i="5"/>
  <c r="J629" i="5"/>
  <c r="W628" i="5"/>
  <c r="Q628" i="5"/>
  <c r="R628" i="5" s="1"/>
  <c r="S628" i="5" s="1"/>
  <c r="P628" i="5"/>
  <c r="J628" i="5"/>
  <c r="W627" i="5"/>
  <c r="R627" i="5"/>
  <c r="S627" i="5" s="1"/>
  <c r="Q627" i="5"/>
  <c r="P627" i="5"/>
  <c r="J627" i="5"/>
  <c r="W626" i="5"/>
  <c r="Q626" i="5"/>
  <c r="R626" i="5" s="1"/>
  <c r="S626" i="5" s="1"/>
  <c r="P626" i="5"/>
  <c r="J626" i="5"/>
  <c r="W625" i="5"/>
  <c r="R625" i="5"/>
  <c r="S625" i="5" s="1"/>
  <c r="Q625" i="5"/>
  <c r="P625" i="5"/>
  <c r="J625" i="5"/>
  <c r="W624" i="5"/>
  <c r="Q624" i="5"/>
  <c r="R624" i="5" s="1"/>
  <c r="S624" i="5" s="1"/>
  <c r="P624" i="5"/>
  <c r="J624" i="5"/>
  <c r="W623" i="5"/>
  <c r="R623" i="5"/>
  <c r="S623" i="5" s="1"/>
  <c r="Q623" i="5"/>
  <c r="P623" i="5"/>
  <c r="J623" i="5"/>
  <c r="W622" i="5"/>
  <c r="Q622" i="5"/>
  <c r="R622" i="5" s="1"/>
  <c r="S622" i="5" s="1"/>
  <c r="P622" i="5"/>
  <c r="J622" i="5"/>
  <c r="W621" i="5"/>
  <c r="R621" i="5"/>
  <c r="S621" i="5" s="1"/>
  <c r="Q621" i="5"/>
  <c r="P621" i="5"/>
  <c r="J621" i="5"/>
  <c r="W620" i="5"/>
  <c r="Q620" i="5"/>
  <c r="R620" i="5" s="1"/>
  <c r="S620" i="5" s="1"/>
  <c r="P620" i="5"/>
  <c r="J620" i="5"/>
  <c r="W619" i="5"/>
  <c r="R619" i="5"/>
  <c r="S619" i="5" s="1"/>
  <c r="Q619" i="5"/>
  <c r="P619" i="5"/>
  <c r="J619" i="5"/>
  <c r="W618" i="5"/>
  <c r="Q618" i="5"/>
  <c r="R618" i="5" s="1"/>
  <c r="S618" i="5" s="1"/>
  <c r="P618" i="5"/>
  <c r="J618" i="5"/>
  <c r="W617" i="5"/>
  <c r="R617" i="5"/>
  <c r="S617" i="5" s="1"/>
  <c r="Q617" i="5"/>
  <c r="P617" i="5"/>
  <c r="J617" i="5"/>
  <c r="W616" i="5"/>
  <c r="Q616" i="5"/>
  <c r="R616" i="5" s="1"/>
  <c r="S616" i="5" s="1"/>
  <c r="P616" i="5"/>
  <c r="J616" i="5"/>
  <c r="W615" i="5"/>
  <c r="R615" i="5"/>
  <c r="S615" i="5" s="1"/>
  <c r="Q615" i="5"/>
  <c r="P615" i="5"/>
  <c r="J615" i="5"/>
  <c r="W614" i="5"/>
  <c r="Q614" i="5"/>
  <c r="R614" i="5" s="1"/>
  <c r="S614" i="5" s="1"/>
  <c r="P614" i="5"/>
  <c r="J614" i="5"/>
  <c r="W613" i="5"/>
  <c r="R613" i="5"/>
  <c r="S613" i="5" s="1"/>
  <c r="Q613" i="5"/>
  <c r="P613" i="5"/>
  <c r="J613" i="5"/>
  <c r="W612" i="5"/>
  <c r="Q612" i="5"/>
  <c r="R612" i="5" s="1"/>
  <c r="S612" i="5" s="1"/>
  <c r="P612" i="5"/>
  <c r="J612" i="5"/>
  <c r="W611" i="5"/>
  <c r="R611" i="5"/>
  <c r="S611" i="5" s="1"/>
  <c r="Q611" i="5"/>
  <c r="P611" i="5"/>
  <c r="J611" i="5"/>
  <c r="W610" i="5"/>
  <c r="Q610" i="5"/>
  <c r="R610" i="5" s="1"/>
  <c r="S610" i="5" s="1"/>
  <c r="P610" i="5"/>
  <c r="J610" i="5"/>
  <c r="W609" i="5"/>
  <c r="R609" i="5"/>
  <c r="S609" i="5" s="1"/>
  <c r="Q609" i="5"/>
  <c r="P609" i="5"/>
  <c r="J609" i="5"/>
  <c r="W608" i="5"/>
  <c r="Q608" i="5"/>
  <c r="R608" i="5" s="1"/>
  <c r="S608" i="5" s="1"/>
  <c r="P608" i="5"/>
  <c r="J608" i="5"/>
  <c r="W607" i="5"/>
  <c r="R607" i="5"/>
  <c r="S607" i="5" s="1"/>
  <c r="Q607" i="5"/>
  <c r="P607" i="5"/>
  <c r="J607" i="5"/>
  <c r="W606" i="5"/>
  <c r="Q606" i="5"/>
  <c r="R606" i="5" s="1"/>
  <c r="S606" i="5" s="1"/>
  <c r="P606" i="5"/>
  <c r="J606" i="5"/>
  <c r="W605" i="5"/>
  <c r="R605" i="5"/>
  <c r="S605" i="5" s="1"/>
  <c r="Q605" i="5"/>
  <c r="P605" i="5"/>
  <c r="J605" i="5"/>
  <c r="W604" i="5"/>
  <c r="Q604" i="5"/>
  <c r="R604" i="5" s="1"/>
  <c r="S604" i="5" s="1"/>
  <c r="P604" i="5"/>
  <c r="J604" i="5"/>
  <c r="W603" i="5"/>
  <c r="R603" i="5"/>
  <c r="S603" i="5" s="1"/>
  <c r="Q603" i="5"/>
  <c r="P603" i="5"/>
  <c r="J603" i="5"/>
  <c r="W602" i="5"/>
  <c r="Q602" i="5"/>
  <c r="R602" i="5" s="1"/>
  <c r="S602" i="5" s="1"/>
  <c r="P602" i="5"/>
  <c r="J602" i="5"/>
  <c r="W601" i="5"/>
  <c r="R601" i="5"/>
  <c r="S601" i="5" s="1"/>
  <c r="Q601" i="5"/>
  <c r="P601" i="5"/>
  <c r="J601" i="5"/>
  <c r="W600" i="5"/>
  <c r="Q600" i="5"/>
  <c r="R600" i="5" s="1"/>
  <c r="S600" i="5" s="1"/>
  <c r="P600" i="5"/>
  <c r="J600" i="5"/>
  <c r="W599" i="5"/>
  <c r="R599" i="5"/>
  <c r="S599" i="5" s="1"/>
  <c r="Q599" i="5"/>
  <c r="P599" i="5"/>
  <c r="J599" i="5"/>
  <c r="W598" i="5"/>
  <c r="Q598" i="5"/>
  <c r="R598" i="5" s="1"/>
  <c r="S598" i="5" s="1"/>
  <c r="P598" i="5"/>
  <c r="J598" i="5"/>
  <c r="W597" i="5"/>
  <c r="R597" i="5"/>
  <c r="S597" i="5" s="1"/>
  <c r="Q597" i="5"/>
  <c r="P597" i="5"/>
  <c r="J597" i="5"/>
  <c r="W596" i="5"/>
  <c r="Q596" i="5"/>
  <c r="R596" i="5" s="1"/>
  <c r="S596" i="5" s="1"/>
  <c r="P596" i="5"/>
  <c r="J596" i="5"/>
  <c r="W595" i="5"/>
  <c r="R595" i="5"/>
  <c r="S595" i="5" s="1"/>
  <c r="Q595" i="5"/>
  <c r="P595" i="5"/>
  <c r="J595" i="5"/>
  <c r="W594" i="5"/>
  <c r="Q594" i="5"/>
  <c r="R594" i="5" s="1"/>
  <c r="S594" i="5" s="1"/>
  <c r="P594" i="5"/>
  <c r="J594" i="5"/>
  <c r="W593" i="5"/>
  <c r="R593" i="5"/>
  <c r="S593" i="5" s="1"/>
  <c r="Q593" i="5"/>
  <c r="P593" i="5"/>
  <c r="J593" i="5"/>
  <c r="W592" i="5"/>
  <c r="Q592" i="5"/>
  <c r="R592" i="5" s="1"/>
  <c r="S592" i="5" s="1"/>
  <c r="P592" i="5"/>
  <c r="J592" i="5"/>
  <c r="W591" i="5"/>
  <c r="R591" i="5"/>
  <c r="S591" i="5" s="1"/>
  <c r="Q591" i="5"/>
  <c r="P591" i="5"/>
  <c r="J591" i="5"/>
  <c r="W590" i="5"/>
  <c r="Q590" i="5"/>
  <c r="R590" i="5" s="1"/>
  <c r="S590" i="5" s="1"/>
  <c r="P590" i="5"/>
  <c r="J590" i="5"/>
  <c r="W589" i="5"/>
  <c r="R589" i="5"/>
  <c r="S589" i="5" s="1"/>
  <c r="Q589" i="5"/>
  <c r="P589" i="5"/>
  <c r="J589" i="5"/>
  <c r="W588" i="5"/>
  <c r="Q588" i="5"/>
  <c r="R588" i="5" s="1"/>
  <c r="S588" i="5" s="1"/>
  <c r="P588" i="5"/>
  <c r="J588" i="5"/>
  <c r="W587" i="5"/>
  <c r="R587" i="5"/>
  <c r="S587" i="5" s="1"/>
  <c r="Q587" i="5"/>
  <c r="P587" i="5"/>
  <c r="J587" i="5"/>
  <c r="W586" i="5"/>
  <c r="Q586" i="5"/>
  <c r="R586" i="5" s="1"/>
  <c r="S586" i="5" s="1"/>
  <c r="P586" i="5"/>
  <c r="J586" i="5"/>
  <c r="W585" i="5"/>
  <c r="R585" i="5"/>
  <c r="S585" i="5" s="1"/>
  <c r="Q585" i="5"/>
  <c r="P585" i="5"/>
  <c r="J585" i="5"/>
  <c r="W584" i="5"/>
  <c r="Q584" i="5"/>
  <c r="R584" i="5" s="1"/>
  <c r="S584" i="5" s="1"/>
  <c r="P584" i="5"/>
  <c r="J584" i="5"/>
  <c r="W583" i="5"/>
  <c r="R583" i="5"/>
  <c r="S583" i="5" s="1"/>
  <c r="Q583" i="5"/>
  <c r="P583" i="5"/>
  <c r="J583" i="5"/>
  <c r="W582" i="5"/>
  <c r="Q582" i="5"/>
  <c r="R582" i="5" s="1"/>
  <c r="S582" i="5" s="1"/>
  <c r="P582" i="5"/>
  <c r="J582" i="5"/>
  <c r="W581" i="5"/>
  <c r="R581" i="5"/>
  <c r="S581" i="5" s="1"/>
  <c r="Q581" i="5"/>
  <c r="P581" i="5"/>
  <c r="J581" i="5"/>
  <c r="W580" i="5"/>
  <c r="Q580" i="5"/>
  <c r="R580" i="5" s="1"/>
  <c r="S580" i="5" s="1"/>
  <c r="P580" i="5"/>
  <c r="J580" i="5"/>
  <c r="W579" i="5"/>
  <c r="R579" i="5"/>
  <c r="S579" i="5" s="1"/>
  <c r="Q579" i="5"/>
  <c r="P579" i="5"/>
  <c r="J579" i="5"/>
  <c r="W578" i="5"/>
  <c r="Q578" i="5"/>
  <c r="R578" i="5" s="1"/>
  <c r="S578" i="5" s="1"/>
  <c r="P578" i="5"/>
  <c r="J578" i="5"/>
  <c r="W577" i="5"/>
  <c r="R577" i="5"/>
  <c r="S577" i="5" s="1"/>
  <c r="Q577" i="5"/>
  <c r="P577" i="5"/>
  <c r="J577" i="5"/>
  <c r="W576" i="5"/>
  <c r="Q576" i="5"/>
  <c r="R576" i="5" s="1"/>
  <c r="S576" i="5" s="1"/>
  <c r="P576" i="5"/>
  <c r="J576" i="5"/>
  <c r="W575" i="5"/>
  <c r="R575" i="5"/>
  <c r="S575" i="5" s="1"/>
  <c r="Q575" i="5"/>
  <c r="P575" i="5"/>
  <c r="J575" i="5"/>
  <c r="W574" i="5"/>
  <c r="Q574" i="5"/>
  <c r="R574" i="5" s="1"/>
  <c r="S574" i="5" s="1"/>
  <c r="P574" i="5"/>
  <c r="J574" i="5"/>
  <c r="W573" i="5"/>
  <c r="R573" i="5"/>
  <c r="S573" i="5" s="1"/>
  <c r="Q573" i="5"/>
  <c r="P573" i="5"/>
  <c r="J573" i="5"/>
  <c r="W572" i="5"/>
  <c r="Q572" i="5"/>
  <c r="R572" i="5" s="1"/>
  <c r="S572" i="5" s="1"/>
  <c r="P572" i="5"/>
  <c r="J572" i="5"/>
  <c r="W571" i="5"/>
  <c r="R571" i="5"/>
  <c r="S571" i="5" s="1"/>
  <c r="Q571" i="5"/>
  <c r="P571" i="5"/>
  <c r="J571" i="5"/>
  <c r="W570" i="5"/>
  <c r="Q570" i="5"/>
  <c r="R570" i="5" s="1"/>
  <c r="S570" i="5" s="1"/>
  <c r="P570" i="5"/>
  <c r="J570" i="5"/>
  <c r="W569" i="5"/>
  <c r="R569" i="5"/>
  <c r="S569" i="5" s="1"/>
  <c r="Q569" i="5"/>
  <c r="P569" i="5"/>
  <c r="J569" i="5"/>
  <c r="W568" i="5"/>
  <c r="Q568" i="5"/>
  <c r="R568" i="5" s="1"/>
  <c r="S568" i="5" s="1"/>
  <c r="P568" i="5"/>
  <c r="J568" i="5"/>
  <c r="W567" i="5"/>
  <c r="R567" i="5"/>
  <c r="S567" i="5" s="1"/>
  <c r="Q567" i="5"/>
  <c r="P567" i="5"/>
  <c r="J567" i="5"/>
  <c r="W566" i="5"/>
  <c r="Q566" i="5"/>
  <c r="R566" i="5" s="1"/>
  <c r="S566" i="5" s="1"/>
  <c r="P566" i="5"/>
  <c r="J566" i="5"/>
  <c r="W565" i="5"/>
  <c r="R565" i="5"/>
  <c r="S565" i="5" s="1"/>
  <c r="Q565" i="5"/>
  <c r="P565" i="5"/>
  <c r="J565" i="5"/>
  <c r="W564" i="5"/>
  <c r="Q564" i="5"/>
  <c r="R564" i="5" s="1"/>
  <c r="S564" i="5" s="1"/>
  <c r="P564" i="5"/>
  <c r="J564" i="5"/>
  <c r="W563" i="5"/>
  <c r="R563" i="5"/>
  <c r="S563" i="5" s="1"/>
  <c r="Q563" i="5"/>
  <c r="P563" i="5"/>
  <c r="J563" i="5"/>
  <c r="W562" i="5"/>
  <c r="Q562" i="5"/>
  <c r="R562" i="5" s="1"/>
  <c r="S562" i="5" s="1"/>
  <c r="P562" i="5"/>
  <c r="J562" i="5"/>
  <c r="W561" i="5"/>
  <c r="R561" i="5"/>
  <c r="S561" i="5" s="1"/>
  <c r="Q561" i="5"/>
  <c r="P561" i="5"/>
  <c r="J561" i="5"/>
  <c r="W560" i="5"/>
  <c r="Q560" i="5"/>
  <c r="R560" i="5" s="1"/>
  <c r="S560" i="5" s="1"/>
  <c r="P560" i="5"/>
  <c r="J560" i="5"/>
  <c r="W559" i="5"/>
  <c r="R559" i="5"/>
  <c r="S559" i="5" s="1"/>
  <c r="Q559" i="5"/>
  <c r="P559" i="5"/>
  <c r="J559" i="5"/>
  <c r="W558" i="5"/>
  <c r="Q558" i="5"/>
  <c r="R558" i="5" s="1"/>
  <c r="S558" i="5" s="1"/>
  <c r="P558" i="5"/>
  <c r="J558" i="5"/>
  <c r="W557" i="5"/>
  <c r="R557" i="5"/>
  <c r="S557" i="5" s="1"/>
  <c r="Q557" i="5"/>
  <c r="P557" i="5"/>
  <c r="J557" i="5"/>
  <c r="W556" i="5"/>
  <c r="Q556" i="5"/>
  <c r="R556" i="5" s="1"/>
  <c r="S556" i="5" s="1"/>
  <c r="P556" i="5"/>
  <c r="J556" i="5"/>
  <c r="W555" i="5"/>
  <c r="R555" i="5"/>
  <c r="S555" i="5" s="1"/>
  <c r="Q555" i="5"/>
  <c r="P555" i="5"/>
  <c r="J555" i="5"/>
  <c r="W554" i="5"/>
  <c r="Q554" i="5"/>
  <c r="R554" i="5" s="1"/>
  <c r="S554" i="5" s="1"/>
  <c r="P554" i="5"/>
  <c r="J554" i="5"/>
  <c r="W553" i="5"/>
  <c r="Q553" i="5"/>
  <c r="R553" i="5" s="1"/>
  <c r="S553" i="5" s="1"/>
  <c r="P553" i="5"/>
  <c r="J553" i="5"/>
  <c r="W552" i="5"/>
  <c r="R552" i="5"/>
  <c r="S552" i="5" s="1"/>
  <c r="Q552" i="5"/>
  <c r="P552" i="5"/>
  <c r="J552" i="5"/>
  <c r="W551" i="5"/>
  <c r="Q551" i="5"/>
  <c r="R551" i="5" s="1"/>
  <c r="S551" i="5" s="1"/>
  <c r="P551" i="5"/>
  <c r="J551" i="5"/>
  <c r="W550" i="5"/>
  <c r="R550" i="5"/>
  <c r="S550" i="5" s="1"/>
  <c r="Q550" i="5"/>
  <c r="P550" i="5"/>
  <c r="J550" i="5"/>
  <c r="W549" i="5"/>
  <c r="Q549" i="5"/>
  <c r="R549" i="5" s="1"/>
  <c r="S549" i="5" s="1"/>
  <c r="P549" i="5"/>
  <c r="J549" i="5"/>
  <c r="W548" i="5"/>
  <c r="R548" i="5"/>
  <c r="S548" i="5" s="1"/>
  <c r="Q548" i="5"/>
  <c r="P548" i="5"/>
  <c r="J548" i="5"/>
  <c r="W547" i="5"/>
  <c r="Q547" i="5"/>
  <c r="R547" i="5" s="1"/>
  <c r="S547" i="5" s="1"/>
  <c r="P547" i="5"/>
  <c r="J547" i="5"/>
  <c r="W546" i="5"/>
  <c r="Q546" i="5"/>
  <c r="R546" i="5" s="1"/>
  <c r="S546" i="5" s="1"/>
  <c r="P546" i="5"/>
  <c r="J546" i="5"/>
  <c r="W545" i="5"/>
  <c r="Q545" i="5"/>
  <c r="R545" i="5" s="1"/>
  <c r="S545" i="5" s="1"/>
  <c r="P545" i="5"/>
  <c r="J545" i="5"/>
  <c r="W544" i="5"/>
  <c r="Q544" i="5"/>
  <c r="R544" i="5" s="1"/>
  <c r="S544" i="5" s="1"/>
  <c r="P544" i="5"/>
  <c r="J544" i="5"/>
  <c r="W543" i="5"/>
  <c r="Q543" i="5"/>
  <c r="R543" i="5" s="1"/>
  <c r="S543" i="5" s="1"/>
  <c r="P543" i="5"/>
  <c r="J543" i="5"/>
  <c r="W542" i="5"/>
  <c r="Q542" i="5"/>
  <c r="R542" i="5" s="1"/>
  <c r="S542" i="5" s="1"/>
  <c r="P542" i="5"/>
  <c r="J542" i="5"/>
  <c r="W541" i="5"/>
  <c r="Q541" i="5"/>
  <c r="R541" i="5" s="1"/>
  <c r="S541" i="5" s="1"/>
  <c r="P541" i="5"/>
  <c r="J541" i="5"/>
  <c r="W540" i="5"/>
  <c r="Q540" i="5"/>
  <c r="R540" i="5" s="1"/>
  <c r="S540" i="5" s="1"/>
  <c r="P540" i="5"/>
  <c r="J540" i="5"/>
  <c r="W539" i="5"/>
  <c r="Q539" i="5"/>
  <c r="R539" i="5" s="1"/>
  <c r="S539" i="5" s="1"/>
  <c r="P539" i="5"/>
  <c r="J539" i="5"/>
  <c r="W538" i="5"/>
  <c r="Q538" i="5"/>
  <c r="R538" i="5" s="1"/>
  <c r="S538" i="5" s="1"/>
  <c r="P538" i="5"/>
  <c r="J538" i="5"/>
  <c r="W537" i="5"/>
  <c r="Q537" i="5"/>
  <c r="R537" i="5" s="1"/>
  <c r="S537" i="5" s="1"/>
  <c r="P537" i="5"/>
  <c r="J537" i="5"/>
  <c r="W536" i="5"/>
  <c r="Q536" i="5"/>
  <c r="R536" i="5" s="1"/>
  <c r="S536" i="5" s="1"/>
  <c r="P536" i="5"/>
  <c r="J536" i="5"/>
  <c r="W535" i="5"/>
  <c r="Q535" i="5"/>
  <c r="R535" i="5" s="1"/>
  <c r="S535" i="5" s="1"/>
  <c r="P535" i="5"/>
  <c r="J535" i="5"/>
  <c r="W534" i="5"/>
  <c r="Q534" i="5"/>
  <c r="R534" i="5" s="1"/>
  <c r="S534" i="5" s="1"/>
  <c r="P534" i="5"/>
  <c r="J534" i="5"/>
  <c r="W533" i="5"/>
  <c r="Q533" i="5"/>
  <c r="R533" i="5" s="1"/>
  <c r="S533" i="5" s="1"/>
  <c r="P533" i="5"/>
  <c r="J533" i="5"/>
  <c r="W532" i="5"/>
  <c r="Q532" i="5"/>
  <c r="R532" i="5" s="1"/>
  <c r="S532" i="5" s="1"/>
  <c r="P532" i="5"/>
  <c r="J532" i="5"/>
  <c r="W531" i="5"/>
  <c r="Q531" i="5"/>
  <c r="R531" i="5" s="1"/>
  <c r="S531" i="5" s="1"/>
  <c r="P531" i="5"/>
  <c r="J531" i="5"/>
  <c r="W530" i="5"/>
  <c r="Q530" i="5"/>
  <c r="R530" i="5" s="1"/>
  <c r="S530" i="5" s="1"/>
  <c r="P530" i="5"/>
  <c r="J530" i="5"/>
  <c r="W529" i="5"/>
  <c r="Q529" i="5"/>
  <c r="R529" i="5" s="1"/>
  <c r="S529" i="5" s="1"/>
  <c r="P529" i="5"/>
  <c r="J529" i="5"/>
  <c r="W528" i="5"/>
  <c r="Q528" i="5"/>
  <c r="R528" i="5" s="1"/>
  <c r="S528" i="5" s="1"/>
  <c r="P528" i="5"/>
  <c r="J528" i="5"/>
  <c r="W527" i="5"/>
  <c r="Q527" i="5"/>
  <c r="R527" i="5" s="1"/>
  <c r="S527" i="5" s="1"/>
  <c r="P527" i="5"/>
  <c r="J527" i="5"/>
  <c r="W526" i="5"/>
  <c r="Q526" i="5"/>
  <c r="R526" i="5" s="1"/>
  <c r="S526" i="5" s="1"/>
  <c r="P526" i="5"/>
  <c r="J526" i="5"/>
  <c r="W525" i="5"/>
  <c r="Q525" i="5"/>
  <c r="R525" i="5" s="1"/>
  <c r="S525" i="5" s="1"/>
  <c r="P525" i="5"/>
  <c r="J525" i="5"/>
  <c r="W524" i="5"/>
  <c r="Q524" i="5"/>
  <c r="R524" i="5" s="1"/>
  <c r="S524" i="5" s="1"/>
  <c r="P524" i="5"/>
  <c r="J524" i="5"/>
  <c r="W523" i="5"/>
  <c r="Q523" i="5"/>
  <c r="R523" i="5" s="1"/>
  <c r="S523" i="5" s="1"/>
  <c r="P523" i="5"/>
  <c r="J523" i="5"/>
  <c r="W522" i="5"/>
  <c r="Q522" i="5"/>
  <c r="R522" i="5" s="1"/>
  <c r="S522" i="5" s="1"/>
  <c r="P522" i="5"/>
  <c r="J522" i="5"/>
  <c r="W521" i="5"/>
  <c r="Q521" i="5"/>
  <c r="R521" i="5" s="1"/>
  <c r="S521" i="5" s="1"/>
  <c r="P521" i="5"/>
  <c r="J521" i="5"/>
  <c r="W520" i="5"/>
  <c r="Q520" i="5"/>
  <c r="R520" i="5" s="1"/>
  <c r="S520" i="5" s="1"/>
  <c r="P520" i="5"/>
  <c r="J520" i="5"/>
  <c r="W519" i="5"/>
  <c r="Q519" i="5"/>
  <c r="R519" i="5" s="1"/>
  <c r="S519" i="5" s="1"/>
  <c r="P519" i="5"/>
  <c r="J519" i="5"/>
  <c r="W518" i="5"/>
  <c r="Q518" i="5"/>
  <c r="R518" i="5" s="1"/>
  <c r="S518" i="5" s="1"/>
  <c r="P518" i="5"/>
  <c r="J518" i="5"/>
  <c r="W517" i="5"/>
  <c r="Q517" i="5"/>
  <c r="R517" i="5" s="1"/>
  <c r="S517" i="5" s="1"/>
  <c r="P517" i="5"/>
  <c r="J517" i="5"/>
  <c r="W516" i="5"/>
  <c r="Q516" i="5"/>
  <c r="R516" i="5" s="1"/>
  <c r="S516" i="5" s="1"/>
  <c r="P516" i="5"/>
  <c r="J516" i="5"/>
  <c r="W515" i="5"/>
  <c r="Q515" i="5"/>
  <c r="R515" i="5" s="1"/>
  <c r="S515" i="5" s="1"/>
  <c r="P515" i="5"/>
  <c r="J515" i="5"/>
  <c r="W514" i="5"/>
  <c r="Q514" i="5"/>
  <c r="R514" i="5" s="1"/>
  <c r="S514" i="5" s="1"/>
  <c r="P514" i="5"/>
  <c r="J514" i="5"/>
  <c r="W513" i="5"/>
  <c r="Q513" i="5"/>
  <c r="R513" i="5" s="1"/>
  <c r="S513" i="5" s="1"/>
  <c r="P513" i="5"/>
  <c r="J513" i="5"/>
  <c r="W512" i="5"/>
  <c r="Q512" i="5"/>
  <c r="R512" i="5" s="1"/>
  <c r="S512" i="5" s="1"/>
  <c r="P512" i="5"/>
  <c r="J512" i="5"/>
  <c r="W511" i="5"/>
  <c r="Q511" i="5"/>
  <c r="R511" i="5" s="1"/>
  <c r="S511" i="5" s="1"/>
  <c r="P511" i="5"/>
  <c r="J511" i="5"/>
  <c r="W510" i="5"/>
  <c r="Q510" i="5"/>
  <c r="R510" i="5" s="1"/>
  <c r="S510" i="5" s="1"/>
  <c r="P510" i="5"/>
  <c r="J510" i="5"/>
  <c r="W509" i="5"/>
  <c r="Q509" i="5"/>
  <c r="R509" i="5" s="1"/>
  <c r="S509" i="5" s="1"/>
  <c r="P509" i="5"/>
  <c r="J509" i="5"/>
  <c r="W508" i="5"/>
  <c r="Q508" i="5"/>
  <c r="R508" i="5" s="1"/>
  <c r="S508" i="5" s="1"/>
  <c r="P508" i="5"/>
  <c r="J508" i="5"/>
  <c r="W507" i="5"/>
  <c r="Q507" i="5"/>
  <c r="R507" i="5" s="1"/>
  <c r="S507" i="5" s="1"/>
  <c r="P507" i="5"/>
  <c r="J507" i="5"/>
  <c r="W506" i="5"/>
  <c r="Q506" i="5"/>
  <c r="R506" i="5" s="1"/>
  <c r="S506" i="5" s="1"/>
  <c r="P506" i="5"/>
  <c r="J506" i="5"/>
  <c r="W505" i="5"/>
  <c r="Q505" i="5"/>
  <c r="R505" i="5" s="1"/>
  <c r="S505" i="5" s="1"/>
  <c r="P505" i="5"/>
  <c r="J505" i="5"/>
  <c r="W504" i="5"/>
  <c r="Q504" i="5"/>
  <c r="R504" i="5" s="1"/>
  <c r="S504" i="5" s="1"/>
  <c r="P504" i="5"/>
  <c r="J504" i="5"/>
  <c r="W503" i="5"/>
  <c r="Q503" i="5"/>
  <c r="R503" i="5" s="1"/>
  <c r="S503" i="5" s="1"/>
  <c r="P503" i="5"/>
  <c r="J503" i="5"/>
  <c r="W502" i="5"/>
  <c r="Q502" i="5"/>
  <c r="R502" i="5" s="1"/>
  <c r="S502" i="5" s="1"/>
  <c r="P502" i="5"/>
  <c r="J502" i="5"/>
  <c r="W501" i="5"/>
  <c r="Q501" i="5"/>
  <c r="R501" i="5" s="1"/>
  <c r="S501" i="5" s="1"/>
  <c r="P501" i="5"/>
  <c r="J501" i="5"/>
  <c r="W500" i="5"/>
  <c r="Q500" i="5"/>
  <c r="R500" i="5" s="1"/>
  <c r="S500" i="5" s="1"/>
  <c r="P500" i="5"/>
  <c r="J500" i="5"/>
  <c r="W499" i="5"/>
  <c r="Q499" i="5"/>
  <c r="R499" i="5" s="1"/>
  <c r="S499" i="5" s="1"/>
  <c r="P499" i="5"/>
  <c r="J499" i="5"/>
  <c r="W498" i="5"/>
  <c r="Q498" i="5"/>
  <c r="R498" i="5" s="1"/>
  <c r="S498" i="5" s="1"/>
  <c r="P498" i="5"/>
  <c r="J498" i="5"/>
  <c r="W497" i="5"/>
  <c r="Q497" i="5"/>
  <c r="R497" i="5" s="1"/>
  <c r="S497" i="5" s="1"/>
  <c r="P497" i="5"/>
  <c r="J497" i="5"/>
  <c r="W496" i="5"/>
  <c r="Q496" i="5"/>
  <c r="R496" i="5" s="1"/>
  <c r="S496" i="5" s="1"/>
  <c r="P496" i="5"/>
  <c r="J496" i="5"/>
  <c r="W495" i="5"/>
  <c r="Q495" i="5"/>
  <c r="R495" i="5" s="1"/>
  <c r="S495" i="5" s="1"/>
  <c r="P495" i="5"/>
  <c r="J495" i="5"/>
  <c r="W494" i="5"/>
  <c r="Q494" i="5"/>
  <c r="R494" i="5" s="1"/>
  <c r="S494" i="5" s="1"/>
  <c r="P494" i="5"/>
  <c r="J494" i="5"/>
  <c r="W493" i="5"/>
  <c r="Q493" i="5"/>
  <c r="R493" i="5" s="1"/>
  <c r="S493" i="5" s="1"/>
  <c r="P493" i="5"/>
  <c r="J493" i="5"/>
  <c r="W492" i="5"/>
  <c r="Q492" i="5"/>
  <c r="R492" i="5" s="1"/>
  <c r="S492" i="5" s="1"/>
  <c r="P492" i="5"/>
  <c r="J492" i="5"/>
  <c r="W491" i="5"/>
  <c r="Q491" i="5"/>
  <c r="R491" i="5" s="1"/>
  <c r="S491" i="5" s="1"/>
  <c r="P491" i="5"/>
  <c r="J491" i="5"/>
  <c r="W490" i="5"/>
  <c r="Q490" i="5"/>
  <c r="R490" i="5" s="1"/>
  <c r="S490" i="5" s="1"/>
  <c r="P490" i="5"/>
  <c r="J490" i="5"/>
  <c r="W489" i="5"/>
  <c r="Q489" i="5"/>
  <c r="R489" i="5" s="1"/>
  <c r="S489" i="5" s="1"/>
  <c r="P489" i="5"/>
  <c r="J489" i="5"/>
  <c r="W488" i="5"/>
  <c r="Q488" i="5"/>
  <c r="R488" i="5" s="1"/>
  <c r="S488" i="5" s="1"/>
  <c r="P488" i="5"/>
  <c r="J488" i="5"/>
  <c r="W487" i="5"/>
  <c r="Q487" i="5"/>
  <c r="R487" i="5" s="1"/>
  <c r="S487" i="5" s="1"/>
  <c r="P487" i="5"/>
  <c r="J487" i="5"/>
  <c r="W486" i="5"/>
  <c r="Q486" i="5"/>
  <c r="R486" i="5" s="1"/>
  <c r="S486" i="5" s="1"/>
  <c r="P486" i="5"/>
  <c r="J486" i="5"/>
  <c r="W485" i="5"/>
  <c r="Q485" i="5"/>
  <c r="R485" i="5" s="1"/>
  <c r="S485" i="5" s="1"/>
  <c r="P485" i="5"/>
  <c r="J485" i="5"/>
  <c r="W484" i="5"/>
  <c r="Q484" i="5"/>
  <c r="R484" i="5" s="1"/>
  <c r="S484" i="5" s="1"/>
  <c r="P484" i="5"/>
  <c r="J484" i="5"/>
  <c r="W483" i="5"/>
  <c r="Q483" i="5"/>
  <c r="R483" i="5" s="1"/>
  <c r="S483" i="5" s="1"/>
  <c r="P483" i="5"/>
  <c r="J483" i="5"/>
  <c r="W482" i="5"/>
  <c r="Q482" i="5"/>
  <c r="R482" i="5" s="1"/>
  <c r="S482" i="5" s="1"/>
  <c r="P482" i="5"/>
  <c r="J482" i="5"/>
  <c r="W481" i="5"/>
  <c r="Q481" i="5"/>
  <c r="R481" i="5" s="1"/>
  <c r="S481" i="5" s="1"/>
  <c r="P481" i="5"/>
  <c r="J481" i="5"/>
  <c r="W480" i="5"/>
  <c r="Q480" i="5"/>
  <c r="R480" i="5" s="1"/>
  <c r="S480" i="5" s="1"/>
  <c r="P480" i="5"/>
  <c r="J480" i="5"/>
  <c r="W479" i="5"/>
  <c r="Q479" i="5"/>
  <c r="R479" i="5" s="1"/>
  <c r="S479" i="5" s="1"/>
  <c r="P479" i="5"/>
  <c r="J479" i="5"/>
  <c r="W478" i="5"/>
  <c r="Q478" i="5"/>
  <c r="R478" i="5" s="1"/>
  <c r="S478" i="5" s="1"/>
  <c r="P478" i="5"/>
  <c r="J478" i="5"/>
  <c r="W477" i="5"/>
  <c r="Q477" i="5"/>
  <c r="R477" i="5" s="1"/>
  <c r="S477" i="5" s="1"/>
  <c r="P477" i="5"/>
  <c r="J477" i="5"/>
  <c r="W476" i="5"/>
  <c r="Q476" i="5"/>
  <c r="R476" i="5" s="1"/>
  <c r="S476" i="5" s="1"/>
  <c r="P476" i="5"/>
  <c r="J476" i="5"/>
  <c r="W475" i="5"/>
  <c r="Q475" i="5"/>
  <c r="R475" i="5" s="1"/>
  <c r="S475" i="5" s="1"/>
  <c r="P475" i="5"/>
  <c r="J475" i="5"/>
  <c r="W474" i="5"/>
  <c r="Q474" i="5"/>
  <c r="R474" i="5" s="1"/>
  <c r="S474" i="5" s="1"/>
  <c r="P474" i="5"/>
  <c r="J474" i="5"/>
  <c r="W473" i="5"/>
  <c r="Q473" i="5"/>
  <c r="R473" i="5" s="1"/>
  <c r="S473" i="5" s="1"/>
  <c r="P473" i="5"/>
  <c r="J473" i="5"/>
  <c r="W472" i="5"/>
  <c r="Q472" i="5"/>
  <c r="R472" i="5" s="1"/>
  <c r="S472" i="5" s="1"/>
  <c r="P472" i="5"/>
  <c r="J472" i="5"/>
  <c r="W471" i="5"/>
  <c r="Q471" i="5"/>
  <c r="R471" i="5" s="1"/>
  <c r="S471" i="5" s="1"/>
  <c r="P471" i="5"/>
  <c r="J471" i="5"/>
  <c r="W470" i="5"/>
  <c r="Q470" i="5"/>
  <c r="R470" i="5" s="1"/>
  <c r="S470" i="5" s="1"/>
  <c r="P470" i="5"/>
  <c r="J470" i="5"/>
  <c r="W469" i="5"/>
  <c r="Q469" i="5"/>
  <c r="R469" i="5" s="1"/>
  <c r="S469" i="5" s="1"/>
  <c r="P469" i="5"/>
  <c r="J469" i="5"/>
  <c r="W468" i="5"/>
  <c r="Q468" i="5"/>
  <c r="R468" i="5" s="1"/>
  <c r="S468" i="5" s="1"/>
  <c r="P468" i="5"/>
  <c r="J468" i="5"/>
  <c r="W467" i="5"/>
  <c r="Q467" i="5"/>
  <c r="R467" i="5" s="1"/>
  <c r="S467" i="5" s="1"/>
  <c r="P467" i="5"/>
  <c r="J467" i="5"/>
  <c r="W466" i="5"/>
  <c r="Q466" i="5"/>
  <c r="R466" i="5" s="1"/>
  <c r="S466" i="5" s="1"/>
  <c r="P466" i="5"/>
  <c r="J466" i="5"/>
  <c r="W465" i="5"/>
  <c r="Q465" i="5"/>
  <c r="R465" i="5" s="1"/>
  <c r="S465" i="5" s="1"/>
  <c r="P465" i="5"/>
  <c r="J465" i="5"/>
  <c r="W464" i="5"/>
  <c r="Q464" i="5"/>
  <c r="R464" i="5" s="1"/>
  <c r="S464" i="5" s="1"/>
  <c r="P464" i="5"/>
  <c r="J464" i="5"/>
  <c r="W463" i="5"/>
  <c r="Q463" i="5"/>
  <c r="R463" i="5" s="1"/>
  <c r="S463" i="5" s="1"/>
  <c r="P463" i="5"/>
  <c r="J463" i="5"/>
  <c r="W462" i="5"/>
  <c r="Q462" i="5"/>
  <c r="R462" i="5" s="1"/>
  <c r="S462" i="5" s="1"/>
  <c r="P462" i="5"/>
  <c r="J462" i="5"/>
  <c r="W461" i="5"/>
  <c r="Q461" i="5"/>
  <c r="R461" i="5" s="1"/>
  <c r="S461" i="5" s="1"/>
  <c r="P461" i="5"/>
  <c r="J461" i="5"/>
  <c r="W460" i="5"/>
  <c r="Q460" i="5"/>
  <c r="R460" i="5" s="1"/>
  <c r="S460" i="5" s="1"/>
  <c r="P460" i="5"/>
  <c r="J460" i="5"/>
  <c r="W459" i="5"/>
  <c r="Q459" i="5"/>
  <c r="R459" i="5" s="1"/>
  <c r="S459" i="5" s="1"/>
  <c r="P459" i="5"/>
  <c r="J459" i="5"/>
  <c r="W458" i="5"/>
  <c r="Q458" i="5"/>
  <c r="R458" i="5" s="1"/>
  <c r="S458" i="5" s="1"/>
  <c r="P458" i="5"/>
  <c r="J458" i="5"/>
  <c r="W457" i="5"/>
  <c r="Q457" i="5"/>
  <c r="R457" i="5" s="1"/>
  <c r="S457" i="5" s="1"/>
  <c r="P457" i="5"/>
  <c r="J457" i="5"/>
  <c r="W456" i="5"/>
  <c r="Q456" i="5"/>
  <c r="R456" i="5" s="1"/>
  <c r="S456" i="5" s="1"/>
  <c r="P456" i="5"/>
  <c r="J456" i="5"/>
  <c r="W455" i="5"/>
  <c r="Q455" i="5"/>
  <c r="R455" i="5" s="1"/>
  <c r="S455" i="5" s="1"/>
  <c r="P455" i="5"/>
  <c r="J455" i="5"/>
  <c r="W454" i="5"/>
  <c r="Q454" i="5"/>
  <c r="R454" i="5" s="1"/>
  <c r="S454" i="5" s="1"/>
  <c r="P454" i="5"/>
  <c r="J454" i="5"/>
  <c r="W453" i="5"/>
  <c r="Q453" i="5"/>
  <c r="R453" i="5" s="1"/>
  <c r="S453" i="5" s="1"/>
  <c r="P453" i="5"/>
  <c r="J453" i="5"/>
  <c r="W452" i="5"/>
  <c r="Q452" i="5"/>
  <c r="R452" i="5" s="1"/>
  <c r="S452" i="5" s="1"/>
  <c r="P452" i="5"/>
  <c r="J452" i="5"/>
  <c r="W451" i="5"/>
  <c r="Q451" i="5"/>
  <c r="R451" i="5" s="1"/>
  <c r="S451" i="5" s="1"/>
  <c r="P451" i="5"/>
  <c r="J451" i="5"/>
  <c r="W450" i="5"/>
  <c r="Q450" i="5"/>
  <c r="R450" i="5" s="1"/>
  <c r="S450" i="5" s="1"/>
  <c r="P450" i="5"/>
  <c r="J450" i="5"/>
  <c r="W449" i="5"/>
  <c r="Q449" i="5"/>
  <c r="R449" i="5" s="1"/>
  <c r="S449" i="5" s="1"/>
  <c r="P449" i="5"/>
  <c r="J449" i="5"/>
  <c r="W448" i="5"/>
  <c r="Q448" i="5"/>
  <c r="R448" i="5" s="1"/>
  <c r="S448" i="5" s="1"/>
  <c r="P448" i="5"/>
  <c r="J448" i="5"/>
  <c r="W447" i="5"/>
  <c r="Q447" i="5"/>
  <c r="R447" i="5" s="1"/>
  <c r="S447" i="5" s="1"/>
  <c r="P447" i="5"/>
  <c r="J447" i="5"/>
  <c r="W446" i="5"/>
  <c r="Q446" i="5"/>
  <c r="R446" i="5" s="1"/>
  <c r="S446" i="5" s="1"/>
  <c r="P446" i="5"/>
  <c r="J446" i="5"/>
  <c r="W445" i="5"/>
  <c r="Q445" i="5"/>
  <c r="R445" i="5" s="1"/>
  <c r="S445" i="5" s="1"/>
  <c r="P445" i="5"/>
  <c r="J445" i="5"/>
  <c r="W444" i="5"/>
  <c r="Q444" i="5"/>
  <c r="R444" i="5" s="1"/>
  <c r="S444" i="5" s="1"/>
  <c r="P444" i="5"/>
  <c r="J444" i="5"/>
  <c r="W443" i="5"/>
  <c r="Q443" i="5"/>
  <c r="R443" i="5" s="1"/>
  <c r="S443" i="5" s="1"/>
  <c r="P443" i="5"/>
  <c r="J443" i="5"/>
  <c r="W442" i="5"/>
  <c r="Q442" i="5"/>
  <c r="R442" i="5" s="1"/>
  <c r="S442" i="5" s="1"/>
  <c r="P442" i="5"/>
  <c r="J442" i="5"/>
  <c r="W441" i="5"/>
  <c r="Q441" i="5"/>
  <c r="R441" i="5" s="1"/>
  <c r="S441" i="5" s="1"/>
  <c r="P441" i="5"/>
  <c r="J441" i="5"/>
  <c r="W440" i="5"/>
  <c r="Q440" i="5"/>
  <c r="R440" i="5" s="1"/>
  <c r="S440" i="5" s="1"/>
  <c r="P440" i="5"/>
  <c r="J440" i="5"/>
  <c r="W439" i="5"/>
  <c r="Q439" i="5"/>
  <c r="R439" i="5" s="1"/>
  <c r="S439" i="5" s="1"/>
  <c r="P439" i="5"/>
  <c r="J439" i="5"/>
  <c r="W438" i="5"/>
  <c r="Q438" i="5"/>
  <c r="R438" i="5" s="1"/>
  <c r="S438" i="5" s="1"/>
  <c r="P438" i="5"/>
  <c r="J438" i="5"/>
  <c r="W437" i="5"/>
  <c r="Q437" i="5"/>
  <c r="R437" i="5" s="1"/>
  <c r="S437" i="5" s="1"/>
  <c r="P437" i="5"/>
  <c r="J437" i="5"/>
  <c r="W436" i="5"/>
  <c r="Q436" i="5"/>
  <c r="R436" i="5" s="1"/>
  <c r="S436" i="5" s="1"/>
  <c r="P436" i="5"/>
  <c r="J436" i="5"/>
  <c r="W435" i="5"/>
  <c r="Q435" i="5"/>
  <c r="R435" i="5" s="1"/>
  <c r="S435" i="5" s="1"/>
  <c r="P435" i="5"/>
  <c r="J435" i="5"/>
  <c r="W434" i="5"/>
  <c r="Q434" i="5"/>
  <c r="R434" i="5" s="1"/>
  <c r="S434" i="5" s="1"/>
  <c r="P434" i="5"/>
  <c r="J434" i="5"/>
  <c r="W433" i="5"/>
  <c r="Q433" i="5"/>
  <c r="R433" i="5" s="1"/>
  <c r="S433" i="5" s="1"/>
  <c r="P433" i="5"/>
  <c r="J433" i="5"/>
  <c r="W432" i="5"/>
  <c r="Q432" i="5"/>
  <c r="R432" i="5" s="1"/>
  <c r="S432" i="5" s="1"/>
  <c r="P432" i="5"/>
  <c r="J432" i="5"/>
  <c r="W431" i="5"/>
  <c r="Q431" i="5"/>
  <c r="R431" i="5" s="1"/>
  <c r="S431" i="5" s="1"/>
  <c r="P431" i="5"/>
  <c r="J431" i="5"/>
  <c r="W430" i="5"/>
  <c r="Q430" i="5"/>
  <c r="R430" i="5" s="1"/>
  <c r="S430" i="5" s="1"/>
  <c r="P430" i="5"/>
  <c r="J430" i="5"/>
  <c r="W429" i="5"/>
  <c r="Q429" i="5"/>
  <c r="R429" i="5" s="1"/>
  <c r="S429" i="5" s="1"/>
  <c r="P429" i="5"/>
  <c r="J429" i="5"/>
  <c r="W428" i="5"/>
  <c r="Q428" i="5"/>
  <c r="R428" i="5" s="1"/>
  <c r="S428" i="5" s="1"/>
  <c r="P428" i="5"/>
  <c r="J428" i="5"/>
  <c r="W427" i="5"/>
  <c r="Q427" i="5"/>
  <c r="R427" i="5" s="1"/>
  <c r="S427" i="5" s="1"/>
  <c r="P427" i="5"/>
  <c r="J427" i="5"/>
  <c r="W426" i="5"/>
  <c r="Q426" i="5"/>
  <c r="R426" i="5" s="1"/>
  <c r="S426" i="5" s="1"/>
  <c r="P426" i="5"/>
  <c r="J426" i="5"/>
  <c r="W425" i="5"/>
  <c r="Q425" i="5"/>
  <c r="R425" i="5" s="1"/>
  <c r="S425" i="5" s="1"/>
  <c r="P425" i="5"/>
  <c r="J425" i="5"/>
  <c r="W424" i="5"/>
  <c r="Q424" i="5"/>
  <c r="R424" i="5" s="1"/>
  <c r="S424" i="5" s="1"/>
  <c r="P424" i="5"/>
  <c r="J424" i="5"/>
  <c r="W423" i="5"/>
  <c r="Q423" i="5"/>
  <c r="R423" i="5" s="1"/>
  <c r="S423" i="5" s="1"/>
  <c r="P423" i="5"/>
  <c r="J423" i="5"/>
  <c r="W422" i="5"/>
  <c r="Q422" i="5"/>
  <c r="R422" i="5" s="1"/>
  <c r="S422" i="5" s="1"/>
  <c r="P422" i="5"/>
  <c r="J422" i="5"/>
  <c r="W421" i="5"/>
  <c r="Q421" i="5"/>
  <c r="R421" i="5" s="1"/>
  <c r="S421" i="5" s="1"/>
  <c r="P421" i="5"/>
  <c r="J421" i="5"/>
  <c r="W420" i="5"/>
  <c r="Q420" i="5"/>
  <c r="R420" i="5" s="1"/>
  <c r="S420" i="5" s="1"/>
  <c r="P420" i="5"/>
  <c r="J420" i="5"/>
  <c r="W419" i="5"/>
  <c r="Q419" i="5"/>
  <c r="R419" i="5" s="1"/>
  <c r="S419" i="5" s="1"/>
  <c r="P419" i="5"/>
  <c r="J419" i="5"/>
  <c r="W418" i="5"/>
  <c r="Q418" i="5"/>
  <c r="R418" i="5" s="1"/>
  <c r="S418" i="5" s="1"/>
  <c r="P418" i="5"/>
  <c r="J418" i="5"/>
  <c r="W417" i="5"/>
  <c r="Q417" i="5"/>
  <c r="R417" i="5" s="1"/>
  <c r="S417" i="5" s="1"/>
  <c r="P417" i="5"/>
  <c r="J417" i="5"/>
  <c r="W416" i="5"/>
  <c r="Q416" i="5"/>
  <c r="R416" i="5" s="1"/>
  <c r="S416" i="5" s="1"/>
  <c r="P416" i="5"/>
  <c r="J416" i="5"/>
  <c r="W415" i="5"/>
  <c r="Q415" i="5"/>
  <c r="R415" i="5" s="1"/>
  <c r="S415" i="5" s="1"/>
  <c r="P415" i="5"/>
  <c r="J415" i="5"/>
  <c r="W414" i="5"/>
  <c r="Q414" i="5"/>
  <c r="R414" i="5" s="1"/>
  <c r="S414" i="5" s="1"/>
  <c r="P414" i="5"/>
  <c r="J414" i="5"/>
  <c r="W413" i="5"/>
  <c r="Q413" i="5"/>
  <c r="R413" i="5" s="1"/>
  <c r="S413" i="5" s="1"/>
  <c r="P413" i="5"/>
  <c r="J413" i="5"/>
  <c r="W412" i="5"/>
  <c r="Q412" i="5"/>
  <c r="R412" i="5" s="1"/>
  <c r="S412" i="5" s="1"/>
  <c r="P412" i="5"/>
  <c r="J412" i="5"/>
  <c r="W411" i="5"/>
  <c r="Q411" i="5"/>
  <c r="R411" i="5" s="1"/>
  <c r="S411" i="5" s="1"/>
  <c r="P411" i="5"/>
  <c r="J411" i="5"/>
  <c r="W410" i="5"/>
  <c r="Q410" i="5"/>
  <c r="R410" i="5" s="1"/>
  <c r="S410" i="5" s="1"/>
  <c r="P410" i="5"/>
  <c r="J410" i="5"/>
  <c r="W409" i="5"/>
  <c r="Q409" i="5"/>
  <c r="R409" i="5" s="1"/>
  <c r="S409" i="5" s="1"/>
  <c r="P409" i="5"/>
  <c r="J409" i="5"/>
  <c r="W408" i="5"/>
  <c r="Q408" i="5"/>
  <c r="R408" i="5" s="1"/>
  <c r="S408" i="5" s="1"/>
  <c r="P408" i="5"/>
  <c r="J408" i="5"/>
  <c r="W407" i="5"/>
  <c r="Q407" i="5"/>
  <c r="R407" i="5" s="1"/>
  <c r="S407" i="5" s="1"/>
  <c r="P407" i="5"/>
  <c r="J407" i="5"/>
  <c r="W406" i="5"/>
  <c r="Q406" i="5"/>
  <c r="R406" i="5" s="1"/>
  <c r="S406" i="5" s="1"/>
  <c r="P406" i="5"/>
  <c r="J406" i="5"/>
  <c r="W405" i="5"/>
  <c r="Q405" i="5"/>
  <c r="R405" i="5" s="1"/>
  <c r="S405" i="5" s="1"/>
  <c r="P405" i="5"/>
  <c r="J405" i="5"/>
  <c r="W404" i="5"/>
  <c r="Q404" i="5"/>
  <c r="R404" i="5" s="1"/>
  <c r="S404" i="5" s="1"/>
  <c r="P404" i="5"/>
  <c r="J404" i="5"/>
  <c r="W403" i="5"/>
  <c r="Q403" i="5"/>
  <c r="R403" i="5" s="1"/>
  <c r="S403" i="5" s="1"/>
  <c r="P403" i="5"/>
  <c r="J403" i="5"/>
  <c r="W402" i="5"/>
  <c r="Q402" i="5"/>
  <c r="R402" i="5" s="1"/>
  <c r="S402" i="5" s="1"/>
  <c r="P402" i="5"/>
  <c r="J402" i="5"/>
  <c r="W401" i="5"/>
  <c r="Q401" i="5"/>
  <c r="R401" i="5" s="1"/>
  <c r="S401" i="5" s="1"/>
  <c r="P401" i="5"/>
  <c r="J401" i="5"/>
  <c r="W400" i="5"/>
  <c r="S400" i="5"/>
  <c r="Q400" i="5"/>
  <c r="R400" i="5" s="1"/>
  <c r="P400" i="5"/>
  <c r="J400" i="5"/>
  <c r="W399" i="5"/>
  <c r="Q399" i="5"/>
  <c r="R399" i="5" s="1"/>
  <c r="S399" i="5" s="1"/>
  <c r="P399" i="5"/>
  <c r="J399" i="5"/>
  <c r="W398" i="5"/>
  <c r="Q398" i="5"/>
  <c r="R398" i="5" s="1"/>
  <c r="S398" i="5" s="1"/>
  <c r="P398" i="5"/>
  <c r="J398" i="5"/>
  <c r="W397" i="5"/>
  <c r="Q397" i="5"/>
  <c r="R397" i="5" s="1"/>
  <c r="S397" i="5" s="1"/>
  <c r="P397" i="5"/>
  <c r="J397" i="5"/>
  <c r="W396" i="5"/>
  <c r="S396" i="5"/>
  <c r="Q396" i="5"/>
  <c r="R396" i="5" s="1"/>
  <c r="P396" i="5"/>
  <c r="J396" i="5"/>
  <c r="W395" i="5"/>
  <c r="Q395" i="5"/>
  <c r="R395" i="5" s="1"/>
  <c r="S395" i="5" s="1"/>
  <c r="P395" i="5"/>
  <c r="J395" i="5"/>
  <c r="W394" i="5"/>
  <c r="Q394" i="5"/>
  <c r="R394" i="5" s="1"/>
  <c r="S394" i="5" s="1"/>
  <c r="P394" i="5"/>
  <c r="J394" i="5"/>
  <c r="W393" i="5"/>
  <c r="Q393" i="5"/>
  <c r="R393" i="5" s="1"/>
  <c r="S393" i="5" s="1"/>
  <c r="P393" i="5"/>
  <c r="J393" i="5"/>
  <c r="W392" i="5"/>
  <c r="S392" i="5"/>
  <c r="Q392" i="5"/>
  <c r="R392" i="5" s="1"/>
  <c r="P392" i="5"/>
  <c r="J392" i="5"/>
  <c r="W391" i="5"/>
  <c r="Q391" i="5"/>
  <c r="R391" i="5" s="1"/>
  <c r="S391" i="5" s="1"/>
  <c r="P391" i="5"/>
  <c r="J391" i="5"/>
  <c r="W390" i="5"/>
  <c r="Q390" i="5"/>
  <c r="R390" i="5" s="1"/>
  <c r="S390" i="5" s="1"/>
  <c r="P390" i="5"/>
  <c r="J390" i="5"/>
  <c r="W389" i="5"/>
  <c r="Q389" i="5"/>
  <c r="R389" i="5" s="1"/>
  <c r="S389" i="5" s="1"/>
  <c r="P389" i="5"/>
  <c r="J389" i="5"/>
  <c r="W388" i="5"/>
  <c r="S388" i="5"/>
  <c r="Q388" i="5"/>
  <c r="R388" i="5" s="1"/>
  <c r="P388" i="5"/>
  <c r="J388" i="5"/>
  <c r="W387" i="5"/>
  <c r="Q387" i="5"/>
  <c r="R387" i="5" s="1"/>
  <c r="S387" i="5" s="1"/>
  <c r="P387" i="5"/>
  <c r="J387" i="5"/>
  <c r="W386" i="5"/>
  <c r="Q386" i="5"/>
  <c r="R386" i="5" s="1"/>
  <c r="S386" i="5" s="1"/>
  <c r="P386" i="5"/>
  <c r="J386" i="5"/>
  <c r="W385" i="5"/>
  <c r="Q385" i="5"/>
  <c r="R385" i="5" s="1"/>
  <c r="S385" i="5" s="1"/>
  <c r="P385" i="5"/>
  <c r="J385" i="5"/>
  <c r="W384" i="5"/>
  <c r="S384" i="5"/>
  <c r="Q384" i="5"/>
  <c r="R384" i="5" s="1"/>
  <c r="P384" i="5"/>
  <c r="J384" i="5"/>
  <c r="W383" i="5"/>
  <c r="Q383" i="5"/>
  <c r="R383" i="5" s="1"/>
  <c r="S383" i="5" s="1"/>
  <c r="P383" i="5"/>
  <c r="J383" i="5"/>
  <c r="W382" i="5"/>
  <c r="Q382" i="5"/>
  <c r="R382" i="5" s="1"/>
  <c r="S382" i="5" s="1"/>
  <c r="P382" i="5"/>
  <c r="J382" i="5"/>
  <c r="W381" i="5"/>
  <c r="Q381" i="5"/>
  <c r="R381" i="5" s="1"/>
  <c r="S381" i="5" s="1"/>
  <c r="P381" i="5"/>
  <c r="J381" i="5"/>
  <c r="W380" i="5"/>
  <c r="S380" i="5"/>
  <c r="Q380" i="5"/>
  <c r="R380" i="5" s="1"/>
  <c r="P380" i="5"/>
  <c r="J380" i="5"/>
  <c r="W379" i="5"/>
  <c r="Q379" i="5"/>
  <c r="R379" i="5" s="1"/>
  <c r="S379" i="5" s="1"/>
  <c r="P379" i="5"/>
  <c r="J379" i="5"/>
  <c r="W378" i="5"/>
  <c r="Q378" i="5"/>
  <c r="R378" i="5" s="1"/>
  <c r="S378" i="5" s="1"/>
  <c r="P378" i="5"/>
  <c r="J378" i="5"/>
  <c r="W377" i="5"/>
  <c r="R377" i="5"/>
  <c r="S377" i="5" s="1"/>
  <c r="Q377" i="5"/>
  <c r="P377" i="5"/>
  <c r="J377" i="5"/>
  <c r="W376" i="5"/>
  <c r="Q376" i="5"/>
  <c r="R376" i="5" s="1"/>
  <c r="S376" i="5" s="1"/>
  <c r="P376" i="5"/>
  <c r="J376" i="5"/>
  <c r="W375" i="5"/>
  <c r="R375" i="5"/>
  <c r="S375" i="5" s="1"/>
  <c r="Q375" i="5"/>
  <c r="P375" i="5"/>
  <c r="J375" i="5"/>
  <c r="W374" i="5"/>
  <c r="Q374" i="5"/>
  <c r="R374" i="5" s="1"/>
  <c r="S374" i="5" s="1"/>
  <c r="P374" i="5"/>
  <c r="J374" i="5"/>
  <c r="W373" i="5"/>
  <c r="R373" i="5"/>
  <c r="S373" i="5" s="1"/>
  <c r="Q373" i="5"/>
  <c r="P373" i="5"/>
  <c r="J373" i="5"/>
  <c r="W372" i="5"/>
  <c r="Q372" i="5"/>
  <c r="R372" i="5" s="1"/>
  <c r="S372" i="5" s="1"/>
  <c r="P372" i="5"/>
  <c r="J372" i="5"/>
  <c r="W371" i="5"/>
  <c r="R371" i="5"/>
  <c r="S371" i="5" s="1"/>
  <c r="Q371" i="5"/>
  <c r="P371" i="5"/>
  <c r="J371" i="5"/>
  <c r="W370" i="5"/>
  <c r="Q370" i="5"/>
  <c r="R370" i="5" s="1"/>
  <c r="S370" i="5" s="1"/>
  <c r="P370" i="5"/>
  <c r="J370" i="5"/>
  <c r="W369" i="5"/>
  <c r="R369" i="5"/>
  <c r="S369" i="5" s="1"/>
  <c r="Q369" i="5"/>
  <c r="P369" i="5"/>
  <c r="J369" i="5"/>
  <c r="W368" i="5"/>
  <c r="Q368" i="5"/>
  <c r="R368" i="5" s="1"/>
  <c r="S368" i="5" s="1"/>
  <c r="P368" i="5"/>
  <c r="J368" i="5"/>
  <c r="W367" i="5"/>
  <c r="R367" i="5"/>
  <c r="S367" i="5" s="1"/>
  <c r="Q367" i="5"/>
  <c r="P367" i="5"/>
  <c r="J367" i="5"/>
  <c r="W366" i="5"/>
  <c r="Q366" i="5"/>
  <c r="R366" i="5" s="1"/>
  <c r="S366" i="5" s="1"/>
  <c r="P366" i="5"/>
  <c r="J366" i="5"/>
  <c r="W365" i="5"/>
  <c r="R365" i="5"/>
  <c r="S365" i="5" s="1"/>
  <c r="Q365" i="5"/>
  <c r="P365" i="5"/>
  <c r="J365" i="5"/>
  <c r="W364" i="5"/>
  <c r="Q364" i="5"/>
  <c r="R364" i="5" s="1"/>
  <c r="S364" i="5" s="1"/>
  <c r="P364" i="5"/>
  <c r="J364" i="5"/>
  <c r="W363" i="5"/>
  <c r="R363" i="5"/>
  <c r="S363" i="5" s="1"/>
  <c r="Q363" i="5"/>
  <c r="P363" i="5"/>
  <c r="J363" i="5"/>
  <c r="W362" i="5"/>
  <c r="Q362" i="5"/>
  <c r="R362" i="5" s="1"/>
  <c r="S362" i="5" s="1"/>
  <c r="P362" i="5"/>
  <c r="J362" i="5"/>
  <c r="W361" i="5"/>
  <c r="R361" i="5"/>
  <c r="S361" i="5" s="1"/>
  <c r="Q361" i="5"/>
  <c r="P361" i="5"/>
  <c r="J361" i="5"/>
  <c r="W360" i="5"/>
  <c r="Q360" i="5"/>
  <c r="R360" i="5" s="1"/>
  <c r="S360" i="5" s="1"/>
  <c r="P360" i="5"/>
  <c r="J360" i="5"/>
  <c r="W359" i="5"/>
  <c r="R359" i="5"/>
  <c r="S359" i="5" s="1"/>
  <c r="Q359" i="5"/>
  <c r="P359" i="5"/>
  <c r="J359" i="5"/>
  <c r="W358" i="5"/>
  <c r="Q358" i="5"/>
  <c r="R358" i="5" s="1"/>
  <c r="S358" i="5" s="1"/>
  <c r="P358" i="5"/>
  <c r="J358" i="5"/>
  <c r="W357" i="5"/>
  <c r="R357" i="5"/>
  <c r="S357" i="5" s="1"/>
  <c r="Q357" i="5"/>
  <c r="P357" i="5"/>
  <c r="J357" i="5"/>
  <c r="W356" i="5"/>
  <c r="Q356" i="5"/>
  <c r="R356" i="5" s="1"/>
  <c r="S356" i="5" s="1"/>
  <c r="P356" i="5"/>
  <c r="J356" i="5"/>
  <c r="W355" i="5"/>
  <c r="R355" i="5"/>
  <c r="S355" i="5" s="1"/>
  <c r="Q355" i="5"/>
  <c r="P355" i="5"/>
  <c r="J355" i="5"/>
  <c r="W354" i="5"/>
  <c r="Q354" i="5"/>
  <c r="R354" i="5" s="1"/>
  <c r="S354" i="5" s="1"/>
  <c r="P354" i="5"/>
  <c r="J354" i="5"/>
  <c r="W353" i="5"/>
  <c r="R353" i="5"/>
  <c r="S353" i="5" s="1"/>
  <c r="Q353" i="5"/>
  <c r="P353" i="5"/>
  <c r="J353" i="5"/>
  <c r="W352" i="5"/>
  <c r="Q352" i="5"/>
  <c r="R352" i="5" s="1"/>
  <c r="S352" i="5" s="1"/>
  <c r="P352" i="5"/>
  <c r="J352" i="5"/>
  <c r="W351" i="5"/>
  <c r="R351" i="5"/>
  <c r="S351" i="5" s="1"/>
  <c r="Q351" i="5"/>
  <c r="P351" i="5"/>
  <c r="J351" i="5"/>
  <c r="W350" i="5"/>
  <c r="Q350" i="5"/>
  <c r="R350" i="5" s="1"/>
  <c r="S350" i="5" s="1"/>
  <c r="P350" i="5"/>
  <c r="J350" i="5"/>
  <c r="W349" i="5"/>
  <c r="R349" i="5"/>
  <c r="S349" i="5" s="1"/>
  <c r="Q349" i="5"/>
  <c r="P349" i="5"/>
  <c r="J349" i="5"/>
  <c r="W348" i="5"/>
  <c r="Q348" i="5"/>
  <c r="R348" i="5" s="1"/>
  <c r="S348" i="5" s="1"/>
  <c r="P348" i="5"/>
  <c r="J348" i="5"/>
  <c r="W347" i="5"/>
  <c r="R347" i="5"/>
  <c r="S347" i="5" s="1"/>
  <c r="Q347" i="5"/>
  <c r="P347" i="5"/>
  <c r="J347" i="5"/>
  <c r="W346" i="5"/>
  <c r="Q346" i="5"/>
  <c r="R346" i="5" s="1"/>
  <c r="S346" i="5" s="1"/>
  <c r="P346" i="5"/>
  <c r="J346" i="5"/>
  <c r="W345" i="5"/>
  <c r="R345" i="5"/>
  <c r="S345" i="5" s="1"/>
  <c r="Q345" i="5"/>
  <c r="P345" i="5"/>
  <c r="J345" i="5"/>
  <c r="W344" i="5"/>
  <c r="Q344" i="5"/>
  <c r="R344" i="5" s="1"/>
  <c r="S344" i="5" s="1"/>
  <c r="P344" i="5"/>
  <c r="J344" i="5"/>
  <c r="W343" i="5"/>
  <c r="R343" i="5"/>
  <c r="S343" i="5" s="1"/>
  <c r="Q343" i="5"/>
  <c r="P343" i="5"/>
  <c r="J343" i="5"/>
  <c r="W342" i="5"/>
  <c r="Q342" i="5"/>
  <c r="R342" i="5" s="1"/>
  <c r="S342" i="5" s="1"/>
  <c r="P342" i="5"/>
  <c r="J342" i="5"/>
  <c r="W341" i="5"/>
  <c r="R341" i="5"/>
  <c r="S341" i="5" s="1"/>
  <c r="Q341" i="5"/>
  <c r="P341" i="5"/>
  <c r="J341" i="5"/>
  <c r="W340" i="5"/>
  <c r="Q340" i="5"/>
  <c r="R340" i="5" s="1"/>
  <c r="S340" i="5" s="1"/>
  <c r="P340" i="5"/>
  <c r="J340" i="5"/>
  <c r="W339" i="5"/>
  <c r="R339" i="5"/>
  <c r="S339" i="5" s="1"/>
  <c r="Q339" i="5"/>
  <c r="P339" i="5"/>
  <c r="J339" i="5"/>
  <c r="W338" i="5"/>
  <c r="Q338" i="5"/>
  <c r="R338" i="5" s="1"/>
  <c r="S338" i="5" s="1"/>
  <c r="P338" i="5"/>
  <c r="J338" i="5"/>
  <c r="W337" i="5"/>
  <c r="R337" i="5"/>
  <c r="S337" i="5" s="1"/>
  <c r="Q337" i="5"/>
  <c r="P337" i="5"/>
  <c r="J337" i="5"/>
  <c r="W336" i="5"/>
  <c r="Q336" i="5"/>
  <c r="R336" i="5" s="1"/>
  <c r="S336" i="5" s="1"/>
  <c r="P336" i="5"/>
  <c r="J336" i="5"/>
  <c r="W335" i="5"/>
  <c r="R335" i="5"/>
  <c r="S335" i="5" s="1"/>
  <c r="Q335" i="5"/>
  <c r="P335" i="5"/>
  <c r="J335" i="5"/>
  <c r="W334" i="5"/>
  <c r="Q334" i="5"/>
  <c r="R334" i="5" s="1"/>
  <c r="S334" i="5" s="1"/>
  <c r="P334" i="5"/>
  <c r="J334" i="5"/>
  <c r="W333" i="5"/>
  <c r="R333" i="5"/>
  <c r="S333" i="5" s="1"/>
  <c r="Q333" i="5"/>
  <c r="P333" i="5"/>
  <c r="J333" i="5"/>
  <c r="W332" i="5"/>
  <c r="Q332" i="5"/>
  <c r="R332" i="5" s="1"/>
  <c r="S332" i="5" s="1"/>
  <c r="P332" i="5"/>
  <c r="J332" i="5"/>
  <c r="W331" i="5"/>
  <c r="R331" i="5"/>
  <c r="S331" i="5" s="1"/>
  <c r="Q331" i="5"/>
  <c r="P331" i="5"/>
  <c r="J331" i="5"/>
  <c r="W330" i="5"/>
  <c r="Q330" i="5"/>
  <c r="R330" i="5" s="1"/>
  <c r="S330" i="5" s="1"/>
  <c r="P330" i="5"/>
  <c r="J330" i="5"/>
  <c r="W329" i="5"/>
  <c r="R329" i="5"/>
  <c r="S329" i="5" s="1"/>
  <c r="Q329" i="5"/>
  <c r="P329" i="5"/>
  <c r="J329" i="5"/>
  <c r="W328" i="5"/>
  <c r="Q328" i="5"/>
  <c r="R328" i="5" s="1"/>
  <c r="S328" i="5" s="1"/>
  <c r="P328" i="5"/>
  <c r="J328" i="5"/>
  <c r="W327" i="5"/>
  <c r="R327" i="5"/>
  <c r="S327" i="5" s="1"/>
  <c r="Q327" i="5"/>
  <c r="P327" i="5"/>
  <c r="J327" i="5"/>
  <c r="W326" i="5"/>
  <c r="Q326" i="5"/>
  <c r="R326" i="5" s="1"/>
  <c r="S326" i="5" s="1"/>
  <c r="P326" i="5"/>
  <c r="J326" i="5"/>
  <c r="W325" i="5"/>
  <c r="R325" i="5"/>
  <c r="S325" i="5" s="1"/>
  <c r="Q325" i="5"/>
  <c r="P325" i="5"/>
  <c r="J325" i="5"/>
  <c r="W324" i="5"/>
  <c r="Q324" i="5"/>
  <c r="R324" i="5" s="1"/>
  <c r="S324" i="5" s="1"/>
  <c r="P324" i="5"/>
  <c r="J324" i="5"/>
  <c r="W323" i="5"/>
  <c r="R323" i="5"/>
  <c r="S323" i="5" s="1"/>
  <c r="Q323" i="5"/>
  <c r="P323" i="5"/>
  <c r="J323" i="5"/>
  <c r="W322" i="5"/>
  <c r="Q322" i="5"/>
  <c r="R322" i="5" s="1"/>
  <c r="S322" i="5" s="1"/>
  <c r="P322" i="5"/>
  <c r="J322" i="5"/>
  <c r="W321" i="5"/>
  <c r="R321" i="5"/>
  <c r="S321" i="5" s="1"/>
  <c r="Q321" i="5"/>
  <c r="P321" i="5"/>
  <c r="J321" i="5"/>
  <c r="W320" i="5"/>
  <c r="Q320" i="5"/>
  <c r="R320" i="5" s="1"/>
  <c r="S320" i="5" s="1"/>
  <c r="P320" i="5"/>
  <c r="J320" i="5"/>
  <c r="W319" i="5"/>
  <c r="R319" i="5"/>
  <c r="S319" i="5" s="1"/>
  <c r="Q319" i="5"/>
  <c r="P319" i="5"/>
  <c r="J319" i="5"/>
  <c r="W318" i="5"/>
  <c r="Q318" i="5"/>
  <c r="R318" i="5" s="1"/>
  <c r="S318" i="5" s="1"/>
  <c r="P318" i="5"/>
  <c r="J318" i="5"/>
  <c r="W317" i="5"/>
  <c r="R317" i="5"/>
  <c r="S317" i="5" s="1"/>
  <c r="Q317" i="5"/>
  <c r="P317" i="5"/>
  <c r="J317" i="5"/>
  <c r="W316" i="5"/>
  <c r="Q316" i="5"/>
  <c r="R316" i="5" s="1"/>
  <c r="S316" i="5" s="1"/>
  <c r="P316" i="5"/>
  <c r="J316" i="5"/>
  <c r="W315" i="5"/>
  <c r="R315" i="5"/>
  <c r="S315" i="5" s="1"/>
  <c r="Q315" i="5"/>
  <c r="P315" i="5"/>
  <c r="J315" i="5"/>
  <c r="W314" i="5"/>
  <c r="Q314" i="5"/>
  <c r="R314" i="5" s="1"/>
  <c r="S314" i="5" s="1"/>
  <c r="P314" i="5"/>
  <c r="J314" i="5"/>
  <c r="W313" i="5"/>
  <c r="R313" i="5"/>
  <c r="S313" i="5" s="1"/>
  <c r="Q313" i="5"/>
  <c r="P313" i="5"/>
  <c r="J313" i="5"/>
  <c r="W312" i="5"/>
  <c r="Q312" i="5"/>
  <c r="R312" i="5" s="1"/>
  <c r="S312" i="5" s="1"/>
  <c r="P312" i="5"/>
  <c r="J312" i="5"/>
  <c r="W311" i="5"/>
  <c r="R311" i="5"/>
  <c r="S311" i="5" s="1"/>
  <c r="Q311" i="5"/>
  <c r="P311" i="5"/>
  <c r="J311" i="5"/>
  <c r="W310" i="5"/>
  <c r="Q310" i="5"/>
  <c r="R310" i="5" s="1"/>
  <c r="S310" i="5" s="1"/>
  <c r="P310" i="5"/>
  <c r="J310" i="5"/>
  <c r="W309" i="5"/>
  <c r="R309" i="5"/>
  <c r="S309" i="5" s="1"/>
  <c r="Q309" i="5"/>
  <c r="P309" i="5"/>
  <c r="J309" i="5"/>
  <c r="W308" i="5"/>
  <c r="Q308" i="5"/>
  <c r="R308" i="5" s="1"/>
  <c r="S308" i="5" s="1"/>
  <c r="P308" i="5"/>
  <c r="J308" i="5"/>
  <c r="W307" i="5"/>
  <c r="R307" i="5"/>
  <c r="S307" i="5" s="1"/>
  <c r="Q307" i="5"/>
  <c r="P307" i="5"/>
  <c r="J307" i="5"/>
  <c r="W306" i="5"/>
  <c r="Q306" i="5"/>
  <c r="R306" i="5" s="1"/>
  <c r="S306" i="5" s="1"/>
  <c r="P306" i="5"/>
  <c r="J306" i="5"/>
  <c r="W305" i="5"/>
  <c r="R305" i="5"/>
  <c r="S305" i="5" s="1"/>
  <c r="Q305" i="5"/>
  <c r="P305" i="5"/>
  <c r="J305" i="5"/>
  <c r="W304" i="5"/>
  <c r="Q304" i="5"/>
  <c r="R304" i="5" s="1"/>
  <c r="S304" i="5" s="1"/>
  <c r="P304" i="5"/>
  <c r="J304" i="5"/>
  <c r="W303" i="5"/>
  <c r="R303" i="5"/>
  <c r="S303" i="5" s="1"/>
  <c r="Q303" i="5"/>
  <c r="P303" i="5"/>
  <c r="J303" i="5"/>
  <c r="W302" i="5"/>
  <c r="Q302" i="5"/>
  <c r="R302" i="5" s="1"/>
  <c r="S302" i="5" s="1"/>
  <c r="P302" i="5"/>
  <c r="J302" i="5"/>
  <c r="W301" i="5"/>
  <c r="R301" i="5"/>
  <c r="S301" i="5" s="1"/>
  <c r="Q301" i="5"/>
  <c r="P301" i="5"/>
  <c r="J301" i="5"/>
  <c r="W300" i="5"/>
  <c r="Q300" i="5"/>
  <c r="R300" i="5" s="1"/>
  <c r="S300" i="5" s="1"/>
  <c r="P300" i="5"/>
  <c r="J300" i="5"/>
  <c r="W299" i="5"/>
  <c r="R299" i="5"/>
  <c r="S299" i="5" s="1"/>
  <c r="Q299" i="5"/>
  <c r="P299" i="5"/>
  <c r="J299" i="5"/>
  <c r="W298" i="5"/>
  <c r="Q298" i="5"/>
  <c r="R298" i="5" s="1"/>
  <c r="S298" i="5" s="1"/>
  <c r="P298" i="5"/>
  <c r="J298" i="5"/>
  <c r="W297" i="5"/>
  <c r="R297" i="5"/>
  <c r="S297" i="5" s="1"/>
  <c r="Q297" i="5"/>
  <c r="P297" i="5"/>
  <c r="J297" i="5"/>
  <c r="W296" i="5"/>
  <c r="Q296" i="5"/>
  <c r="R296" i="5" s="1"/>
  <c r="S296" i="5" s="1"/>
  <c r="P296" i="5"/>
  <c r="J296" i="5"/>
  <c r="W295" i="5"/>
  <c r="R295" i="5"/>
  <c r="S295" i="5" s="1"/>
  <c r="Q295" i="5"/>
  <c r="P295" i="5"/>
  <c r="J295" i="5"/>
  <c r="W294" i="5"/>
  <c r="Q294" i="5"/>
  <c r="R294" i="5" s="1"/>
  <c r="S294" i="5" s="1"/>
  <c r="P294" i="5"/>
  <c r="J294" i="5"/>
  <c r="W293" i="5"/>
  <c r="R293" i="5"/>
  <c r="S293" i="5" s="1"/>
  <c r="Q293" i="5"/>
  <c r="P293" i="5"/>
  <c r="J293" i="5"/>
  <c r="W292" i="5"/>
  <c r="Q292" i="5"/>
  <c r="R292" i="5" s="1"/>
  <c r="S292" i="5" s="1"/>
  <c r="P292" i="5"/>
  <c r="J292" i="5"/>
  <c r="W291" i="5"/>
  <c r="R291" i="5"/>
  <c r="S291" i="5" s="1"/>
  <c r="Q291" i="5"/>
  <c r="P291" i="5"/>
  <c r="J291" i="5"/>
  <c r="W290" i="5"/>
  <c r="Q290" i="5"/>
  <c r="R290" i="5" s="1"/>
  <c r="S290" i="5" s="1"/>
  <c r="P290" i="5"/>
  <c r="J290" i="5"/>
  <c r="W289" i="5"/>
  <c r="R289" i="5"/>
  <c r="S289" i="5" s="1"/>
  <c r="Q289" i="5"/>
  <c r="P289" i="5"/>
  <c r="J289" i="5"/>
  <c r="W288" i="5"/>
  <c r="Q288" i="5"/>
  <c r="R288" i="5" s="1"/>
  <c r="S288" i="5" s="1"/>
  <c r="P288" i="5"/>
  <c r="J288" i="5"/>
  <c r="W287" i="5"/>
  <c r="R287" i="5"/>
  <c r="S287" i="5" s="1"/>
  <c r="Q287" i="5"/>
  <c r="P287" i="5"/>
  <c r="J287" i="5"/>
  <c r="W286" i="5"/>
  <c r="Q286" i="5"/>
  <c r="R286" i="5" s="1"/>
  <c r="S286" i="5" s="1"/>
  <c r="P286" i="5"/>
  <c r="J286" i="5"/>
  <c r="W285" i="5"/>
  <c r="R285" i="5"/>
  <c r="S285" i="5" s="1"/>
  <c r="Q285" i="5"/>
  <c r="P285" i="5"/>
  <c r="J285" i="5"/>
  <c r="W284" i="5"/>
  <c r="Q284" i="5"/>
  <c r="R284" i="5" s="1"/>
  <c r="S284" i="5" s="1"/>
  <c r="P284" i="5"/>
  <c r="J284" i="5"/>
  <c r="W283" i="5"/>
  <c r="R283" i="5"/>
  <c r="S283" i="5" s="1"/>
  <c r="Q283" i="5"/>
  <c r="P283" i="5"/>
  <c r="J283" i="5"/>
  <c r="W282" i="5"/>
  <c r="Q282" i="5"/>
  <c r="R282" i="5" s="1"/>
  <c r="S282" i="5" s="1"/>
  <c r="P282" i="5"/>
  <c r="J282" i="5"/>
  <c r="W281" i="5"/>
  <c r="R281" i="5"/>
  <c r="S281" i="5" s="1"/>
  <c r="Q281" i="5"/>
  <c r="P281" i="5"/>
  <c r="J281" i="5"/>
  <c r="W280" i="5"/>
  <c r="Q280" i="5"/>
  <c r="R280" i="5" s="1"/>
  <c r="S280" i="5" s="1"/>
  <c r="P280" i="5"/>
  <c r="J280" i="5"/>
  <c r="W279" i="5"/>
  <c r="R279" i="5"/>
  <c r="S279" i="5" s="1"/>
  <c r="Q279" i="5"/>
  <c r="P279" i="5"/>
  <c r="J279" i="5"/>
  <c r="W278" i="5"/>
  <c r="Q278" i="5"/>
  <c r="R278" i="5" s="1"/>
  <c r="S278" i="5" s="1"/>
  <c r="P278" i="5"/>
  <c r="J278" i="5"/>
  <c r="W277" i="5"/>
  <c r="R277" i="5"/>
  <c r="S277" i="5" s="1"/>
  <c r="Q277" i="5"/>
  <c r="P277" i="5"/>
  <c r="J277" i="5"/>
  <c r="W276" i="5"/>
  <c r="Q276" i="5"/>
  <c r="R276" i="5" s="1"/>
  <c r="S276" i="5" s="1"/>
  <c r="P276" i="5"/>
  <c r="J276" i="5"/>
  <c r="W275" i="5"/>
  <c r="R275" i="5"/>
  <c r="S275" i="5" s="1"/>
  <c r="Q275" i="5"/>
  <c r="P275" i="5"/>
  <c r="J275" i="5"/>
  <c r="W274" i="5"/>
  <c r="Q274" i="5"/>
  <c r="R274" i="5" s="1"/>
  <c r="S274" i="5" s="1"/>
  <c r="P274" i="5"/>
  <c r="J274" i="5"/>
  <c r="W273" i="5"/>
  <c r="R273" i="5"/>
  <c r="S273" i="5" s="1"/>
  <c r="Q273" i="5"/>
  <c r="P273" i="5"/>
  <c r="J273" i="5"/>
  <c r="W272" i="5"/>
  <c r="Q272" i="5"/>
  <c r="R272" i="5" s="1"/>
  <c r="S272" i="5" s="1"/>
  <c r="P272" i="5"/>
  <c r="J272" i="5"/>
  <c r="W271" i="5"/>
  <c r="R271" i="5"/>
  <c r="S271" i="5" s="1"/>
  <c r="Q271" i="5"/>
  <c r="P271" i="5"/>
  <c r="J271" i="5"/>
  <c r="W270" i="5"/>
  <c r="Q270" i="5"/>
  <c r="R270" i="5" s="1"/>
  <c r="S270" i="5" s="1"/>
  <c r="P270" i="5"/>
  <c r="J270" i="5"/>
  <c r="W269" i="5"/>
  <c r="R269" i="5"/>
  <c r="S269" i="5" s="1"/>
  <c r="Q269" i="5"/>
  <c r="P269" i="5"/>
  <c r="J269" i="5"/>
  <c r="W268" i="5"/>
  <c r="Q268" i="5"/>
  <c r="R268" i="5" s="1"/>
  <c r="S268" i="5" s="1"/>
  <c r="P268" i="5"/>
  <c r="J268" i="5"/>
  <c r="W267" i="5"/>
  <c r="R267" i="5"/>
  <c r="S267" i="5" s="1"/>
  <c r="Q267" i="5"/>
  <c r="P267" i="5"/>
  <c r="J267" i="5"/>
  <c r="W266" i="5"/>
  <c r="Q266" i="5"/>
  <c r="R266" i="5" s="1"/>
  <c r="S266" i="5" s="1"/>
  <c r="P266" i="5"/>
  <c r="J266" i="5"/>
  <c r="W265" i="5"/>
  <c r="R265" i="5"/>
  <c r="S265" i="5" s="1"/>
  <c r="Q265" i="5"/>
  <c r="P265" i="5"/>
  <c r="J265" i="5"/>
  <c r="W264" i="5"/>
  <c r="Q264" i="5"/>
  <c r="R264" i="5" s="1"/>
  <c r="S264" i="5" s="1"/>
  <c r="P264" i="5"/>
  <c r="J264" i="5"/>
  <c r="W263" i="5"/>
  <c r="R263" i="5"/>
  <c r="S263" i="5" s="1"/>
  <c r="Q263" i="5"/>
  <c r="P263" i="5"/>
  <c r="J263" i="5"/>
  <c r="W262" i="5"/>
  <c r="Q262" i="5"/>
  <c r="R262" i="5" s="1"/>
  <c r="S262" i="5" s="1"/>
  <c r="P262" i="5"/>
  <c r="J262" i="5"/>
  <c r="W261" i="5"/>
  <c r="R261" i="5"/>
  <c r="S261" i="5" s="1"/>
  <c r="Q261" i="5"/>
  <c r="P261" i="5"/>
  <c r="J261" i="5"/>
  <c r="W260" i="5"/>
  <c r="Q260" i="5"/>
  <c r="R260" i="5" s="1"/>
  <c r="S260" i="5" s="1"/>
  <c r="P260" i="5"/>
  <c r="J260" i="5"/>
  <c r="W259" i="5"/>
  <c r="R259" i="5"/>
  <c r="S259" i="5" s="1"/>
  <c r="Q259" i="5"/>
  <c r="P259" i="5"/>
  <c r="J259" i="5"/>
  <c r="W258" i="5"/>
  <c r="Q258" i="5"/>
  <c r="R258" i="5" s="1"/>
  <c r="S258" i="5" s="1"/>
  <c r="P258" i="5"/>
  <c r="J258" i="5"/>
  <c r="W257" i="5"/>
  <c r="R257" i="5"/>
  <c r="S257" i="5" s="1"/>
  <c r="Q257" i="5"/>
  <c r="P257" i="5"/>
  <c r="J257" i="5"/>
  <c r="W256" i="5"/>
  <c r="Q256" i="5"/>
  <c r="R256" i="5" s="1"/>
  <c r="S256" i="5" s="1"/>
  <c r="P256" i="5"/>
  <c r="J256" i="5"/>
  <c r="W255" i="5"/>
  <c r="R255" i="5"/>
  <c r="S255" i="5" s="1"/>
  <c r="Q255" i="5"/>
  <c r="P255" i="5"/>
  <c r="J255" i="5"/>
  <c r="W254" i="5"/>
  <c r="Q254" i="5"/>
  <c r="R254" i="5" s="1"/>
  <c r="S254" i="5" s="1"/>
  <c r="P254" i="5"/>
  <c r="J254" i="5"/>
  <c r="W253" i="5"/>
  <c r="R253" i="5"/>
  <c r="S253" i="5" s="1"/>
  <c r="Q253" i="5"/>
  <c r="P253" i="5"/>
  <c r="J253" i="5"/>
  <c r="W252" i="5"/>
  <c r="Q252" i="5"/>
  <c r="R252" i="5" s="1"/>
  <c r="S252" i="5" s="1"/>
  <c r="P252" i="5"/>
  <c r="J252" i="5"/>
  <c r="W251" i="5"/>
  <c r="R251" i="5"/>
  <c r="S251" i="5" s="1"/>
  <c r="Q251" i="5"/>
  <c r="P251" i="5"/>
  <c r="J251" i="5"/>
  <c r="W250" i="5"/>
  <c r="Q250" i="5"/>
  <c r="R250" i="5" s="1"/>
  <c r="S250" i="5" s="1"/>
  <c r="P250" i="5"/>
  <c r="J250" i="5"/>
  <c r="W249" i="5"/>
  <c r="R249" i="5"/>
  <c r="S249" i="5" s="1"/>
  <c r="Q249" i="5"/>
  <c r="P249" i="5"/>
  <c r="J249" i="5"/>
  <c r="W248" i="5"/>
  <c r="Q248" i="5"/>
  <c r="R248" i="5" s="1"/>
  <c r="S248" i="5" s="1"/>
  <c r="P248" i="5"/>
  <c r="J248" i="5"/>
  <c r="W247" i="5"/>
  <c r="R247" i="5"/>
  <c r="S247" i="5" s="1"/>
  <c r="Q247" i="5"/>
  <c r="P247" i="5"/>
  <c r="J247" i="5"/>
  <c r="W246" i="5"/>
  <c r="Q246" i="5"/>
  <c r="R246" i="5" s="1"/>
  <c r="S246" i="5" s="1"/>
  <c r="P246" i="5"/>
  <c r="J246" i="5"/>
  <c r="W245" i="5"/>
  <c r="R245" i="5"/>
  <c r="S245" i="5" s="1"/>
  <c r="Q245" i="5"/>
  <c r="P245" i="5"/>
  <c r="J245" i="5"/>
  <c r="W244" i="5"/>
  <c r="Q244" i="5"/>
  <c r="R244" i="5" s="1"/>
  <c r="S244" i="5" s="1"/>
  <c r="P244" i="5"/>
  <c r="J244" i="5"/>
  <c r="W243" i="5"/>
  <c r="R243" i="5"/>
  <c r="S243" i="5" s="1"/>
  <c r="Q243" i="5"/>
  <c r="P243" i="5"/>
  <c r="J243" i="5"/>
  <c r="W242" i="5"/>
  <c r="Q242" i="5"/>
  <c r="R242" i="5" s="1"/>
  <c r="S242" i="5" s="1"/>
  <c r="P242" i="5"/>
  <c r="J242" i="5"/>
  <c r="W241" i="5"/>
  <c r="R241" i="5"/>
  <c r="S241" i="5" s="1"/>
  <c r="Q241" i="5"/>
  <c r="P241" i="5"/>
  <c r="J241" i="5"/>
  <c r="W240" i="5"/>
  <c r="Q240" i="5"/>
  <c r="R240" i="5" s="1"/>
  <c r="S240" i="5" s="1"/>
  <c r="P240" i="5"/>
  <c r="J240" i="5"/>
  <c r="W239" i="5"/>
  <c r="R239" i="5"/>
  <c r="S239" i="5" s="1"/>
  <c r="Q239" i="5"/>
  <c r="P239" i="5"/>
  <c r="J239" i="5"/>
  <c r="W238" i="5"/>
  <c r="Q238" i="5"/>
  <c r="R238" i="5" s="1"/>
  <c r="S238" i="5" s="1"/>
  <c r="P238" i="5"/>
  <c r="J238" i="5"/>
  <c r="W237" i="5"/>
  <c r="R237" i="5"/>
  <c r="S237" i="5" s="1"/>
  <c r="Q237" i="5"/>
  <c r="P237" i="5"/>
  <c r="J237" i="5"/>
  <c r="W236" i="5"/>
  <c r="Q236" i="5"/>
  <c r="R236" i="5" s="1"/>
  <c r="S236" i="5" s="1"/>
  <c r="P236" i="5"/>
  <c r="J236" i="5"/>
  <c r="W235" i="5"/>
  <c r="R235" i="5"/>
  <c r="S235" i="5" s="1"/>
  <c r="Q235" i="5"/>
  <c r="P235" i="5"/>
  <c r="J235" i="5"/>
  <c r="W234" i="5"/>
  <c r="Q234" i="5"/>
  <c r="R234" i="5" s="1"/>
  <c r="S234" i="5" s="1"/>
  <c r="P234" i="5"/>
  <c r="J234" i="5"/>
  <c r="W233" i="5"/>
  <c r="R233" i="5"/>
  <c r="S233" i="5" s="1"/>
  <c r="Q233" i="5"/>
  <c r="P233" i="5"/>
  <c r="J233" i="5"/>
  <c r="W232" i="5"/>
  <c r="Q232" i="5"/>
  <c r="R232" i="5" s="1"/>
  <c r="S232" i="5" s="1"/>
  <c r="P232" i="5"/>
  <c r="J232" i="5"/>
  <c r="W231" i="5"/>
  <c r="R231" i="5"/>
  <c r="S231" i="5" s="1"/>
  <c r="Q231" i="5"/>
  <c r="P231" i="5"/>
  <c r="J231" i="5"/>
  <c r="W230" i="5"/>
  <c r="Q230" i="5"/>
  <c r="R230" i="5" s="1"/>
  <c r="S230" i="5" s="1"/>
  <c r="P230" i="5"/>
  <c r="J230" i="5"/>
  <c r="W229" i="5"/>
  <c r="R229" i="5"/>
  <c r="S229" i="5" s="1"/>
  <c r="Q229" i="5"/>
  <c r="P229" i="5"/>
  <c r="J229" i="5"/>
  <c r="W228" i="5"/>
  <c r="Q228" i="5"/>
  <c r="R228" i="5" s="1"/>
  <c r="S228" i="5" s="1"/>
  <c r="P228" i="5"/>
  <c r="J228" i="5"/>
  <c r="W227" i="5"/>
  <c r="R227" i="5"/>
  <c r="S227" i="5" s="1"/>
  <c r="Q227" i="5"/>
  <c r="P227" i="5"/>
  <c r="J227" i="5"/>
  <c r="W226" i="5"/>
  <c r="Q226" i="5"/>
  <c r="R226" i="5" s="1"/>
  <c r="S226" i="5" s="1"/>
  <c r="P226" i="5"/>
  <c r="J226" i="5"/>
  <c r="W225" i="5"/>
  <c r="R225" i="5"/>
  <c r="S225" i="5" s="1"/>
  <c r="Q225" i="5"/>
  <c r="P225" i="5"/>
  <c r="J225" i="5"/>
  <c r="W224" i="5"/>
  <c r="Q224" i="5"/>
  <c r="R224" i="5" s="1"/>
  <c r="S224" i="5" s="1"/>
  <c r="P224" i="5"/>
  <c r="J224" i="5"/>
  <c r="W223" i="5"/>
  <c r="R223" i="5"/>
  <c r="S223" i="5" s="1"/>
  <c r="Q223" i="5"/>
  <c r="P223" i="5"/>
  <c r="J223" i="5"/>
  <c r="W222" i="5"/>
  <c r="Q222" i="5"/>
  <c r="R222" i="5" s="1"/>
  <c r="S222" i="5" s="1"/>
  <c r="P222" i="5"/>
  <c r="J222" i="5"/>
  <c r="W221" i="5"/>
  <c r="R221" i="5"/>
  <c r="S221" i="5" s="1"/>
  <c r="Q221" i="5"/>
  <c r="P221" i="5"/>
  <c r="J221" i="5"/>
  <c r="W220" i="5"/>
  <c r="Q220" i="5"/>
  <c r="R220" i="5" s="1"/>
  <c r="S220" i="5" s="1"/>
  <c r="P220" i="5"/>
  <c r="J220" i="5"/>
  <c r="W219" i="5"/>
  <c r="Q219" i="5"/>
  <c r="R219" i="5" s="1"/>
  <c r="S219" i="5" s="1"/>
  <c r="P219" i="5"/>
  <c r="J219" i="5"/>
  <c r="W218" i="5"/>
  <c r="R218" i="5"/>
  <c r="S218" i="5" s="1"/>
  <c r="Q218" i="5"/>
  <c r="P218" i="5"/>
  <c r="J218" i="5"/>
  <c r="W217" i="5"/>
  <c r="Q217" i="5"/>
  <c r="R217" i="5" s="1"/>
  <c r="S217" i="5" s="1"/>
  <c r="P217" i="5"/>
  <c r="J217" i="5"/>
  <c r="W216" i="5"/>
  <c r="R216" i="5"/>
  <c r="S216" i="5" s="1"/>
  <c r="Q216" i="5"/>
  <c r="P216" i="5"/>
  <c r="J216" i="5"/>
  <c r="W215" i="5"/>
  <c r="Q215" i="5"/>
  <c r="R215" i="5" s="1"/>
  <c r="S215" i="5" s="1"/>
  <c r="P215" i="5"/>
  <c r="J215" i="5"/>
  <c r="W214" i="5"/>
  <c r="R214" i="5"/>
  <c r="S214" i="5" s="1"/>
  <c r="Q214" i="5"/>
  <c r="P214" i="5"/>
  <c r="J214" i="5"/>
  <c r="W213" i="5"/>
  <c r="Q213" i="5"/>
  <c r="R213" i="5" s="1"/>
  <c r="S213" i="5" s="1"/>
  <c r="P213" i="5"/>
  <c r="J213" i="5"/>
  <c r="W212" i="5"/>
  <c r="R212" i="5"/>
  <c r="S212" i="5" s="1"/>
  <c r="Q212" i="5"/>
  <c r="P212" i="5"/>
  <c r="J212" i="5"/>
  <c r="W211" i="5"/>
  <c r="Q211" i="5"/>
  <c r="R211" i="5" s="1"/>
  <c r="S211" i="5" s="1"/>
  <c r="P211" i="5"/>
  <c r="J211" i="5"/>
  <c r="W210" i="5"/>
  <c r="R210" i="5"/>
  <c r="S210" i="5" s="1"/>
  <c r="Q210" i="5"/>
  <c r="P210" i="5"/>
  <c r="J210" i="5"/>
  <c r="W209" i="5"/>
  <c r="Q209" i="5"/>
  <c r="R209" i="5" s="1"/>
  <c r="S209" i="5" s="1"/>
  <c r="P209" i="5"/>
  <c r="J209" i="5"/>
  <c r="W208" i="5"/>
  <c r="R208" i="5"/>
  <c r="S208" i="5" s="1"/>
  <c r="Q208" i="5"/>
  <c r="P208" i="5"/>
  <c r="J208" i="5"/>
  <c r="W207" i="5"/>
  <c r="Q207" i="5"/>
  <c r="R207" i="5" s="1"/>
  <c r="S207" i="5" s="1"/>
  <c r="P207" i="5"/>
  <c r="J207" i="5"/>
  <c r="W206" i="5"/>
  <c r="R206" i="5"/>
  <c r="S206" i="5" s="1"/>
  <c r="Q206" i="5"/>
  <c r="P206" i="5"/>
  <c r="J206" i="5"/>
  <c r="W205" i="5"/>
  <c r="Q205" i="5"/>
  <c r="R205" i="5" s="1"/>
  <c r="S205" i="5" s="1"/>
  <c r="P205" i="5"/>
  <c r="J205" i="5"/>
  <c r="W204" i="5"/>
  <c r="R204" i="5"/>
  <c r="S204" i="5" s="1"/>
  <c r="Q204" i="5"/>
  <c r="P204" i="5"/>
  <c r="J204" i="5"/>
  <c r="W203" i="5"/>
  <c r="Q203" i="5"/>
  <c r="R203" i="5" s="1"/>
  <c r="S203" i="5" s="1"/>
  <c r="P203" i="5"/>
  <c r="J203" i="5"/>
  <c r="W202" i="5"/>
  <c r="R202" i="5"/>
  <c r="S202" i="5" s="1"/>
  <c r="Q202" i="5"/>
  <c r="P202" i="5"/>
  <c r="J202" i="5"/>
  <c r="W201" i="5"/>
  <c r="Q201" i="5"/>
  <c r="R201" i="5" s="1"/>
  <c r="S201" i="5" s="1"/>
  <c r="P201" i="5"/>
  <c r="J201" i="5"/>
  <c r="W200" i="5"/>
  <c r="R200" i="5"/>
  <c r="S200" i="5" s="1"/>
  <c r="Q200" i="5"/>
  <c r="P200" i="5"/>
  <c r="J200" i="5"/>
  <c r="W199" i="5"/>
  <c r="Q199" i="5"/>
  <c r="R199" i="5" s="1"/>
  <c r="S199" i="5" s="1"/>
  <c r="P199" i="5"/>
  <c r="J199" i="5"/>
  <c r="W198" i="5"/>
  <c r="R198" i="5"/>
  <c r="S198" i="5" s="1"/>
  <c r="Q198" i="5"/>
  <c r="P198" i="5"/>
  <c r="J198" i="5"/>
  <c r="W197" i="5"/>
  <c r="Q197" i="5"/>
  <c r="R197" i="5" s="1"/>
  <c r="S197" i="5" s="1"/>
  <c r="P197" i="5"/>
  <c r="J197" i="5"/>
  <c r="W196" i="5"/>
  <c r="R196" i="5"/>
  <c r="S196" i="5" s="1"/>
  <c r="Q196" i="5"/>
  <c r="P196" i="5"/>
  <c r="J196" i="5"/>
  <c r="W195" i="5"/>
  <c r="Q195" i="5"/>
  <c r="R195" i="5" s="1"/>
  <c r="S195" i="5" s="1"/>
  <c r="P195" i="5"/>
  <c r="J195" i="5"/>
  <c r="W194" i="5"/>
  <c r="R194" i="5"/>
  <c r="S194" i="5" s="1"/>
  <c r="Q194" i="5"/>
  <c r="P194" i="5"/>
  <c r="J194" i="5"/>
  <c r="W193" i="5"/>
  <c r="Q193" i="5"/>
  <c r="R193" i="5" s="1"/>
  <c r="S193" i="5" s="1"/>
  <c r="P193" i="5"/>
  <c r="J193" i="5"/>
  <c r="W192" i="5"/>
  <c r="R192" i="5"/>
  <c r="S192" i="5" s="1"/>
  <c r="Q192" i="5"/>
  <c r="P192" i="5"/>
  <c r="J192" i="5"/>
  <c r="W191" i="5"/>
  <c r="Q191" i="5"/>
  <c r="R191" i="5" s="1"/>
  <c r="S191" i="5" s="1"/>
  <c r="P191" i="5"/>
  <c r="J191" i="5"/>
  <c r="W190" i="5"/>
  <c r="R190" i="5"/>
  <c r="S190" i="5" s="1"/>
  <c r="Q190" i="5"/>
  <c r="P190" i="5"/>
  <c r="J190" i="5"/>
  <c r="W189" i="5"/>
  <c r="Q189" i="5"/>
  <c r="R189" i="5" s="1"/>
  <c r="S189" i="5" s="1"/>
  <c r="P189" i="5"/>
  <c r="J189" i="5"/>
  <c r="W188" i="5"/>
  <c r="R188" i="5"/>
  <c r="S188" i="5" s="1"/>
  <c r="Q188" i="5"/>
  <c r="P188" i="5"/>
  <c r="J188" i="5"/>
  <c r="W187" i="5"/>
  <c r="Q187" i="5"/>
  <c r="R187" i="5" s="1"/>
  <c r="S187" i="5" s="1"/>
  <c r="P187" i="5"/>
  <c r="J187" i="5"/>
  <c r="W186" i="5"/>
  <c r="R186" i="5"/>
  <c r="S186" i="5" s="1"/>
  <c r="Q186" i="5"/>
  <c r="P186" i="5"/>
  <c r="J186" i="5"/>
  <c r="W185" i="5"/>
  <c r="Q185" i="5"/>
  <c r="R185" i="5" s="1"/>
  <c r="S185" i="5" s="1"/>
  <c r="P185" i="5"/>
  <c r="J185" i="5"/>
  <c r="W184" i="5"/>
  <c r="R184" i="5"/>
  <c r="S184" i="5" s="1"/>
  <c r="Q184" i="5"/>
  <c r="P184" i="5"/>
  <c r="J184" i="5"/>
  <c r="W183" i="5"/>
  <c r="Q183" i="5"/>
  <c r="R183" i="5" s="1"/>
  <c r="S183" i="5" s="1"/>
  <c r="P183" i="5"/>
  <c r="J183" i="5"/>
  <c r="W182" i="5"/>
  <c r="R182" i="5"/>
  <c r="S182" i="5" s="1"/>
  <c r="Q182" i="5"/>
  <c r="P182" i="5"/>
  <c r="J182" i="5"/>
  <c r="W181" i="5"/>
  <c r="Q181" i="5"/>
  <c r="R181" i="5" s="1"/>
  <c r="S181" i="5" s="1"/>
  <c r="P181" i="5"/>
  <c r="J181" i="5"/>
  <c r="W180" i="5"/>
  <c r="R180" i="5"/>
  <c r="S180" i="5" s="1"/>
  <c r="Q180" i="5"/>
  <c r="P180" i="5"/>
  <c r="J180" i="5"/>
  <c r="W179" i="5"/>
  <c r="Q179" i="5"/>
  <c r="R179" i="5" s="1"/>
  <c r="S179" i="5" s="1"/>
  <c r="P179" i="5"/>
  <c r="J179" i="5"/>
  <c r="W178" i="5"/>
  <c r="R178" i="5"/>
  <c r="S178" i="5" s="1"/>
  <c r="Q178" i="5"/>
  <c r="P178" i="5"/>
  <c r="J178" i="5"/>
  <c r="W177" i="5"/>
  <c r="Q177" i="5"/>
  <c r="R177" i="5" s="1"/>
  <c r="S177" i="5" s="1"/>
  <c r="P177" i="5"/>
  <c r="J177" i="5"/>
  <c r="W176" i="5"/>
  <c r="R176" i="5"/>
  <c r="S176" i="5" s="1"/>
  <c r="Q176" i="5"/>
  <c r="P176" i="5"/>
  <c r="J176" i="5"/>
  <c r="W175" i="5"/>
  <c r="Q175" i="5"/>
  <c r="R175" i="5" s="1"/>
  <c r="S175" i="5" s="1"/>
  <c r="P175" i="5"/>
  <c r="J175" i="5"/>
  <c r="W174" i="5"/>
  <c r="R174" i="5"/>
  <c r="S174" i="5" s="1"/>
  <c r="Q174" i="5"/>
  <c r="P174" i="5"/>
  <c r="J174" i="5"/>
  <c r="W173" i="5"/>
  <c r="Q173" i="5"/>
  <c r="R173" i="5" s="1"/>
  <c r="S173" i="5" s="1"/>
  <c r="P173" i="5"/>
  <c r="J173" i="5"/>
  <c r="W172" i="5"/>
  <c r="R172" i="5"/>
  <c r="S172" i="5" s="1"/>
  <c r="Q172" i="5"/>
  <c r="P172" i="5"/>
  <c r="J172" i="5"/>
  <c r="W171" i="5"/>
  <c r="Q171" i="5"/>
  <c r="R171" i="5" s="1"/>
  <c r="S171" i="5" s="1"/>
  <c r="P171" i="5"/>
  <c r="J171" i="5"/>
  <c r="W170" i="5"/>
  <c r="R170" i="5"/>
  <c r="S170" i="5" s="1"/>
  <c r="Q170" i="5"/>
  <c r="P170" i="5"/>
  <c r="J170" i="5"/>
  <c r="W169" i="5"/>
  <c r="Q169" i="5"/>
  <c r="R169" i="5" s="1"/>
  <c r="S169" i="5" s="1"/>
  <c r="P169" i="5"/>
  <c r="J169" i="5"/>
  <c r="W168" i="5"/>
  <c r="R168" i="5"/>
  <c r="S168" i="5" s="1"/>
  <c r="Q168" i="5"/>
  <c r="P168" i="5"/>
  <c r="J168" i="5"/>
  <c r="W167" i="5"/>
  <c r="Q167" i="5"/>
  <c r="R167" i="5" s="1"/>
  <c r="S167" i="5" s="1"/>
  <c r="P167" i="5"/>
  <c r="J167" i="5"/>
  <c r="W166" i="5"/>
  <c r="R166" i="5"/>
  <c r="S166" i="5" s="1"/>
  <c r="Q166" i="5"/>
  <c r="P166" i="5"/>
  <c r="J166" i="5"/>
  <c r="W165" i="5"/>
  <c r="Q165" i="5"/>
  <c r="R165" i="5" s="1"/>
  <c r="S165" i="5" s="1"/>
  <c r="P165" i="5"/>
  <c r="J165" i="5"/>
  <c r="W164" i="5"/>
  <c r="R164" i="5"/>
  <c r="S164" i="5" s="1"/>
  <c r="Q164" i="5"/>
  <c r="P164" i="5"/>
  <c r="J164" i="5"/>
  <c r="W163" i="5"/>
  <c r="Q163" i="5"/>
  <c r="R163" i="5" s="1"/>
  <c r="S163" i="5" s="1"/>
  <c r="P163" i="5"/>
  <c r="J163" i="5"/>
  <c r="W162" i="5"/>
  <c r="R162" i="5"/>
  <c r="S162" i="5" s="1"/>
  <c r="Q162" i="5"/>
  <c r="P162" i="5"/>
  <c r="J162" i="5"/>
  <c r="W161" i="5"/>
  <c r="Q161" i="5"/>
  <c r="R161" i="5" s="1"/>
  <c r="S161" i="5" s="1"/>
  <c r="P161" i="5"/>
  <c r="J161" i="5"/>
  <c r="W160" i="5"/>
  <c r="R160" i="5"/>
  <c r="S160" i="5" s="1"/>
  <c r="Q160" i="5"/>
  <c r="P160" i="5"/>
  <c r="J160" i="5"/>
  <c r="W159" i="5"/>
  <c r="Q159" i="5"/>
  <c r="R159" i="5" s="1"/>
  <c r="S159" i="5" s="1"/>
  <c r="P159" i="5"/>
  <c r="J159" i="5"/>
  <c r="W158" i="5"/>
  <c r="R158" i="5"/>
  <c r="S158" i="5" s="1"/>
  <c r="Q158" i="5"/>
  <c r="P158" i="5"/>
  <c r="J158" i="5"/>
  <c r="W157" i="5"/>
  <c r="Q157" i="5"/>
  <c r="R157" i="5" s="1"/>
  <c r="S157" i="5" s="1"/>
  <c r="P157" i="5"/>
  <c r="J157" i="5"/>
  <c r="W156" i="5"/>
  <c r="R156" i="5"/>
  <c r="S156" i="5" s="1"/>
  <c r="Q156" i="5"/>
  <c r="P156" i="5"/>
  <c r="J156" i="5"/>
  <c r="W155" i="5"/>
  <c r="Q155" i="5"/>
  <c r="R155" i="5" s="1"/>
  <c r="S155" i="5" s="1"/>
  <c r="P155" i="5"/>
  <c r="J155" i="5"/>
  <c r="W154" i="5"/>
  <c r="R154" i="5"/>
  <c r="S154" i="5" s="1"/>
  <c r="Q154" i="5"/>
  <c r="P154" i="5"/>
  <c r="J154" i="5"/>
  <c r="W153" i="5"/>
  <c r="Q153" i="5"/>
  <c r="R153" i="5" s="1"/>
  <c r="S153" i="5" s="1"/>
  <c r="P153" i="5"/>
  <c r="J153" i="5"/>
  <c r="W152" i="5"/>
  <c r="R152" i="5"/>
  <c r="S152" i="5" s="1"/>
  <c r="Q152" i="5"/>
  <c r="P152" i="5"/>
  <c r="J152" i="5"/>
  <c r="W151" i="5"/>
  <c r="Q151" i="5"/>
  <c r="R151" i="5" s="1"/>
  <c r="S151" i="5" s="1"/>
  <c r="P151" i="5"/>
  <c r="J151" i="5"/>
  <c r="W150" i="5"/>
  <c r="R150" i="5"/>
  <c r="S150" i="5" s="1"/>
  <c r="Q150" i="5"/>
  <c r="P150" i="5"/>
  <c r="J150" i="5"/>
  <c r="W149" i="5"/>
  <c r="Q149" i="5"/>
  <c r="R149" i="5" s="1"/>
  <c r="S149" i="5" s="1"/>
  <c r="P149" i="5"/>
  <c r="J149" i="5"/>
  <c r="W148" i="5"/>
  <c r="R148" i="5"/>
  <c r="S148" i="5" s="1"/>
  <c r="Q148" i="5"/>
  <c r="P148" i="5"/>
  <c r="J148" i="5"/>
  <c r="W147" i="5"/>
  <c r="Q147" i="5"/>
  <c r="R147" i="5" s="1"/>
  <c r="S147" i="5" s="1"/>
  <c r="P147" i="5"/>
  <c r="J147" i="5"/>
  <c r="W146" i="5"/>
  <c r="R146" i="5"/>
  <c r="S146" i="5" s="1"/>
  <c r="Q146" i="5"/>
  <c r="P146" i="5"/>
  <c r="J146" i="5"/>
  <c r="W145" i="5"/>
  <c r="Q145" i="5"/>
  <c r="R145" i="5" s="1"/>
  <c r="S145" i="5" s="1"/>
  <c r="P145" i="5"/>
  <c r="J145" i="5"/>
  <c r="W144" i="5"/>
  <c r="R144" i="5"/>
  <c r="S144" i="5" s="1"/>
  <c r="Q144" i="5"/>
  <c r="P144" i="5"/>
  <c r="J144" i="5"/>
  <c r="W143" i="5"/>
  <c r="Q143" i="5"/>
  <c r="R143" i="5" s="1"/>
  <c r="S143" i="5" s="1"/>
  <c r="P143" i="5"/>
  <c r="J143" i="5"/>
  <c r="W142" i="5"/>
  <c r="R142" i="5"/>
  <c r="S142" i="5" s="1"/>
  <c r="Q142" i="5"/>
  <c r="P142" i="5"/>
  <c r="J142" i="5"/>
  <c r="W141" i="5"/>
  <c r="Q141" i="5"/>
  <c r="R141" i="5" s="1"/>
  <c r="S141" i="5" s="1"/>
  <c r="P141" i="5"/>
  <c r="J141" i="5"/>
  <c r="W140" i="5"/>
  <c r="R140" i="5"/>
  <c r="S140" i="5" s="1"/>
  <c r="Q140" i="5"/>
  <c r="P140" i="5"/>
  <c r="J140" i="5"/>
  <c r="W139" i="5"/>
  <c r="Q139" i="5"/>
  <c r="R139" i="5" s="1"/>
  <c r="S139" i="5" s="1"/>
  <c r="P139" i="5"/>
  <c r="J139" i="5"/>
  <c r="W138" i="5"/>
  <c r="R138" i="5"/>
  <c r="S138" i="5" s="1"/>
  <c r="Q138" i="5"/>
  <c r="P138" i="5"/>
  <c r="J138" i="5"/>
  <c r="W137" i="5"/>
  <c r="Q137" i="5"/>
  <c r="R137" i="5" s="1"/>
  <c r="S137" i="5" s="1"/>
  <c r="P137" i="5"/>
  <c r="J137" i="5"/>
  <c r="W136" i="5"/>
  <c r="R136" i="5"/>
  <c r="S136" i="5" s="1"/>
  <c r="Q136" i="5"/>
  <c r="P136" i="5"/>
  <c r="J136" i="5"/>
  <c r="W135" i="5"/>
  <c r="Q135" i="5"/>
  <c r="R135" i="5" s="1"/>
  <c r="S135" i="5" s="1"/>
  <c r="P135" i="5"/>
  <c r="J135" i="5"/>
  <c r="W134" i="5"/>
  <c r="R134" i="5"/>
  <c r="S134" i="5" s="1"/>
  <c r="Q134" i="5"/>
  <c r="P134" i="5"/>
  <c r="J134" i="5"/>
  <c r="W133" i="5"/>
  <c r="Q133" i="5"/>
  <c r="R133" i="5" s="1"/>
  <c r="S133" i="5" s="1"/>
  <c r="P133" i="5"/>
  <c r="J133" i="5"/>
  <c r="W132" i="5"/>
  <c r="R132" i="5"/>
  <c r="S132" i="5" s="1"/>
  <c r="Q132" i="5"/>
  <c r="P132" i="5"/>
  <c r="J132" i="5"/>
  <c r="W131" i="5"/>
  <c r="Q131" i="5"/>
  <c r="R131" i="5" s="1"/>
  <c r="S131" i="5" s="1"/>
  <c r="P131" i="5"/>
  <c r="J131" i="5"/>
  <c r="W130" i="5"/>
  <c r="R130" i="5"/>
  <c r="S130" i="5" s="1"/>
  <c r="Q130" i="5"/>
  <c r="P130" i="5"/>
  <c r="J130" i="5"/>
  <c r="W129" i="5"/>
  <c r="Q129" i="5"/>
  <c r="R129" i="5" s="1"/>
  <c r="S129" i="5" s="1"/>
  <c r="P129" i="5"/>
  <c r="J129" i="5"/>
  <c r="W128" i="5"/>
  <c r="R128" i="5"/>
  <c r="S128" i="5" s="1"/>
  <c r="Q128" i="5"/>
  <c r="P128" i="5"/>
  <c r="J128" i="5"/>
  <c r="W127" i="5"/>
  <c r="Q127" i="5"/>
  <c r="R127" i="5" s="1"/>
  <c r="S127" i="5" s="1"/>
  <c r="P127" i="5"/>
  <c r="J127" i="5"/>
  <c r="W126" i="5"/>
  <c r="R126" i="5"/>
  <c r="S126" i="5" s="1"/>
  <c r="Q126" i="5"/>
  <c r="P126" i="5"/>
  <c r="J126" i="5"/>
  <c r="W125" i="5"/>
  <c r="Q125" i="5"/>
  <c r="R125" i="5" s="1"/>
  <c r="S125" i="5" s="1"/>
  <c r="P125" i="5"/>
  <c r="J125" i="5"/>
  <c r="W124" i="5"/>
  <c r="R124" i="5"/>
  <c r="S124" i="5" s="1"/>
  <c r="Q124" i="5"/>
  <c r="P124" i="5"/>
  <c r="J124" i="5"/>
  <c r="W123" i="5"/>
  <c r="Q123" i="5"/>
  <c r="R123" i="5" s="1"/>
  <c r="S123" i="5" s="1"/>
  <c r="P123" i="5"/>
  <c r="J123" i="5"/>
  <c r="W122" i="5"/>
  <c r="R122" i="5"/>
  <c r="S122" i="5" s="1"/>
  <c r="Q122" i="5"/>
  <c r="P122" i="5"/>
  <c r="J122" i="5"/>
  <c r="W121" i="5"/>
  <c r="Q121" i="5"/>
  <c r="R121" i="5" s="1"/>
  <c r="S121" i="5" s="1"/>
  <c r="P121" i="5"/>
  <c r="J121" i="5"/>
  <c r="W120" i="5"/>
  <c r="R120" i="5"/>
  <c r="S120" i="5" s="1"/>
  <c r="Q120" i="5"/>
  <c r="P120" i="5"/>
  <c r="J120" i="5"/>
  <c r="W119" i="5"/>
  <c r="Q119" i="5"/>
  <c r="R119" i="5" s="1"/>
  <c r="S119" i="5" s="1"/>
  <c r="P119" i="5"/>
  <c r="J119" i="5"/>
  <c r="W118" i="5"/>
  <c r="R118" i="5"/>
  <c r="S118" i="5" s="1"/>
  <c r="Q118" i="5"/>
  <c r="P118" i="5"/>
  <c r="J118" i="5"/>
  <c r="W117" i="5"/>
  <c r="Q117" i="5"/>
  <c r="R117" i="5" s="1"/>
  <c r="S117" i="5" s="1"/>
  <c r="P117" i="5"/>
  <c r="J117" i="5"/>
  <c r="W116" i="5"/>
  <c r="R116" i="5"/>
  <c r="S116" i="5" s="1"/>
  <c r="Q116" i="5"/>
  <c r="P116" i="5"/>
  <c r="J116" i="5"/>
  <c r="W115" i="5"/>
  <c r="Q115" i="5"/>
  <c r="R115" i="5" s="1"/>
  <c r="S115" i="5" s="1"/>
  <c r="P115" i="5"/>
  <c r="J115" i="5"/>
  <c r="W114" i="5"/>
  <c r="R114" i="5"/>
  <c r="S114" i="5" s="1"/>
  <c r="Q114" i="5"/>
  <c r="P114" i="5"/>
  <c r="J114" i="5"/>
  <c r="W113" i="5"/>
  <c r="Q113" i="5"/>
  <c r="R113" i="5" s="1"/>
  <c r="S113" i="5" s="1"/>
  <c r="P113" i="5"/>
  <c r="J113" i="5"/>
  <c r="W112" i="5"/>
  <c r="R112" i="5"/>
  <c r="S112" i="5" s="1"/>
  <c r="Q112" i="5"/>
  <c r="P112" i="5"/>
  <c r="J112" i="5"/>
  <c r="W111" i="5"/>
  <c r="Q111" i="5"/>
  <c r="R111" i="5" s="1"/>
  <c r="S111" i="5" s="1"/>
  <c r="P111" i="5"/>
  <c r="J111" i="5"/>
  <c r="W110" i="5"/>
  <c r="R110" i="5"/>
  <c r="S110" i="5" s="1"/>
  <c r="Q110" i="5"/>
  <c r="P110" i="5"/>
  <c r="J110" i="5"/>
  <c r="W109" i="5"/>
  <c r="Q109" i="5"/>
  <c r="R109" i="5" s="1"/>
  <c r="S109" i="5" s="1"/>
  <c r="P109" i="5"/>
  <c r="J109" i="5"/>
  <c r="W108" i="5"/>
  <c r="R108" i="5"/>
  <c r="S108" i="5" s="1"/>
  <c r="Q108" i="5"/>
  <c r="P108" i="5"/>
  <c r="J108" i="5"/>
  <c r="W107" i="5"/>
  <c r="Q107" i="5"/>
  <c r="R107" i="5" s="1"/>
  <c r="S107" i="5" s="1"/>
  <c r="P107" i="5"/>
  <c r="J107" i="5"/>
  <c r="W106" i="5"/>
  <c r="R106" i="5"/>
  <c r="S106" i="5" s="1"/>
  <c r="Q106" i="5"/>
  <c r="P106" i="5"/>
  <c r="J106" i="5"/>
  <c r="W105" i="5"/>
  <c r="Q105" i="5"/>
  <c r="R105" i="5" s="1"/>
  <c r="S105" i="5" s="1"/>
  <c r="P105" i="5"/>
  <c r="J105" i="5"/>
  <c r="W104" i="5"/>
  <c r="R104" i="5"/>
  <c r="S104" i="5" s="1"/>
  <c r="Q104" i="5"/>
  <c r="P104" i="5"/>
  <c r="J104" i="5"/>
  <c r="W103" i="5"/>
  <c r="Q103" i="5"/>
  <c r="R103" i="5" s="1"/>
  <c r="S103" i="5" s="1"/>
  <c r="P103" i="5"/>
  <c r="J103" i="5"/>
  <c r="W102" i="5"/>
  <c r="R102" i="5"/>
  <c r="S102" i="5" s="1"/>
  <c r="Q102" i="5"/>
  <c r="P102" i="5"/>
  <c r="J102" i="5"/>
  <c r="W101" i="5"/>
  <c r="Q101" i="5"/>
  <c r="R101" i="5" s="1"/>
  <c r="S101" i="5" s="1"/>
  <c r="P101" i="5"/>
  <c r="J101" i="5"/>
  <c r="W100" i="5"/>
  <c r="R100" i="5"/>
  <c r="S100" i="5" s="1"/>
  <c r="Q100" i="5"/>
  <c r="P100" i="5"/>
  <c r="J100" i="5"/>
  <c r="W99" i="5"/>
  <c r="Q99" i="5"/>
  <c r="R99" i="5" s="1"/>
  <c r="S99" i="5" s="1"/>
  <c r="P99" i="5"/>
  <c r="J99" i="5"/>
  <c r="W98" i="5"/>
  <c r="R98" i="5"/>
  <c r="S98" i="5" s="1"/>
  <c r="Q98" i="5"/>
  <c r="P98" i="5"/>
  <c r="J98" i="5"/>
  <c r="W97" i="5"/>
  <c r="Q97" i="5"/>
  <c r="R97" i="5" s="1"/>
  <c r="S97" i="5" s="1"/>
  <c r="P97" i="5"/>
  <c r="J97" i="5"/>
  <c r="W96" i="5"/>
  <c r="R96" i="5"/>
  <c r="S96" i="5" s="1"/>
  <c r="Q96" i="5"/>
  <c r="P96" i="5"/>
  <c r="J96" i="5"/>
  <c r="W95" i="5"/>
  <c r="Q95" i="5"/>
  <c r="R95" i="5" s="1"/>
  <c r="S95" i="5" s="1"/>
  <c r="P95" i="5"/>
  <c r="J95" i="5"/>
  <c r="W94" i="5"/>
  <c r="R94" i="5"/>
  <c r="S94" i="5" s="1"/>
  <c r="Q94" i="5"/>
  <c r="P94" i="5"/>
  <c r="J94" i="5"/>
  <c r="W93" i="5"/>
  <c r="Q93" i="5"/>
  <c r="R93" i="5" s="1"/>
  <c r="S93" i="5" s="1"/>
  <c r="P93" i="5"/>
  <c r="J93" i="5"/>
  <c r="W92" i="5"/>
  <c r="R92" i="5"/>
  <c r="S92" i="5" s="1"/>
  <c r="Q92" i="5"/>
  <c r="P92" i="5"/>
  <c r="J92" i="5"/>
  <c r="W91" i="5"/>
  <c r="Q91" i="5"/>
  <c r="R91" i="5" s="1"/>
  <c r="S91" i="5" s="1"/>
  <c r="P91" i="5"/>
  <c r="J91" i="5"/>
  <c r="W90" i="5"/>
  <c r="R90" i="5"/>
  <c r="S90" i="5" s="1"/>
  <c r="Q90" i="5"/>
  <c r="P90" i="5"/>
  <c r="J90" i="5"/>
  <c r="W89" i="5"/>
  <c r="Q89" i="5"/>
  <c r="R89" i="5" s="1"/>
  <c r="S89" i="5" s="1"/>
  <c r="P89" i="5"/>
  <c r="J89" i="5"/>
  <c r="W88" i="5"/>
  <c r="R88" i="5"/>
  <c r="S88" i="5" s="1"/>
  <c r="Q88" i="5"/>
  <c r="P88" i="5"/>
  <c r="J88" i="5"/>
  <c r="W87" i="5"/>
  <c r="Q87" i="5"/>
  <c r="R87" i="5" s="1"/>
  <c r="S87" i="5" s="1"/>
  <c r="P87" i="5"/>
  <c r="J87" i="5"/>
  <c r="W86" i="5"/>
  <c r="R86" i="5"/>
  <c r="S86" i="5" s="1"/>
  <c r="Q86" i="5"/>
  <c r="P86" i="5"/>
  <c r="J86" i="5"/>
  <c r="W85" i="5"/>
  <c r="Q85" i="5"/>
  <c r="R85" i="5" s="1"/>
  <c r="S85" i="5" s="1"/>
  <c r="P85" i="5"/>
  <c r="J85" i="5"/>
  <c r="W84" i="5"/>
  <c r="R84" i="5"/>
  <c r="S84" i="5" s="1"/>
  <c r="Q84" i="5"/>
  <c r="P84" i="5"/>
  <c r="J84" i="5"/>
  <c r="W83" i="5"/>
  <c r="Q83" i="5"/>
  <c r="R83" i="5" s="1"/>
  <c r="S83" i="5" s="1"/>
  <c r="P83" i="5"/>
  <c r="J83" i="5"/>
  <c r="W82" i="5"/>
  <c r="R82" i="5"/>
  <c r="S82" i="5" s="1"/>
  <c r="Q82" i="5"/>
  <c r="P82" i="5"/>
  <c r="J82" i="5"/>
  <c r="W81" i="5"/>
  <c r="Q81" i="5"/>
  <c r="R81" i="5" s="1"/>
  <c r="S81" i="5" s="1"/>
  <c r="P81" i="5"/>
  <c r="J81" i="5"/>
  <c r="W80" i="5"/>
  <c r="R80" i="5"/>
  <c r="S80" i="5" s="1"/>
  <c r="Q80" i="5"/>
  <c r="P80" i="5"/>
  <c r="J80" i="5"/>
  <c r="W79" i="5"/>
  <c r="Q79" i="5"/>
  <c r="R79" i="5" s="1"/>
  <c r="S79" i="5" s="1"/>
  <c r="P79" i="5"/>
  <c r="J79" i="5"/>
  <c r="W78" i="5"/>
  <c r="R78" i="5"/>
  <c r="S78" i="5" s="1"/>
  <c r="Q78" i="5"/>
  <c r="P78" i="5"/>
  <c r="J78" i="5"/>
  <c r="W77" i="5"/>
  <c r="Q77" i="5"/>
  <c r="R77" i="5" s="1"/>
  <c r="S77" i="5" s="1"/>
  <c r="P77" i="5"/>
  <c r="J77" i="5"/>
  <c r="W76" i="5"/>
  <c r="R76" i="5"/>
  <c r="S76" i="5" s="1"/>
  <c r="Q76" i="5"/>
  <c r="P76" i="5"/>
  <c r="J76" i="5"/>
  <c r="W75" i="5"/>
  <c r="Q75" i="5"/>
  <c r="R75" i="5" s="1"/>
  <c r="S75" i="5" s="1"/>
  <c r="P75" i="5"/>
  <c r="J75" i="5"/>
  <c r="W74" i="5"/>
  <c r="R74" i="5"/>
  <c r="S74" i="5" s="1"/>
  <c r="Q74" i="5"/>
  <c r="P74" i="5"/>
  <c r="J74" i="5"/>
  <c r="W73" i="5"/>
  <c r="Q73" i="5"/>
  <c r="R73" i="5" s="1"/>
  <c r="S73" i="5" s="1"/>
  <c r="P73" i="5"/>
  <c r="J73" i="5"/>
  <c r="W72" i="5"/>
  <c r="R72" i="5"/>
  <c r="S72" i="5" s="1"/>
  <c r="Q72" i="5"/>
  <c r="P72" i="5"/>
  <c r="J72" i="5"/>
  <c r="W71" i="5"/>
  <c r="Q71" i="5"/>
  <c r="R71" i="5" s="1"/>
  <c r="S71" i="5" s="1"/>
  <c r="P71" i="5"/>
  <c r="J71" i="5"/>
  <c r="W70" i="5"/>
  <c r="R70" i="5"/>
  <c r="S70" i="5" s="1"/>
  <c r="Q70" i="5"/>
  <c r="P70" i="5"/>
  <c r="J70" i="5"/>
  <c r="W69" i="5"/>
  <c r="Q69" i="5"/>
  <c r="R69" i="5" s="1"/>
  <c r="S69" i="5" s="1"/>
  <c r="P69" i="5"/>
  <c r="J69" i="5"/>
  <c r="W68" i="5"/>
  <c r="R68" i="5"/>
  <c r="S68" i="5" s="1"/>
  <c r="Q68" i="5"/>
  <c r="P68" i="5"/>
  <c r="J68" i="5"/>
  <c r="W67" i="5"/>
  <c r="Q67" i="5"/>
  <c r="R67" i="5" s="1"/>
  <c r="S67" i="5" s="1"/>
  <c r="P67" i="5"/>
  <c r="J67" i="5"/>
  <c r="W66" i="5"/>
  <c r="R66" i="5"/>
  <c r="S66" i="5" s="1"/>
  <c r="Q66" i="5"/>
  <c r="P66" i="5"/>
  <c r="J66" i="5"/>
  <c r="W65" i="5"/>
  <c r="Q65" i="5"/>
  <c r="R65" i="5" s="1"/>
  <c r="S65" i="5" s="1"/>
  <c r="P65" i="5"/>
  <c r="J65" i="5"/>
  <c r="W64" i="5"/>
  <c r="R64" i="5"/>
  <c r="S64" i="5" s="1"/>
  <c r="Q64" i="5"/>
  <c r="P64" i="5"/>
  <c r="J64" i="5"/>
  <c r="W63" i="5"/>
  <c r="Q63" i="5"/>
  <c r="R63" i="5" s="1"/>
  <c r="S63" i="5" s="1"/>
  <c r="P63" i="5"/>
  <c r="J63" i="5"/>
  <c r="W62" i="5"/>
  <c r="R62" i="5"/>
  <c r="S62" i="5" s="1"/>
  <c r="Q62" i="5"/>
  <c r="P62" i="5"/>
  <c r="J62" i="5"/>
  <c r="W61" i="5"/>
  <c r="Q61" i="5"/>
  <c r="R61" i="5" s="1"/>
  <c r="S61" i="5" s="1"/>
  <c r="P61" i="5"/>
  <c r="J61" i="5"/>
  <c r="W60" i="5"/>
  <c r="R60" i="5"/>
  <c r="S60" i="5" s="1"/>
  <c r="Q60" i="5"/>
  <c r="P60" i="5"/>
  <c r="J60" i="5"/>
  <c r="W59" i="5"/>
  <c r="Q59" i="5"/>
  <c r="R59" i="5" s="1"/>
  <c r="S59" i="5" s="1"/>
  <c r="P59" i="5"/>
  <c r="J59" i="5"/>
  <c r="W58" i="5"/>
  <c r="R58" i="5"/>
  <c r="S58" i="5" s="1"/>
  <c r="Q58" i="5"/>
  <c r="P58" i="5"/>
  <c r="J58" i="5"/>
  <c r="W57" i="5"/>
  <c r="Q57" i="5"/>
  <c r="R57" i="5" s="1"/>
  <c r="S57" i="5" s="1"/>
  <c r="P57" i="5"/>
  <c r="J57" i="5"/>
  <c r="W56" i="5"/>
  <c r="R56" i="5"/>
  <c r="S56" i="5" s="1"/>
  <c r="Q56" i="5"/>
  <c r="P56" i="5"/>
  <c r="J56" i="5"/>
  <c r="W55" i="5"/>
  <c r="Q55" i="5"/>
  <c r="R55" i="5" s="1"/>
  <c r="S55" i="5" s="1"/>
  <c r="P55" i="5"/>
  <c r="J55" i="5"/>
  <c r="W54" i="5"/>
  <c r="R54" i="5"/>
  <c r="S54" i="5" s="1"/>
  <c r="Q54" i="5"/>
  <c r="P54" i="5"/>
  <c r="J54" i="5"/>
  <c r="W53" i="5"/>
  <c r="Q53" i="5"/>
  <c r="R53" i="5" s="1"/>
  <c r="S53" i="5" s="1"/>
  <c r="P53" i="5"/>
  <c r="J53" i="5"/>
  <c r="W52" i="5"/>
  <c r="R52" i="5"/>
  <c r="S52" i="5" s="1"/>
  <c r="Q52" i="5"/>
  <c r="P52" i="5"/>
  <c r="J52" i="5"/>
  <c r="W51" i="5"/>
  <c r="Q51" i="5"/>
  <c r="R51" i="5" s="1"/>
  <c r="S51" i="5" s="1"/>
  <c r="P51" i="5"/>
  <c r="J51" i="5"/>
  <c r="W50" i="5"/>
  <c r="R50" i="5"/>
  <c r="S50" i="5" s="1"/>
  <c r="Q50" i="5"/>
  <c r="P50" i="5"/>
  <c r="J50" i="5"/>
  <c r="W49" i="5"/>
  <c r="Q49" i="5"/>
  <c r="R49" i="5" s="1"/>
  <c r="S49" i="5" s="1"/>
  <c r="P49" i="5"/>
  <c r="J49" i="5"/>
  <c r="W48" i="5"/>
  <c r="R48" i="5"/>
  <c r="S48" i="5" s="1"/>
  <c r="Q48" i="5"/>
  <c r="P48" i="5"/>
  <c r="J48" i="5"/>
  <c r="W47" i="5"/>
  <c r="Q47" i="5"/>
  <c r="R47" i="5" s="1"/>
  <c r="S47" i="5" s="1"/>
  <c r="P47" i="5"/>
  <c r="J47" i="5"/>
  <c r="W46" i="5"/>
  <c r="R46" i="5"/>
  <c r="S46" i="5" s="1"/>
  <c r="Q46" i="5"/>
  <c r="P46" i="5"/>
  <c r="J46" i="5"/>
  <c r="W45" i="5"/>
  <c r="Q45" i="5"/>
  <c r="R45" i="5" s="1"/>
  <c r="S45" i="5" s="1"/>
  <c r="P45" i="5"/>
  <c r="J45" i="5"/>
  <c r="W44" i="5"/>
  <c r="R44" i="5"/>
  <c r="S44" i="5" s="1"/>
  <c r="Q44" i="5"/>
  <c r="P44" i="5"/>
  <c r="J44" i="5"/>
  <c r="W43" i="5"/>
  <c r="Q43" i="5"/>
  <c r="R43" i="5" s="1"/>
  <c r="S43" i="5" s="1"/>
  <c r="P43" i="5"/>
  <c r="J43" i="5"/>
  <c r="W42" i="5"/>
  <c r="R42" i="5"/>
  <c r="S42" i="5" s="1"/>
  <c r="Q42" i="5"/>
  <c r="P42" i="5"/>
  <c r="J42" i="5"/>
  <c r="W41" i="5"/>
  <c r="Q41" i="5"/>
  <c r="R41" i="5" s="1"/>
  <c r="S41" i="5" s="1"/>
  <c r="P41" i="5"/>
  <c r="J41" i="5"/>
  <c r="W40" i="5"/>
  <c r="R40" i="5"/>
  <c r="S40" i="5" s="1"/>
  <c r="Q40" i="5"/>
  <c r="P40" i="5"/>
  <c r="J40" i="5"/>
  <c r="W39" i="5"/>
  <c r="Q39" i="5"/>
  <c r="R39" i="5" s="1"/>
  <c r="S39" i="5" s="1"/>
  <c r="P39" i="5"/>
  <c r="J39" i="5"/>
  <c r="W38" i="5"/>
  <c r="R38" i="5"/>
  <c r="S38" i="5" s="1"/>
  <c r="Q38" i="5"/>
  <c r="P38" i="5"/>
  <c r="J38" i="5"/>
  <c r="W37" i="5"/>
  <c r="Q37" i="5"/>
  <c r="R37" i="5" s="1"/>
  <c r="S37" i="5" s="1"/>
  <c r="P37" i="5"/>
  <c r="J37" i="5"/>
  <c r="W36" i="5"/>
  <c r="R36" i="5"/>
  <c r="S36" i="5" s="1"/>
  <c r="Q36" i="5"/>
  <c r="P36" i="5"/>
  <c r="J36" i="5"/>
  <c r="W35" i="5"/>
  <c r="Q35" i="5"/>
  <c r="R35" i="5" s="1"/>
  <c r="S35" i="5" s="1"/>
  <c r="P35" i="5"/>
  <c r="J35" i="5"/>
  <c r="W34" i="5"/>
  <c r="R34" i="5"/>
  <c r="S34" i="5" s="1"/>
  <c r="Q34" i="5"/>
  <c r="P34" i="5"/>
  <c r="J34" i="5"/>
  <c r="W33" i="5"/>
  <c r="Q33" i="5"/>
  <c r="R33" i="5" s="1"/>
  <c r="S33" i="5" s="1"/>
  <c r="P33" i="5"/>
  <c r="J33" i="5"/>
  <c r="W32" i="5"/>
  <c r="R32" i="5"/>
  <c r="S32" i="5" s="1"/>
  <c r="Q32" i="5"/>
  <c r="P32" i="5"/>
  <c r="J32" i="5"/>
  <c r="W31" i="5"/>
  <c r="Q31" i="5"/>
  <c r="R31" i="5" s="1"/>
  <c r="S31" i="5" s="1"/>
  <c r="P31" i="5"/>
  <c r="J31" i="5"/>
  <c r="W30" i="5"/>
  <c r="R30" i="5"/>
  <c r="S30" i="5" s="1"/>
  <c r="Q30" i="5"/>
  <c r="P30" i="5"/>
  <c r="J30" i="5"/>
  <c r="W29" i="5"/>
  <c r="Q29" i="5"/>
  <c r="R29" i="5" s="1"/>
  <c r="S29" i="5" s="1"/>
  <c r="P29" i="5"/>
  <c r="J29" i="5"/>
  <c r="W28" i="5"/>
  <c r="R28" i="5"/>
  <c r="S28" i="5" s="1"/>
  <c r="Q28" i="5"/>
  <c r="P28" i="5"/>
  <c r="J28" i="5"/>
  <c r="W27" i="5"/>
  <c r="Q27" i="5"/>
  <c r="R27" i="5" s="1"/>
  <c r="S27" i="5" s="1"/>
  <c r="P27" i="5"/>
  <c r="J27" i="5"/>
  <c r="W26" i="5"/>
  <c r="R26" i="5"/>
  <c r="S26" i="5" s="1"/>
  <c r="Q26" i="5"/>
  <c r="P26" i="5"/>
  <c r="J26" i="5"/>
  <c r="W25" i="5"/>
  <c r="Q25" i="5"/>
  <c r="R25" i="5" s="1"/>
  <c r="S25" i="5" s="1"/>
  <c r="P25" i="5"/>
  <c r="J25" i="5"/>
  <c r="W24" i="5"/>
  <c r="R24" i="5"/>
  <c r="S24" i="5" s="1"/>
  <c r="Q24" i="5"/>
  <c r="P24" i="5"/>
  <c r="J24" i="5"/>
  <c r="W23" i="5"/>
  <c r="Q23" i="5"/>
  <c r="R23" i="5" s="1"/>
  <c r="S23" i="5" s="1"/>
  <c r="P23" i="5"/>
  <c r="J23" i="5"/>
  <c r="W22" i="5"/>
  <c r="R22" i="5"/>
  <c r="S22" i="5" s="1"/>
  <c r="Q22" i="5"/>
  <c r="P22" i="5"/>
  <c r="J22" i="5"/>
  <c r="W21" i="5"/>
  <c r="Q21" i="5"/>
  <c r="R21" i="5" s="1"/>
  <c r="S21" i="5" s="1"/>
  <c r="P21" i="5"/>
  <c r="J21" i="5"/>
  <c r="W20" i="5"/>
  <c r="R20" i="5"/>
  <c r="S20" i="5" s="1"/>
  <c r="Q20" i="5"/>
  <c r="P20" i="5"/>
  <c r="J20" i="5"/>
  <c r="W19" i="5"/>
  <c r="Q19" i="5"/>
  <c r="R19" i="5" s="1"/>
  <c r="S19" i="5" s="1"/>
  <c r="P19" i="5"/>
  <c r="J19" i="5"/>
  <c r="W18" i="5"/>
  <c r="R18" i="5"/>
  <c r="S18" i="5" s="1"/>
  <c r="Q18" i="5"/>
  <c r="P18" i="5"/>
  <c r="J18" i="5"/>
  <c r="W17" i="5"/>
  <c r="Q17" i="5"/>
  <c r="R17" i="5" s="1"/>
  <c r="S17" i="5" s="1"/>
  <c r="P17" i="5"/>
  <c r="J17" i="5"/>
  <c r="W16" i="5"/>
  <c r="R16" i="5"/>
  <c r="S16" i="5" s="1"/>
  <c r="Q16" i="5"/>
  <c r="P16" i="5"/>
  <c r="J16" i="5"/>
  <c r="W15" i="5"/>
  <c r="Q15" i="5"/>
  <c r="R15" i="5" s="1"/>
  <c r="S15" i="5" s="1"/>
  <c r="P15" i="5"/>
  <c r="J15" i="5"/>
  <c r="W14" i="5"/>
  <c r="R14" i="5"/>
  <c r="S14" i="5" s="1"/>
  <c r="Q14" i="5"/>
  <c r="P14" i="5"/>
  <c r="J14" i="5"/>
  <c r="W13" i="5"/>
  <c r="Q13" i="5"/>
  <c r="R13" i="5" s="1"/>
  <c r="S13" i="5" s="1"/>
  <c r="P13" i="5"/>
  <c r="J13" i="5"/>
  <c r="W12" i="5"/>
  <c r="R12" i="5"/>
  <c r="S12" i="5" s="1"/>
  <c r="Q12" i="5"/>
  <c r="P12" i="5"/>
  <c r="J12" i="5"/>
  <c r="W11" i="5"/>
  <c r="Q11" i="5"/>
  <c r="R11" i="5" s="1"/>
  <c r="S11" i="5" s="1"/>
  <c r="P11" i="5"/>
  <c r="J11" i="5"/>
  <c r="W10" i="5"/>
  <c r="R10" i="5"/>
  <c r="S10" i="5" s="1"/>
  <c r="Q10" i="5"/>
  <c r="P10" i="5"/>
  <c r="J10" i="5"/>
  <c r="W9" i="5"/>
  <c r="Q9" i="5"/>
  <c r="R9" i="5" s="1"/>
  <c r="S9" i="5" s="1"/>
  <c r="P9" i="5"/>
  <c r="J9" i="5"/>
  <c r="W8" i="5"/>
  <c r="R8" i="5"/>
  <c r="S8" i="5" s="1"/>
  <c r="Q8" i="5"/>
  <c r="P8" i="5"/>
  <c r="J8" i="5"/>
  <c r="W7" i="5"/>
  <c r="Q7" i="5"/>
  <c r="R7" i="5" s="1"/>
  <c r="S7" i="5" s="1"/>
  <c r="P7" i="5"/>
  <c r="J7" i="5"/>
  <c r="W6" i="5"/>
  <c r="R6" i="5"/>
  <c r="S6" i="5" s="1"/>
  <c r="Q6" i="5"/>
  <c r="P6" i="5"/>
  <c r="J6" i="5"/>
  <c r="W5" i="5"/>
  <c r="Q5" i="5"/>
  <c r="R5" i="5" s="1"/>
  <c r="S5" i="5" s="1"/>
  <c r="P5" i="5"/>
  <c r="J5" i="5"/>
  <c r="W4" i="5"/>
  <c r="R4" i="5"/>
  <c r="S4" i="5" s="1"/>
  <c r="Q4" i="5"/>
  <c r="P4" i="5"/>
  <c r="J4" i="5"/>
  <c r="W3" i="5"/>
  <c r="Q3" i="5"/>
  <c r="R3" i="5" s="1"/>
  <c r="S3" i="5" s="1"/>
  <c r="P3" i="5"/>
  <c r="J3" i="5"/>
  <c r="W2" i="5"/>
  <c r="R2" i="5"/>
  <c r="S2" i="5" s="1"/>
  <c r="Q2" i="5"/>
  <c r="P2" i="5"/>
  <c r="J2" i="5"/>
  <c r="P1355" i="2"/>
  <c r="P1162" i="2"/>
  <c r="P1150" i="2"/>
  <c r="P1151" i="2"/>
  <c r="P1152" i="2"/>
  <c r="P1356" i="2"/>
  <c r="P1357" i="2"/>
  <c r="P1358" i="2"/>
  <c r="P207" i="2"/>
  <c r="P208" i="2"/>
  <c r="P209" i="2"/>
  <c r="P1359" i="2"/>
  <c r="P1360" i="2"/>
  <c r="P1153" i="2"/>
  <c r="P1348" i="2"/>
  <c r="P210" i="2"/>
  <c r="P211" i="2"/>
  <c r="P1349" i="2"/>
  <c r="P212" i="2"/>
  <c r="P213" i="2"/>
  <c r="P1154" i="2"/>
  <c r="P1100" i="2"/>
  <c r="P1101" i="2"/>
  <c r="P1155" i="2"/>
  <c r="P1156" i="2"/>
  <c r="P1157" i="2"/>
  <c r="P1102" i="2"/>
  <c r="P1350" i="2"/>
  <c r="P1351" i="2"/>
  <c r="P1352" i="2"/>
  <c r="P1353" i="2"/>
  <c r="P1491" i="2"/>
  <c r="P1492" i="2"/>
  <c r="P1361" i="2"/>
  <c r="P1362" i="2"/>
  <c r="P214" i="2"/>
  <c r="P1489" i="2"/>
  <c r="P215" i="2"/>
  <c r="P1103" i="2"/>
  <c r="P1158" i="2"/>
  <c r="P216" i="2"/>
  <c r="P1098" i="2"/>
  <c r="P1099" i="2"/>
  <c r="P217" i="2"/>
  <c r="P218" i="2"/>
  <c r="P219" i="2"/>
  <c r="P1104" i="2"/>
  <c r="P1105" i="2"/>
  <c r="P1006" i="2"/>
  <c r="P1007" i="2"/>
  <c r="P1008" i="2"/>
  <c r="P220" i="2"/>
  <c r="P221" i="2"/>
  <c r="P1437" i="2"/>
  <c r="P1106" i="2"/>
  <c r="P222" i="2"/>
  <c r="P1464" i="2"/>
  <c r="P1438" i="2"/>
  <c r="P1439" i="2"/>
  <c r="P1159" i="2"/>
  <c r="P1160" i="2"/>
  <c r="P1039" i="2"/>
  <c r="P1363" i="2"/>
  <c r="P223" i="2"/>
  <c r="P1440" i="2"/>
  <c r="P1465" i="2"/>
  <c r="P1490" i="2"/>
  <c r="P1161" i="2"/>
  <c r="P418" i="2"/>
  <c r="P816" i="2"/>
  <c r="P817" i="2"/>
  <c r="P818" i="2"/>
  <c r="P360" i="2"/>
  <c r="P361" i="2"/>
  <c r="P362" i="2"/>
  <c r="P819" i="2"/>
  <c r="P363" i="2"/>
  <c r="P1354" i="2"/>
  <c r="P364" i="2"/>
  <c r="P814" i="2"/>
  <c r="P1444" i="2"/>
  <c r="P424" i="2"/>
  <c r="P807" i="2"/>
  <c r="P808" i="2"/>
  <c r="P820" i="2"/>
  <c r="P821" i="2"/>
  <c r="P419" i="2"/>
  <c r="P422" i="2"/>
  <c r="P423" i="2"/>
  <c r="P1416" i="2"/>
  <c r="P822" i="2"/>
  <c r="P622" i="2"/>
  <c r="P1009" i="2"/>
  <c r="P420" i="2"/>
  <c r="P623" i="2"/>
  <c r="P809" i="2"/>
  <c r="P1055" i="2"/>
  <c r="P1441" i="2"/>
  <c r="P1442" i="2"/>
  <c r="P810" i="2"/>
  <c r="P811" i="2"/>
  <c r="P421" i="2"/>
  <c r="P812" i="2"/>
  <c r="P813" i="2"/>
  <c r="P1053" i="2"/>
  <c r="P624" i="2"/>
  <c r="P625" i="2"/>
  <c r="P1054" i="2"/>
  <c r="P1443" i="2"/>
  <c r="P626" i="2"/>
  <c r="P627" i="2"/>
  <c r="P1220" i="2"/>
  <c r="P1221" i="2"/>
  <c r="P1233" i="2"/>
  <c r="P1184" i="2"/>
  <c r="P1185" i="2"/>
  <c r="P1222" i="2"/>
  <c r="P1223" i="2"/>
  <c r="P1216" i="2"/>
  <c r="P1224" i="2"/>
  <c r="P628" i="2"/>
  <c r="P1183" i="2"/>
  <c r="P629" i="2"/>
  <c r="P1186" i="2"/>
  <c r="P1187" i="2"/>
  <c r="P1188" i="2"/>
  <c r="P630" i="2"/>
  <c r="P1234" i="2"/>
  <c r="P1225" i="2"/>
  <c r="P1244" i="2"/>
  <c r="P1226" i="2"/>
  <c r="P619" i="2"/>
  <c r="P620" i="2"/>
  <c r="P1227" i="2"/>
  <c r="P621" i="2"/>
  <c r="P1217" i="2"/>
  <c r="P1235" i="2"/>
  <c r="P1228" i="2"/>
  <c r="P856" i="2"/>
  <c r="P857" i="2"/>
  <c r="P1189" i="2"/>
  <c r="P1010" i="2"/>
  <c r="P1011" i="2"/>
  <c r="P512" i="2"/>
  <c r="P514" i="2"/>
  <c r="P506" i="2"/>
  <c r="P507" i="2"/>
  <c r="P580" i="2"/>
  <c r="P584" i="2"/>
  <c r="P1218" i="2"/>
  <c r="P1236" i="2"/>
  <c r="P508" i="2"/>
  <c r="P66" i="2"/>
  <c r="P67" i="2"/>
  <c r="P68" i="2"/>
  <c r="P69" i="2"/>
  <c r="P70" i="2"/>
  <c r="P71" i="2"/>
  <c r="P72" i="2"/>
  <c r="P1237" i="2"/>
  <c r="P1238" i="2"/>
  <c r="P509" i="2"/>
  <c r="P300" i="2"/>
  <c r="P1245" i="2"/>
  <c r="P1229" i="2"/>
  <c r="P73" i="2"/>
  <c r="P74" i="2"/>
  <c r="P581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312" i="2"/>
  <c r="P1239" i="2"/>
  <c r="P513" i="2"/>
  <c r="P903" i="2"/>
  <c r="P515" i="2"/>
  <c r="P815" i="2"/>
  <c r="P1246" i="2"/>
  <c r="P891" i="2"/>
  <c r="P890" i="2"/>
  <c r="P892" i="2"/>
  <c r="P904" i="2"/>
  <c r="P895" i="2"/>
  <c r="P893" i="2"/>
  <c r="P896" i="2"/>
  <c r="P631" i="2"/>
  <c r="P59" i="2"/>
  <c r="P60" i="2"/>
  <c r="P61" i="2"/>
  <c r="P62" i="2"/>
  <c r="P63" i="2"/>
  <c r="P64" i="2"/>
  <c r="P65" i="2"/>
  <c r="P897" i="2"/>
  <c r="P894" i="2"/>
  <c r="P899" i="2"/>
  <c r="P898" i="2"/>
  <c r="P888" i="2"/>
  <c r="P889" i="2"/>
  <c r="P617" i="2"/>
  <c r="P510" i="2"/>
  <c r="P996" i="2"/>
  <c r="P997" i="2"/>
  <c r="P998" i="2"/>
  <c r="P301" i="2"/>
  <c r="P905" i="2"/>
  <c r="P902" i="2"/>
  <c r="P900" i="2"/>
  <c r="P906" i="2"/>
  <c r="P907" i="2"/>
  <c r="P901" i="2"/>
  <c r="P1219" i="2"/>
  <c r="P999" i="2"/>
  <c r="P1000" i="2"/>
  <c r="P632" i="2"/>
  <c r="P516" i="2"/>
  <c r="P585" i="2"/>
  <c r="P803" i="2"/>
  <c r="P804" i="2"/>
  <c r="P1240" i="2"/>
  <c r="P1230" i="2"/>
  <c r="P618" i="2"/>
  <c r="P642" i="2"/>
  <c r="P633" i="2"/>
  <c r="P1004" i="2"/>
  <c r="P990" i="2"/>
  <c r="P302" i="2"/>
  <c r="P582" i="2"/>
  <c r="P1293" i="2"/>
  <c r="P1001" i="2"/>
  <c r="P1231" i="2"/>
  <c r="P1241" i="2"/>
  <c r="P303" i="2"/>
  <c r="P1298" i="2"/>
  <c r="P1294" i="2"/>
  <c r="P806" i="2"/>
  <c r="P805" i="2"/>
  <c r="P311" i="2"/>
  <c r="P299" i="2"/>
  <c r="P297" i="2"/>
  <c r="P1012" i="2"/>
  <c r="P556" i="2"/>
  <c r="P557" i="2"/>
  <c r="P558" i="2"/>
  <c r="P1242" i="2"/>
  <c r="P1002" i="2"/>
  <c r="P298" i="2"/>
  <c r="P1243" i="2"/>
  <c r="P586" i="2"/>
  <c r="P583" i="2"/>
  <c r="P587" i="2"/>
  <c r="P1287" i="2"/>
  <c r="P1288" i="2"/>
  <c r="P991" i="2"/>
  <c r="P992" i="2"/>
  <c r="P1003" i="2"/>
  <c r="P559" i="2"/>
  <c r="P1013" i="2"/>
  <c r="P504" i="2"/>
  <c r="P1232" i="2"/>
  <c r="P1014" i="2"/>
  <c r="P1015" i="2"/>
  <c r="P511" i="2"/>
  <c r="P500" i="2"/>
  <c r="P560" i="2"/>
  <c r="P304" i="2"/>
  <c r="P305" i="2"/>
  <c r="P995" i="2"/>
  <c r="P1005" i="2"/>
  <c r="P858" i="2"/>
  <c r="P859" i="2"/>
  <c r="P1297" i="2"/>
  <c r="P1295" i="2"/>
  <c r="P1296" i="2"/>
  <c r="P1290" i="2"/>
  <c r="P860" i="2"/>
  <c r="P503" i="2"/>
  <c r="P634" i="2"/>
  <c r="P635" i="2"/>
  <c r="P636" i="2"/>
  <c r="P637" i="2"/>
  <c r="P638" i="2"/>
  <c r="P639" i="2"/>
  <c r="P640" i="2"/>
  <c r="P641" i="2"/>
  <c r="P505" i="2"/>
  <c r="P561" i="2"/>
  <c r="P306" i="2"/>
  <c r="P307" i="2"/>
  <c r="P501" i="2"/>
  <c r="P1291" i="2"/>
  <c r="P1292" i="2"/>
  <c r="P1289" i="2"/>
  <c r="P562" i="2"/>
  <c r="P563" i="2"/>
  <c r="P993" i="2"/>
  <c r="P994" i="2"/>
  <c r="P502" i="2"/>
  <c r="P499" i="2"/>
  <c r="P564" i="2"/>
  <c r="P1315" i="2"/>
  <c r="P1316" i="2"/>
  <c r="P1313" i="2"/>
  <c r="P310" i="2"/>
  <c r="P1314" i="2"/>
  <c r="P308" i="2"/>
  <c r="P309" i="2"/>
  <c r="P565" i="2"/>
  <c r="P40" i="2"/>
  <c r="P751" i="2"/>
  <c r="P753" i="2"/>
  <c r="P754" i="2"/>
  <c r="P752" i="2"/>
  <c r="P391" i="2"/>
  <c r="P755" i="2"/>
  <c r="P756" i="2"/>
  <c r="P757" i="2"/>
  <c r="P758" i="2"/>
  <c r="P386" i="2"/>
  <c r="P387" i="2"/>
  <c r="P388" i="2"/>
  <c r="P389" i="2"/>
  <c r="P390" i="2"/>
  <c r="P392" i="2"/>
  <c r="Q1355" i="2"/>
  <c r="R1355" i="2" s="1"/>
  <c r="S1355" i="2" s="1"/>
  <c r="Q1162" i="2"/>
  <c r="R1162" i="2" s="1"/>
  <c r="S1162" i="2" s="1"/>
  <c r="Q1150" i="2"/>
  <c r="R1150" i="2" s="1"/>
  <c r="S1150" i="2" s="1"/>
  <c r="Q1151" i="2"/>
  <c r="R1151" i="2" s="1"/>
  <c r="S1151" i="2" s="1"/>
  <c r="Q1152" i="2"/>
  <c r="R1152" i="2" s="1"/>
  <c r="S1152" i="2" s="1"/>
  <c r="Q1356" i="2"/>
  <c r="R1356" i="2" s="1"/>
  <c r="S1356" i="2" s="1"/>
  <c r="Q1357" i="2"/>
  <c r="R1357" i="2" s="1"/>
  <c r="S1357" i="2" s="1"/>
  <c r="Q1358" i="2"/>
  <c r="R1358" i="2" s="1"/>
  <c r="S1358" i="2" s="1"/>
  <c r="Q207" i="2"/>
  <c r="R207" i="2" s="1"/>
  <c r="S207" i="2" s="1"/>
  <c r="Q208" i="2"/>
  <c r="R208" i="2" s="1"/>
  <c r="S208" i="2" s="1"/>
  <c r="Q209" i="2"/>
  <c r="R209" i="2" s="1"/>
  <c r="S209" i="2" s="1"/>
  <c r="Q1359" i="2"/>
  <c r="R1359" i="2" s="1"/>
  <c r="S1359" i="2" s="1"/>
  <c r="Q1360" i="2"/>
  <c r="R1360" i="2" s="1"/>
  <c r="S1360" i="2" s="1"/>
  <c r="Q1153" i="2"/>
  <c r="R1153" i="2" s="1"/>
  <c r="S1153" i="2" s="1"/>
  <c r="Q1348" i="2"/>
  <c r="R1348" i="2" s="1"/>
  <c r="S1348" i="2" s="1"/>
  <c r="Q210" i="2"/>
  <c r="R210" i="2" s="1"/>
  <c r="S210" i="2" s="1"/>
  <c r="Q211" i="2"/>
  <c r="R211" i="2" s="1"/>
  <c r="S211" i="2" s="1"/>
  <c r="Q1349" i="2"/>
  <c r="R1349" i="2" s="1"/>
  <c r="S1349" i="2" s="1"/>
  <c r="Q212" i="2"/>
  <c r="R212" i="2" s="1"/>
  <c r="S212" i="2" s="1"/>
  <c r="Q213" i="2"/>
  <c r="R213" i="2" s="1"/>
  <c r="S213" i="2" s="1"/>
  <c r="Q1154" i="2"/>
  <c r="R1154" i="2" s="1"/>
  <c r="S1154" i="2" s="1"/>
  <c r="Q1100" i="2"/>
  <c r="R1100" i="2" s="1"/>
  <c r="S1100" i="2" s="1"/>
  <c r="Q1101" i="2"/>
  <c r="R1101" i="2" s="1"/>
  <c r="S1101" i="2" s="1"/>
  <c r="Q1155" i="2"/>
  <c r="R1155" i="2" s="1"/>
  <c r="S1155" i="2" s="1"/>
  <c r="Q1156" i="2"/>
  <c r="R1156" i="2" s="1"/>
  <c r="S1156" i="2" s="1"/>
  <c r="Q1157" i="2"/>
  <c r="R1157" i="2" s="1"/>
  <c r="S1157" i="2" s="1"/>
  <c r="Q1102" i="2"/>
  <c r="R1102" i="2" s="1"/>
  <c r="S1102" i="2" s="1"/>
  <c r="Q1350" i="2"/>
  <c r="R1350" i="2" s="1"/>
  <c r="S1350" i="2" s="1"/>
  <c r="Q1351" i="2"/>
  <c r="R1351" i="2" s="1"/>
  <c r="S1351" i="2" s="1"/>
  <c r="Q1352" i="2"/>
  <c r="R1352" i="2" s="1"/>
  <c r="S1352" i="2" s="1"/>
  <c r="Q1353" i="2"/>
  <c r="R1353" i="2" s="1"/>
  <c r="S1353" i="2" s="1"/>
  <c r="Q1491" i="2"/>
  <c r="R1491" i="2" s="1"/>
  <c r="S1491" i="2" s="1"/>
  <c r="Q1492" i="2"/>
  <c r="R1492" i="2" s="1"/>
  <c r="S1492" i="2" s="1"/>
  <c r="Q1361" i="2"/>
  <c r="R1361" i="2" s="1"/>
  <c r="S1361" i="2" s="1"/>
  <c r="Q1362" i="2"/>
  <c r="R1362" i="2" s="1"/>
  <c r="S1362" i="2" s="1"/>
  <c r="Q214" i="2"/>
  <c r="R214" i="2" s="1"/>
  <c r="S214" i="2" s="1"/>
  <c r="Q1489" i="2"/>
  <c r="R1489" i="2" s="1"/>
  <c r="S1489" i="2" s="1"/>
  <c r="Q215" i="2"/>
  <c r="R215" i="2" s="1"/>
  <c r="S215" i="2" s="1"/>
  <c r="Q1103" i="2"/>
  <c r="R1103" i="2" s="1"/>
  <c r="S1103" i="2" s="1"/>
  <c r="Q1158" i="2"/>
  <c r="R1158" i="2" s="1"/>
  <c r="S1158" i="2" s="1"/>
  <c r="Q216" i="2"/>
  <c r="R216" i="2" s="1"/>
  <c r="S216" i="2" s="1"/>
  <c r="Q1098" i="2"/>
  <c r="R1098" i="2" s="1"/>
  <c r="S1098" i="2" s="1"/>
  <c r="Q1099" i="2"/>
  <c r="R1099" i="2" s="1"/>
  <c r="S1099" i="2" s="1"/>
  <c r="Q217" i="2"/>
  <c r="R217" i="2" s="1"/>
  <c r="S217" i="2" s="1"/>
  <c r="Q218" i="2"/>
  <c r="R218" i="2" s="1"/>
  <c r="S218" i="2" s="1"/>
  <c r="Q219" i="2"/>
  <c r="R219" i="2" s="1"/>
  <c r="S219" i="2" s="1"/>
  <c r="Q1104" i="2"/>
  <c r="R1104" i="2" s="1"/>
  <c r="S1104" i="2" s="1"/>
  <c r="Q1105" i="2"/>
  <c r="R1105" i="2" s="1"/>
  <c r="S1105" i="2" s="1"/>
  <c r="Q1006" i="2"/>
  <c r="R1006" i="2" s="1"/>
  <c r="S1006" i="2" s="1"/>
  <c r="Q1007" i="2"/>
  <c r="R1007" i="2" s="1"/>
  <c r="S1007" i="2" s="1"/>
  <c r="Q1008" i="2"/>
  <c r="R1008" i="2" s="1"/>
  <c r="S1008" i="2" s="1"/>
  <c r="Q220" i="2"/>
  <c r="R220" i="2" s="1"/>
  <c r="S220" i="2" s="1"/>
  <c r="Q221" i="2"/>
  <c r="R221" i="2" s="1"/>
  <c r="S221" i="2" s="1"/>
  <c r="Q1437" i="2"/>
  <c r="R1437" i="2" s="1"/>
  <c r="S1437" i="2" s="1"/>
  <c r="Q1106" i="2"/>
  <c r="R1106" i="2" s="1"/>
  <c r="S1106" i="2" s="1"/>
  <c r="Q222" i="2"/>
  <c r="R222" i="2" s="1"/>
  <c r="S222" i="2" s="1"/>
  <c r="Q1464" i="2"/>
  <c r="R1464" i="2" s="1"/>
  <c r="S1464" i="2" s="1"/>
  <c r="Q1438" i="2"/>
  <c r="R1438" i="2" s="1"/>
  <c r="S1438" i="2" s="1"/>
  <c r="Q1439" i="2"/>
  <c r="R1439" i="2" s="1"/>
  <c r="S1439" i="2" s="1"/>
  <c r="Q1159" i="2"/>
  <c r="R1159" i="2" s="1"/>
  <c r="S1159" i="2" s="1"/>
  <c r="Q1160" i="2"/>
  <c r="R1160" i="2" s="1"/>
  <c r="S1160" i="2" s="1"/>
  <c r="Q1039" i="2"/>
  <c r="R1039" i="2" s="1"/>
  <c r="S1039" i="2" s="1"/>
  <c r="Q1363" i="2"/>
  <c r="R1363" i="2" s="1"/>
  <c r="S1363" i="2" s="1"/>
  <c r="Q223" i="2"/>
  <c r="R223" i="2" s="1"/>
  <c r="S223" i="2" s="1"/>
  <c r="Q1440" i="2"/>
  <c r="R1440" i="2" s="1"/>
  <c r="S1440" i="2" s="1"/>
  <c r="Q1465" i="2"/>
  <c r="R1465" i="2" s="1"/>
  <c r="S1465" i="2" s="1"/>
  <c r="Q1490" i="2"/>
  <c r="R1490" i="2" s="1"/>
  <c r="S1490" i="2" s="1"/>
  <c r="Q1161" i="2"/>
  <c r="R1161" i="2" s="1"/>
  <c r="S1161" i="2" s="1"/>
  <c r="Q418" i="2"/>
  <c r="R418" i="2" s="1"/>
  <c r="S418" i="2" s="1"/>
  <c r="Q816" i="2"/>
  <c r="R816" i="2" s="1"/>
  <c r="S816" i="2" s="1"/>
  <c r="Q817" i="2"/>
  <c r="R817" i="2" s="1"/>
  <c r="S817" i="2" s="1"/>
  <c r="Q818" i="2"/>
  <c r="R818" i="2" s="1"/>
  <c r="S818" i="2" s="1"/>
  <c r="Q360" i="2"/>
  <c r="R360" i="2" s="1"/>
  <c r="S360" i="2" s="1"/>
  <c r="Q361" i="2"/>
  <c r="R361" i="2" s="1"/>
  <c r="S361" i="2" s="1"/>
  <c r="Q362" i="2"/>
  <c r="R362" i="2" s="1"/>
  <c r="S362" i="2" s="1"/>
  <c r="Q819" i="2"/>
  <c r="R819" i="2" s="1"/>
  <c r="S819" i="2" s="1"/>
  <c r="Q363" i="2"/>
  <c r="R363" i="2" s="1"/>
  <c r="S363" i="2" s="1"/>
  <c r="Q1354" i="2"/>
  <c r="R1354" i="2" s="1"/>
  <c r="S1354" i="2" s="1"/>
  <c r="Q364" i="2"/>
  <c r="R364" i="2" s="1"/>
  <c r="S364" i="2" s="1"/>
  <c r="Q814" i="2"/>
  <c r="R814" i="2" s="1"/>
  <c r="S814" i="2" s="1"/>
  <c r="Q1444" i="2"/>
  <c r="R1444" i="2" s="1"/>
  <c r="S1444" i="2" s="1"/>
  <c r="Q424" i="2"/>
  <c r="R424" i="2" s="1"/>
  <c r="S424" i="2" s="1"/>
  <c r="Q807" i="2"/>
  <c r="R807" i="2" s="1"/>
  <c r="S807" i="2" s="1"/>
  <c r="Q808" i="2"/>
  <c r="R808" i="2" s="1"/>
  <c r="S808" i="2" s="1"/>
  <c r="Q820" i="2"/>
  <c r="R820" i="2" s="1"/>
  <c r="S820" i="2" s="1"/>
  <c r="Q821" i="2"/>
  <c r="R821" i="2" s="1"/>
  <c r="S821" i="2" s="1"/>
  <c r="Q419" i="2"/>
  <c r="R419" i="2" s="1"/>
  <c r="S419" i="2" s="1"/>
  <c r="Q422" i="2"/>
  <c r="R422" i="2" s="1"/>
  <c r="S422" i="2" s="1"/>
  <c r="Q423" i="2"/>
  <c r="R423" i="2" s="1"/>
  <c r="S423" i="2" s="1"/>
  <c r="Q1416" i="2"/>
  <c r="R1416" i="2" s="1"/>
  <c r="S1416" i="2" s="1"/>
  <c r="Q822" i="2"/>
  <c r="R822" i="2" s="1"/>
  <c r="S822" i="2" s="1"/>
  <c r="Q622" i="2"/>
  <c r="R622" i="2" s="1"/>
  <c r="S622" i="2" s="1"/>
  <c r="Q1009" i="2"/>
  <c r="R1009" i="2" s="1"/>
  <c r="S1009" i="2" s="1"/>
  <c r="Q420" i="2"/>
  <c r="R420" i="2" s="1"/>
  <c r="S420" i="2" s="1"/>
  <c r="Q623" i="2"/>
  <c r="R623" i="2" s="1"/>
  <c r="S623" i="2" s="1"/>
  <c r="Q809" i="2"/>
  <c r="R809" i="2" s="1"/>
  <c r="S809" i="2" s="1"/>
  <c r="Q1055" i="2"/>
  <c r="R1055" i="2" s="1"/>
  <c r="S1055" i="2" s="1"/>
  <c r="Q1441" i="2"/>
  <c r="R1441" i="2" s="1"/>
  <c r="S1441" i="2" s="1"/>
  <c r="Q1442" i="2"/>
  <c r="R1442" i="2" s="1"/>
  <c r="S1442" i="2" s="1"/>
  <c r="Q810" i="2"/>
  <c r="R810" i="2" s="1"/>
  <c r="S810" i="2" s="1"/>
  <c r="Q811" i="2"/>
  <c r="R811" i="2" s="1"/>
  <c r="S811" i="2" s="1"/>
  <c r="Q421" i="2"/>
  <c r="R421" i="2" s="1"/>
  <c r="S421" i="2" s="1"/>
  <c r="Q812" i="2"/>
  <c r="R812" i="2" s="1"/>
  <c r="S812" i="2" s="1"/>
  <c r="Q813" i="2"/>
  <c r="R813" i="2" s="1"/>
  <c r="S813" i="2" s="1"/>
  <c r="Q1053" i="2"/>
  <c r="R1053" i="2" s="1"/>
  <c r="S1053" i="2" s="1"/>
  <c r="Q624" i="2"/>
  <c r="R624" i="2" s="1"/>
  <c r="S624" i="2" s="1"/>
  <c r="Q625" i="2"/>
  <c r="R625" i="2" s="1"/>
  <c r="S625" i="2" s="1"/>
  <c r="Q1054" i="2"/>
  <c r="R1054" i="2" s="1"/>
  <c r="S1054" i="2" s="1"/>
  <c r="Q1443" i="2"/>
  <c r="R1443" i="2" s="1"/>
  <c r="S1443" i="2" s="1"/>
  <c r="Q626" i="2"/>
  <c r="R626" i="2" s="1"/>
  <c r="S626" i="2" s="1"/>
  <c r="Q627" i="2"/>
  <c r="R627" i="2" s="1"/>
  <c r="S627" i="2" s="1"/>
  <c r="Q1220" i="2"/>
  <c r="R1220" i="2" s="1"/>
  <c r="S1220" i="2" s="1"/>
  <c r="Q1221" i="2"/>
  <c r="R1221" i="2" s="1"/>
  <c r="S1221" i="2" s="1"/>
  <c r="Q1233" i="2"/>
  <c r="R1233" i="2" s="1"/>
  <c r="S1233" i="2" s="1"/>
  <c r="Q1184" i="2"/>
  <c r="R1184" i="2" s="1"/>
  <c r="S1184" i="2" s="1"/>
  <c r="Q1185" i="2"/>
  <c r="R1185" i="2" s="1"/>
  <c r="S1185" i="2" s="1"/>
  <c r="Q1222" i="2"/>
  <c r="R1222" i="2" s="1"/>
  <c r="S1222" i="2" s="1"/>
  <c r="Q1223" i="2"/>
  <c r="R1223" i="2" s="1"/>
  <c r="S1223" i="2" s="1"/>
  <c r="Q1216" i="2"/>
  <c r="R1216" i="2" s="1"/>
  <c r="S1216" i="2" s="1"/>
  <c r="Q1224" i="2"/>
  <c r="R1224" i="2" s="1"/>
  <c r="S1224" i="2" s="1"/>
  <c r="Q628" i="2"/>
  <c r="R628" i="2" s="1"/>
  <c r="S628" i="2" s="1"/>
  <c r="Q1183" i="2"/>
  <c r="R1183" i="2" s="1"/>
  <c r="S1183" i="2" s="1"/>
  <c r="Q629" i="2"/>
  <c r="R629" i="2" s="1"/>
  <c r="S629" i="2" s="1"/>
  <c r="Q1186" i="2"/>
  <c r="R1186" i="2" s="1"/>
  <c r="S1186" i="2" s="1"/>
  <c r="Q1187" i="2"/>
  <c r="R1187" i="2" s="1"/>
  <c r="S1187" i="2" s="1"/>
  <c r="Q1188" i="2"/>
  <c r="R1188" i="2" s="1"/>
  <c r="S1188" i="2" s="1"/>
  <c r="Q630" i="2"/>
  <c r="R630" i="2" s="1"/>
  <c r="S630" i="2" s="1"/>
  <c r="Q1234" i="2"/>
  <c r="R1234" i="2" s="1"/>
  <c r="S1234" i="2" s="1"/>
  <c r="Q1225" i="2"/>
  <c r="R1225" i="2" s="1"/>
  <c r="S1225" i="2" s="1"/>
  <c r="Q1244" i="2"/>
  <c r="R1244" i="2" s="1"/>
  <c r="S1244" i="2" s="1"/>
  <c r="Q1226" i="2"/>
  <c r="R1226" i="2" s="1"/>
  <c r="S1226" i="2" s="1"/>
  <c r="Q619" i="2"/>
  <c r="R619" i="2" s="1"/>
  <c r="S619" i="2" s="1"/>
  <c r="Q620" i="2"/>
  <c r="R620" i="2" s="1"/>
  <c r="S620" i="2" s="1"/>
  <c r="Q1227" i="2"/>
  <c r="R1227" i="2" s="1"/>
  <c r="S1227" i="2" s="1"/>
  <c r="Q621" i="2"/>
  <c r="R621" i="2" s="1"/>
  <c r="S621" i="2" s="1"/>
  <c r="Q1217" i="2"/>
  <c r="R1217" i="2" s="1"/>
  <c r="S1217" i="2" s="1"/>
  <c r="Q1235" i="2"/>
  <c r="R1235" i="2" s="1"/>
  <c r="S1235" i="2" s="1"/>
  <c r="Q1228" i="2"/>
  <c r="R1228" i="2" s="1"/>
  <c r="S1228" i="2" s="1"/>
  <c r="Q856" i="2"/>
  <c r="R856" i="2" s="1"/>
  <c r="S856" i="2" s="1"/>
  <c r="Q857" i="2"/>
  <c r="R857" i="2" s="1"/>
  <c r="S857" i="2" s="1"/>
  <c r="Q1189" i="2"/>
  <c r="R1189" i="2" s="1"/>
  <c r="S1189" i="2" s="1"/>
  <c r="Q1010" i="2"/>
  <c r="R1010" i="2" s="1"/>
  <c r="S1010" i="2" s="1"/>
  <c r="Q1011" i="2"/>
  <c r="R1011" i="2" s="1"/>
  <c r="S1011" i="2" s="1"/>
  <c r="Q512" i="2"/>
  <c r="R512" i="2" s="1"/>
  <c r="S512" i="2" s="1"/>
  <c r="Q514" i="2"/>
  <c r="R514" i="2" s="1"/>
  <c r="S514" i="2" s="1"/>
  <c r="Q506" i="2"/>
  <c r="R506" i="2" s="1"/>
  <c r="S506" i="2" s="1"/>
  <c r="Q507" i="2"/>
  <c r="R507" i="2" s="1"/>
  <c r="S507" i="2" s="1"/>
  <c r="Q580" i="2"/>
  <c r="R580" i="2" s="1"/>
  <c r="S580" i="2" s="1"/>
  <c r="Q584" i="2"/>
  <c r="R584" i="2" s="1"/>
  <c r="S584" i="2" s="1"/>
  <c r="Q1218" i="2"/>
  <c r="R1218" i="2" s="1"/>
  <c r="S1218" i="2" s="1"/>
  <c r="Q1236" i="2"/>
  <c r="R1236" i="2" s="1"/>
  <c r="S1236" i="2" s="1"/>
  <c r="Q508" i="2"/>
  <c r="R508" i="2" s="1"/>
  <c r="S508" i="2" s="1"/>
  <c r="Q66" i="2"/>
  <c r="R66" i="2" s="1"/>
  <c r="S66" i="2" s="1"/>
  <c r="Q67" i="2"/>
  <c r="R67" i="2" s="1"/>
  <c r="S67" i="2" s="1"/>
  <c r="Q68" i="2"/>
  <c r="R68" i="2" s="1"/>
  <c r="S68" i="2" s="1"/>
  <c r="Q69" i="2"/>
  <c r="R69" i="2" s="1"/>
  <c r="S69" i="2" s="1"/>
  <c r="Q70" i="2"/>
  <c r="R70" i="2" s="1"/>
  <c r="S70" i="2" s="1"/>
  <c r="Q71" i="2"/>
  <c r="R71" i="2" s="1"/>
  <c r="S71" i="2" s="1"/>
  <c r="Q72" i="2"/>
  <c r="R72" i="2" s="1"/>
  <c r="S72" i="2" s="1"/>
  <c r="Q1237" i="2"/>
  <c r="R1237" i="2" s="1"/>
  <c r="S1237" i="2" s="1"/>
  <c r="Q1238" i="2"/>
  <c r="R1238" i="2" s="1"/>
  <c r="S1238" i="2" s="1"/>
  <c r="Q509" i="2"/>
  <c r="R509" i="2" s="1"/>
  <c r="S509" i="2" s="1"/>
  <c r="Q300" i="2"/>
  <c r="R300" i="2" s="1"/>
  <c r="S300" i="2" s="1"/>
  <c r="Q1245" i="2"/>
  <c r="R1245" i="2" s="1"/>
  <c r="S1245" i="2" s="1"/>
  <c r="Q1229" i="2"/>
  <c r="R1229" i="2" s="1"/>
  <c r="S1229" i="2" s="1"/>
  <c r="Q73" i="2"/>
  <c r="R73" i="2" s="1"/>
  <c r="S73" i="2" s="1"/>
  <c r="Q74" i="2"/>
  <c r="R74" i="2" s="1"/>
  <c r="S74" i="2" s="1"/>
  <c r="Q581" i="2"/>
  <c r="R581" i="2" s="1"/>
  <c r="S581" i="2" s="1"/>
  <c r="Q41" i="2"/>
  <c r="R41" i="2" s="1"/>
  <c r="S41" i="2" s="1"/>
  <c r="Q42" i="2"/>
  <c r="R42" i="2" s="1"/>
  <c r="S42" i="2" s="1"/>
  <c r="Q43" i="2"/>
  <c r="R43" i="2" s="1"/>
  <c r="S43" i="2" s="1"/>
  <c r="Q44" i="2"/>
  <c r="R44" i="2" s="1"/>
  <c r="S44" i="2" s="1"/>
  <c r="Q45" i="2"/>
  <c r="R45" i="2" s="1"/>
  <c r="S45" i="2" s="1"/>
  <c r="Q46" i="2"/>
  <c r="R46" i="2" s="1"/>
  <c r="S46" i="2" s="1"/>
  <c r="Q47" i="2"/>
  <c r="R47" i="2" s="1"/>
  <c r="S47" i="2" s="1"/>
  <c r="Q48" i="2"/>
  <c r="R48" i="2" s="1"/>
  <c r="S48" i="2" s="1"/>
  <c r="Q49" i="2"/>
  <c r="R49" i="2" s="1"/>
  <c r="S49" i="2" s="1"/>
  <c r="Q50" i="2"/>
  <c r="R50" i="2" s="1"/>
  <c r="S50" i="2" s="1"/>
  <c r="Q51" i="2"/>
  <c r="R51" i="2" s="1"/>
  <c r="S51" i="2" s="1"/>
  <c r="Q52" i="2"/>
  <c r="R52" i="2" s="1"/>
  <c r="S52" i="2" s="1"/>
  <c r="Q53" i="2"/>
  <c r="R53" i="2" s="1"/>
  <c r="S53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58" i="2"/>
  <c r="R58" i="2" s="1"/>
  <c r="S58" i="2" s="1"/>
  <c r="Q312" i="2"/>
  <c r="R312" i="2" s="1"/>
  <c r="S312" i="2" s="1"/>
  <c r="Q1239" i="2"/>
  <c r="R1239" i="2" s="1"/>
  <c r="S1239" i="2" s="1"/>
  <c r="Q513" i="2"/>
  <c r="R513" i="2" s="1"/>
  <c r="S513" i="2" s="1"/>
  <c r="Q903" i="2"/>
  <c r="R903" i="2" s="1"/>
  <c r="S903" i="2" s="1"/>
  <c r="Q515" i="2"/>
  <c r="R515" i="2" s="1"/>
  <c r="S515" i="2" s="1"/>
  <c r="Q815" i="2"/>
  <c r="R815" i="2" s="1"/>
  <c r="S815" i="2" s="1"/>
  <c r="Q1246" i="2"/>
  <c r="R1246" i="2" s="1"/>
  <c r="S1246" i="2" s="1"/>
  <c r="Q891" i="2"/>
  <c r="R891" i="2" s="1"/>
  <c r="S891" i="2" s="1"/>
  <c r="Q890" i="2"/>
  <c r="R890" i="2" s="1"/>
  <c r="S890" i="2" s="1"/>
  <c r="Q892" i="2"/>
  <c r="R892" i="2" s="1"/>
  <c r="S892" i="2" s="1"/>
  <c r="Q904" i="2"/>
  <c r="R904" i="2" s="1"/>
  <c r="S904" i="2" s="1"/>
  <c r="Q895" i="2"/>
  <c r="R895" i="2" s="1"/>
  <c r="S895" i="2" s="1"/>
  <c r="Q893" i="2"/>
  <c r="R893" i="2" s="1"/>
  <c r="S893" i="2" s="1"/>
  <c r="Q896" i="2"/>
  <c r="R896" i="2" s="1"/>
  <c r="S896" i="2" s="1"/>
  <c r="Q631" i="2"/>
  <c r="R631" i="2" s="1"/>
  <c r="S631" i="2" s="1"/>
  <c r="Q59" i="2"/>
  <c r="R59" i="2" s="1"/>
  <c r="S59" i="2" s="1"/>
  <c r="Q60" i="2"/>
  <c r="R60" i="2" s="1"/>
  <c r="S60" i="2" s="1"/>
  <c r="Q61" i="2"/>
  <c r="R61" i="2" s="1"/>
  <c r="S61" i="2" s="1"/>
  <c r="Q62" i="2"/>
  <c r="R62" i="2" s="1"/>
  <c r="S62" i="2" s="1"/>
  <c r="Q63" i="2"/>
  <c r="R63" i="2" s="1"/>
  <c r="S63" i="2" s="1"/>
  <c r="Q64" i="2"/>
  <c r="R64" i="2" s="1"/>
  <c r="S64" i="2" s="1"/>
  <c r="Q65" i="2"/>
  <c r="R65" i="2" s="1"/>
  <c r="S65" i="2" s="1"/>
  <c r="Q897" i="2"/>
  <c r="R897" i="2" s="1"/>
  <c r="S897" i="2" s="1"/>
  <c r="Q894" i="2"/>
  <c r="R894" i="2" s="1"/>
  <c r="S894" i="2" s="1"/>
  <c r="Q899" i="2"/>
  <c r="R899" i="2" s="1"/>
  <c r="S899" i="2" s="1"/>
  <c r="Q898" i="2"/>
  <c r="R898" i="2" s="1"/>
  <c r="S898" i="2" s="1"/>
  <c r="Q888" i="2"/>
  <c r="R888" i="2" s="1"/>
  <c r="S888" i="2" s="1"/>
  <c r="Q889" i="2"/>
  <c r="R889" i="2" s="1"/>
  <c r="S889" i="2" s="1"/>
  <c r="Q617" i="2"/>
  <c r="R617" i="2" s="1"/>
  <c r="S617" i="2" s="1"/>
  <c r="Q510" i="2"/>
  <c r="R510" i="2" s="1"/>
  <c r="S510" i="2" s="1"/>
  <c r="Q996" i="2"/>
  <c r="R996" i="2" s="1"/>
  <c r="S996" i="2" s="1"/>
  <c r="Q997" i="2"/>
  <c r="R997" i="2" s="1"/>
  <c r="S997" i="2" s="1"/>
  <c r="Q998" i="2"/>
  <c r="R998" i="2" s="1"/>
  <c r="S998" i="2" s="1"/>
  <c r="Q301" i="2"/>
  <c r="R301" i="2" s="1"/>
  <c r="S301" i="2" s="1"/>
  <c r="Q905" i="2"/>
  <c r="R905" i="2" s="1"/>
  <c r="S905" i="2" s="1"/>
  <c r="Q902" i="2"/>
  <c r="R902" i="2" s="1"/>
  <c r="S902" i="2" s="1"/>
  <c r="Q900" i="2"/>
  <c r="R900" i="2" s="1"/>
  <c r="S900" i="2" s="1"/>
  <c r="Q906" i="2"/>
  <c r="R906" i="2" s="1"/>
  <c r="S906" i="2" s="1"/>
  <c r="Q907" i="2"/>
  <c r="R907" i="2" s="1"/>
  <c r="S907" i="2" s="1"/>
  <c r="Q901" i="2"/>
  <c r="R901" i="2" s="1"/>
  <c r="S901" i="2" s="1"/>
  <c r="Q1219" i="2"/>
  <c r="R1219" i="2" s="1"/>
  <c r="S1219" i="2" s="1"/>
  <c r="Q999" i="2"/>
  <c r="R999" i="2" s="1"/>
  <c r="S999" i="2" s="1"/>
  <c r="Q1000" i="2"/>
  <c r="R1000" i="2" s="1"/>
  <c r="S1000" i="2" s="1"/>
  <c r="Q632" i="2"/>
  <c r="R632" i="2" s="1"/>
  <c r="S632" i="2" s="1"/>
  <c r="Q516" i="2"/>
  <c r="R516" i="2" s="1"/>
  <c r="S516" i="2" s="1"/>
  <c r="Q585" i="2"/>
  <c r="R585" i="2" s="1"/>
  <c r="S585" i="2" s="1"/>
  <c r="Q803" i="2"/>
  <c r="R803" i="2" s="1"/>
  <c r="S803" i="2" s="1"/>
  <c r="Q804" i="2"/>
  <c r="R804" i="2" s="1"/>
  <c r="S804" i="2" s="1"/>
  <c r="Q1240" i="2"/>
  <c r="R1240" i="2" s="1"/>
  <c r="S1240" i="2" s="1"/>
  <c r="Q1230" i="2"/>
  <c r="R1230" i="2" s="1"/>
  <c r="S1230" i="2" s="1"/>
  <c r="Q618" i="2"/>
  <c r="R618" i="2" s="1"/>
  <c r="S618" i="2" s="1"/>
  <c r="Q642" i="2"/>
  <c r="R642" i="2" s="1"/>
  <c r="S642" i="2" s="1"/>
  <c r="Q633" i="2"/>
  <c r="R633" i="2" s="1"/>
  <c r="S633" i="2" s="1"/>
  <c r="Q1004" i="2"/>
  <c r="R1004" i="2" s="1"/>
  <c r="S1004" i="2" s="1"/>
  <c r="Q990" i="2"/>
  <c r="R990" i="2" s="1"/>
  <c r="S990" i="2" s="1"/>
  <c r="Q302" i="2"/>
  <c r="R302" i="2" s="1"/>
  <c r="S302" i="2" s="1"/>
  <c r="Q582" i="2"/>
  <c r="R582" i="2" s="1"/>
  <c r="S582" i="2" s="1"/>
  <c r="Q1293" i="2"/>
  <c r="R1293" i="2" s="1"/>
  <c r="S1293" i="2" s="1"/>
  <c r="Q1001" i="2"/>
  <c r="R1001" i="2" s="1"/>
  <c r="S1001" i="2" s="1"/>
  <c r="Q1231" i="2"/>
  <c r="R1231" i="2" s="1"/>
  <c r="S1231" i="2" s="1"/>
  <c r="Q1241" i="2"/>
  <c r="R1241" i="2" s="1"/>
  <c r="S1241" i="2" s="1"/>
  <c r="Q303" i="2"/>
  <c r="R303" i="2" s="1"/>
  <c r="S303" i="2" s="1"/>
  <c r="Q1298" i="2"/>
  <c r="R1298" i="2" s="1"/>
  <c r="S1298" i="2" s="1"/>
  <c r="Q1294" i="2"/>
  <c r="R1294" i="2" s="1"/>
  <c r="S1294" i="2" s="1"/>
  <c r="Q806" i="2"/>
  <c r="R806" i="2" s="1"/>
  <c r="S806" i="2" s="1"/>
  <c r="Q805" i="2"/>
  <c r="R805" i="2" s="1"/>
  <c r="S805" i="2" s="1"/>
  <c r="Q311" i="2"/>
  <c r="R311" i="2" s="1"/>
  <c r="S311" i="2" s="1"/>
  <c r="Q299" i="2"/>
  <c r="R299" i="2" s="1"/>
  <c r="S299" i="2" s="1"/>
  <c r="Q297" i="2"/>
  <c r="R297" i="2" s="1"/>
  <c r="S297" i="2" s="1"/>
  <c r="Q1012" i="2"/>
  <c r="R1012" i="2" s="1"/>
  <c r="S1012" i="2" s="1"/>
  <c r="Q556" i="2"/>
  <c r="R556" i="2" s="1"/>
  <c r="S556" i="2" s="1"/>
  <c r="Q557" i="2"/>
  <c r="R557" i="2" s="1"/>
  <c r="S557" i="2" s="1"/>
  <c r="Q558" i="2"/>
  <c r="R558" i="2" s="1"/>
  <c r="S558" i="2" s="1"/>
  <c r="Q1242" i="2"/>
  <c r="R1242" i="2" s="1"/>
  <c r="S1242" i="2" s="1"/>
  <c r="Q1002" i="2"/>
  <c r="R1002" i="2" s="1"/>
  <c r="S1002" i="2" s="1"/>
  <c r="Q298" i="2"/>
  <c r="R298" i="2" s="1"/>
  <c r="S298" i="2" s="1"/>
  <c r="Q1243" i="2"/>
  <c r="R1243" i="2" s="1"/>
  <c r="S1243" i="2" s="1"/>
  <c r="Q586" i="2"/>
  <c r="R586" i="2" s="1"/>
  <c r="S586" i="2" s="1"/>
  <c r="Q583" i="2"/>
  <c r="R583" i="2" s="1"/>
  <c r="S583" i="2" s="1"/>
  <c r="Q587" i="2"/>
  <c r="R587" i="2" s="1"/>
  <c r="S587" i="2" s="1"/>
  <c r="Q1287" i="2"/>
  <c r="R1287" i="2" s="1"/>
  <c r="S1287" i="2" s="1"/>
  <c r="Q1288" i="2"/>
  <c r="R1288" i="2" s="1"/>
  <c r="S1288" i="2" s="1"/>
  <c r="Q991" i="2"/>
  <c r="R991" i="2" s="1"/>
  <c r="S991" i="2" s="1"/>
  <c r="Q992" i="2"/>
  <c r="R992" i="2" s="1"/>
  <c r="S992" i="2" s="1"/>
  <c r="Q1003" i="2"/>
  <c r="R1003" i="2" s="1"/>
  <c r="S1003" i="2" s="1"/>
  <c r="Q559" i="2"/>
  <c r="R559" i="2" s="1"/>
  <c r="S559" i="2" s="1"/>
  <c r="Q1013" i="2"/>
  <c r="R1013" i="2" s="1"/>
  <c r="S1013" i="2" s="1"/>
  <c r="Q504" i="2"/>
  <c r="R504" i="2" s="1"/>
  <c r="S504" i="2" s="1"/>
  <c r="Q1232" i="2"/>
  <c r="R1232" i="2" s="1"/>
  <c r="S1232" i="2" s="1"/>
  <c r="Q1014" i="2"/>
  <c r="R1014" i="2" s="1"/>
  <c r="S1014" i="2" s="1"/>
  <c r="Q1015" i="2"/>
  <c r="R1015" i="2" s="1"/>
  <c r="S1015" i="2" s="1"/>
  <c r="Q511" i="2"/>
  <c r="R511" i="2" s="1"/>
  <c r="S511" i="2" s="1"/>
  <c r="Q500" i="2"/>
  <c r="R500" i="2" s="1"/>
  <c r="S500" i="2" s="1"/>
  <c r="Q560" i="2"/>
  <c r="R560" i="2" s="1"/>
  <c r="S560" i="2" s="1"/>
  <c r="Q304" i="2"/>
  <c r="R304" i="2" s="1"/>
  <c r="S304" i="2" s="1"/>
  <c r="Q305" i="2"/>
  <c r="R305" i="2" s="1"/>
  <c r="S305" i="2" s="1"/>
  <c r="Q995" i="2"/>
  <c r="R995" i="2" s="1"/>
  <c r="S995" i="2" s="1"/>
  <c r="Q1005" i="2"/>
  <c r="R1005" i="2" s="1"/>
  <c r="S1005" i="2" s="1"/>
  <c r="Q858" i="2"/>
  <c r="R858" i="2" s="1"/>
  <c r="S858" i="2" s="1"/>
  <c r="Q859" i="2"/>
  <c r="R859" i="2" s="1"/>
  <c r="S859" i="2" s="1"/>
  <c r="Q1297" i="2"/>
  <c r="R1297" i="2" s="1"/>
  <c r="S1297" i="2" s="1"/>
  <c r="Q1295" i="2"/>
  <c r="R1295" i="2" s="1"/>
  <c r="S1295" i="2" s="1"/>
  <c r="Q1296" i="2"/>
  <c r="R1296" i="2" s="1"/>
  <c r="S1296" i="2" s="1"/>
  <c r="Q1290" i="2"/>
  <c r="R1290" i="2" s="1"/>
  <c r="S1290" i="2" s="1"/>
  <c r="Q860" i="2"/>
  <c r="R860" i="2" s="1"/>
  <c r="S860" i="2" s="1"/>
  <c r="Q503" i="2"/>
  <c r="R503" i="2" s="1"/>
  <c r="S503" i="2" s="1"/>
  <c r="Q634" i="2"/>
  <c r="R634" i="2" s="1"/>
  <c r="S634" i="2" s="1"/>
  <c r="Q635" i="2"/>
  <c r="R635" i="2" s="1"/>
  <c r="S635" i="2" s="1"/>
  <c r="Q636" i="2"/>
  <c r="R636" i="2" s="1"/>
  <c r="S636" i="2" s="1"/>
  <c r="Q637" i="2"/>
  <c r="R637" i="2" s="1"/>
  <c r="S637" i="2" s="1"/>
  <c r="Q638" i="2"/>
  <c r="R638" i="2" s="1"/>
  <c r="S638" i="2" s="1"/>
  <c r="Q639" i="2"/>
  <c r="R639" i="2" s="1"/>
  <c r="S639" i="2" s="1"/>
  <c r="Q640" i="2"/>
  <c r="R640" i="2" s="1"/>
  <c r="S640" i="2" s="1"/>
  <c r="Q641" i="2"/>
  <c r="R641" i="2" s="1"/>
  <c r="S641" i="2" s="1"/>
  <c r="Q505" i="2"/>
  <c r="R505" i="2" s="1"/>
  <c r="S505" i="2" s="1"/>
  <c r="Q561" i="2"/>
  <c r="R561" i="2" s="1"/>
  <c r="S561" i="2" s="1"/>
  <c r="Q306" i="2"/>
  <c r="R306" i="2" s="1"/>
  <c r="S306" i="2" s="1"/>
  <c r="Q307" i="2"/>
  <c r="R307" i="2" s="1"/>
  <c r="S307" i="2" s="1"/>
  <c r="Q501" i="2"/>
  <c r="R501" i="2" s="1"/>
  <c r="S501" i="2" s="1"/>
  <c r="Q1291" i="2"/>
  <c r="R1291" i="2" s="1"/>
  <c r="S1291" i="2" s="1"/>
  <c r="Q1292" i="2"/>
  <c r="R1292" i="2" s="1"/>
  <c r="S1292" i="2" s="1"/>
  <c r="Q1289" i="2"/>
  <c r="R1289" i="2" s="1"/>
  <c r="S1289" i="2" s="1"/>
  <c r="Q562" i="2"/>
  <c r="R562" i="2" s="1"/>
  <c r="S562" i="2" s="1"/>
  <c r="Q563" i="2"/>
  <c r="R563" i="2" s="1"/>
  <c r="S563" i="2" s="1"/>
  <c r="Q993" i="2"/>
  <c r="R993" i="2" s="1"/>
  <c r="S993" i="2" s="1"/>
  <c r="Q994" i="2"/>
  <c r="R994" i="2" s="1"/>
  <c r="S994" i="2" s="1"/>
  <c r="Q502" i="2"/>
  <c r="R502" i="2" s="1"/>
  <c r="S502" i="2" s="1"/>
  <c r="Q499" i="2"/>
  <c r="R499" i="2" s="1"/>
  <c r="S499" i="2" s="1"/>
  <c r="Q564" i="2"/>
  <c r="R564" i="2" s="1"/>
  <c r="S564" i="2" s="1"/>
  <c r="Q1315" i="2"/>
  <c r="R1315" i="2" s="1"/>
  <c r="S1315" i="2" s="1"/>
  <c r="Q1316" i="2"/>
  <c r="R1316" i="2" s="1"/>
  <c r="S1316" i="2" s="1"/>
  <c r="Q1313" i="2"/>
  <c r="R1313" i="2" s="1"/>
  <c r="S1313" i="2" s="1"/>
  <c r="Q310" i="2"/>
  <c r="R310" i="2" s="1"/>
  <c r="S310" i="2" s="1"/>
  <c r="Q1314" i="2"/>
  <c r="R1314" i="2" s="1"/>
  <c r="S1314" i="2" s="1"/>
  <c r="Q308" i="2"/>
  <c r="R308" i="2" s="1"/>
  <c r="S308" i="2" s="1"/>
  <c r="Q309" i="2"/>
  <c r="R309" i="2" s="1"/>
  <c r="S309" i="2" s="1"/>
  <c r="Q565" i="2"/>
  <c r="R565" i="2" s="1"/>
  <c r="S565" i="2" s="1"/>
  <c r="Q40" i="2"/>
  <c r="R40" i="2" s="1"/>
  <c r="S40" i="2" s="1"/>
  <c r="Q751" i="2"/>
  <c r="R751" i="2" s="1"/>
  <c r="S751" i="2" s="1"/>
  <c r="Q753" i="2"/>
  <c r="R753" i="2" s="1"/>
  <c r="S753" i="2" s="1"/>
  <c r="Q754" i="2"/>
  <c r="R754" i="2" s="1"/>
  <c r="S754" i="2" s="1"/>
  <c r="Q752" i="2"/>
  <c r="R752" i="2" s="1"/>
  <c r="S752" i="2" s="1"/>
  <c r="Q391" i="2"/>
  <c r="R391" i="2" s="1"/>
  <c r="S391" i="2" s="1"/>
  <c r="Q755" i="2"/>
  <c r="R755" i="2" s="1"/>
  <c r="S755" i="2" s="1"/>
  <c r="Q756" i="2"/>
  <c r="R756" i="2" s="1"/>
  <c r="S756" i="2" s="1"/>
  <c r="Q757" i="2"/>
  <c r="R757" i="2" s="1"/>
  <c r="S757" i="2" s="1"/>
  <c r="Q758" i="2"/>
  <c r="R758" i="2" s="1"/>
  <c r="S758" i="2" s="1"/>
  <c r="Q386" i="2"/>
  <c r="R386" i="2" s="1"/>
  <c r="S386" i="2" s="1"/>
  <c r="Q387" i="2"/>
  <c r="R387" i="2" s="1"/>
  <c r="S387" i="2" s="1"/>
  <c r="Q388" i="2"/>
  <c r="R388" i="2" s="1"/>
  <c r="S388" i="2" s="1"/>
  <c r="Q389" i="2"/>
  <c r="R389" i="2" s="1"/>
  <c r="S389" i="2" s="1"/>
  <c r="Q390" i="2"/>
  <c r="R390" i="2" s="1"/>
  <c r="S390" i="2" s="1"/>
  <c r="Q392" i="2"/>
  <c r="R392" i="2" s="1"/>
  <c r="S392" i="2" s="1"/>
  <c r="J1355" i="2"/>
  <c r="J1162" i="2"/>
  <c r="J1150" i="2"/>
  <c r="J1151" i="2"/>
  <c r="J1152" i="2"/>
  <c r="J1356" i="2"/>
  <c r="J1357" i="2"/>
  <c r="J1358" i="2"/>
  <c r="J207" i="2"/>
  <c r="J208" i="2"/>
  <c r="J209" i="2"/>
  <c r="J1359" i="2"/>
  <c r="J1360" i="2"/>
  <c r="J1153" i="2"/>
  <c r="J1348" i="2"/>
  <c r="J210" i="2"/>
  <c r="J211" i="2"/>
  <c r="J1349" i="2"/>
  <c r="J212" i="2"/>
  <c r="J213" i="2"/>
  <c r="J1154" i="2"/>
  <c r="J1100" i="2"/>
  <c r="J1101" i="2"/>
  <c r="J1155" i="2"/>
  <c r="J1156" i="2"/>
  <c r="J1157" i="2"/>
  <c r="J1102" i="2"/>
  <c r="J1350" i="2"/>
  <c r="J1351" i="2"/>
  <c r="J1352" i="2"/>
  <c r="J1353" i="2"/>
  <c r="J1491" i="2"/>
  <c r="J1492" i="2"/>
  <c r="J1361" i="2"/>
  <c r="J1362" i="2"/>
  <c r="J214" i="2"/>
  <c r="J1489" i="2"/>
  <c r="J215" i="2"/>
  <c r="J1103" i="2"/>
  <c r="J1158" i="2"/>
  <c r="J216" i="2"/>
  <c r="J1098" i="2"/>
  <c r="J1099" i="2"/>
  <c r="J217" i="2"/>
  <c r="J218" i="2"/>
  <c r="J219" i="2"/>
  <c r="J1104" i="2"/>
  <c r="J1105" i="2"/>
  <c r="J1006" i="2"/>
  <c r="J1007" i="2"/>
  <c r="J1008" i="2"/>
  <c r="J220" i="2"/>
  <c r="J221" i="2"/>
  <c r="J1437" i="2"/>
  <c r="J1106" i="2"/>
  <c r="J222" i="2"/>
  <c r="J1464" i="2"/>
  <c r="J1438" i="2"/>
  <c r="J1439" i="2"/>
  <c r="J1159" i="2"/>
  <c r="J1160" i="2"/>
  <c r="J1039" i="2"/>
  <c r="J1363" i="2"/>
  <c r="J223" i="2"/>
  <c r="J1440" i="2"/>
  <c r="J1465" i="2"/>
  <c r="J1490" i="2"/>
  <c r="J1161" i="2"/>
  <c r="J418" i="2"/>
  <c r="J816" i="2"/>
  <c r="J817" i="2"/>
  <c r="J818" i="2"/>
  <c r="J360" i="2"/>
  <c r="J361" i="2"/>
  <c r="J362" i="2"/>
  <c r="J819" i="2"/>
  <c r="J363" i="2"/>
  <c r="J1354" i="2"/>
  <c r="J364" i="2"/>
  <c r="J814" i="2"/>
  <c r="J1444" i="2"/>
  <c r="J424" i="2"/>
  <c r="J820" i="2"/>
  <c r="J821" i="2"/>
  <c r="J419" i="2"/>
  <c r="J422" i="2"/>
  <c r="J423" i="2"/>
  <c r="J1416" i="2"/>
  <c r="J822" i="2"/>
  <c r="J622" i="2"/>
  <c r="J1009" i="2"/>
  <c r="J420" i="2"/>
  <c r="J623" i="2"/>
  <c r="J1055" i="2"/>
  <c r="J1441" i="2"/>
  <c r="J1442" i="2"/>
  <c r="J421" i="2"/>
  <c r="J1053" i="2"/>
  <c r="J624" i="2"/>
  <c r="J625" i="2"/>
  <c r="J1054" i="2"/>
  <c r="J1443" i="2"/>
  <c r="J626" i="2"/>
  <c r="J627" i="2"/>
  <c r="J1220" i="2"/>
  <c r="J1221" i="2"/>
  <c r="J1233" i="2"/>
  <c r="J1184" i="2"/>
  <c r="J1185" i="2"/>
  <c r="J1222" i="2"/>
  <c r="J1223" i="2"/>
  <c r="J1216" i="2"/>
  <c r="J1224" i="2"/>
  <c r="J628" i="2"/>
  <c r="J1183" i="2"/>
  <c r="J629" i="2"/>
  <c r="J1186" i="2"/>
  <c r="J1187" i="2"/>
  <c r="J1188" i="2"/>
  <c r="J630" i="2"/>
  <c r="J1234" i="2"/>
  <c r="J1225" i="2"/>
  <c r="J1244" i="2"/>
  <c r="J1226" i="2"/>
  <c r="J619" i="2"/>
  <c r="J620" i="2"/>
  <c r="J1227" i="2"/>
  <c r="J621" i="2"/>
  <c r="J1217" i="2"/>
  <c r="J1235" i="2"/>
  <c r="J1228" i="2"/>
  <c r="J856" i="2"/>
  <c r="J857" i="2"/>
  <c r="J1189" i="2"/>
  <c r="J1010" i="2"/>
  <c r="J1011" i="2"/>
  <c r="J512" i="2"/>
  <c r="J514" i="2"/>
  <c r="J506" i="2"/>
  <c r="J507" i="2"/>
  <c r="J1218" i="2"/>
  <c r="J1236" i="2"/>
  <c r="J508" i="2"/>
  <c r="J66" i="2"/>
  <c r="J67" i="2"/>
  <c r="J68" i="2"/>
  <c r="J69" i="2"/>
  <c r="J70" i="2"/>
  <c r="J71" i="2"/>
  <c r="J72" i="2"/>
  <c r="J1237" i="2"/>
  <c r="J1238" i="2"/>
  <c r="J509" i="2"/>
  <c r="J300" i="2"/>
  <c r="J1245" i="2"/>
  <c r="J1229" i="2"/>
  <c r="J73" i="2"/>
  <c r="J74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312" i="2"/>
  <c r="J1239" i="2"/>
  <c r="J513" i="2"/>
  <c r="J903" i="2"/>
  <c r="J515" i="2"/>
  <c r="J815" i="2"/>
  <c r="J1246" i="2"/>
  <c r="J891" i="2"/>
  <c r="J890" i="2"/>
  <c r="J892" i="2"/>
  <c r="J904" i="2"/>
  <c r="J895" i="2"/>
  <c r="J893" i="2"/>
  <c r="J896" i="2"/>
  <c r="J631" i="2"/>
  <c r="J59" i="2"/>
  <c r="J60" i="2"/>
  <c r="J61" i="2"/>
  <c r="J62" i="2"/>
  <c r="J63" i="2"/>
  <c r="J64" i="2"/>
  <c r="J65" i="2"/>
  <c r="J897" i="2"/>
  <c r="J894" i="2"/>
  <c r="J899" i="2"/>
  <c r="J898" i="2"/>
  <c r="J888" i="2"/>
  <c r="J889" i="2"/>
  <c r="J617" i="2"/>
  <c r="J510" i="2"/>
  <c r="J301" i="2"/>
  <c r="J905" i="2"/>
  <c r="J902" i="2"/>
  <c r="J900" i="2"/>
  <c r="J906" i="2"/>
  <c r="J907" i="2"/>
  <c r="J901" i="2"/>
  <c r="J1219" i="2"/>
  <c r="J632" i="2"/>
  <c r="J516" i="2"/>
  <c r="J803" i="2"/>
  <c r="J804" i="2"/>
  <c r="J1240" i="2"/>
  <c r="J1230" i="2"/>
  <c r="J618" i="2"/>
  <c r="J642" i="2"/>
  <c r="J633" i="2"/>
  <c r="J1004" i="2"/>
  <c r="J990" i="2"/>
  <c r="J302" i="2"/>
  <c r="J1293" i="2"/>
  <c r="J1231" i="2"/>
  <c r="J1241" i="2"/>
  <c r="J303" i="2"/>
  <c r="J1298" i="2"/>
  <c r="J1294" i="2"/>
  <c r="J806" i="2"/>
  <c r="J805" i="2"/>
  <c r="J311" i="2"/>
  <c r="J299" i="2"/>
  <c r="J297" i="2"/>
  <c r="J1012" i="2"/>
  <c r="J1242" i="2"/>
  <c r="J298" i="2"/>
  <c r="J1243" i="2"/>
  <c r="J1287" i="2"/>
  <c r="J1288" i="2"/>
  <c r="J991" i="2"/>
  <c r="J992" i="2"/>
  <c r="J1013" i="2"/>
  <c r="J504" i="2"/>
  <c r="J1232" i="2"/>
  <c r="J1014" i="2"/>
  <c r="J1015" i="2"/>
  <c r="J511" i="2"/>
  <c r="J500" i="2"/>
  <c r="J304" i="2"/>
  <c r="J305" i="2"/>
  <c r="J995" i="2"/>
  <c r="J1005" i="2"/>
  <c r="J858" i="2"/>
  <c r="J859" i="2"/>
  <c r="J1297" i="2"/>
  <c r="J1295" i="2"/>
  <c r="J1296" i="2"/>
  <c r="J1290" i="2"/>
  <c r="J860" i="2"/>
  <c r="J503" i="2"/>
  <c r="J634" i="2"/>
  <c r="J635" i="2"/>
  <c r="J636" i="2"/>
  <c r="J637" i="2"/>
  <c r="J638" i="2"/>
  <c r="J639" i="2"/>
  <c r="J640" i="2"/>
  <c r="J641" i="2"/>
  <c r="J306" i="2"/>
  <c r="J307" i="2"/>
  <c r="J501" i="2"/>
  <c r="J1291" i="2"/>
  <c r="J1292" i="2"/>
  <c r="J1289" i="2"/>
  <c r="J993" i="2"/>
  <c r="J994" i="2"/>
  <c r="J502" i="2"/>
  <c r="J499" i="2"/>
  <c r="J1315" i="2"/>
  <c r="J1316" i="2"/>
  <c r="J1313" i="2"/>
  <c r="J310" i="2"/>
  <c r="J1314" i="2"/>
  <c r="J308" i="2"/>
  <c r="J309" i="2"/>
  <c r="J40" i="2"/>
  <c r="J751" i="2"/>
  <c r="J753" i="2"/>
  <c r="J754" i="2"/>
  <c r="J752" i="2"/>
  <c r="J391" i="2"/>
  <c r="J755" i="2"/>
  <c r="J756" i="2"/>
  <c r="J757" i="2"/>
  <c r="J758" i="2"/>
  <c r="J386" i="2"/>
  <c r="J387" i="2"/>
  <c r="J388" i="2"/>
  <c r="J389" i="2"/>
  <c r="J390" i="2"/>
  <c r="J392" i="2"/>
  <c r="Q1267" i="2" l="1"/>
  <c r="Q1347" i="2"/>
  <c r="R1347" i="2" s="1"/>
  <c r="S1347" i="2" s="1"/>
  <c r="Q1336" i="2"/>
  <c r="R1336" i="2" s="1"/>
  <c r="S1336" i="2" s="1"/>
  <c r="Q1326" i="2"/>
  <c r="R1326" i="2" s="1"/>
  <c r="S1326" i="2" s="1"/>
  <c r="Q1337" i="2"/>
  <c r="R1337" i="2" s="1"/>
  <c r="S1337" i="2" s="1"/>
  <c r="Q1327" i="2"/>
  <c r="R1327" i="2" s="1"/>
  <c r="S1327" i="2" s="1"/>
  <c r="Q1480" i="2"/>
  <c r="R1480" i="2" s="1"/>
  <c r="S1480" i="2" s="1"/>
  <c r="Q1481" i="2"/>
  <c r="R1481" i="2" s="1"/>
  <c r="S1481" i="2" s="1"/>
  <c r="Q1482" i="2"/>
  <c r="R1482" i="2" s="1"/>
  <c r="S1482" i="2" s="1"/>
  <c r="Q1483" i="2"/>
  <c r="R1483" i="2" s="1"/>
  <c r="S1483" i="2" s="1"/>
  <c r="Q1484" i="2"/>
  <c r="R1484" i="2" s="1"/>
  <c r="S1484" i="2" s="1"/>
  <c r="Q1070" i="2"/>
  <c r="R1070" i="2" s="1"/>
  <c r="S1070" i="2" s="1"/>
  <c r="Q1071" i="2"/>
  <c r="R1071" i="2" s="1"/>
  <c r="S1071" i="2" s="1"/>
  <c r="Q1072" i="2"/>
  <c r="R1072" i="2" s="1"/>
  <c r="S1072" i="2" s="1"/>
  <c r="Q1094" i="2"/>
  <c r="R1094" i="2" s="1"/>
  <c r="S1094" i="2" s="1"/>
  <c r="Q1129" i="2"/>
  <c r="R1129" i="2" s="1"/>
  <c r="S1129" i="2" s="1"/>
  <c r="Q1130" i="2"/>
  <c r="R1130" i="2" s="1"/>
  <c r="S1130" i="2" s="1"/>
  <c r="Q1338" i="2"/>
  <c r="R1338" i="2" s="1"/>
  <c r="S1338" i="2" s="1"/>
  <c r="Q1339" i="2"/>
  <c r="R1339" i="2" s="1"/>
  <c r="S1339" i="2" s="1"/>
  <c r="Q1340" i="2"/>
  <c r="R1340" i="2" s="1"/>
  <c r="S1340" i="2" s="1"/>
  <c r="Q1131" i="2"/>
  <c r="R1131" i="2" s="1"/>
  <c r="S1131" i="2" s="1"/>
  <c r="Q1485" i="2"/>
  <c r="R1485" i="2" s="1"/>
  <c r="S1485" i="2" s="1"/>
  <c r="Q1089" i="2"/>
  <c r="R1089" i="2" s="1"/>
  <c r="S1089" i="2" s="1"/>
  <c r="Q1090" i="2"/>
  <c r="R1090" i="2" s="1"/>
  <c r="S1090" i="2" s="1"/>
  <c r="Q1321" i="2"/>
  <c r="R1321" i="2" s="1"/>
  <c r="S1321" i="2" s="1"/>
  <c r="Q1343" i="2"/>
  <c r="R1343" i="2" s="1"/>
  <c r="S1343" i="2" s="1"/>
  <c r="Q1344" i="2"/>
  <c r="R1344" i="2" s="1"/>
  <c r="S1344" i="2" s="1"/>
  <c r="Q1345" i="2"/>
  <c r="R1345" i="2" s="1"/>
  <c r="S1345" i="2" s="1"/>
  <c r="Q1328" i="2"/>
  <c r="R1328" i="2" s="1"/>
  <c r="S1328" i="2" s="1"/>
  <c r="Q1329" i="2"/>
  <c r="R1329" i="2" s="1"/>
  <c r="S1329" i="2" s="1"/>
  <c r="Q1330" i="2"/>
  <c r="R1330" i="2" s="1"/>
  <c r="S1330" i="2" s="1"/>
  <c r="Q1331" i="2"/>
  <c r="R1331" i="2" s="1"/>
  <c r="S1331" i="2" s="1"/>
  <c r="Q1332" i="2"/>
  <c r="R1332" i="2" s="1"/>
  <c r="S1332" i="2" s="1"/>
  <c r="Q1333" i="2"/>
  <c r="R1333" i="2" s="1"/>
  <c r="S1333" i="2" s="1"/>
  <c r="Q1341" i="2"/>
  <c r="R1341" i="2" s="1"/>
  <c r="S1341" i="2" s="1"/>
  <c r="Q1334" i="2"/>
  <c r="R1334" i="2" s="1"/>
  <c r="S1334" i="2" s="1"/>
  <c r="Q1335" i="2"/>
  <c r="R1335" i="2" s="1"/>
  <c r="S1335" i="2" s="1"/>
  <c r="Q988" i="2"/>
  <c r="R988" i="2" s="1"/>
  <c r="S988" i="2" s="1"/>
  <c r="Q1468" i="2"/>
  <c r="R1468" i="2" s="1"/>
  <c r="S1468" i="2" s="1"/>
  <c r="Q1469" i="2"/>
  <c r="R1469" i="2" s="1"/>
  <c r="S1469" i="2" s="1"/>
  <c r="Q1477" i="2"/>
  <c r="R1477" i="2" s="1"/>
  <c r="S1477" i="2" s="1"/>
  <c r="Q1470" i="2"/>
  <c r="R1470" i="2" s="1"/>
  <c r="S1470" i="2" s="1"/>
  <c r="Q1478" i="2"/>
  <c r="R1478" i="2" s="1"/>
  <c r="S1478" i="2" s="1"/>
  <c r="Q1462" i="2"/>
  <c r="R1462" i="2" s="1"/>
  <c r="S1462" i="2" s="1"/>
  <c r="Q1132" i="2"/>
  <c r="R1132" i="2" s="1"/>
  <c r="S1132" i="2" s="1"/>
  <c r="Q1133" i="2"/>
  <c r="R1133" i="2" s="1"/>
  <c r="S1133" i="2" s="1"/>
  <c r="Q1134" i="2"/>
  <c r="R1134" i="2" s="1"/>
  <c r="S1134" i="2" s="1"/>
  <c r="Q1135" i="2"/>
  <c r="R1135" i="2" s="1"/>
  <c r="S1135" i="2" s="1"/>
  <c r="Q1136" i="2"/>
  <c r="R1136" i="2" s="1"/>
  <c r="S1136" i="2" s="1"/>
  <c r="Q1137" i="2"/>
  <c r="R1137" i="2" s="1"/>
  <c r="S1137" i="2" s="1"/>
  <c r="Q1138" i="2"/>
  <c r="R1138" i="2" s="1"/>
  <c r="S1138" i="2" s="1"/>
  <c r="Q1063" i="2"/>
  <c r="R1063" i="2" s="1"/>
  <c r="S1063" i="2" s="1"/>
  <c r="Q1064" i="2"/>
  <c r="R1064" i="2" s="1"/>
  <c r="S1064" i="2" s="1"/>
  <c r="Q1065" i="2"/>
  <c r="R1065" i="2" s="1"/>
  <c r="S1065" i="2" s="1"/>
  <c r="Q1066" i="2"/>
  <c r="R1066" i="2" s="1"/>
  <c r="S1066" i="2" s="1"/>
  <c r="Q1091" i="2"/>
  <c r="R1091" i="2" s="1"/>
  <c r="S1091" i="2" s="1"/>
  <c r="Q1322" i="2"/>
  <c r="R1322" i="2" s="1"/>
  <c r="S1322" i="2" s="1"/>
  <c r="Q1323" i="2"/>
  <c r="R1323" i="2" s="1"/>
  <c r="S1323" i="2" s="1"/>
  <c r="Q1324" i="2"/>
  <c r="R1324" i="2" s="1"/>
  <c r="S1324" i="2" s="1"/>
  <c r="Q204" i="2"/>
  <c r="R204" i="2" s="1"/>
  <c r="S204" i="2" s="1"/>
  <c r="Q1486" i="2"/>
  <c r="R1486" i="2" s="1"/>
  <c r="S1486" i="2" s="1"/>
  <c r="Q1487" i="2"/>
  <c r="R1487" i="2" s="1"/>
  <c r="S1487" i="2" s="1"/>
  <c r="Q205" i="2"/>
  <c r="R205" i="2" s="1"/>
  <c r="S205" i="2" s="1"/>
  <c r="Q1097" i="2"/>
  <c r="R1097" i="2" s="1"/>
  <c r="S1097" i="2" s="1"/>
  <c r="Q1471" i="2"/>
  <c r="R1471" i="2" s="1"/>
  <c r="S1471" i="2" s="1"/>
  <c r="Q1472" i="2"/>
  <c r="R1472" i="2" s="1"/>
  <c r="S1472" i="2" s="1"/>
  <c r="Q1139" i="2"/>
  <c r="R1139" i="2" s="1"/>
  <c r="S1139" i="2" s="1"/>
  <c r="Q1140" i="2"/>
  <c r="R1140" i="2" s="1"/>
  <c r="S1140" i="2" s="1"/>
  <c r="Q1141" i="2"/>
  <c r="R1141" i="2" s="1"/>
  <c r="S1141" i="2" s="1"/>
  <c r="Q1142" i="2"/>
  <c r="R1142" i="2" s="1"/>
  <c r="S1142" i="2" s="1"/>
  <c r="Q1143" i="2"/>
  <c r="R1143" i="2" s="1"/>
  <c r="S1143" i="2" s="1"/>
  <c r="Q1035" i="2"/>
  <c r="R1035" i="2" s="1"/>
  <c r="S1035" i="2" s="1"/>
  <c r="Q1092" i="2"/>
  <c r="R1092" i="2" s="1"/>
  <c r="S1092" i="2" s="1"/>
  <c r="Q1067" i="2"/>
  <c r="R1067" i="2" s="1"/>
  <c r="S1067" i="2" s="1"/>
  <c r="Q1093" i="2"/>
  <c r="R1093" i="2" s="1"/>
  <c r="S1093" i="2" s="1"/>
  <c r="Q1073" i="2"/>
  <c r="R1073" i="2" s="1"/>
  <c r="S1073" i="2" s="1"/>
  <c r="Q1074" i="2"/>
  <c r="R1074" i="2" s="1"/>
  <c r="S1074" i="2" s="1"/>
  <c r="Q1068" i="2"/>
  <c r="R1068" i="2" s="1"/>
  <c r="S1068" i="2" s="1"/>
  <c r="Q1069" i="2"/>
  <c r="R1069" i="2" s="1"/>
  <c r="S1069" i="2" s="1"/>
  <c r="Q1473" i="2"/>
  <c r="R1473" i="2" s="1"/>
  <c r="S1473" i="2" s="1"/>
  <c r="Q1488" i="2"/>
  <c r="R1488" i="2" s="1"/>
  <c r="S1488" i="2" s="1"/>
  <c r="Q1346" i="2"/>
  <c r="R1346" i="2" s="1"/>
  <c r="S1346" i="2" s="1"/>
  <c r="Q980" i="2"/>
  <c r="R980" i="2" s="1"/>
  <c r="S980" i="2" s="1"/>
  <c r="Q981" i="2"/>
  <c r="R981" i="2" s="1"/>
  <c r="S981" i="2" s="1"/>
  <c r="Q982" i="2"/>
  <c r="R982" i="2" s="1"/>
  <c r="S982" i="2" s="1"/>
  <c r="Q1144" i="2"/>
  <c r="R1144" i="2" s="1"/>
  <c r="S1144" i="2" s="1"/>
  <c r="Q1145" i="2"/>
  <c r="R1145" i="2" s="1"/>
  <c r="S1145" i="2" s="1"/>
  <c r="Q1474" i="2"/>
  <c r="R1474" i="2" s="1"/>
  <c r="S1474" i="2" s="1"/>
  <c r="Q1433" i="2"/>
  <c r="R1433" i="2" s="1"/>
  <c r="S1433" i="2" s="1"/>
  <c r="Q1125" i="2"/>
  <c r="R1125" i="2" s="1"/>
  <c r="S1125" i="2" s="1"/>
  <c r="Q1075" i="2"/>
  <c r="R1075" i="2" s="1"/>
  <c r="S1075" i="2" s="1"/>
  <c r="Q1076" i="2"/>
  <c r="R1076" i="2" s="1"/>
  <c r="S1076" i="2" s="1"/>
  <c r="Q1077" i="2"/>
  <c r="R1077" i="2" s="1"/>
  <c r="S1077" i="2" s="1"/>
  <c r="Q1475" i="2"/>
  <c r="R1475" i="2" s="1"/>
  <c r="S1475" i="2" s="1"/>
  <c r="Q1146" i="2"/>
  <c r="R1146" i="2" s="1"/>
  <c r="S1146" i="2" s="1"/>
  <c r="Q1149" i="2"/>
  <c r="R1149" i="2" s="1"/>
  <c r="S1149" i="2" s="1"/>
  <c r="Q206" i="2"/>
  <c r="R206" i="2" s="1"/>
  <c r="S206" i="2" s="1"/>
  <c r="Q1147" i="2"/>
  <c r="R1147" i="2" s="1"/>
  <c r="S1147" i="2" s="1"/>
  <c r="Q1148" i="2"/>
  <c r="R1148" i="2" s="1"/>
  <c r="S1148" i="2" s="1"/>
  <c r="Q1078" i="2"/>
  <c r="R1078" i="2" s="1"/>
  <c r="S1078" i="2" s="1"/>
  <c r="Q1079" i="2"/>
  <c r="R1079" i="2" s="1"/>
  <c r="S1079" i="2" s="1"/>
  <c r="Q1080" i="2"/>
  <c r="R1080" i="2" s="1"/>
  <c r="S1080" i="2" s="1"/>
  <c r="Q1081" i="2"/>
  <c r="R1081" i="2" s="1"/>
  <c r="S1081" i="2" s="1"/>
  <c r="Q1095" i="2"/>
  <c r="R1095" i="2" s="1"/>
  <c r="S1095" i="2" s="1"/>
  <c r="Q1082" i="2"/>
  <c r="R1082" i="2" s="1"/>
  <c r="S1082" i="2" s="1"/>
  <c r="Q354" i="2"/>
  <c r="R354" i="2" s="1"/>
  <c r="S354" i="2" s="1"/>
  <c r="Q1083" i="2"/>
  <c r="R1083" i="2" s="1"/>
  <c r="S1083" i="2" s="1"/>
  <c r="Q1084" i="2"/>
  <c r="R1084" i="2" s="1"/>
  <c r="S1084" i="2" s="1"/>
  <c r="Q965" i="2"/>
  <c r="R965" i="2" s="1"/>
  <c r="S965" i="2" s="1"/>
  <c r="Q966" i="2"/>
  <c r="R966" i="2" s="1"/>
  <c r="S966" i="2" s="1"/>
  <c r="Q1096" i="2"/>
  <c r="R1096" i="2" s="1"/>
  <c r="S1096" i="2" s="1"/>
  <c r="Q1085" i="2"/>
  <c r="R1085" i="2" s="1"/>
  <c r="S1085" i="2" s="1"/>
  <c r="Q1086" i="2"/>
  <c r="R1086" i="2" s="1"/>
  <c r="S1086" i="2" s="1"/>
  <c r="Q1087" i="2"/>
  <c r="R1087" i="2" s="1"/>
  <c r="S1087" i="2" s="1"/>
  <c r="Q1088" i="2"/>
  <c r="R1088" i="2" s="1"/>
  <c r="S1088" i="2" s="1"/>
  <c r="Q1036" i="2"/>
  <c r="R1036" i="2" s="1"/>
  <c r="S1036" i="2" s="1"/>
  <c r="Q983" i="2"/>
  <c r="R983" i="2" s="1"/>
  <c r="S983" i="2" s="1"/>
  <c r="Q989" i="2"/>
  <c r="R989" i="2" s="1"/>
  <c r="S989" i="2" s="1"/>
  <c r="Q1423" i="2"/>
  <c r="R1423" i="2" s="1"/>
  <c r="S1423" i="2" s="1"/>
  <c r="Q1424" i="2"/>
  <c r="R1424" i="2" s="1"/>
  <c r="S1424" i="2" s="1"/>
  <c r="Q1425" i="2"/>
  <c r="R1425" i="2" s="1"/>
  <c r="S1425" i="2" s="1"/>
  <c r="Q1461" i="2"/>
  <c r="R1461" i="2" s="1"/>
  <c r="S1461" i="2" s="1"/>
  <c r="Q1436" i="2"/>
  <c r="R1436" i="2" s="1"/>
  <c r="S1436" i="2" s="1"/>
  <c r="Q1434" i="2"/>
  <c r="R1434" i="2" s="1"/>
  <c r="S1434" i="2" s="1"/>
  <c r="Q1435" i="2"/>
  <c r="R1435" i="2" s="1"/>
  <c r="S1435" i="2" s="1"/>
  <c r="Q1426" i="2"/>
  <c r="R1426" i="2" s="1"/>
  <c r="S1426" i="2" s="1"/>
  <c r="Q1126" i="2"/>
  <c r="R1126" i="2" s="1"/>
  <c r="S1126" i="2" s="1"/>
  <c r="Q1037" i="2"/>
  <c r="R1037" i="2" s="1"/>
  <c r="S1037" i="2" s="1"/>
  <c r="Q412" i="2"/>
  <c r="R412" i="2" s="1"/>
  <c r="S412" i="2" s="1"/>
  <c r="Q984" i="2"/>
  <c r="R984" i="2" s="1"/>
  <c r="S984" i="2" s="1"/>
  <c r="Q971" i="2"/>
  <c r="R971" i="2" s="1"/>
  <c r="S971" i="2" s="1"/>
  <c r="Q1463" i="2"/>
  <c r="R1463" i="2" s="1"/>
  <c r="S1463" i="2" s="1"/>
  <c r="Q964" i="2"/>
  <c r="R964" i="2" s="1"/>
  <c r="S964" i="2" s="1"/>
  <c r="Q789" i="2"/>
  <c r="R789" i="2" s="1"/>
  <c r="S789" i="2" s="1"/>
  <c r="Q985" i="2"/>
  <c r="R985" i="2" s="1"/>
  <c r="S985" i="2" s="1"/>
  <c r="Q972" i="2"/>
  <c r="R972" i="2" s="1"/>
  <c r="S972" i="2" s="1"/>
  <c r="Q1479" i="2"/>
  <c r="R1479" i="2" s="1"/>
  <c r="S1479" i="2" s="1"/>
  <c r="Q1476" i="2"/>
  <c r="R1476" i="2" s="1"/>
  <c r="S1476" i="2" s="1"/>
  <c r="Q1127" i="2"/>
  <c r="R1127" i="2" s="1"/>
  <c r="S1127" i="2" s="1"/>
  <c r="Q1038" i="2"/>
  <c r="R1038" i="2" s="1"/>
  <c r="S1038" i="2" s="1"/>
  <c r="Q986" i="2"/>
  <c r="R986" i="2" s="1"/>
  <c r="S986" i="2" s="1"/>
  <c r="Q359" i="2"/>
  <c r="R359" i="2" s="1"/>
  <c r="S359" i="2" s="1"/>
  <c r="Q790" i="2"/>
  <c r="R790" i="2" s="1"/>
  <c r="S790" i="2" s="1"/>
  <c r="Q343" i="2"/>
  <c r="R343" i="2" s="1"/>
  <c r="S343" i="2" s="1"/>
  <c r="Q355" i="2"/>
  <c r="R355" i="2" s="1"/>
  <c r="S355" i="2" s="1"/>
  <c r="Q348" i="2"/>
  <c r="R348" i="2" s="1"/>
  <c r="S348" i="2" s="1"/>
  <c r="Q344" i="2"/>
  <c r="R344" i="2" s="1"/>
  <c r="S344" i="2" s="1"/>
  <c r="Q349" i="2"/>
  <c r="R349" i="2" s="1"/>
  <c r="S349" i="2" s="1"/>
  <c r="Q350" i="2"/>
  <c r="R350" i="2" s="1"/>
  <c r="S350" i="2" s="1"/>
  <c r="Q351" i="2"/>
  <c r="R351" i="2" s="1"/>
  <c r="S351" i="2" s="1"/>
  <c r="Q345" i="2"/>
  <c r="R345" i="2" s="1"/>
  <c r="S345" i="2" s="1"/>
  <c r="Q346" i="2"/>
  <c r="R346" i="2" s="1"/>
  <c r="S346" i="2" s="1"/>
  <c r="Q356" i="2"/>
  <c r="R356" i="2" s="1"/>
  <c r="S356" i="2" s="1"/>
  <c r="Q357" i="2"/>
  <c r="R357" i="2" s="1"/>
  <c r="S357" i="2" s="1"/>
  <c r="Q352" i="2"/>
  <c r="R352" i="2" s="1"/>
  <c r="S352" i="2" s="1"/>
  <c r="Q347" i="2"/>
  <c r="R347" i="2" s="1"/>
  <c r="S347" i="2" s="1"/>
  <c r="Q413" i="2"/>
  <c r="R413" i="2" s="1"/>
  <c r="S413" i="2" s="1"/>
  <c r="Q414" i="2"/>
  <c r="R414" i="2" s="1"/>
  <c r="S414" i="2" s="1"/>
  <c r="Q791" i="2"/>
  <c r="R791" i="2" s="1"/>
  <c r="S791" i="2" s="1"/>
  <c r="Q782" i="2"/>
  <c r="R782" i="2" s="1"/>
  <c r="S782" i="2" s="1"/>
  <c r="Q353" i="2"/>
  <c r="R353" i="2" s="1"/>
  <c r="S353" i="2" s="1"/>
  <c r="Q398" i="2"/>
  <c r="R398" i="2" s="1"/>
  <c r="S398" i="2" s="1"/>
  <c r="Q783" i="2"/>
  <c r="R783" i="2" s="1"/>
  <c r="S783" i="2" s="1"/>
  <c r="Q399" i="2"/>
  <c r="R399" i="2" s="1"/>
  <c r="S399" i="2" s="1"/>
  <c r="Q415" i="2"/>
  <c r="R415" i="2" s="1"/>
  <c r="S415" i="2" s="1"/>
  <c r="Q400" i="2"/>
  <c r="R400" i="2" s="1"/>
  <c r="S400" i="2" s="1"/>
  <c r="Q401" i="2"/>
  <c r="R401" i="2" s="1"/>
  <c r="S401" i="2" s="1"/>
  <c r="Q358" i="2"/>
  <c r="R358" i="2" s="1"/>
  <c r="S358" i="2" s="1"/>
  <c r="Q1128" i="2"/>
  <c r="R1128" i="2" s="1"/>
  <c r="S1128" i="2" s="1"/>
  <c r="Q403" i="2"/>
  <c r="R403" i="2" s="1"/>
  <c r="S403" i="2" s="1"/>
  <c r="Q842" i="2"/>
  <c r="R842" i="2" s="1"/>
  <c r="S842" i="2" s="1"/>
  <c r="Q1427" i="2"/>
  <c r="R1427" i="2" s="1"/>
  <c r="S1427" i="2" s="1"/>
  <c r="Q1428" i="2"/>
  <c r="R1428" i="2" s="1"/>
  <c r="S1428" i="2" s="1"/>
  <c r="Q844" i="2"/>
  <c r="R844" i="2" s="1"/>
  <c r="S844" i="2" s="1"/>
  <c r="Q845" i="2"/>
  <c r="R845" i="2" s="1"/>
  <c r="S845" i="2" s="1"/>
  <c r="Q776" i="2"/>
  <c r="R776" i="2" s="1"/>
  <c r="S776" i="2" s="1"/>
  <c r="Q1050" i="2"/>
  <c r="R1050" i="2" s="1"/>
  <c r="S1050" i="2" s="1"/>
  <c r="Q1051" i="2"/>
  <c r="R1051" i="2" s="1"/>
  <c r="S1051" i="2" s="1"/>
  <c r="Q792" i="2"/>
  <c r="R792" i="2" s="1"/>
  <c r="S792" i="2" s="1"/>
  <c r="Q788" i="2"/>
  <c r="R788" i="2" s="1"/>
  <c r="S788" i="2" s="1"/>
  <c r="Q780" i="2"/>
  <c r="R780" i="2" s="1"/>
  <c r="S780" i="2" s="1"/>
  <c r="Q781" i="2"/>
  <c r="R781" i="2" s="1"/>
  <c r="S781" i="2" s="1"/>
  <c r="Q1310" i="2"/>
  <c r="R1310" i="2" s="1"/>
  <c r="S1310" i="2" s="1"/>
  <c r="Q404" i="2"/>
  <c r="R404" i="2" s="1"/>
  <c r="S404" i="2" s="1"/>
  <c r="Q405" i="2"/>
  <c r="R405" i="2" s="1"/>
  <c r="S405" i="2" s="1"/>
  <c r="Q406" i="2"/>
  <c r="R406" i="2" s="1"/>
  <c r="S406" i="2" s="1"/>
  <c r="Q402" i="2"/>
  <c r="R402" i="2" s="1"/>
  <c r="S402" i="2" s="1"/>
  <c r="Q416" i="2"/>
  <c r="R416" i="2" s="1"/>
  <c r="S416" i="2" s="1"/>
  <c r="Q850" i="2"/>
  <c r="R850" i="2" s="1"/>
  <c r="S850" i="2" s="1"/>
  <c r="Q793" i="2"/>
  <c r="R793" i="2" s="1"/>
  <c r="S793" i="2" s="1"/>
  <c r="Q1311" i="2"/>
  <c r="R1311" i="2" s="1"/>
  <c r="S1311" i="2" s="1"/>
  <c r="Q851" i="2"/>
  <c r="R851" i="2" s="1"/>
  <c r="S851" i="2" s="1"/>
  <c r="Q852" i="2"/>
  <c r="R852" i="2" s="1"/>
  <c r="S852" i="2" s="1"/>
  <c r="Q853" i="2"/>
  <c r="R853" i="2" s="1"/>
  <c r="S853" i="2" s="1"/>
  <c r="Q1429" i="2"/>
  <c r="R1429" i="2" s="1"/>
  <c r="S1429" i="2" s="1"/>
  <c r="Q1312" i="2"/>
  <c r="R1312" i="2" s="1"/>
  <c r="S1312" i="2" s="1"/>
  <c r="Q589" i="2"/>
  <c r="R589" i="2" s="1"/>
  <c r="S589" i="2" s="1"/>
  <c r="Q590" i="2"/>
  <c r="R590" i="2" s="1"/>
  <c r="S590" i="2" s="1"/>
  <c r="Q591" i="2"/>
  <c r="R591" i="2" s="1"/>
  <c r="S591" i="2" s="1"/>
  <c r="Q592" i="2"/>
  <c r="R592" i="2" s="1"/>
  <c r="S592" i="2" s="1"/>
  <c r="Q593" i="2"/>
  <c r="R593" i="2" s="1"/>
  <c r="S593" i="2" s="1"/>
  <c r="Q796" i="2"/>
  <c r="R796" i="2" s="1"/>
  <c r="S796" i="2" s="1"/>
  <c r="Q407" i="2"/>
  <c r="R407" i="2" s="1"/>
  <c r="S407" i="2" s="1"/>
  <c r="Q594" i="2"/>
  <c r="R594" i="2" s="1"/>
  <c r="S594" i="2" s="1"/>
  <c r="Q595" i="2"/>
  <c r="R595" i="2" s="1"/>
  <c r="S595" i="2" s="1"/>
  <c r="Q596" i="2"/>
  <c r="R596" i="2" s="1"/>
  <c r="S596" i="2" s="1"/>
  <c r="Q1430" i="2"/>
  <c r="R1430" i="2" s="1"/>
  <c r="S1430" i="2" s="1"/>
  <c r="Q1431" i="2"/>
  <c r="R1431" i="2" s="1"/>
  <c r="S1431" i="2" s="1"/>
  <c r="Q1199" i="2"/>
  <c r="R1199" i="2" s="1"/>
  <c r="S1199" i="2" s="1"/>
  <c r="Q417" i="2"/>
  <c r="R417" i="2" s="1"/>
  <c r="S417" i="2" s="1"/>
  <c r="Q779" i="2"/>
  <c r="R779" i="2" s="1"/>
  <c r="S779" i="2" s="1"/>
  <c r="Q785" i="2"/>
  <c r="R785" i="2" s="1"/>
  <c r="S785" i="2" s="1"/>
  <c r="Q786" i="2"/>
  <c r="R786" i="2" s="1"/>
  <c r="S786" i="2" s="1"/>
  <c r="Q787" i="2"/>
  <c r="R787" i="2" s="1"/>
  <c r="S787" i="2" s="1"/>
  <c r="Q408" i="2"/>
  <c r="R408" i="2" s="1"/>
  <c r="S408" i="2" s="1"/>
  <c r="Q409" i="2"/>
  <c r="R409" i="2" s="1"/>
  <c r="S409" i="2" s="1"/>
  <c r="Q410" i="2"/>
  <c r="R410" i="2" s="1"/>
  <c r="S410" i="2" s="1"/>
  <c r="Q411" i="2"/>
  <c r="R411" i="2" s="1"/>
  <c r="S411" i="2" s="1"/>
  <c r="Q616" i="2"/>
  <c r="R616" i="2" s="1"/>
  <c r="S616" i="2" s="1"/>
  <c r="Q612" i="2"/>
  <c r="R612" i="2" s="1"/>
  <c r="S612" i="2" s="1"/>
  <c r="Q608" i="2"/>
  <c r="R608" i="2" s="1"/>
  <c r="S608" i="2" s="1"/>
  <c r="Q1052" i="2"/>
  <c r="R1052" i="2" s="1"/>
  <c r="S1052" i="2" s="1"/>
  <c r="Q604" i="2"/>
  <c r="R604" i="2" s="1"/>
  <c r="S604" i="2" s="1"/>
  <c r="Q1180" i="2"/>
  <c r="R1180" i="2" s="1"/>
  <c r="S1180" i="2" s="1"/>
  <c r="Q1200" i="2"/>
  <c r="R1200" i="2" s="1"/>
  <c r="S1200" i="2" s="1"/>
  <c r="Q1197" i="2"/>
  <c r="R1197" i="2" s="1"/>
  <c r="S1197" i="2" s="1"/>
  <c r="Q1201" i="2"/>
  <c r="R1201" i="2" s="1"/>
  <c r="S1201" i="2" s="1"/>
  <c r="Q605" i="2"/>
  <c r="R605" i="2" s="1"/>
  <c r="S605" i="2" s="1"/>
  <c r="Q1181" i="2"/>
  <c r="R1181" i="2" s="1"/>
  <c r="S1181" i="2" s="1"/>
  <c r="Q258" i="2"/>
  <c r="R258" i="2" s="1"/>
  <c r="S258" i="2" s="1"/>
  <c r="Q846" i="2"/>
  <c r="R846" i="2" s="1"/>
  <c r="S846" i="2" s="1"/>
  <c r="Q259" i="2"/>
  <c r="R259" i="2" s="1"/>
  <c r="S259" i="2" s="1"/>
  <c r="Q1202" i="2"/>
  <c r="R1202" i="2" s="1"/>
  <c r="S1202" i="2" s="1"/>
  <c r="Q802" i="2"/>
  <c r="R802" i="2" s="1"/>
  <c r="S802" i="2" s="1"/>
  <c r="Q1203" i="2"/>
  <c r="R1203" i="2" s="1"/>
  <c r="S1203" i="2" s="1"/>
  <c r="Q1204" i="2"/>
  <c r="R1204" i="2" s="1"/>
  <c r="S1204" i="2" s="1"/>
  <c r="Q795" i="2"/>
  <c r="R795" i="2" s="1"/>
  <c r="S795" i="2" s="1"/>
  <c r="Q1205" i="2"/>
  <c r="R1205" i="2" s="1"/>
  <c r="S1205" i="2" s="1"/>
  <c r="Q260" i="2"/>
  <c r="R260" i="2" s="1"/>
  <c r="S260" i="2" s="1"/>
  <c r="Q261" i="2"/>
  <c r="R261" i="2" s="1"/>
  <c r="S261" i="2" s="1"/>
  <c r="Q452" i="2"/>
  <c r="R452" i="2" s="1"/>
  <c r="S452" i="2" s="1"/>
  <c r="Q1206" i="2"/>
  <c r="R1206" i="2" s="1"/>
  <c r="S1206" i="2" s="1"/>
  <c r="Q262" i="2"/>
  <c r="R262" i="2" s="1"/>
  <c r="S262" i="2" s="1"/>
  <c r="Q606" i="2"/>
  <c r="R606" i="2" s="1"/>
  <c r="S606" i="2" s="1"/>
  <c r="Q469" i="2"/>
  <c r="R469" i="2" s="1"/>
  <c r="S469" i="2" s="1"/>
  <c r="Q470" i="2"/>
  <c r="R470" i="2" s="1"/>
  <c r="S470" i="2" s="1"/>
  <c r="Q566" i="2"/>
  <c r="R566" i="2" s="1"/>
  <c r="S566" i="2" s="1"/>
  <c r="Q263" i="2"/>
  <c r="R263" i="2" s="1"/>
  <c r="S263" i="2" s="1"/>
  <c r="Q252" i="2"/>
  <c r="R252" i="2" s="1"/>
  <c r="S252" i="2" s="1"/>
  <c r="Q1207" i="2"/>
  <c r="R1207" i="2" s="1"/>
  <c r="S1207" i="2" s="1"/>
  <c r="Q1208" i="2"/>
  <c r="R1208" i="2" s="1"/>
  <c r="S1208" i="2" s="1"/>
  <c r="Q2" i="2"/>
  <c r="R2" i="2" s="1"/>
  <c r="S2" i="2" s="1"/>
  <c r="Q3" i="2"/>
  <c r="R3" i="2" s="1"/>
  <c r="S3" i="2" s="1"/>
  <c r="Q4" i="2"/>
  <c r="R4" i="2" s="1"/>
  <c r="S4" i="2" s="1"/>
  <c r="Q1215" i="2"/>
  <c r="R1215" i="2" s="1"/>
  <c r="S1215" i="2" s="1"/>
  <c r="Q1213" i="2"/>
  <c r="R1213" i="2" s="1"/>
  <c r="S1213" i="2" s="1"/>
  <c r="Q497" i="2"/>
  <c r="R497" i="2" s="1"/>
  <c r="S497" i="2" s="1"/>
  <c r="Q264" i="2"/>
  <c r="R264" i="2" s="1"/>
  <c r="S264" i="2" s="1"/>
  <c r="Q256" i="2"/>
  <c r="R256" i="2" s="1"/>
  <c r="S256" i="2" s="1"/>
  <c r="Q265" i="2"/>
  <c r="R265" i="2" s="1"/>
  <c r="S265" i="2" s="1"/>
  <c r="Q5" i="2"/>
  <c r="R5" i="2" s="1"/>
  <c r="S5" i="2" s="1"/>
  <c r="Q6" i="2"/>
  <c r="R6" i="2" s="1"/>
  <c r="S6" i="2" s="1"/>
  <c r="Q567" i="2"/>
  <c r="R567" i="2" s="1"/>
  <c r="S567" i="2" s="1"/>
  <c r="Q471" i="2"/>
  <c r="R471" i="2" s="1"/>
  <c r="S471" i="2" s="1"/>
  <c r="Q472" i="2"/>
  <c r="R472" i="2" s="1"/>
  <c r="S472" i="2" s="1"/>
  <c r="Q7" i="2"/>
  <c r="R7" i="2" s="1"/>
  <c r="S7" i="2" s="1"/>
  <c r="Q8" i="2"/>
  <c r="R8" i="2" s="1"/>
  <c r="S8" i="2" s="1"/>
  <c r="Q9" i="2"/>
  <c r="R9" i="2" s="1"/>
  <c r="S9" i="2" s="1"/>
  <c r="Q10" i="2"/>
  <c r="R10" i="2" s="1"/>
  <c r="S10" i="2" s="1"/>
  <c r="Q11" i="2"/>
  <c r="R11" i="2" s="1"/>
  <c r="S11" i="2" s="1"/>
  <c r="Q12" i="2"/>
  <c r="R12" i="2" s="1"/>
  <c r="S12" i="2" s="1"/>
  <c r="Q13" i="2"/>
  <c r="R13" i="2" s="1"/>
  <c r="S13" i="2" s="1"/>
  <c r="Q14" i="2"/>
  <c r="R14" i="2" s="1"/>
  <c r="S14" i="2" s="1"/>
  <c r="Q15" i="2"/>
  <c r="R15" i="2" s="1"/>
  <c r="S15" i="2" s="1"/>
  <c r="Q16" i="2"/>
  <c r="R16" i="2" s="1"/>
  <c r="S16" i="2" s="1"/>
  <c r="Q17" i="2"/>
  <c r="R17" i="2" s="1"/>
  <c r="S17" i="2" s="1"/>
  <c r="Q18" i="2"/>
  <c r="R18" i="2" s="1"/>
  <c r="S18" i="2" s="1"/>
  <c r="Q19" i="2"/>
  <c r="R19" i="2" s="1"/>
  <c r="S19" i="2" s="1"/>
  <c r="Q20" i="2"/>
  <c r="R20" i="2" s="1"/>
  <c r="S20" i="2" s="1"/>
  <c r="Q21" i="2"/>
  <c r="R21" i="2" s="1"/>
  <c r="S21" i="2" s="1"/>
  <c r="Q22" i="2"/>
  <c r="R22" i="2" s="1"/>
  <c r="S22" i="2" s="1"/>
  <c r="Q23" i="2"/>
  <c r="R23" i="2" s="1"/>
  <c r="S23" i="2" s="1"/>
  <c r="Q29" i="2"/>
  <c r="R29" i="2" s="1"/>
  <c r="S29" i="2" s="1"/>
  <c r="Q30" i="2"/>
  <c r="R30" i="2" s="1"/>
  <c r="S30" i="2" s="1"/>
  <c r="Q31" i="2"/>
  <c r="R31" i="2" s="1"/>
  <c r="S31" i="2" s="1"/>
  <c r="Q32" i="2"/>
  <c r="R32" i="2" s="1"/>
  <c r="S32" i="2" s="1"/>
  <c r="Q33" i="2"/>
  <c r="R33" i="2" s="1"/>
  <c r="S33" i="2" s="1"/>
  <c r="Q34" i="2"/>
  <c r="R34" i="2" s="1"/>
  <c r="S34" i="2" s="1"/>
  <c r="Q35" i="2"/>
  <c r="R35" i="2" s="1"/>
  <c r="S35" i="2" s="1"/>
  <c r="Q36" i="2"/>
  <c r="R36" i="2" s="1"/>
  <c r="S36" i="2" s="1"/>
  <c r="Q37" i="2"/>
  <c r="R37" i="2" s="1"/>
  <c r="S37" i="2" s="1"/>
  <c r="Q453" i="2"/>
  <c r="R453" i="2" s="1"/>
  <c r="S453" i="2" s="1"/>
  <c r="Q454" i="2"/>
  <c r="R454" i="2" s="1"/>
  <c r="S454" i="2" s="1"/>
  <c r="Q287" i="2"/>
  <c r="R287" i="2" s="1"/>
  <c r="S287" i="2" s="1"/>
  <c r="Q1214" i="2"/>
  <c r="R1214" i="2" s="1"/>
  <c r="S1214" i="2" s="1"/>
  <c r="Q266" i="2"/>
  <c r="R266" i="2" s="1"/>
  <c r="S266" i="2" s="1"/>
  <c r="Q847" i="2"/>
  <c r="R847" i="2" s="1"/>
  <c r="S847" i="2" s="1"/>
  <c r="Q843" i="2"/>
  <c r="R843" i="2" s="1"/>
  <c r="S843" i="2" s="1"/>
  <c r="Q887" i="2"/>
  <c r="R887" i="2" s="1"/>
  <c r="S887" i="2" s="1"/>
  <c r="Q1209" i="2"/>
  <c r="R1209" i="2" s="1"/>
  <c r="S1209" i="2" s="1"/>
  <c r="Q498" i="2"/>
  <c r="R498" i="2" s="1"/>
  <c r="S498" i="2" s="1"/>
  <c r="Q784" i="2"/>
  <c r="R784" i="2" s="1"/>
  <c r="S784" i="2" s="1"/>
  <c r="Q883" i="2"/>
  <c r="R883" i="2" s="1"/>
  <c r="S883" i="2" s="1"/>
  <c r="Q1210" i="2"/>
  <c r="R1210" i="2" s="1"/>
  <c r="S1210" i="2" s="1"/>
  <c r="Q267" i="2"/>
  <c r="R267" i="2" s="1"/>
  <c r="S267" i="2" s="1"/>
  <c r="Q575" i="2"/>
  <c r="R575" i="2" s="1"/>
  <c r="S575" i="2" s="1"/>
  <c r="Q473" i="2"/>
  <c r="R473" i="2" s="1"/>
  <c r="S473" i="2" s="1"/>
  <c r="Q613" i="2"/>
  <c r="R613" i="2" s="1"/>
  <c r="S613" i="2" s="1"/>
  <c r="Q607" i="2"/>
  <c r="R607" i="2" s="1"/>
  <c r="S607" i="2" s="1"/>
  <c r="Q1182" i="2"/>
  <c r="R1182" i="2" s="1"/>
  <c r="S1182" i="2" s="1"/>
  <c r="Q24" i="2"/>
  <c r="R24" i="2" s="1"/>
  <c r="S24" i="2" s="1"/>
  <c r="Q25" i="2"/>
  <c r="R25" i="2" s="1"/>
  <c r="S25" i="2" s="1"/>
  <c r="Q26" i="2"/>
  <c r="R26" i="2" s="1"/>
  <c r="S26" i="2" s="1"/>
  <c r="Q27" i="2"/>
  <c r="R27" i="2" s="1"/>
  <c r="S27" i="2" s="1"/>
  <c r="Q38" i="2"/>
  <c r="R38" i="2" s="1"/>
  <c r="S38" i="2" s="1"/>
  <c r="Q28" i="2"/>
  <c r="R28" i="2" s="1"/>
  <c r="S28" i="2" s="1"/>
  <c r="Q39" i="2"/>
  <c r="R39" i="2" s="1"/>
  <c r="S39" i="2" s="1"/>
  <c r="Q884" i="2"/>
  <c r="R884" i="2" s="1"/>
  <c r="S884" i="2" s="1"/>
  <c r="Q455" i="2"/>
  <c r="R455" i="2" s="1"/>
  <c r="S455" i="2" s="1"/>
  <c r="Q290" i="2"/>
  <c r="R290" i="2" s="1"/>
  <c r="S290" i="2" s="1"/>
  <c r="Q579" i="2"/>
  <c r="R579" i="2" s="1"/>
  <c r="S579" i="2" s="1"/>
  <c r="Q268" i="2"/>
  <c r="R268" i="2" s="1"/>
  <c r="S268" i="2" s="1"/>
  <c r="Q1179" i="2"/>
  <c r="R1179" i="2" s="1"/>
  <c r="S1179" i="2" s="1"/>
  <c r="Q614" i="2"/>
  <c r="R614" i="2" s="1"/>
  <c r="S614" i="2" s="1"/>
  <c r="Q615" i="2"/>
  <c r="R615" i="2" s="1"/>
  <c r="S615" i="2" s="1"/>
  <c r="Q568" i="2"/>
  <c r="R568" i="2" s="1"/>
  <c r="S568" i="2" s="1"/>
  <c r="Q456" i="2"/>
  <c r="R456" i="2" s="1"/>
  <c r="S456" i="2" s="1"/>
  <c r="Q457" i="2"/>
  <c r="R457" i="2" s="1"/>
  <c r="S457" i="2" s="1"/>
  <c r="Q269" i="2"/>
  <c r="R269" i="2" s="1"/>
  <c r="S269" i="2" s="1"/>
  <c r="Q291" i="2"/>
  <c r="R291" i="2" s="1"/>
  <c r="S291" i="2" s="1"/>
  <c r="Q292" i="2"/>
  <c r="R292" i="2" s="1"/>
  <c r="S292" i="2" s="1"/>
  <c r="Q293" i="2"/>
  <c r="R293" i="2" s="1"/>
  <c r="S293" i="2" s="1"/>
  <c r="Q1198" i="2"/>
  <c r="R1198" i="2" s="1"/>
  <c r="S1198" i="2" s="1"/>
  <c r="Q1211" i="2"/>
  <c r="R1211" i="2" s="1"/>
  <c r="S1211" i="2" s="1"/>
  <c r="Q270" i="2"/>
  <c r="R270" i="2" s="1"/>
  <c r="S270" i="2" s="1"/>
  <c r="Q257" i="2"/>
  <c r="R257" i="2" s="1"/>
  <c r="S257" i="2" s="1"/>
  <c r="Q569" i="2"/>
  <c r="R569" i="2" s="1"/>
  <c r="S569" i="2" s="1"/>
  <c r="Q570" i="2"/>
  <c r="R570" i="2" s="1"/>
  <c r="S570" i="2" s="1"/>
  <c r="Q576" i="2"/>
  <c r="R576" i="2" s="1"/>
  <c r="S576" i="2" s="1"/>
  <c r="Q571" i="2"/>
  <c r="R571" i="2" s="1"/>
  <c r="S571" i="2" s="1"/>
  <c r="Q577" i="2"/>
  <c r="R577" i="2" s="1"/>
  <c r="S577" i="2" s="1"/>
  <c r="Q1268" i="2"/>
  <c r="R1268" i="2" s="1"/>
  <c r="S1268" i="2" s="1"/>
  <c r="Q1263" i="2"/>
  <c r="R1263" i="2" s="1"/>
  <c r="S1263" i="2" s="1"/>
  <c r="Q1262" i="2"/>
  <c r="R1262" i="2" s="1"/>
  <c r="S1262" i="2" s="1"/>
  <c r="Q1271" i="2"/>
  <c r="R1271" i="2" s="1"/>
  <c r="S1271" i="2" s="1"/>
  <c r="Q609" i="2"/>
  <c r="R609" i="2" s="1"/>
  <c r="S609" i="2" s="1"/>
  <c r="Q610" i="2"/>
  <c r="R610" i="2" s="1"/>
  <c r="S610" i="2" s="1"/>
  <c r="Q611" i="2"/>
  <c r="R611" i="2" s="1"/>
  <c r="S611" i="2" s="1"/>
  <c r="Q1212" i="2"/>
  <c r="R1212" i="2" s="1"/>
  <c r="S1212" i="2" s="1"/>
  <c r="Q271" i="2"/>
  <c r="R271" i="2" s="1"/>
  <c r="S271" i="2" s="1"/>
  <c r="Q288" i="2"/>
  <c r="R288" i="2" s="1"/>
  <c r="S288" i="2" s="1"/>
  <c r="Q973" i="2"/>
  <c r="R973" i="2" s="1"/>
  <c r="S973" i="2" s="1"/>
  <c r="Q1272" i="2"/>
  <c r="R1272" i="2" s="1"/>
  <c r="S1272" i="2" s="1"/>
  <c r="Q797" i="2"/>
  <c r="R797" i="2" s="1"/>
  <c r="S797" i="2" s="1"/>
  <c r="Q794" i="2"/>
  <c r="R794" i="2" s="1"/>
  <c r="S794" i="2" s="1"/>
  <c r="Q777" i="2"/>
  <c r="R777" i="2" s="1"/>
  <c r="S777" i="2" s="1"/>
  <c r="Q778" i="2"/>
  <c r="R778" i="2" s="1"/>
  <c r="S778" i="2" s="1"/>
  <c r="Q801" i="2"/>
  <c r="R801" i="2" s="1"/>
  <c r="S801" i="2" s="1"/>
  <c r="Q798" i="2"/>
  <c r="R798" i="2" s="1"/>
  <c r="S798" i="2" s="1"/>
  <c r="Q799" i="2"/>
  <c r="R799" i="2" s="1"/>
  <c r="S799" i="2" s="1"/>
  <c r="Q800" i="2"/>
  <c r="R800" i="2" s="1"/>
  <c r="S800" i="2" s="1"/>
  <c r="Q474" i="2"/>
  <c r="R474" i="2" s="1"/>
  <c r="S474" i="2" s="1"/>
  <c r="Q458" i="2"/>
  <c r="R458" i="2" s="1"/>
  <c r="S458" i="2" s="1"/>
  <c r="Q294" i="2"/>
  <c r="R294" i="2" s="1"/>
  <c r="S294" i="2" s="1"/>
  <c r="Q967" i="2"/>
  <c r="R967" i="2" s="1"/>
  <c r="S967" i="2" s="1"/>
  <c r="Q968" i="2"/>
  <c r="R968" i="2" s="1"/>
  <c r="S968" i="2" s="1"/>
  <c r="Q969" i="2"/>
  <c r="R969" i="2" s="1"/>
  <c r="S969" i="2" s="1"/>
  <c r="Q289" i="2"/>
  <c r="R289" i="2" s="1"/>
  <c r="S289" i="2" s="1"/>
  <c r="Q545" i="2"/>
  <c r="R545" i="2" s="1"/>
  <c r="S545" i="2" s="1"/>
  <c r="Q546" i="2"/>
  <c r="R546" i="2" s="1"/>
  <c r="S546" i="2" s="1"/>
  <c r="Q295" i="2"/>
  <c r="R295" i="2" s="1"/>
  <c r="S295" i="2" s="1"/>
  <c r="Q296" i="2"/>
  <c r="R296" i="2" s="1"/>
  <c r="S296" i="2" s="1"/>
  <c r="Q272" i="2"/>
  <c r="R272" i="2" s="1"/>
  <c r="S272" i="2" s="1"/>
  <c r="Q978" i="2"/>
  <c r="R978" i="2" s="1"/>
  <c r="S978" i="2" s="1"/>
  <c r="Q974" i="2"/>
  <c r="R974" i="2" s="1"/>
  <c r="S974" i="2" s="1"/>
  <c r="Q1432" i="2"/>
  <c r="R1432" i="2" s="1"/>
  <c r="S1432" i="2" s="1"/>
  <c r="Q975" i="2"/>
  <c r="R975" i="2" s="1"/>
  <c r="S975" i="2" s="1"/>
  <c r="Q273" i="2"/>
  <c r="R273" i="2" s="1"/>
  <c r="S273" i="2" s="1"/>
  <c r="Q274" i="2"/>
  <c r="R274" i="2" s="1"/>
  <c r="S274" i="2" s="1"/>
  <c r="Q572" i="2"/>
  <c r="R572" i="2" s="1"/>
  <c r="S572" i="2" s="1"/>
  <c r="Q578" i="2"/>
  <c r="R578" i="2" s="1"/>
  <c r="S578" i="2" s="1"/>
  <c r="Q573" i="2"/>
  <c r="R573" i="2" s="1"/>
  <c r="S573" i="2" s="1"/>
  <c r="Q574" i="2"/>
  <c r="R574" i="2" s="1"/>
  <c r="S574" i="2" s="1"/>
  <c r="Q1280" i="2"/>
  <c r="R1280" i="2" s="1"/>
  <c r="S1280" i="2" s="1"/>
  <c r="Q1278" i="2"/>
  <c r="R1278" i="2" s="1"/>
  <c r="S1278" i="2" s="1"/>
  <c r="Q1281" i="2"/>
  <c r="R1281" i="2" s="1"/>
  <c r="S1281" i="2" s="1"/>
  <c r="Q1277" i="2"/>
  <c r="R1277" i="2" s="1"/>
  <c r="S1277" i="2" s="1"/>
  <c r="Q1276" i="2"/>
  <c r="R1276" i="2" s="1"/>
  <c r="S1276" i="2" s="1"/>
  <c r="Q547" i="2"/>
  <c r="R547" i="2" s="1"/>
  <c r="S547" i="2" s="1"/>
  <c r="Q979" i="2"/>
  <c r="R979" i="2" s="1"/>
  <c r="S979" i="2" s="1"/>
  <c r="Q976" i="2"/>
  <c r="R976" i="2" s="1"/>
  <c r="S976" i="2" s="1"/>
  <c r="Q977" i="2"/>
  <c r="R977" i="2" s="1"/>
  <c r="S977" i="2" s="1"/>
  <c r="Q549" i="2"/>
  <c r="R549" i="2" s="1"/>
  <c r="S549" i="2" s="1"/>
  <c r="Q445" i="2"/>
  <c r="R445" i="2" s="1"/>
  <c r="S445" i="2" s="1"/>
  <c r="Q275" i="2"/>
  <c r="R275" i="2" s="1"/>
  <c r="S275" i="2" s="1"/>
  <c r="Q1286" i="2"/>
  <c r="R1286" i="2" s="1"/>
  <c r="S1286" i="2" s="1"/>
  <c r="Q1284" i="2"/>
  <c r="R1284" i="2" s="1"/>
  <c r="S1284" i="2" s="1"/>
  <c r="Q1285" i="2"/>
  <c r="R1285" i="2" s="1"/>
  <c r="S1285" i="2" s="1"/>
  <c r="Q491" i="2"/>
  <c r="R491" i="2" s="1"/>
  <c r="S491" i="2" s="1"/>
  <c r="Q487" i="2"/>
  <c r="R487" i="2" s="1"/>
  <c r="S487" i="2" s="1"/>
  <c r="Q467" i="2"/>
  <c r="R467" i="2" s="1"/>
  <c r="S467" i="2" s="1"/>
  <c r="Q854" i="2"/>
  <c r="R854" i="2" s="1"/>
  <c r="S854" i="2" s="1"/>
  <c r="Q987" i="2"/>
  <c r="R987" i="2" s="1"/>
  <c r="S987" i="2" s="1"/>
  <c r="Q597" i="2"/>
  <c r="R597" i="2" s="1"/>
  <c r="S597" i="2" s="1"/>
  <c r="Q588" i="2"/>
  <c r="R588" i="2" s="1"/>
  <c r="S588" i="2" s="1"/>
  <c r="Q548" i="2"/>
  <c r="R548" i="2" s="1"/>
  <c r="S548" i="2" s="1"/>
  <c r="Q492" i="2"/>
  <c r="R492" i="2" s="1"/>
  <c r="S492" i="2" s="1"/>
  <c r="Q446" i="2"/>
  <c r="R446" i="2" s="1"/>
  <c r="S446" i="2" s="1"/>
  <c r="Q970" i="2"/>
  <c r="R970" i="2" s="1"/>
  <c r="S970" i="2" s="1"/>
  <c r="Q550" i="2"/>
  <c r="R550" i="2" s="1"/>
  <c r="S550" i="2" s="1"/>
  <c r="Q276" i="2"/>
  <c r="R276" i="2" s="1"/>
  <c r="S276" i="2" s="1"/>
  <c r="Q1178" i="2"/>
  <c r="R1178" i="2" s="1"/>
  <c r="S1178" i="2" s="1"/>
  <c r="Q475" i="2"/>
  <c r="R475" i="2" s="1"/>
  <c r="S475" i="2" s="1"/>
  <c r="Q447" i="2"/>
  <c r="R447" i="2" s="1"/>
  <c r="S447" i="2" s="1"/>
  <c r="Q476" i="2"/>
  <c r="R476" i="2" s="1"/>
  <c r="S476" i="2" s="1"/>
  <c r="Q1273" i="2"/>
  <c r="R1273" i="2" s="1"/>
  <c r="S1273" i="2" s="1"/>
  <c r="Q1269" i="2"/>
  <c r="R1269" i="2" s="1"/>
  <c r="S1269" i="2" s="1"/>
  <c r="Q1279" i="2"/>
  <c r="R1279" i="2" s="1"/>
  <c r="S1279" i="2" s="1"/>
  <c r="Q1274" i="2"/>
  <c r="R1274" i="2" s="1"/>
  <c r="S1274" i="2" s="1"/>
  <c r="Q1275" i="2"/>
  <c r="R1275" i="2" s="1"/>
  <c r="S1275" i="2" s="1"/>
  <c r="Q488" i="2"/>
  <c r="R488" i="2" s="1"/>
  <c r="S488" i="2" s="1"/>
  <c r="Q468" i="2"/>
  <c r="R468" i="2" s="1"/>
  <c r="S468" i="2" s="1"/>
  <c r="Q463" i="2"/>
  <c r="R463" i="2" s="1"/>
  <c r="S463" i="2" s="1"/>
  <c r="Q464" i="2"/>
  <c r="R464" i="2" s="1"/>
  <c r="S464" i="2" s="1"/>
  <c r="Q855" i="2"/>
  <c r="R855" i="2" s="1"/>
  <c r="S855" i="2" s="1"/>
  <c r="Q277" i="2"/>
  <c r="R277" i="2" s="1"/>
  <c r="S277" i="2" s="1"/>
  <c r="Q598" i="2"/>
  <c r="R598" i="2" s="1"/>
  <c r="S598" i="2" s="1"/>
  <c r="Q278" i="2"/>
  <c r="R278" i="2" s="1"/>
  <c r="S278" i="2" s="1"/>
  <c r="Q885" i="2"/>
  <c r="R885" i="2" s="1"/>
  <c r="S885" i="2" s="1"/>
  <c r="Q886" i="2"/>
  <c r="R886" i="2" s="1"/>
  <c r="S886" i="2" s="1"/>
  <c r="Q279" i="2"/>
  <c r="R279" i="2" s="1"/>
  <c r="S279" i="2" s="1"/>
  <c r="Q280" i="2"/>
  <c r="R280" i="2" s="1"/>
  <c r="S280" i="2" s="1"/>
  <c r="Q477" i="2"/>
  <c r="R477" i="2" s="1"/>
  <c r="S477" i="2" s="1"/>
  <c r="Q461" i="2"/>
  <c r="R461" i="2" s="1"/>
  <c r="S461" i="2" s="1"/>
  <c r="Q478" i="2"/>
  <c r="R478" i="2" s="1"/>
  <c r="S478" i="2" s="1"/>
  <c r="Q459" i="2"/>
  <c r="R459" i="2" s="1"/>
  <c r="S459" i="2" s="1"/>
  <c r="Q551" i="2"/>
  <c r="R551" i="2" s="1"/>
  <c r="S551" i="2" s="1"/>
  <c r="Q281" i="2"/>
  <c r="R281" i="2" s="1"/>
  <c r="S281" i="2" s="1"/>
  <c r="Q493" i="2"/>
  <c r="R493" i="2" s="1"/>
  <c r="S493" i="2" s="1"/>
  <c r="Q479" i="2"/>
  <c r="R479" i="2" s="1"/>
  <c r="S479" i="2" s="1"/>
  <c r="Q480" i="2"/>
  <c r="R480" i="2" s="1"/>
  <c r="S480" i="2" s="1"/>
  <c r="Q448" i="2"/>
  <c r="R448" i="2" s="1"/>
  <c r="S448" i="2" s="1"/>
  <c r="Q1270" i="2"/>
  <c r="R1270" i="2" s="1"/>
  <c r="S1270" i="2" s="1"/>
  <c r="Q1264" i="2"/>
  <c r="R1264" i="2" s="1"/>
  <c r="S1264" i="2" s="1"/>
  <c r="Q1265" i="2"/>
  <c r="R1265" i="2" s="1"/>
  <c r="S1265" i="2" s="1"/>
  <c r="Q1266" i="2"/>
  <c r="R1266" i="2" s="1"/>
  <c r="S1266" i="2" s="1"/>
  <c r="Q1283" i="2"/>
  <c r="R1283" i="2" s="1"/>
  <c r="S1283" i="2" s="1"/>
  <c r="Q1282" i="2"/>
  <c r="R1282" i="2" s="1"/>
  <c r="S1282" i="2" s="1"/>
  <c r="Q443" i="2"/>
  <c r="R443" i="2" s="1"/>
  <c r="S443" i="2" s="1"/>
  <c r="Q494" i="2"/>
  <c r="R494" i="2" s="1"/>
  <c r="S494" i="2" s="1"/>
  <c r="Q489" i="2"/>
  <c r="R489" i="2" s="1"/>
  <c r="S489" i="2" s="1"/>
  <c r="Q552" i="2"/>
  <c r="R552" i="2" s="1"/>
  <c r="S552" i="2" s="1"/>
  <c r="Q282" i="2"/>
  <c r="R282" i="2" s="1"/>
  <c r="S282" i="2" s="1"/>
  <c r="Q554" i="2"/>
  <c r="R554" i="2" s="1"/>
  <c r="S554" i="2" s="1"/>
  <c r="Q481" i="2"/>
  <c r="R481" i="2" s="1"/>
  <c r="S481" i="2" s="1"/>
  <c r="Q465" i="2"/>
  <c r="R465" i="2" s="1"/>
  <c r="S465" i="2" s="1"/>
  <c r="Q462" i="2"/>
  <c r="R462" i="2" s="1"/>
  <c r="S462" i="2" s="1"/>
  <c r="Q460" i="2"/>
  <c r="R460" i="2" s="1"/>
  <c r="S460" i="2" s="1"/>
  <c r="Q482" i="2"/>
  <c r="R482" i="2" s="1"/>
  <c r="S482" i="2" s="1"/>
  <c r="Q466" i="2"/>
  <c r="R466" i="2" s="1"/>
  <c r="S466" i="2" s="1"/>
  <c r="Q449" i="2"/>
  <c r="R449" i="2" s="1"/>
  <c r="S449" i="2" s="1"/>
  <c r="Q283" i="2"/>
  <c r="R283" i="2" s="1"/>
  <c r="S283" i="2" s="1"/>
  <c r="Q555" i="2"/>
  <c r="R555" i="2" s="1"/>
  <c r="S555" i="2" s="1"/>
  <c r="Q284" i="2"/>
  <c r="R284" i="2" s="1"/>
  <c r="S284" i="2" s="1"/>
  <c r="Q848" i="2"/>
  <c r="R848" i="2" s="1"/>
  <c r="S848" i="2" s="1"/>
  <c r="Q849" i="2"/>
  <c r="R849" i="2" s="1"/>
  <c r="S849" i="2" s="1"/>
  <c r="Q450" i="2"/>
  <c r="R450" i="2" s="1"/>
  <c r="S450" i="2" s="1"/>
  <c r="Q495" i="2"/>
  <c r="R495" i="2" s="1"/>
  <c r="S495" i="2" s="1"/>
  <c r="Q483" i="2"/>
  <c r="R483" i="2" s="1"/>
  <c r="S483" i="2" s="1"/>
  <c r="Q496" i="2"/>
  <c r="R496" i="2" s="1"/>
  <c r="S496" i="2" s="1"/>
  <c r="Q490" i="2"/>
  <c r="R490" i="2" s="1"/>
  <c r="S490" i="2" s="1"/>
  <c r="Q553" i="2"/>
  <c r="R553" i="2" s="1"/>
  <c r="S553" i="2" s="1"/>
  <c r="Q285" i="2"/>
  <c r="R285" i="2" s="1"/>
  <c r="S285" i="2" s="1"/>
  <c r="Q599" i="2"/>
  <c r="R599" i="2" s="1"/>
  <c r="S599" i="2" s="1"/>
  <c r="Q600" i="2"/>
  <c r="R600" i="2" s="1"/>
  <c r="S600" i="2" s="1"/>
  <c r="Q601" i="2"/>
  <c r="R601" i="2" s="1"/>
  <c r="S601" i="2" s="1"/>
  <c r="Q451" i="2"/>
  <c r="R451" i="2" s="1"/>
  <c r="S451" i="2" s="1"/>
  <c r="Q484" i="2"/>
  <c r="R484" i="2" s="1"/>
  <c r="S484" i="2" s="1"/>
  <c r="Q444" i="2"/>
  <c r="R444" i="2" s="1"/>
  <c r="S444" i="2" s="1"/>
  <c r="Q602" i="2"/>
  <c r="R602" i="2" s="1"/>
  <c r="S602" i="2" s="1"/>
  <c r="Q485" i="2"/>
  <c r="R485" i="2" s="1"/>
  <c r="S485" i="2" s="1"/>
  <c r="Q603" i="2"/>
  <c r="R603" i="2" s="1"/>
  <c r="S603" i="2" s="1"/>
  <c r="Q286" i="2"/>
  <c r="R286" i="2" s="1"/>
  <c r="S286" i="2" s="1"/>
  <c r="Q486" i="2"/>
  <c r="R486" i="2" s="1"/>
  <c r="S486" i="2" s="1"/>
  <c r="Q1049" i="2"/>
  <c r="R1049" i="2" s="1"/>
  <c r="S1049" i="2" s="1"/>
  <c r="Q736" i="2"/>
  <c r="R736" i="2" s="1"/>
  <c r="S736" i="2" s="1"/>
  <c r="Q746" i="2"/>
  <c r="R746" i="2" s="1"/>
  <c r="S746" i="2" s="1"/>
  <c r="Q747" i="2"/>
  <c r="R747" i="2" s="1"/>
  <c r="S747" i="2" s="1"/>
  <c r="Q737" i="2"/>
  <c r="R737" i="2" s="1"/>
  <c r="S737" i="2" s="1"/>
  <c r="Q738" i="2"/>
  <c r="R738" i="2" s="1"/>
  <c r="S738" i="2" s="1"/>
  <c r="Q748" i="2"/>
  <c r="R748" i="2" s="1"/>
  <c r="S748" i="2" s="1"/>
  <c r="Q749" i="2"/>
  <c r="R749" i="2" s="1"/>
  <c r="S749" i="2" s="1"/>
  <c r="Q750" i="2"/>
  <c r="R750" i="2" s="1"/>
  <c r="S750" i="2" s="1"/>
  <c r="Q381" i="2"/>
  <c r="R381" i="2" s="1"/>
  <c r="S381" i="2" s="1"/>
  <c r="Q382" i="2"/>
  <c r="R382" i="2" s="1"/>
  <c r="S382" i="2" s="1"/>
  <c r="Q378" i="2"/>
  <c r="R378" i="2" s="1"/>
  <c r="S378" i="2" s="1"/>
  <c r="Q735" i="2"/>
  <c r="R735" i="2" s="1"/>
  <c r="S735" i="2" s="1"/>
  <c r="Q739" i="2"/>
  <c r="R739" i="2" s="1"/>
  <c r="S739" i="2" s="1"/>
  <c r="Q740" i="2"/>
  <c r="R740" i="2" s="1"/>
  <c r="S740" i="2" s="1"/>
  <c r="Q383" i="2"/>
  <c r="R383" i="2" s="1"/>
  <c r="S383" i="2" s="1"/>
  <c r="Q741" i="2"/>
  <c r="R741" i="2" s="1"/>
  <c r="S741" i="2" s="1"/>
  <c r="Q742" i="2"/>
  <c r="R742" i="2" s="1"/>
  <c r="S742" i="2" s="1"/>
  <c r="Q743" i="2"/>
  <c r="R743" i="2" s="1"/>
  <c r="S743" i="2" s="1"/>
  <c r="Q384" i="2"/>
  <c r="R384" i="2" s="1"/>
  <c r="S384" i="2" s="1"/>
  <c r="Q379" i="2"/>
  <c r="R379" i="2" s="1"/>
  <c r="S379" i="2" s="1"/>
  <c r="Q385" i="2"/>
  <c r="R385" i="2" s="1"/>
  <c r="S385" i="2" s="1"/>
  <c r="Q380" i="2"/>
  <c r="R380" i="2" s="1"/>
  <c r="S380" i="2" s="1"/>
  <c r="Q744" i="2"/>
  <c r="R744" i="2" s="1"/>
  <c r="S744" i="2" s="1"/>
  <c r="Q745" i="2"/>
  <c r="R745" i="2" s="1"/>
  <c r="S745" i="2" s="1"/>
  <c r="Q1048" i="2"/>
  <c r="R1048" i="2" s="1"/>
  <c r="S1048" i="2" s="1"/>
  <c r="Q1342" i="2"/>
  <c r="Q1325" i="2"/>
  <c r="P1347" i="2"/>
  <c r="P1336" i="2"/>
  <c r="P1326" i="2"/>
  <c r="P1337" i="2"/>
  <c r="P1327" i="2"/>
  <c r="P1480" i="2"/>
  <c r="P1481" i="2"/>
  <c r="P1482" i="2"/>
  <c r="P1483" i="2"/>
  <c r="P1484" i="2"/>
  <c r="P1070" i="2"/>
  <c r="P1071" i="2"/>
  <c r="P1072" i="2"/>
  <c r="P1094" i="2"/>
  <c r="P1129" i="2"/>
  <c r="P1130" i="2"/>
  <c r="P1338" i="2"/>
  <c r="P1339" i="2"/>
  <c r="P1340" i="2"/>
  <c r="P1131" i="2"/>
  <c r="P1485" i="2"/>
  <c r="P1089" i="2"/>
  <c r="P1090" i="2"/>
  <c r="P1321" i="2"/>
  <c r="P1343" i="2"/>
  <c r="P1344" i="2"/>
  <c r="P1345" i="2"/>
  <c r="P1328" i="2"/>
  <c r="P1329" i="2"/>
  <c r="P1330" i="2"/>
  <c r="P1331" i="2"/>
  <c r="P1332" i="2"/>
  <c r="P1333" i="2"/>
  <c r="P1341" i="2"/>
  <c r="P1334" i="2"/>
  <c r="P1335" i="2"/>
  <c r="P988" i="2"/>
  <c r="P1468" i="2"/>
  <c r="P1469" i="2"/>
  <c r="P1477" i="2"/>
  <c r="P1470" i="2"/>
  <c r="P1478" i="2"/>
  <c r="P1462" i="2"/>
  <c r="P1132" i="2"/>
  <c r="P1133" i="2"/>
  <c r="P1134" i="2"/>
  <c r="P1135" i="2"/>
  <c r="P1136" i="2"/>
  <c r="P1137" i="2"/>
  <c r="P1138" i="2"/>
  <c r="P1063" i="2"/>
  <c r="P1064" i="2"/>
  <c r="P1065" i="2"/>
  <c r="P1066" i="2"/>
  <c r="P1091" i="2"/>
  <c r="P1322" i="2"/>
  <c r="P1323" i="2"/>
  <c r="P1324" i="2"/>
  <c r="P204" i="2"/>
  <c r="P1486" i="2"/>
  <c r="P1487" i="2"/>
  <c r="P205" i="2"/>
  <c r="P1097" i="2"/>
  <c r="P1471" i="2"/>
  <c r="P1472" i="2"/>
  <c r="P1139" i="2"/>
  <c r="P1140" i="2"/>
  <c r="P1141" i="2"/>
  <c r="P1142" i="2"/>
  <c r="P1143" i="2"/>
  <c r="P1035" i="2"/>
  <c r="P1092" i="2"/>
  <c r="P1067" i="2"/>
  <c r="P1093" i="2"/>
  <c r="P1073" i="2"/>
  <c r="P1074" i="2"/>
  <c r="P1068" i="2"/>
  <c r="P1069" i="2"/>
  <c r="P1473" i="2"/>
  <c r="P1488" i="2"/>
  <c r="P1346" i="2"/>
  <c r="P980" i="2"/>
  <c r="P981" i="2"/>
  <c r="P982" i="2"/>
  <c r="P1144" i="2"/>
  <c r="P1145" i="2"/>
  <c r="P1474" i="2"/>
  <c r="P1433" i="2"/>
  <c r="P1125" i="2"/>
  <c r="P1075" i="2"/>
  <c r="P1076" i="2"/>
  <c r="P1077" i="2"/>
  <c r="P1475" i="2"/>
  <c r="P1146" i="2"/>
  <c r="P1149" i="2"/>
  <c r="P206" i="2"/>
  <c r="P1147" i="2"/>
  <c r="P1148" i="2"/>
  <c r="P1078" i="2"/>
  <c r="P1079" i="2"/>
  <c r="P1080" i="2"/>
  <c r="P1081" i="2"/>
  <c r="P1095" i="2"/>
  <c r="P1082" i="2"/>
  <c r="P354" i="2"/>
  <c r="P1083" i="2"/>
  <c r="P1084" i="2"/>
  <c r="P965" i="2"/>
  <c r="P966" i="2"/>
  <c r="P1096" i="2"/>
  <c r="P1085" i="2"/>
  <c r="P1086" i="2"/>
  <c r="P1087" i="2"/>
  <c r="P1088" i="2"/>
  <c r="P1036" i="2"/>
  <c r="P983" i="2"/>
  <c r="P989" i="2"/>
  <c r="P1423" i="2"/>
  <c r="P1424" i="2"/>
  <c r="P1425" i="2"/>
  <c r="P1461" i="2"/>
  <c r="P1436" i="2"/>
  <c r="P1434" i="2"/>
  <c r="P1435" i="2"/>
  <c r="P1426" i="2"/>
  <c r="P1126" i="2"/>
  <c r="P1037" i="2"/>
  <c r="P412" i="2"/>
  <c r="P984" i="2"/>
  <c r="P971" i="2"/>
  <c r="P1463" i="2"/>
  <c r="P964" i="2"/>
  <c r="P789" i="2"/>
  <c r="P985" i="2"/>
  <c r="P972" i="2"/>
  <c r="P1479" i="2"/>
  <c r="P1476" i="2"/>
  <c r="P1127" i="2"/>
  <c r="P1038" i="2"/>
  <c r="P986" i="2"/>
  <c r="P359" i="2"/>
  <c r="P790" i="2"/>
  <c r="P343" i="2"/>
  <c r="P355" i="2"/>
  <c r="P348" i="2"/>
  <c r="P344" i="2"/>
  <c r="P349" i="2"/>
  <c r="P350" i="2"/>
  <c r="P351" i="2"/>
  <c r="P345" i="2"/>
  <c r="P346" i="2"/>
  <c r="P356" i="2"/>
  <c r="P357" i="2"/>
  <c r="P352" i="2"/>
  <c r="P347" i="2"/>
  <c r="P413" i="2"/>
  <c r="P414" i="2"/>
  <c r="P791" i="2"/>
  <c r="P782" i="2"/>
  <c r="P353" i="2"/>
  <c r="P398" i="2"/>
  <c r="P783" i="2"/>
  <c r="P399" i="2"/>
  <c r="P415" i="2"/>
  <c r="P400" i="2"/>
  <c r="P401" i="2"/>
  <c r="P358" i="2"/>
  <c r="P1128" i="2"/>
  <c r="P403" i="2"/>
  <c r="P842" i="2"/>
  <c r="P1427" i="2"/>
  <c r="P1428" i="2"/>
  <c r="P844" i="2"/>
  <c r="P845" i="2"/>
  <c r="P776" i="2"/>
  <c r="P1050" i="2"/>
  <c r="P1051" i="2"/>
  <c r="P792" i="2"/>
  <c r="P788" i="2"/>
  <c r="P780" i="2"/>
  <c r="P781" i="2"/>
  <c r="P1310" i="2"/>
  <c r="P404" i="2"/>
  <c r="P405" i="2"/>
  <c r="P406" i="2"/>
  <c r="P402" i="2"/>
  <c r="P416" i="2"/>
  <c r="P850" i="2"/>
  <c r="P793" i="2"/>
  <c r="P1311" i="2"/>
  <c r="P851" i="2"/>
  <c r="P852" i="2"/>
  <c r="P853" i="2"/>
  <c r="P1429" i="2"/>
  <c r="P1312" i="2"/>
  <c r="P589" i="2"/>
  <c r="P590" i="2"/>
  <c r="P591" i="2"/>
  <c r="P592" i="2"/>
  <c r="P593" i="2"/>
  <c r="P796" i="2"/>
  <c r="P407" i="2"/>
  <c r="P594" i="2"/>
  <c r="P595" i="2"/>
  <c r="P596" i="2"/>
  <c r="P1430" i="2"/>
  <c r="P1431" i="2"/>
  <c r="P1199" i="2"/>
  <c r="P417" i="2"/>
  <c r="P779" i="2"/>
  <c r="P785" i="2"/>
  <c r="P786" i="2"/>
  <c r="P787" i="2"/>
  <c r="P408" i="2"/>
  <c r="P409" i="2"/>
  <c r="P410" i="2"/>
  <c r="P411" i="2"/>
  <c r="P616" i="2"/>
  <c r="P612" i="2"/>
  <c r="P608" i="2"/>
  <c r="P1052" i="2"/>
  <c r="P604" i="2"/>
  <c r="P1180" i="2"/>
  <c r="P1200" i="2"/>
  <c r="P1197" i="2"/>
  <c r="P1201" i="2"/>
  <c r="P605" i="2"/>
  <c r="P1181" i="2"/>
  <c r="P258" i="2"/>
  <c r="P846" i="2"/>
  <c r="P259" i="2"/>
  <c r="P1202" i="2"/>
  <c r="P802" i="2"/>
  <c r="P1203" i="2"/>
  <c r="P1204" i="2"/>
  <c r="P795" i="2"/>
  <c r="P1205" i="2"/>
  <c r="P260" i="2"/>
  <c r="P261" i="2"/>
  <c r="P452" i="2"/>
  <c r="P1206" i="2"/>
  <c r="P262" i="2"/>
  <c r="P606" i="2"/>
  <c r="P469" i="2"/>
  <c r="P470" i="2"/>
  <c r="P566" i="2"/>
  <c r="P263" i="2"/>
  <c r="P252" i="2"/>
  <c r="P1207" i="2"/>
  <c r="P1208" i="2"/>
  <c r="P2" i="2"/>
  <c r="P3" i="2"/>
  <c r="P4" i="2"/>
  <c r="P1215" i="2"/>
  <c r="P1213" i="2"/>
  <c r="P497" i="2"/>
  <c r="P264" i="2"/>
  <c r="P256" i="2"/>
  <c r="P265" i="2"/>
  <c r="P5" i="2"/>
  <c r="P6" i="2"/>
  <c r="P567" i="2"/>
  <c r="P471" i="2"/>
  <c r="P472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9" i="2"/>
  <c r="P30" i="2"/>
  <c r="P31" i="2"/>
  <c r="P32" i="2"/>
  <c r="P33" i="2"/>
  <c r="P34" i="2"/>
  <c r="P35" i="2"/>
  <c r="P36" i="2"/>
  <c r="P37" i="2"/>
  <c r="P453" i="2"/>
  <c r="P454" i="2"/>
  <c r="P287" i="2"/>
  <c r="P1214" i="2"/>
  <c r="P266" i="2"/>
  <c r="P847" i="2"/>
  <c r="P843" i="2"/>
  <c r="P887" i="2"/>
  <c r="P1209" i="2"/>
  <c r="P498" i="2"/>
  <c r="P784" i="2"/>
  <c r="P883" i="2"/>
  <c r="P1210" i="2"/>
  <c r="P267" i="2"/>
  <c r="P575" i="2"/>
  <c r="P473" i="2"/>
  <c r="P613" i="2"/>
  <c r="P607" i="2"/>
  <c r="P1182" i="2"/>
  <c r="P24" i="2"/>
  <c r="P25" i="2"/>
  <c r="P26" i="2"/>
  <c r="P27" i="2"/>
  <c r="P38" i="2"/>
  <c r="P28" i="2"/>
  <c r="P39" i="2"/>
  <c r="P884" i="2"/>
  <c r="P455" i="2"/>
  <c r="P290" i="2"/>
  <c r="P579" i="2"/>
  <c r="P268" i="2"/>
  <c r="P1179" i="2"/>
  <c r="P614" i="2"/>
  <c r="P615" i="2"/>
  <c r="P568" i="2"/>
  <c r="P456" i="2"/>
  <c r="P457" i="2"/>
  <c r="P269" i="2"/>
  <c r="P291" i="2"/>
  <c r="P292" i="2"/>
  <c r="P293" i="2"/>
  <c r="P1198" i="2"/>
  <c r="P1211" i="2"/>
  <c r="P270" i="2"/>
  <c r="P257" i="2"/>
  <c r="P569" i="2"/>
  <c r="P570" i="2"/>
  <c r="P576" i="2"/>
  <c r="P571" i="2"/>
  <c r="P577" i="2"/>
  <c r="P1268" i="2"/>
  <c r="P1263" i="2"/>
  <c r="P1262" i="2"/>
  <c r="P1271" i="2"/>
  <c r="P609" i="2"/>
  <c r="P610" i="2"/>
  <c r="P611" i="2"/>
  <c r="P1212" i="2"/>
  <c r="P271" i="2"/>
  <c r="P288" i="2"/>
  <c r="P973" i="2"/>
  <c r="P1272" i="2"/>
  <c r="P797" i="2"/>
  <c r="P794" i="2"/>
  <c r="P777" i="2"/>
  <c r="P778" i="2"/>
  <c r="P801" i="2"/>
  <c r="P798" i="2"/>
  <c r="P799" i="2"/>
  <c r="P800" i="2"/>
  <c r="P474" i="2"/>
  <c r="P458" i="2"/>
  <c r="P294" i="2"/>
  <c r="P967" i="2"/>
  <c r="P968" i="2"/>
  <c r="P969" i="2"/>
  <c r="P289" i="2"/>
  <c r="P545" i="2"/>
  <c r="P546" i="2"/>
  <c r="P295" i="2"/>
  <c r="P296" i="2"/>
  <c r="P272" i="2"/>
  <c r="P978" i="2"/>
  <c r="P974" i="2"/>
  <c r="P1432" i="2"/>
  <c r="P975" i="2"/>
  <c r="P273" i="2"/>
  <c r="P274" i="2"/>
  <c r="P572" i="2"/>
  <c r="P578" i="2"/>
  <c r="P573" i="2"/>
  <c r="P574" i="2"/>
  <c r="P1280" i="2"/>
  <c r="P1278" i="2"/>
  <c r="P1281" i="2"/>
  <c r="P1277" i="2"/>
  <c r="P1276" i="2"/>
  <c r="P547" i="2"/>
  <c r="P979" i="2"/>
  <c r="P976" i="2"/>
  <c r="P977" i="2"/>
  <c r="P549" i="2"/>
  <c r="P445" i="2"/>
  <c r="P275" i="2"/>
  <c r="P1286" i="2"/>
  <c r="P1284" i="2"/>
  <c r="P1285" i="2"/>
  <c r="P491" i="2"/>
  <c r="P487" i="2"/>
  <c r="P467" i="2"/>
  <c r="P854" i="2"/>
  <c r="P987" i="2"/>
  <c r="P597" i="2"/>
  <c r="P588" i="2"/>
  <c r="P548" i="2"/>
  <c r="P492" i="2"/>
  <c r="P446" i="2"/>
  <c r="P970" i="2"/>
  <c r="P550" i="2"/>
  <c r="P276" i="2"/>
  <c r="P1178" i="2"/>
  <c r="P475" i="2"/>
  <c r="P447" i="2"/>
  <c r="P476" i="2"/>
  <c r="P1273" i="2"/>
  <c r="P1269" i="2"/>
  <c r="P1279" i="2"/>
  <c r="P1274" i="2"/>
  <c r="P1275" i="2"/>
  <c r="P488" i="2"/>
  <c r="P468" i="2"/>
  <c r="P463" i="2"/>
  <c r="P464" i="2"/>
  <c r="P855" i="2"/>
  <c r="P277" i="2"/>
  <c r="P598" i="2"/>
  <c r="P278" i="2"/>
  <c r="P885" i="2"/>
  <c r="P886" i="2"/>
  <c r="P279" i="2"/>
  <c r="P280" i="2"/>
  <c r="P477" i="2"/>
  <c r="P461" i="2"/>
  <c r="P478" i="2"/>
  <c r="P459" i="2"/>
  <c r="P551" i="2"/>
  <c r="P281" i="2"/>
  <c r="P493" i="2"/>
  <c r="P479" i="2"/>
  <c r="P480" i="2"/>
  <c r="P448" i="2"/>
  <c r="P1270" i="2"/>
  <c r="P1264" i="2"/>
  <c r="P1265" i="2"/>
  <c r="P1266" i="2"/>
  <c r="P1283" i="2"/>
  <c r="P1282" i="2"/>
  <c r="P443" i="2"/>
  <c r="P494" i="2"/>
  <c r="P489" i="2"/>
  <c r="P552" i="2"/>
  <c r="P282" i="2"/>
  <c r="P554" i="2"/>
  <c r="P481" i="2"/>
  <c r="P465" i="2"/>
  <c r="P462" i="2"/>
  <c r="P460" i="2"/>
  <c r="P482" i="2"/>
  <c r="P466" i="2"/>
  <c r="P449" i="2"/>
  <c r="P283" i="2"/>
  <c r="P555" i="2"/>
  <c r="P284" i="2"/>
  <c r="P848" i="2"/>
  <c r="P849" i="2"/>
  <c r="P450" i="2"/>
  <c r="P495" i="2"/>
  <c r="P483" i="2"/>
  <c r="P496" i="2"/>
  <c r="P490" i="2"/>
  <c r="P553" i="2"/>
  <c r="P285" i="2"/>
  <c r="P599" i="2"/>
  <c r="P600" i="2"/>
  <c r="P601" i="2"/>
  <c r="P451" i="2"/>
  <c r="P484" i="2"/>
  <c r="P444" i="2"/>
  <c r="P602" i="2"/>
  <c r="P485" i="2"/>
  <c r="P603" i="2"/>
  <c r="P286" i="2"/>
  <c r="P486" i="2"/>
  <c r="P1049" i="2"/>
  <c r="P736" i="2"/>
  <c r="P746" i="2"/>
  <c r="P747" i="2"/>
  <c r="P737" i="2"/>
  <c r="P738" i="2"/>
  <c r="P748" i="2"/>
  <c r="P749" i="2"/>
  <c r="P750" i="2"/>
  <c r="P381" i="2"/>
  <c r="P382" i="2"/>
  <c r="P378" i="2"/>
  <c r="P735" i="2"/>
  <c r="P739" i="2"/>
  <c r="P740" i="2"/>
  <c r="P383" i="2"/>
  <c r="P741" i="2"/>
  <c r="P742" i="2"/>
  <c r="P743" i="2"/>
  <c r="P384" i="2"/>
  <c r="P379" i="2"/>
  <c r="P385" i="2"/>
  <c r="P380" i="2"/>
  <c r="P744" i="2"/>
  <c r="P745" i="2"/>
  <c r="P1048" i="2"/>
  <c r="P1342" i="2"/>
  <c r="P1325" i="2"/>
  <c r="J1347" i="2"/>
  <c r="J1336" i="2"/>
  <c r="J1326" i="2"/>
  <c r="J1337" i="2"/>
  <c r="J1327" i="2"/>
  <c r="J1480" i="2"/>
  <c r="J1481" i="2"/>
  <c r="J1482" i="2"/>
  <c r="J1483" i="2"/>
  <c r="J1484" i="2"/>
  <c r="J1070" i="2"/>
  <c r="J1071" i="2"/>
  <c r="J1072" i="2"/>
  <c r="J1094" i="2"/>
  <c r="J1129" i="2"/>
  <c r="J1130" i="2"/>
  <c r="J1338" i="2"/>
  <c r="J1339" i="2"/>
  <c r="J1340" i="2"/>
  <c r="J1131" i="2"/>
  <c r="J1485" i="2"/>
  <c r="J1089" i="2"/>
  <c r="J1090" i="2"/>
  <c r="J1321" i="2"/>
  <c r="J1343" i="2"/>
  <c r="J1344" i="2"/>
  <c r="J1345" i="2"/>
  <c r="J1328" i="2"/>
  <c r="J1329" i="2"/>
  <c r="J1330" i="2"/>
  <c r="J1331" i="2"/>
  <c r="J1332" i="2"/>
  <c r="J1333" i="2"/>
  <c r="J1341" i="2"/>
  <c r="J1334" i="2"/>
  <c r="J1335" i="2"/>
  <c r="J988" i="2"/>
  <c r="J1468" i="2"/>
  <c r="J1469" i="2"/>
  <c r="J1477" i="2"/>
  <c r="J1470" i="2"/>
  <c r="J1478" i="2"/>
  <c r="J1462" i="2"/>
  <c r="J1132" i="2"/>
  <c r="J1133" i="2"/>
  <c r="J1134" i="2"/>
  <c r="J1135" i="2"/>
  <c r="J1136" i="2"/>
  <c r="J1137" i="2"/>
  <c r="J1138" i="2"/>
  <c r="J1063" i="2"/>
  <c r="J1064" i="2"/>
  <c r="J1065" i="2"/>
  <c r="J1066" i="2"/>
  <c r="J1091" i="2"/>
  <c r="J1322" i="2"/>
  <c r="J1323" i="2"/>
  <c r="J1324" i="2"/>
  <c r="J204" i="2"/>
  <c r="J1486" i="2"/>
  <c r="J1487" i="2"/>
  <c r="J205" i="2"/>
  <c r="J1097" i="2"/>
  <c r="J1471" i="2"/>
  <c r="J1472" i="2"/>
  <c r="J1139" i="2"/>
  <c r="J1140" i="2"/>
  <c r="J1141" i="2"/>
  <c r="J1142" i="2"/>
  <c r="J1143" i="2"/>
  <c r="J1035" i="2"/>
  <c r="J1092" i="2"/>
  <c r="J1067" i="2"/>
  <c r="J1093" i="2"/>
  <c r="J1073" i="2"/>
  <c r="J1074" i="2"/>
  <c r="J1068" i="2"/>
  <c r="J1069" i="2"/>
  <c r="J1473" i="2"/>
  <c r="J1488" i="2"/>
  <c r="J1346" i="2"/>
  <c r="J980" i="2"/>
  <c r="J981" i="2"/>
  <c r="J982" i="2"/>
  <c r="J1144" i="2"/>
  <c r="J1145" i="2"/>
  <c r="J1474" i="2"/>
  <c r="J1433" i="2"/>
  <c r="J1125" i="2"/>
  <c r="J1075" i="2"/>
  <c r="J1076" i="2"/>
  <c r="J1077" i="2"/>
  <c r="J1475" i="2"/>
  <c r="J1146" i="2"/>
  <c r="J1149" i="2"/>
  <c r="J206" i="2"/>
  <c r="J1147" i="2"/>
  <c r="J1148" i="2"/>
  <c r="J1078" i="2"/>
  <c r="J1079" i="2"/>
  <c r="J1080" i="2"/>
  <c r="J1081" i="2"/>
  <c r="J1095" i="2"/>
  <c r="J1082" i="2"/>
  <c r="J354" i="2"/>
  <c r="J1083" i="2"/>
  <c r="J1084" i="2"/>
  <c r="J965" i="2"/>
  <c r="J966" i="2"/>
  <c r="J1096" i="2"/>
  <c r="J1085" i="2"/>
  <c r="J1086" i="2"/>
  <c r="J1087" i="2"/>
  <c r="J1088" i="2"/>
  <c r="J1036" i="2"/>
  <c r="J983" i="2"/>
  <c r="J989" i="2"/>
  <c r="J1423" i="2"/>
  <c r="J1424" i="2"/>
  <c r="J1425" i="2"/>
  <c r="J1461" i="2"/>
  <c r="J1436" i="2"/>
  <c r="J1434" i="2"/>
  <c r="J1435" i="2"/>
  <c r="J1426" i="2"/>
  <c r="J1126" i="2"/>
  <c r="J1037" i="2"/>
  <c r="J412" i="2"/>
  <c r="J984" i="2"/>
  <c r="J971" i="2"/>
  <c r="J1463" i="2"/>
  <c r="J964" i="2"/>
  <c r="J789" i="2"/>
  <c r="J985" i="2"/>
  <c r="J972" i="2"/>
  <c r="J1479" i="2"/>
  <c r="J1476" i="2"/>
  <c r="J1127" i="2"/>
  <c r="J1038" i="2"/>
  <c r="J986" i="2"/>
  <c r="J359" i="2"/>
  <c r="J790" i="2"/>
  <c r="J343" i="2"/>
  <c r="J355" i="2"/>
  <c r="J348" i="2"/>
  <c r="J344" i="2"/>
  <c r="J349" i="2"/>
  <c r="J350" i="2"/>
  <c r="J351" i="2"/>
  <c r="J345" i="2"/>
  <c r="J346" i="2"/>
  <c r="J356" i="2"/>
  <c r="J357" i="2"/>
  <c r="J352" i="2"/>
  <c r="J347" i="2"/>
  <c r="J413" i="2"/>
  <c r="J414" i="2"/>
  <c r="J791" i="2"/>
  <c r="J782" i="2"/>
  <c r="J353" i="2"/>
  <c r="J398" i="2"/>
  <c r="J783" i="2"/>
  <c r="J399" i="2"/>
  <c r="J415" i="2"/>
  <c r="J400" i="2"/>
  <c r="J401" i="2"/>
  <c r="J358" i="2"/>
  <c r="J1128" i="2"/>
  <c r="J403" i="2"/>
  <c r="J842" i="2"/>
  <c r="J1427" i="2"/>
  <c r="J1428" i="2"/>
  <c r="J844" i="2"/>
  <c r="J845" i="2"/>
  <c r="J1050" i="2"/>
  <c r="J1051" i="2"/>
  <c r="J792" i="2"/>
  <c r="J1310" i="2"/>
  <c r="J404" i="2"/>
  <c r="J405" i="2"/>
  <c r="J406" i="2"/>
  <c r="J402" i="2"/>
  <c r="J416" i="2"/>
  <c r="J850" i="2"/>
  <c r="J793" i="2"/>
  <c r="J1311" i="2"/>
  <c r="J851" i="2"/>
  <c r="J852" i="2"/>
  <c r="J853" i="2"/>
  <c r="J1429" i="2"/>
  <c r="J1312" i="2"/>
  <c r="J589" i="2"/>
  <c r="J590" i="2"/>
  <c r="J591" i="2"/>
  <c r="J592" i="2"/>
  <c r="J593" i="2"/>
  <c r="J796" i="2"/>
  <c r="J407" i="2"/>
  <c r="J594" i="2"/>
  <c r="J595" i="2"/>
  <c r="J596" i="2"/>
  <c r="J1430" i="2"/>
  <c r="J1431" i="2"/>
  <c r="J1199" i="2"/>
  <c r="J417" i="2"/>
  <c r="J408" i="2"/>
  <c r="J409" i="2"/>
  <c r="J410" i="2"/>
  <c r="J411" i="2"/>
  <c r="J616" i="2"/>
  <c r="J612" i="2"/>
  <c r="J608" i="2"/>
  <c r="J1052" i="2"/>
  <c r="J604" i="2"/>
  <c r="J1180" i="2"/>
  <c r="J1200" i="2"/>
  <c r="J1197" i="2"/>
  <c r="J1201" i="2"/>
  <c r="J605" i="2"/>
  <c r="J1181" i="2"/>
  <c r="J258" i="2"/>
  <c r="J846" i="2"/>
  <c r="J259" i="2"/>
  <c r="J1202" i="2"/>
  <c r="J802" i="2"/>
  <c r="J1203" i="2"/>
  <c r="J1204" i="2"/>
  <c r="J795" i="2"/>
  <c r="J1205" i="2"/>
  <c r="J260" i="2"/>
  <c r="J261" i="2"/>
  <c r="J452" i="2"/>
  <c r="J1206" i="2"/>
  <c r="J262" i="2"/>
  <c r="J606" i="2"/>
  <c r="J469" i="2"/>
  <c r="J470" i="2"/>
  <c r="J263" i="2"/>
  <c r="J252" i="2"/>
  <c r="J1207" i="2"/>
  <c r="J1208" i="2"/>
  <c r="J2" i="2"/>
  <c r="J3" i="2"/>
  <c r="J4" i="2"/>
  <c r="J1215" i="2"/>
  <c r="J1213" i="2"/>
  <c r="J497" i="2"/>
  <c r="J264" i="2"/>
  <c r="J256" i="2"/>
  <c r="J265" i="2"/>
  <c r="J5" i="2"/>
  <c r="J6" i="2"/>
  <c r="J471" i="2"/>
  <c r="J472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9" i="2"/>
  <c r="J30" i="2"/>
  <c r="J31" i="2"/>
  <c r="J32" i="2"/>
  <c r="J33" i="2"/>
  <c r="J34" i="2"/>
  <c r="J35" i="2"/>
  <c r="J36" i="2"/>
  <c r="J37" i="2"/>
  <c r="J453" i="2"/>
  <c r="J454" i="2"/>
  <c r="J287" i="2"/>
  <c r="J1214" i="2"/>
  <c r="J266" i="2"/>
  <c r="J847" i="2"/>
  <c r="J843" i="2"/>
  <c r="J887" i="2"/>
  <c r="J1209" i="2"/>
  <c r="J498" i="2"/>
  <c r="J784" i="2"/>
  <c r="J883" i="2"/>
  <c r="J1210" i="2"/>
  <c r="J267" i="2"/>
  <c r="J473" i="2"/>
  <c r="J613" i="2"/>
  <c r="J607" i="2"/>
  <c r="J1182" i="2"/>
  <c r="J24" i="2"/>
  <c r="J25" i="2"/>
  <c r="J26" i="2"/>
  <c r="J27" i="2"/>
  <c r="J38" i="2"/>
  <c r="J28" i="2"/>
  <c r="J39" i="2"/>
  <c r="J884" i="2"/>
  <c r="J455" i="2"/>
  <c r="J290" i="2"/>
  <c r="J268" i="2"/>
  <c r="J1179" i="2"/>
  <c r="J614" i="2"/>
  <c r="J615" i="2"/>
  <c r="J456" i="2"/>
  <c r="J457" i="2"/>
  <c r="J269" i="2"/>
  <c r="J291" i="2"/>
  <c r="J292" i="2"/>
  <c r="J293" i="2"/>
  <c r="J1198" i="2"/>
  <c r="J1211" i="2"/>
  <c r="J270" i="2"/>
  <c r="J257" i="2"/>
  <c r="J1268" i="2"/>
  <c r="J1263" i="2"/>
  <c r="J1262" i="2"/>
  <c r="J1271" i="2"/>
  <c r="J609" i="2"/>
  <c r="J610" i="2"/>
  <c r="J611" i="2"/>
  <c r="J1212" i="2"/>
  <c r="J271" i="2"/>
  <c r="J288" i="2"/>
  <c r="J1272" i="2"/>
  <c r="J797" i="2"/>
  <c r="J794" i="2"/>
  <c r="J777" i="2"/>
  <c r="J778" i="2"/>
  <c r="J801" i="2"/>
  <c r="J798" i="2"/>
  <c r="J799" i="2"/>
  <c r="J800" i="2"/>
  <c r="J474" i="2"/>
  <c r="J458" i="2"/>
  <c r="J294" i="2"/>
  <c r="J967" i="2"/>
  <c r="J968" i="2"/>
  <c r="J969" i="2"/>
  <c r="J289" i="2"/>
  <c r="J295" i="2"/>
  <c r="J296" i="2"/>
  <c r="J272" i="2"/>
  <c r="J1432" i="2"/>
  <c r="J273" i="2"/>
  <c r="J274" i="2"/>
  <c r="J1280" i="2"/>
  <c r="J1278" i="2"/>
  <c r="J1281" i="2"/>
  <c r="J1277" i="2"/>
  <c r="J1276" i="2"/>
  <c r="J445" i="2"/>
  <c r="J275" i="2"/>
  <c r="J1286" i="2"/>
  <c r="J1284" i="2"/>
  <c r="J1285" i="2"/>
  <c r="J854" i="2"/>
  <c r="J987" i="2"/>
  <c r="J597" i="2"/>
  <c r="J588" i="2"/>
  <c r="J492" i="2"/>
  <c r="J446" i="2"/>
  <c r="J970" i="2"/>
  <c r="J276" i="2"/>
  <c r="J1178" i="2"/>
  <c r="J475" i="2"/>
  <c r="J447" i="2"/>
  <c r="J476" i="2"/>
  <c r="J1273" i="2"/>
  <c r="J1269" i="2"/>
  <c r="J1279" i="2"/>
  <c r="J1274" i="2"/>
  <c r="J1275" i="2"/>
  <c r="J855" i="2"/>
  <c r="J277" i="2"/>
  <c r="J598" i="2"/>
  <c r="J278" i="2"/>
  <c r="J885" i="2"/>
  <c r="J886" i="2"/>
  <c r="J279" i="2"/>
  <c r="J280" i="2"/>
  <c r="J477" i="2"/>
  <c r="J461" i="2"/>
  <c r="J478" i="2"/>
  <c r="J459" i="2"/>
  <c r="J281" i="2"/>
  <c r="J493" i="2"/>
  <c r="J479" i="2"/>
  <c r="J480" i="2"/>
  <c r="J448" i="2"/>
  <c r="J1270" i="2"/>
  <c r="J1264" i="2"/>
  <c r="J1265" i="2"/>
  <c r="J1266" i="2"/>
  <c r="J1283" i="2"/>
  <c r="J1282" i="2"/>
  <c r="J443" i="2"/>
  <c r="J494" i="2"/>
  <c r="J489" i="2"/>
  <c r="J282" i="2"/>
  <c r="J481" i="2"/>
  <c r="J465" i="2"/>
  <c r="J462" i="2"/>
  <c r="J460" i="2"/>
  <c r="J482" i="2"/>
  <c r="J466" i="2"/>
  <c r="J449" i="2"/>
  <c r="J283" i="2"/>
  <c r="J284" i="2"/>
  <c r="J848" i="2"/>
  <c r="J849" i="2"/>
  <c r="J450" i="2"/>
  <c r="J495" i="2"/>
  <c r="J483" i="2"/>
  <c r="J496" i="2"/>
  <c r="J490" i="2"/>
  <c r="J285" i="2"/>
  <c r="J599" i="2"/>
  <c r="J600" i="2"/>
  <c r="J601" i="2"/>
  <c r="J451" i="2"/>
  <c r="J484" i="2"/>
  <c r="J444" i="2"/>
  <c r="J602" i="2"/>
  <c r="J485" i="2"/>
  <c r="J603" i="2"/>
  <c r="J286" i="2"/>
  <c r="J486" i="2"/>
  <c r="J1049" i="2"/>
  <c r="J736" i="2"/>
  <c r="J746" i="2"/>
  <c r="J747" i="2"/>
  <c r="J737" i="2"/>
  <c r="J738" i="2"/>
  <c r="J748" i="2"/>
  <c r="J749" i="2"/>
  <c r="J750" i="2"/>
  <c r="J381" i="2"/>
  <c r="J382" i="2"/>
  <c r="J378" i="2"/>
  <c r="J735" i="2"/>
  <c r="J739" i="2"/>
  <c r="J740" i="2"/>
  <c r="J383" i="2"/>
  <c r="J741" i="2"/>
  <c r="J742" i="2"/>
  <c r="J743" i="2"/>
  <c r="J384" i="2"/>
  <c r="J379" i="2"/>
  <c r="J385" i="2"/>
  <c r="J380" i="2"/>
  <c r="J744" i="2"/>
  <c r="J745" i="2"/>
  <c r="J1048" i="2"/>
  <c r="J1342" i="2"/>
  <c r="J1325" i="2"/>
  <c r="R1325" i="2"/>
  <c r="S1325" i="2" s="1"/>
  <c r="R1342" i="2"/>
  <c r="S1342" i="2" s="1"/>
  <c r="R1267" i="2"/>
  <c r="S1267" i="2" s="1"/>
  <c r="P1267" i="2"/>
  <c r="J1267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<sst xmlns="http://schemas.openxmlformats.org/spreadsheetml/2006/main" count="33499" uniqueCount="3485">
  <si>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</si>
  <si>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</si>
  <si>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</si>
  <si>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</si>
  <si>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</si>
  <si>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</si>
  <si>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</si>
  <si>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</si>
  <si>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</si>
  <si>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</si>
  <si>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</si>
  <si>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</si>
  <si>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</si>
  <si>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</si>
  <si>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</si>
  <si>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</si>
  <si>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</si>
  <si>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</si>
  <si>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</si>
  <si>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</si>
  <si>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</si>
  <si>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</si>
  <si>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</si>
  <si>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</si>
  <si>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</si>
  <si>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</si>
  <si>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</si>
  <si>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</si>
  <si>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</si>
  <si>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</si>
  <si>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</si>
  <si>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</si>
  <si>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</si>
  <si>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</si>
  <si>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</si>
  <si>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</si>
  <si>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</si>
  <si>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</si>
  <si>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</si>
  <si>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</si>
  <si>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</si>
  <si>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</si>
  <si>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</si>
  <si>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</si>
  <si>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</si>
  <si>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</si>
  <si>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</si>
  <si>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</si>
  <si>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</si>
  <si>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</si>
  <si>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</si>
  <si>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</si>
  <si>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</si>
  <si>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</si>
  <si>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</si>
  <si>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</si>
  <si>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</si>
  <si>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</si>
  <si>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</si>
  <si>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</si>
  <si>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</si>
  <si>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</si>
  <si>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</si>
  <si>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</si>
  <si>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</si>
  <si>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</si>
  <si>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</si>
  <si>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</si>
  <si>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</si>
  <si>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</si>
  <si>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</si>
  <si>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</si>
  <si>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</si>
  <si>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</si>
  <si>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</si>
  <si>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</si>
  <si>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</si>
  <si>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</si>
  <si>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</si>
  <si>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</si>
  <si>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</si>
  <si>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</si>
  <si>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</si>
  <si>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</si>
  <si>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</si>
  <si>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</si>
  <si>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</si>
  <si>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</si>
  <si>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</si>
  <si>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</si>
  <si>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</si>
  <si>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</si>
  <si>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</si>
  <si>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</si>
  <si>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</si>
  <si>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</si>
  <si>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</si>
  <si>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</si>
  <si>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</si>
  <si>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</si>
  <si>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</si>
  <si>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</si>
  <si>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</si>
  <si>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</si>
  <si>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</si>
  <si>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</si>
  <si>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</si>
  <si>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</si>
  <si>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</si>
  <si>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</si>
  <si>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</si>
  <si>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</si>
  <si>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</si>
  <si>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</si>
  <si>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</si>
  <si>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</si>
  <si>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</si>
  <si>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</si>
  <si>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</si>
  <si>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</si>
  <si>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</si>
  <si>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</si>
  <si>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</si>
  <si>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</si>
  <si>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</si>
  <si>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</si>
  <si>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</si>
  <si>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</si>
  <si>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</si>
  <si>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</si>
  <si>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</si>
  <si>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</si>
  <si>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</si>
  <si>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</si>
  <si>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</si>
  <si>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</si>
  <si>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</si>
  <si>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</si>
  <si>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</si>
  <si>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</si>
  <si>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</si>
  <si>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</si>
  <si>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</si>
  <si>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</si>
  <si>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</si>
  <si>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</si>
  <si>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</si>
  <si>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</si>
  <si>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</si>
  <si>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</si>
  <si>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</si>
  <si>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</si>
  <si>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</si>
  <si>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</si>
  <si>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</si>
  <si>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</si>
  <si>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</si>
  <si>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</si>
  <si>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</si>
  <si>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</si>
  <si>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</si>
  <si>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</si>
  <si>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</si>
  <si>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</si>
  <si>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</si>
  <si>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</si>
  <si>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</si>
  <si>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</si>
  <si>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</si>
  <si>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</si>
  <si>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</si>
  <si>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</si>
  <si>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</si>
  <si>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</si>
  <si>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</si>
  <si>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</si>
  <si>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</si>
  <si>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</si>
  <si>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</si>
  <si>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</si>
  <si>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</si>
  <si>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</si>
  <si>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</si>
  <si>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</si>
  <si>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</si>
  <si>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</si>
  <si>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</si>
  <si>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</si>
  <si>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</si>
  <si>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</si>
  <si>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</si>
  <si>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</si>
  <si>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</si>
  <si>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</si>
  <si>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</si>
  <si>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</si>
  <si>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</si>
  <si>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</si>
  <si>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</si>
  <si>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</si>
  <si>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</si>
  <si>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</si>
  <si>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</si>
  <si>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</si>
  <si>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</si>
  <si>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</si>
  <si>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</si>
  <si>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</si>
  <si>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</si>
  <si>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</si>
  <si>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</si>
  <si>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</si>
  <si>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</si>
  <si>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</si>
  <si>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</si>
  <si>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</si>
  <si>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</si>
  <si>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</si>
  <si>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</si>
  <si>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</si>
  <si>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</si>
  <si>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</si>
  <si>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</si>
  <si>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</si>
  <si>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</si>
  <si>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</si>
  <si>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</si>
  <si>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</si>
  <si>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</si>
  <si>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</si>
  <si>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</si>
  <si>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</si>
  <si>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</si>
  <si>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</si>
  <si>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</si>
  <si>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</si>
  <si>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</si>
  <si>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</si>
  <si>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</si>
  <si>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</si>
  <si>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</si>
  <si>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</si>
  <si>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</si>
  <si>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</si>
  <si>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</si>
  <si>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</si>
  <si>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</si>
  <si>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</si>
  <si>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</si>
  <si>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</si>
  <si>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</si>
  <si>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</si>
  <si>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</si>
  <si>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</si>
  <si>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</si>
  <si>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</si>
  <si>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</si>
  <si>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</si>
  <si>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</si>
  <si>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</si>
  <si>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</si>
  <si>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</si>
  <si>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</si>
  <si>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</si>
  <si>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</si>
  <si>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</si>
  <si>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</si>
  <si>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</si>
  <si>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</si>
  <si>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</si>
  <si>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</si>
  <si>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</si>
  <si>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</si>
  <si>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</si>
  <si>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</si>
  <si>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</si>
  <si>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</si>
  <si>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</si>
  <si>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</si>
  <si>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</si>
  <si>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</si>
  <si>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</si>
  <si>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</si>
  <si>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</si>
  <si>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</si>
  <si>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</si>
  <si>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</si>
  <si>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</si>
  <si>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</si>
  <si>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</si>
  <si>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</si>
  <si>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</si>
  <si>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</si>
  <si>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</si>
  <si>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</si>
  <si>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</si>
  <si>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</si>
  <si>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</si>
  <si>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</si>
  <si>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</si>
  <si>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</si>
  <si>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</si>
  <si>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</si>
  <si>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</si>
  <si>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</si>
  <si>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</si>
  <si>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</si>
  <si>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</si>
  <si>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</si>
  <si>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</si>
  <si>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</si>
  <si>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</si>
  <si>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</si>
  <si>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</si>
  <si>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</si>
  <si>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</si>
  <si>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</si>
  <si>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</si>
  <si>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</si>
  <si>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</si>
  <si>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</si>
  <si>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</si>
  <si>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</si>
  <si>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</si>
  <si>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</si>
  <si>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</si>
  <si>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</si>
  <si>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</si>
  <si>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</si>
  <si>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</si>
  <si>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</si>
  <si>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</si>
  <si>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</si>
  <si>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</si>
  <si>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</si>
  <si>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</si>
  <si>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</si>
  <si>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</si>
  <si>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</si>
  <si>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</si>
  <si>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</si>
  <si>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</si>
  <si>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</si>
  <si>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</si>
  <si>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</si>
  <si>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</si>
  <si>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</si>
  <si>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</si>
  <si>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</si>
  <si>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</si>
  <si>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</si>
  <si>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</si>
  <si>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</si>
  <si>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</si>
  <si>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</si>
  <si>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</si>
  <si>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</si>
  <si>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</si>
  <si>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</si>
  <si>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</si>
  <si>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</si>
  <si>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</si>
  <si>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</si>
  <si>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</si>
  <si>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</si>
  <si>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</si>
  <si>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</si>
  <si>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</si>
  <si>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</si>
  <si>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</si>
  <si>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</si>
  <si>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</si>
  <si>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</si>
  <si>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</si>
  <si>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</si>
  <si>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</si>
  <si>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</si>
  <si>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</si>
  <si>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</si>
  <si>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</si>
  <si>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</si>
  <si>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</si>
  <si>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</si>
  <si>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</si>
  <si>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</si>
  <si>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</si>
  <si>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</si>
  <si>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</si>
  <si>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</si>
  <si>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</si>
  <si>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</si>
  <si>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</si>
  <si>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</si>
  <si>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</si>
  <si>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</si>
  <si>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</si>
  <si>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</si>
  <si>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</si>
  <si>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</si>
  <si>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</si>
  <si>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</si>
  <si>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</si>
  <si>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</si>
  <si>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</si>
  <si>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</si>
  <si>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</si>
  <si>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</si>
  <si>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</si>
  <si>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</si>
  <si>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</si>
  <si>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</si>
  <si>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</si>
  <si>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</si>
  <si>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</si>
  <si>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</si>
  <si>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</si>
  <si>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</si>
  <si>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</si>
  <si>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</si>
  <si>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</si>
  <si>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</si>
  <si>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</si>
  <si>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</si>
  <si>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</si>
  <si>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</si>
  <si>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</si>
  <si>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</si>
  <si>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</si>
  <si>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</si>
  <si>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</si>
  <si>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</si>
  <si>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</si>
  <si>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</si>
  <si>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</si>
  <si>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</si>
  <si>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</si>
  <si>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</si>
  <si>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</si>
  <si>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</si>
  <si>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</si>
  <si>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</si>
  <si>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</si>
  <si>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</si>
  <si>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</si>
  <si>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</si>
  <si>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</si>
  <si>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</si>
  <si>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</si>
  <si>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</si>
  <si>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</si>
  <si>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</si>
  <si>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</si>
  <si>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</si>
  <si>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</si>
  <si>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</si>
  <si>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</si>
  <si>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</si>
  <si>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</si>
  <si>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</si>
  <si>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</si>
  <si>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</si>
  <si>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</si>
  <si>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</si>
  <si>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</si>
  <si>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</si>
  <si>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</si>
  <si>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</si>
  <si>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</si>
  <si>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</si>
  <si>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</si>
  <si>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</si>
  <si>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</si>
  <si>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</si>
  <si>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</si>
  <si>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</si>
  <si>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</si>
  <si>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</si>
  <si>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</si>
  <si>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</si>
  <si>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</si>
  <si>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</si>
  <si>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</si>
  <si>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</si>
  <si>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</si>
  <si>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</si>
  <si>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</si>
  <si>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</si>
  <si>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</si>
  <si>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</si>
  <si>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</si>
  <si>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</si>
  <si>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</si>
  <si>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</si>
  <si>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</si>
  <si>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</si>
  <si>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</si>
  <si>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</si>
  <si>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</si>
  <si>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</si>
  <si>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</si>
  <si>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</si>
  <si>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</si>
  <si>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</si>
  <si>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</si>
  <si>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</si>
  <si>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</si>
  <si>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</si>
  <si>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</si>
  <si>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</si>
  <si>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</si>
  <si>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</si>
  <si>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</si>
  <si>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</si>
  <si>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</si>
  <si>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</si>
  <si>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</si>
  <si>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</si>
  <si>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</si>
  <si>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</si>
  <si>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</si>
  <si>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</si>
  <si>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</si>
  <si>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</si>
  <si>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</si>
  <si>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</si>
  <si>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</si>
  <si>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</si>
  <si>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</si>
  <si>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</si>
  <si>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</si>
  <si>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</si>
  <si>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</si>
  <si>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</si>
  <si>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</si>
  <si>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</si>
  <si>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</si>
  <si>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</si>
  <si>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</si>
  <si>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</si>
  <si>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</si>
  <si>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</si>
  <si>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</si>
  <si>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</si>
  <si>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</si>
  <si>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</si>
  <si>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</si>
  <si>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</si>
  <si>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</si>
  <si>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</si>
  <si>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</si>
  <si>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</si>
  <si>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</si>
  <si>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</si>
  <si>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</si>
  <si>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</si>
  <si>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</si>
  <si>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</si>
  <si>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</si>
  <si>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</si>
  <si>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</si>
  <si>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</si>
  <si>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</si>
  <si>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</si>
  <si>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</si>
  <si>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</si>
  <si>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</si>
  <si>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</si>
  <si>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</si>
  <si>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</si>
  <si>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</si>
  <si>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</si>
  <si>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</si>
  <si>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</si>
  <si>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</si>
  <si>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</si>
  <si>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</si>
  <si>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</si>
  <si>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</si>
  <si>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</si>
  <si>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</si>
  <si>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</si>
  <si>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</si>
  <si>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</si>
  <si>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</si>
  <si>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</si>
  <si>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</si>
  <si>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</si>
  <si>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</si>
  <si>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</si>
  <si>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</si>
  <si>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</si>
  <si>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</si>
  <si>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</si>
  <si>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</si>
  <si>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</si>
  <si>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</si>
  <si>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</si>
  <si>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</si>
  <si>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</si>
  <si>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</si>
  <si>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</si>
  <si>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</si>
  <si>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</si>
  <si>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</si>
  <si>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</si>
  <si>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</si>
  <si>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</si>
  <si>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</si>
  <si>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</si>
  <si>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</si>
  <si>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</si>
  <si>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</si>
  <si>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</si>
  <si>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</si>
  <si>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</si>
  <si>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</si>
  <si>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</si>
  <si>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</si>
  <si>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</si>
  <si>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</si>
  <si>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</si>
  <si>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</si>
  <si>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</si>
  <si>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</si>
  <si>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</si>
  <si>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</si>
  <si>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</si>
  <si>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</si>
  <si>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</si>
  <si>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</si>
  <si>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</si>
  <si>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</si>
  <si>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</si>
  <si>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</si>
  <si>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</si>
  <si>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</si>
  <si>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</si>
  <si>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</si>
  <si>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</si>
  <si>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</si>
  <si>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</si>
  <si>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</si>
  <si>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</si>
  <si>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</si>
  <si>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</si>
  <si>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</si>
  <si>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</si>
  <si>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</si>
  <si>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</si>
  <si>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</si>
  <si>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</si>
  <si>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</si>
  <si>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</si>
  <si>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</si>
  <si>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</si>
  <si>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</si>
  <si>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</si>
  <si>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</si>
  <si>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</si>
  <si>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</si>
  <si>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</si>
  <si>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</si>
  <si>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</si>
  <si>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</si>
  <si>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</si>
  <si>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</si>
  <si>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</si>
  <si>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</si>
  <si>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</si>
  <si>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</si>
  <si>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</si>
  <si>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</si>
  <si>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</si>
  <si>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</si>
  <si>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</si>
  <si>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</si>
  <si>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</si>
  <si>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</si>
  <si>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</si>
  <si>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</si>
  <si>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</si>
  <si>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</si>
  <si>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</si>
  <si>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</si>
  <si>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</si>
  <si>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</si>
  <si>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</si>
  <si>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</si>
  <si>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</si>
  <si>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</si>
  <si>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</si>
  <si>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</si>
  <si>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</si>
  <si>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</si>
  <si>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</si>
  <si>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</si>
  <si>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</si>
  <si>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</si>
  <si>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</si>
  <si>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</si>
  <si>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</si>
  <si>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</si>
  <si>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</si>
  <si>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</si>
  <si>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</si>
  <si>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</si>
  <si>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</si>
  <si>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</si>
  <si>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</si>
  <si>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</si>
  <si>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</si>
  <si>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</si>
  <si>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</si>
  <si>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</si>
  <si>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</si>
  <si>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</si>
  <si>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</si>
  <si>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</si>
  <si>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</si>
  <si>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</si>
  <si>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</si>
  <si>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</si>
  <si>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</si>
  <si>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</si>
  <si>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</si>
  <si>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</si>
  <si>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</si>
  <si>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</si>
  <si>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</si>
  <si>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</si>
  <si>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</si>
  <si>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</si>
  <si>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</si>
  <si>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</si>
  <si>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</si>
  <si>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</si>
  <si>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</si>
  <si>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</si>
  <si>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</si>
  <si>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</si>
  <si>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</si>
  <si>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</si>
  <si>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</si>
  <si>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</si>
  <si>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</si>
  <si>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</si>
  <si>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</si>
  <si>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</si>
  <si>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</si>
  <si>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</si>
  <si>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</si>
  <si>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</si>
  <si>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</si>
  <si>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</si>
  <si>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</si>
  <si>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</si>
  <si>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</si>
  <si>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</si>
  <si>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</si>
  <si>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</si>
  <si>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</si>
  <si>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</si>
  <si>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</si>
  <si>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</si>
  <si>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</si>
  <si>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</si>
  <si>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</si>
  <si>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</si>
  <si>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</si>
  <si>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</si>
  <si>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</si>
  <si>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</si>
  <si>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</si>
  <si>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</si>
  <si>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</si>
  <si>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</si>
  <si>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</si>
  <si>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</si>
  <si>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</si>
  <si>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</si>
  <si>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</si>
  <si>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</si>
  <si>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</si>
  <si>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</si>
  <si>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</si>
  <si>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</si>
  <si>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</si>
  <si>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</si>
  <si>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</si>
  <si>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</si>
  <si>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</si>
  <si>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</si>
  <si>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</si>
  <si>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</si>
  <si>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</si>
  <si>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</si>
  <si>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</si>
  <si>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</si>
  <si>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</si>
  <si>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</si>
  <si>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</si>
  <si>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</si>
  <si>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</si>
  <si>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</si>
  <si>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</si>
  <si>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</si>
  <si>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</si>
  <si>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</si>
  <si>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</si>
  <si>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</si>
  <si>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</si>
  <si>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</si>
  <si>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</si>
  <si>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</si>
  <si>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</si>
  <si>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</si>
  <si>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</si>
  <si>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</si>
  <si>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</si>
  <si>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</si>
  <si>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</si>
  <si>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</si>
  <si>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</si>
  <si>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</si>
  <si>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</si>
  <si>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</si>
  <si>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</si>
  <si>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</si>
  <si>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</si>
  <si>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</si>
  <si>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</si>
  <si>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</si>
  <si>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</si>
  <si>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</si>
  <si>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</si>
  <si>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</si>
  <si>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</si>
  <si>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</si>
  <si>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</si>
  <si>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</si>
  <si>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</si>
  <si>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</si>
  <si>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</si>
  <si>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</si>
  <si>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</si>
  <si>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</si>
  <si>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</si>
  <si>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</si>
  <si>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</si>
  <si>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</si>
  <si>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</si>
  <si>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</si>
  <si>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</si>
  <si>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</si>
  <si>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</si>
  <si>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</si>
  <si>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</si>
  <si>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</si>
  <si>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</si>
  <si>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</si>
  <si>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</si>
  <si>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</si>
  <si>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</si>
  <si>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</si>
  <si>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</si>
  <si>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</si>
  <si>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</si>
  <si>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</si>
  <si>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</si>
  <si>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</si>
  <si>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</si>
  <si>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</si>
  <si>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</si>
  <si>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</si>
  <si>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</si>
  <si>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</si>
  <si>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</si>
  <si>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</si>
  <si>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</si>
  <si>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</si>
  <si>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</si>
  <si>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</si>
  <si>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</si>
  <si>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</si>
  <si>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</si>
  <si>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</si>
  <si>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</si>
  <si>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</si>
  <si>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</si>
  <si>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</si>
  <si>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</si>
  <si>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</si>
  <si>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</si>
  <si>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</si>
  <si>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</si>
  <si>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</si>
  <si>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</si>
  <si>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</si>
  <si>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</si>
  <si>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</si>
  <si>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</si>
  <si>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</si>
  <si>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</si>
  <si>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</si>
  <si>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</si>
  <si>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</si>
  <si>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</si>
  <si>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</si>
  <si>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</si>
  <si>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</si>
  <si>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</si>
  <si>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</si>
  <si>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</si>
  <si>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</si>
  <si>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</si>
  <si>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</si>
  <si>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</si>
  <si>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</si>
  <si>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</si>
  <si>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</si>
  <si>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</si>
  <si>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</si>
  <si>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</si>
  <si>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</si>
  <si>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</si>
  <si>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</si>
  <si>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</si>
  <si>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</si>
  <si>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</si>
  <si>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</si>
  <si>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</si>
  <si>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</si>
  <si>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</si>
  <si>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</si>
  <si>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</si>
  <si>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</si>
  <si>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</si>
  <si>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</si>
  <si>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</si>
  <si>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</si>
  <si>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</si>
  <si>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</si>
  <si>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</si>
  <si>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</si>
  <si>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</si>
  <si>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</si>
  <si>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</si>
  <si>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</si>
  <si>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</si>
  <si>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</si>
  <si>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</si>
  <si>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</si>
  <si>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</si>
  <si>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</si>
  <si>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</si>
  <si>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</si>
  <si>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</si>
  <si>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</si>
  <si>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</si>
  <si>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</si>
  <si>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</si>
  <si>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</si>
  <si>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</si>
  <si>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</si>
  <si>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</si>
  <si>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</si>
  <si>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</si>
  <si>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</si>
  <si>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</si>
  <si>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</si>
  <si>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</si>
  <si>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</si>
  <si>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</si>
  <si>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</si>
  <si>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</si>
  <si>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</si>
  <si>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</si>
  <si>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</si>
  <si>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</si>
  <si>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</si>
  <si>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</si>
  <si>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</si>
  <si>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</si>
  <si>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</si>
  <si>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</si>
  <si>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</si>
  <si>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</si>
  <si>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</si>
  <si>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</si>
  <si>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</si>
  <si>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</si>
  <si>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</si>
  <si>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</si>
  <si>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</si>
  <si>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</si>
  <si>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</si>
  <si>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</si>
  <si>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</si>
  <si>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</si>
  <si>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</si>
  <si>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</si>
  <si>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</si>
  <si>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</si>
  <si>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</si>
  <si>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</si>
  <si>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</si>
  <si>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</si>
  <si>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</si>
  <si>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</si>
  <si>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</si>
  <si>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</si>
  <si>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</si>
  <si>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</si>
  <si>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</si>
  <si>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</si>
  <si>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</si>
  <si>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</si>
  <si>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</si>
  <si>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</si>
  <si>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</si>
  <si>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</si>
  <si>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</si>
  <si>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</si>
  <si>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</si>
  <si>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</si>
  <si>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</si>
  <si>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</si>
  <si>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</si>
  <si>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</si>
  <si>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</si>
  <si>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</si>
  <si>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</si>
  <si>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</si>
  <si>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</si>
  <si>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</si>
  <si>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</si>
  <si>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</si>
  <si>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</si>
  <si>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</si>
  <si>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</si>
  <si>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</si>
  <si>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</si>
  <si>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</si>
  <si>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</si>
  <si>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</si>
  <si>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</si>
  <si>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</si>
  <si>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</si>
  <si>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</si>
  <si>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</si>
  <si>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</si>
  <si>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</si>
  <si>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</si>
  <si>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</si>
  <si>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</si>
  <si>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</si>
  <si>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</si>
  <si>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</si>
  <si>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</si>
  <si>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</si>
  <si>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</si>
  <si>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</si>
  <si>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</si>
  <si>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</si>
  <si>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</si>
  <si>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</si>
  <si>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</si>
  <si>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</si>
  <si>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</si>
  <si>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</si>
  <si>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</si>
  <si>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</si>
  <si>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</si>
  <si>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</si>
  <si>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</si>
  <si>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</si>
  <si>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</si>
  <si>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</si>
  <si>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</si>
  <si>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</si>
  <si>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</si>
  <si>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</si>
  <si>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</si>
  <si>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</si>
  <si>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</si>
  <si>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</si>
  <si>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</si>
  <si>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</si>
  <si>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</si>
  <si>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</si>
  <si>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</si>
  <si>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</si>
  <si>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</si>
  <si>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</si>
  <si>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</si>
  <si>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</si>
  <si>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</si>
  <si>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</si>
  <si>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</si>
  <si>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</si>
  <si>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</si>
  <si>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</si>
  <si>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</si>
  <si>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</si>
  <si>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</si>
  <si>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</si>
  <si>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</si>
  <si>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</si>
  <si>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</si>
  <si>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</si>
  <si>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</si>
  <si>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</si>
  <si>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</si>
  <si>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</si>
  <si>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</si>
  <si>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</si>
  <si>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</si>
  <si>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</si>
  <si>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</si>
  <si>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</si>
  <si>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</si>
  <si>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</si>
  <si>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</si>
  <si>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</si>
  <si>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</si>
  <si>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</si>
  <si>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</si>
  <si>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</si>
  <si>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</si>
  <si>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</si>
  <si>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</si>
  <si>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</si>
  <si>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</si>
  <si>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</si>
  <si>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</si>
  <si>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</si>
  <si>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</si>
  <si>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</si>
  <si>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</si>
  <si>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</si>
  <si>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</si>
  <si>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</si>
  <si>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</si>
  <si>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</si>
  <si>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</si>
  <si>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</si>
  <si>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</si>
  <si>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</si>
  <si>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</si>
  <si>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</si>
  <si>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</si>
  <si>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</si>
  <si>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</si>
  <si>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</si>
  <si>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</si>
  <si>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</si>
  <si>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</si>
  <si>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</si>
  <si>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</si>
  <si>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</si>
  <si>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</si>
  <si>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</si>
  <si>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</si>
  <si>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</si>
  <si>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</si>
  <si>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</si>
  <si>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</si>
  <si>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</si>
  <si>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</si>
  <si>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</si>
  <si>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</si>
  <si>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</si>
  <si>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</si>
  <si>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</si>
  <si>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</si>
  <si>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</si>
  <si>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</si>
  <si>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</si>
  <si>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</si>
  <si>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</si>
  <si>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</si>
  <si>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</si>
  <si>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</si>
  <si>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</si>
  <si>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</si>
  <si>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</si>
  <si>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</si>
  <si>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</si>
  <si>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</si>
  <si>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</si>
  <si>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</si>
  <si>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</si>
  <si>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</si>
  <si>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</si>
  <si>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</si>
  <si>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</si>
  <si>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</si>
  <si>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</si>
  <si>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</si>
  <si>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</si>
  <si>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</si>
  <si>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</si>
  <si>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</si>
  <si>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</si>
  <si>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</si>
  <si>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</si>
  <si>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</si>
  <si>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</si>
  <si>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</si>
  <si>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</si>
  <si>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</si>
  <si>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</si>
  <si>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</si>
  <si>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</si>
  <si>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</si>
  <si>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</si>
  <si>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</si>
  <si>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</si>
  <si>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</si>
  <si>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</si>
  <si>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</si>
  <si>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</si>
  <si>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</si>
  <si>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</si>
  <si>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</si>
  <si>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</si>
  <si>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</si>
  <si>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</si>
  <si>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</si>
  <si>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</si>
  <si>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</si>
  <si>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</si>
  <si>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</si>
  <si>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</si>
  <si>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</si>
  <si>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</si>
  <si>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</si>
  <si>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</si>
  <si>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</si>
  <si>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</si>
  <si>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</si>
  <si>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</si>
  <si>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</si>
  <si>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</si>
  <si>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</si>
  <si>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</si>
  <si>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</si>
  <si>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</si>
  <si>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</si>
  <si>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</si>
  <si>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</si>
  <si>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</si>
  <si>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</si>
  <si>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</si>
  <si>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</si>
  <si>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</si>
  <si>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</si>
  <si>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</si>
  <si>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</si>
  <si>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</si>
  <si>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</si>
  <si>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</si>
  <si>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</si>
  <si>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</si>
  <si>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</si>
  <si>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</si>
  <si>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</si>
  <si>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</si>
  <si>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</si>
  <si>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</si>
  <si>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</si>
  <si>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</si>
  <si>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</si>
  <si>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</si>
  <si>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</si>
  <si>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</si>
  <si>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</si>
  <si>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</si>
  <si>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</si>
  <si>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</si>
  <si>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</si>
  <si>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</si>
  <si>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</si>
  <si>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</si>
  <si>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</si>
  <si>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</si>
  <si>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</si>
  <si>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</si>
  <si>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</si>
  <si>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</si>
  <si>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</si>
  <si>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</si>
  <si>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</si>
  <si>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</si>
  <si>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</si>
  <si>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</si>
  <si>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</si>
  <si>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</si>
  <si>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</si>
  <si>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</si>
  <si>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</si>
  <si>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</si>
  <si>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</si>
  <si>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</si>
  <si>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</si>
  <si>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</si>
  <si>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</si>
  <si>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</si>
  <si>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</si>
  <si>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</si>
  <si>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</si>
  <si>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</si>
  <si>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</si>
  <si>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</si>
  <si>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</si>
  <si>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</si>
  <si>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</si>
  <si>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</si>
  <si>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</si>
  <si>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</si>
  <si>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</si>
  <si>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</si>
  <si>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</si>
  <si>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</si>
  <si>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</si>
  <si>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</si>
  <si>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</si>
  <si>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</si>
  <si>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</si>
  <si>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</si>
  <si>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</si>
  <si>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</si>
  <si>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</si>
  <si>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</si>
  <si>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</si>
  <si>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</si>
  <si>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</si>
  <si>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</si>
  <si>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</si>
  <si>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</si>
  <si>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</si>
  <si>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</si>
  <si>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</si>
  <si>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</si>
  <si>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</si>
  <si>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</si>
  <si>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</si>
  <si>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</si>
  <si>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</si>
  <si>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</si>
  <si>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</si>
  <si>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</si>
  <si>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</si>
  <si>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</si>
  <si>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</si>
  <si>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</si>
  <si>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</si>
  <si>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</si>
  <si>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</si>
  <si>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</si>
  <si>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</si>
  <si>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</si>
  <si>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</si>
  <si>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</si>
  <si>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</si>
  <si>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</si>
  <si>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</si>
  <si>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</si>
  <si>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</si>
  <si>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</si>
  <si>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</si>
  <si>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</si>
  <si>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</si>
  <si>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</si>
  <si>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</si>
  <si>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</si>
  <si>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</si>
  <si>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</si>
  <si>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</si>
  <si>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</si>
  <si>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</si>
  <si>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</si>
  <si>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</si>
  <si>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</si>
  <si>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</si>
  <si>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</si>
  <si>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</si>
  <si>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</si>
  <si>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</si>
  <si>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</si>
  <si>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</si>
  <si>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</si>
  <si>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</si>
  <si>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</si>
  <si>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</si>
  <si>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</si>
  <si>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</si>
  <si>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</si>
  <si>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</si>
  <si>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</si>
  <si>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</si>
  <si>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</si>
  <si>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</si>
  <si>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</si>
  <si>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</si>
  <si>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</si>
  <si>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</si>
  <si>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</si>
  <si>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</si>
  <si>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</si>
  <si>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</si>
  <si>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</si>
  <si>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</si>
  <si>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</si>
  <si>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</si>
  <si>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</si>
  <si>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</si>
  <si>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</si>
  <si>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</si>
  <si>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</si>
  <si>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</si>
  <si>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</si>
  <si>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</si>
  <si>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</si>
  <si>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</si>
  <si>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</si>
  <si>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</si>
  <si>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</si>
  <si>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</si>
  <si>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</si>
  <si>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</si>
  <si>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</si>
  <si>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</si>
  <si>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</si>
  <si>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</si>
  <si>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</si>
  <si>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</si>
  <si>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</si>
  <si>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</si>
  <si>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</si>
  <si>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</si>
  <si>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</si>
  <si>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</si>
  <si>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</si>
  <si>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</si>
  <si>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</si>
  <si>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</si>
  <si>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</si>
  <si>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</si>
  <si>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</si>
  <si>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</si>
  <si>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</si>
  <si>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</si>
  <si>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</si>
  <si>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</si>
  <si>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</si>
  <si>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</si>
  <si>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</si>
  <si>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</si>
  <si>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</si>
  <si>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</si>
  <si>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</si>
  <si>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</si>
  <si>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</si>
  <si>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</si>
  <si>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</si>
  <si>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</si>
  <si>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</si>
  <si>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</si>
  <si>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</si>
  <si>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</si>
  <si>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</si>
  <si>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</si>
  <si>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COMMODITY</t>
    <phoneticPr fontId="5" type="noConversion"/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</si>
  <si>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</si>
  <si>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</si>
  <si>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</si>
  <si>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</si>
  <si>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</si>
  <si>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</si>
  <si>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</si>
  <si>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</si>
  <si>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</si>
  <si>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</si>
  <si>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</si>
  <si>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</si>
  <si>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</si>
  <si>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</si>
  <si>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20CM GLASS BOWL ANYDAY FROSTED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</si>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</sst>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" fillId="0" borderId="0" applyNumberFormat="0" applyFill="0" applyBorder="0" applyAlignment="0" applyProtection="0"/>
    <xf numFmtId="176" fontId="3" fillId="0" borderId="0"/>
    <xf numFmtId="43" fontId="3" fillId="0" borderId="0" applyFont="0" applyFill="0" applyBorder="0" applyAlignment="0" applyProtection="0">
      <alignment vertical="center"/>
    </xf>
    <xf numFmtId="176" fontId="3" fillId="0" borderId="0"/>
    <xf numFmtId="0" fontId="1" fillId="0" borderId="0"/>
    <xf numFmtId="176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0" fontId="1" fillId="0" borderId="0"/>
  </cellStyleXfs>
  <cellXfs count="56">
    <xf numFmtId="0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43" fontId="4" fillId="0" borderId="0" xfId="3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176" fontId="4" fillId="3" borderId="0" xfId="2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176" fontId="3" fillId="0" borderId="0" xfId="4" applyFont="1"/>
    <xf numFmtId="0" fontId="3" fillId="0" borderId="0" xfId="0" applyFont="1"/>
    <xf numFmtId="14" fontId="3" fillId="0" borderId="0" xfId="0" applyNumberFormat="1" applyFont="1"/>
    <xf numFmtId="176" fontId="3" fillId="3" borderId="0" xfId="2" applyFont="1" applyFill="1"/>
    <xf numFmtId="176" fontId="3" fillId="2" borderId="0" xfId="2" applyFont="1" applyFill="1"/>
    <xf numFmtId="0" fontId="3" fillId="3" borderId="0" xfId="0" applyFont="1" applyFill="1"/>
    <xf numFmtId="14" fontId="0" fillId="0" borderId="0" xfId="0" applyNumberFormat="1"/>
    <xf numFmtId="179" fontId="4" fillId="0" borderId="0" xfId="3" quotePrefix="1" applyNumberFormat="1" applyFont="1" applyFill="1" applyAlignment="1">
      <alignment vertical="center" wrapText="1"/>
    </xf>
    <xf numFmtId="179" fontId="3" fillId="0" borderId="0" xfId="0" applyNumberFormat="1" applyFon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176" fontId="4" fillId="3" borderId="0" xfId="6" applyFont="1" applyFill="1" applyAlignment="1" applyProtection="1">
      <alignment horizontal="center" vertical="center" wrapText="1"/>
      <protection locked="0"/>
    </xf>
    <xf numFmtId="43" fontId="4" fillId="4" borderId="0" xfId="7" applyFont="1" applyFill="1" applyAlignment="1">
      <alignment horizontal="center" vertical="center"/>
    </xf>
    <xf numFmtId="177" fontId="4" fillId="0" borderId="0" xfId="6" quotePrefix="1" applyNumberFormat="1" applyFont="1" applyFill="1" applyAlignment="1">
      <alignment horizontal="center" vertical="center" wrapText="1"/>
    </xf>
    <xf numFmtId="177" fontId="4" fillId="0" borderId="0" xfId="7" quotePrefix="1" applyNumberFormat="1" applyFont="1" applyFill="1" applyAlignment="1">
      <alignment vertical="center" wrapText="1"/>
    </xf>
    <xf numFmtId="43" fontId="4" fillId="0" borderId="0" xfId="8" quotePrefix="1" applyFont="1" applyFill="1" applyAlignment="1">
      <alignment vertical="center" wrapText="1"/>
    </xf>
    <xf numFmtId="176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176" fontId="4" fillId="0" borderId="0" xfId="6" applyFont="1" applyFill="1" applyAlignment="1">
      <alignment horizontal="center" vertical="center" wrapText="1"/>
    </xf>
    <xf numFmtId="176" fontId="4" fillId="0" borderId="0" xfId="6" applyFont="1" applyFill="1" applyBorder="1" applyAlignment="1">
      <alignment horizontal="center" vertical="center" wrapText="1"/>
    </xf>
    <xf numFmtId="179" fontId="1" fillId="4" borderId="0" xfId="9" applyNumberForma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0" fontId="1" fillId="0" borderId="0" xfId="10" applyFont="1"/>
    <xf numFmtId="14" fontId="1" fillId="0" borderId="0" xfId="10" applyNumberFormat="1" applyFont="1"/>
    <xf numFmtId="176" fontId="1" fillId="3" borderId="0" xfId="6" applyFont="1" applyFill="1"/>
    <xf numFmtId="176" fontId="1" fillId="0" borderId="0" xfId="6" applyFont="1" applyFill="1"/>
    <xf numFmtId="0" fontId="1" fillId="4" borderId="0" xfId="10" applyFont="1" applyFill="1"/>
    <xf numFmtId="43" fontId="7" fillId="0" borderId="0" xfId="8" applyFont="1" applyFill="1" applyAlignment="1">
      <alignment horizontal="right"/>
    </xf>
    <xf numFmtId="177" fontId="1" fillId="0" borderId="0" xfId="6" applyNumberFormat="1" applyFont="1" applyFill="1" applyAlignment="1"/>
    <xf numFmtId="177" fontId="1" fillId="0" borderId="0" xfId="6" applyNumberFormat="1" applyFont="1" applyFill="1"/>
    <xf numFmtId="178" fontId="1" fillId="0" borderId="0" xfId="7" applyNumberFormat="1" applyFont="1" applyFill="1" applyAlignment="1"/>
    <xf numFmtId="179" fontId="1" fillId="4" borderId="0" xfId="6" applyNumberFormat="1" applyFont="1" applyFill="1"/>
    <xf numFmtId="176" fontId="1" fillId="2" borderId="0" xfId="6" applyFont="1" applyFill="1"/>
    <xf numFmtId="0" fontId="1" fillId="3" borderId="0" xfId="10" applyFont="1" applyFill="1"/>
    <xf numFmtId="0" fontId="1" fillId="0" borderId="0" xfId="10"/>
    <xf numFmtId="14" fontId="1" fillId="0" borderId="0" xfId="10" applyNumberFormat="1"/>
    <xf numFmtId="179" fontId="1" fillId="0" borderId="0" xfId="10" applyNumberFormat="1" applyFont="1"/>
    <xf numFmtId="179" fontId="1" fillId="4" borderId="0" xfId="10" applyNumberFormat="1" applyFont="1" applyFill="1"/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503"/>
  <sheetViews>
    <sheetView tabSelected="1" workbookViewId="0">
      <pane xSplit="8" ySplit="1" topLeftCell="N2" activePane="bottomRight" state="frozen"/>
      <selection pane="topRight" activeCell="I1" sqref="I1"/>
      <selection pane="bottomLeft" activeCell="A2" sqref="A2"/>
      <selection pane="bottomRight" activeCell="N10" sqref="N10"/>
    </sheetView>
  </sheetViews>
  <sheetFormatPr defaultRowHeight="12.75" x14ac:dyDescent="0.2"/>
  <cols>
    <col min="1" max="1" width="14.140625" style="19" customWidth="1"/>
    <col min="2" max="2" width="9.85546875" style="19" bestFit="1" customWidth="1"/>
    <col min="3" max="3" width="10.42578125" style="19" customWidth="1"/>
    <col min="4" max="5" width="9.140625" style="19"/>
    <col min="6" max="6" width="9.140625" style="23"/>
    <col min="7" max="7" width="9.140625" style="19"/>
    <col min="8" max="8" width="18.7109375" style="19" customWidth="1"/>
    <col min="9" max="9" width="32.7109375" style="19" customWidth="1"/>
    <col min="10" max="10" width="15.85546875" style="19" customWidth="1"/>
    <col min="11" max="11" width="9.140625" style="19"/>
    <col min="12" max="12" width="9.28515625" style="19" bestFit="1" customWidth="1"/>
    <col min="13" max="14" width="9.140625" style="19"/>
    <col min="15" max="15" width="11.42578125" style="26" customWidth="1"/>
    <col min="16" max="16" width="12.28515625" style="19" bestFit="1" customWidth="1"/>
    <col min="17" max="18" width="9.28515625" style="19" bestFit="1" customWidth="1"/>
    <col min="19" max="19" width="10.42578125" style="19" bestFit="1" customWidth="1"/>
    <col min="20" max="16384" width="9.140625" style="19"/>
  </cols>
  <sheetData>
    <row r="1" spans="1:22" s="9" customFormat="1" ht="36" customHeight="1" x14ac:dyDescent="0.2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6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3" t="s">
        <v>1463</v>
      </c>
      <c r="M1" s="1" t="s">
        <v>1464</v>
      </c>
      <c r="N1" s="4" t="s">
        <v>1465</v>
      </c>
      <c r="O1" s="25" t="s">
        <v>1466</v>
      </c>
      <c r="P1" s="5" t="s">
        <v>1467</v>
      </c>
      <c r="Q1" s="4" t="s">
        <v>1468</v>
      </c>
      <c r="R1" s="6" t="s">
        <v>1469</v>
      </c>
      <c r="S1" s="7" t="s">
        <v>1470</v>
      </c>
      <c r="T1" s="8" t="s">
        <v>1471</v>
      </c>
      <c r="V1" s="9" t="s">
        <v>1560</v>
      </c>
    </row>
    <row r="2" spans="1:22" s="22" customFormat="1" x14ac:dyDescent="0.2">
      <c r="A2" s="19" t="s">
        <v>1021</v>
      </c>
      <c r="B2" s="20">
        <v>45663</v>
      </c>
      <c r="C2" s="20">
        <v>45657</v>
      </c>
      <c r="D2" s="19" t="s">
        <v>1006</v>
      </c>
      <c r="E2" s="19" t="s">
        <v>1007</v>
      </c>
      <c r="F2" s="23"/>
      <c r="G2" s="19" t="s">
        <v>1009</v>
      </c>
      <c r="H2" s="19" t="s">
        <v>1019</v>
      </c>
      <c r="I2" s="19" t="s">
        <v>1020</v>
      </c>
      <c r="J2" s="11" t="str">
        <f>+LEFT(U2,4)</f>
        <v>ALM-</v>
      </c>
      <c r="K2" s="19" t="s">
        <v>98</v>
      </c>
      <c r="L2" s="19">
        <v>1698</v>
      </c>
      <c r="M2" s="19" t="s">
        <v>186</v>
      </c>
      <c r="N2" s="19" t="s">
        <v>11</v>
      </c>
      <c r="O2" s="26">
        <v>2.9203999999999999</v>
      </c>
      <c r="P2" s="12">
        <f>ROUND(O2*L2,2)</f>
        <v>4958.84</v>
      </c>
      <c r="Q2" s="13">
        <f>IF(N2="HKD",7.8,IF(N2="CNY",7.30034,1))</f>
        <v>7.3003400000000003</v>
      </c>
      <c r="R2" s="15">
        <f>+ROUND(O2/Q2,4)</f>
        <v>0.4</v>
      </c>
      <c r="S2" s="14">
        <f>ROUND(R2*L2,2)</f>
        <v>679.2</v>
      </c>
      <c r="T2" s="15" t="s">
        <v>349</v>
      </c>
      <c r="U2" s="19" t="s">
        <v>191</v>
      </c>
      <c r="V2" s="19"/>
    </row>
    <row r="3" spans="1:22" s="22" customFormat="1" x14ac:dyDescent="0.2">
      <c r="A3" s="19" t="s">
        <v>1012</v>
      </c>
      <c r="B3" s="20">
        <v>45663</v>
      </c>
      <c r="C3" s="20">
        <v>45657</v>
      </c>
      <c r="D3" s="19" t="s">
        <v>1006</v>
      </c>
      <c r="E3" s="19" t="s">
        <v>1007</v>
      </c>
      <c r="F3" s="23"/>
      <c r="G3" s="19" t="s">
        <v>1009</v>
      </c>
      <c r="H3" s="19" t="s">
        <v>1010</v>
      </c>
      <c r="I3" s="19" t="s">
        <v>1011</v>
      </c>
      <c r="J3" s="11" t="str">
        <f>+LEFT(U3,4)</f>
        <v>ALM-</v>
      </c>
      <c r="K3" s="19" t="s">
        <v>98</v>
      </c>
      <c r="L3" s="19">
        <v>562</v>
      </c>
      <c r="M3" s="19" t="s">
        <v>186</v>
      </c>
      <c r="N3" s="19" t="s">
        <v>11</v>
      </c>
      <c r="O3" s="26">
        <v>2.9203999999999999</v>
      </c>
      <c r="P3" s="12">
        <f>ROUND(O3*L3,2)</f>
        <v>1641.26</v>
      </c>
      <c r="Q3" s="13">
        <f>IF(N3="HKD",7.8,IF(N3="CNY",7.30034,1))</f>
        <v>7.3003400000000003</v>
      </c>
      <c r="R3" s="15">
        <f>+ROUND(O3/Q3,4)</f>
        <v>0.4</v>
      </c>
      <c r="S3" s="14">
        <f>ROUND(R3*L3,2)</f>
        <v>224.8</v>
      </c>
      <c r="T3" s="15" t="s">
        <v>349</v>
      </c>
      <c r="U3" s="19" t="s">
        <v>191</v>
      </c>
      <c r="V3" s="19"/>
    </row>
    <row r="4" spans="1:22" s="22" customFormat="1" x14ac:dyDescent="0.2">
      <c r="A4" s="19" t="s">
        <v>1008</v>
      </c>
      <c r="B4" s="20">
        <v>45663</v>
      </c>
      <c r="C4" s="20">
        <v>45657</v>
      </c>
      <c r="D4" s="19" t="s">
        <v>1006</v>
      </c>
      <c r="E4" s="19" t="s">
        <v>1007</v>
      </c>
      <c r="F4" s="23"/>
      <c r="G4" s="19" t="s">
        <v>1009</v>
      </c>
      <c r="H4" s="19" t="s">
        <v>1004</v>
      </c>
      <c r="I4" s="19" t="s">
        <v>1005</v>
      </c>
      <c r="J4" s="11" t="str">
        <f>+LEFT(U4,4)</f>
        <v>ALM-</v>
      </c>
      <c r="K4" s="19" t="s">
        <v>98</v>
      </c>
      <c r="L4" s="19">
        <v>550</v>
      </c>
      <c r="M4" s="19" t="s">
        <v>186</v>
      </c>
      <c r="N4" s="19" t="s">
        <v>11</v>
      </c>
      <c r="O4" s="26">
        <v>2.9203999999999999</v>
      </c>
      <c r="P4" s="12">
        <f>ROUND(O4*L4,2)</f>
        <v>1606.22</v>
      </c>
      <c r="Q4" s="13">
        <f>IF(N4="HKD",7.8,IF(N4="CNY",7.30034,1))</f>
        <v>7.3003400000000003</v>
      </c>
      <c r="R4" s="15">
        <f>+ROUND(O4/Q4,4)</f>
        <v>0.4</v>
      </c>
      <c r="S4" s="14">
        <f>ROUND(R4*L4,2)</f>
        <v>220</v>
      </c>
      <c r="T4" s="15" t="s">
        <v>349</v>
      </c>
      <c r="U4" s="19" t="s">
        <v>191</v>
      </c>
      <c r="V4" s="19"/>
    </row>
    <row r="5" spans="1:22" x14ac:dyDescent="0.2">
      <c r="A5" s="19" t="s">
        <v>1018</v>
      </c>
      <c r="B5" s="20">
        <v>45663</v>
      </c>
      <c r="C5" s="20">
        <v>45657</v>
      </c>
      <c r="D5" s="19" t="s">
        <v>1006</v>
      </c>
      <c r="E5" s="19" t="s">
        <v>1007</v>
      </c>
      <c r="G5" s="19" t="s">
        <v>1009</v>
      </c>
      <c r="H5" s="19" t="s">
        <v>1016</v>
      </c>
      <c r="I5" s="19" t="s">
        <v>1017</v>
      </c>
      <c r="J5" s="11" t="str">
        <f>+LEFT(U5,4)</f>
        <v>ALM-</v>
      </c>
      <c r="K5" s="19" t="s">
        <v>98</v>
      </c>
      <c r="L5" s="19">
        <v>902</v>
      </c>
      <c r="M5" s="19" t="s">
        <v>186</v>
      </c>
      <c r="N5" s="19" t="s">
        <v>11</v>
      </c>
      <c r="O5" s="26">
        <v>3.0973000000000002</v>
      </c>
      <c r="P5" s="12">
        <f>ROUND(O5*L5,2)</f>
        <v>2793.76</v>
      </c>
      <c r="Q5" s="13">
        <f>IF(N5="HKD",7.8,IF(N5="CNY",7.30034,1))</f>
        <v>7.3003400000000003</v>
      </c>
      <c r="R5" s="15">
        <f>+ROUND(O5/Q5,4)</f>
        <v>0.42430000000000001</v>
      </c>
      <c r="S5" s="14">
        <f>ROUND(R5*L5,2)</f>
        <v>382.72</v>
      </c>
      <c r="T5" s="15" t="s">
        <v>349</v>
      </c>
      <c r="U5" s="19" t="s">
        <v>191</v>
      </c>
    </row>
    <row r="6" spans="1:22" x14ac:dyDescent="0.2">
      <c r="A6" s="19" t="s">
        <v>1015</v>
      </c>
      <c r="B6" s="20">
        <v>45663</v>
      </c>
      <c r="C6" s="20">
        <v>45657</v>
      </c>
      <c r="D6" s="19" t="s">
        <v>1006</v>
      </c>
      <c r="E6" s="19" t="s">
        <v>1007</v>
      </c>
      <c r="G6" s="19" t="s">
        <v>1009</v>
      </c>
      <c r="H6" s="19" t="s">
        <v>1013</v>
      </c>
      <c r="I6" s="19" t="s">
        <v>1014</v>
      </c>
      <c r="J6" s="11" t="str">
        <f>+LEFT(U6,4)</f>
        <v>ALM-</v>
      </c>
      <c r="K6" s="19" t="s">
        <v>98</v>
      </c>
      <c r="L6" s="19">
        <v>555</v>
      </c>
      <c r="M6" s="19" t="s">
        <v>186</v>
      </c>
      <c r="N6" s="19" t="s">
        <v>11</v>
      </c>
      <c r="O6" s="26">
        <v>3.0973000000000002</v>
      </c>
      <c r="P6" s="12">
        <f>ROUND(O6*L6,2)</f>
        <v>1719</v>
      </c>
      <c r="Q6" s="13">
        <f>IF(N6="HKD",7.8,IF(N6="CNY",7.30034,1))</f>
        <v>7.3003400000000003</v>
      </c>
      <c r="R6" s="15">
        <f>+ROUND(O6/Q6,4)</f>
        <v>0.42430000000000001</v>
      </c>
      <c r="S6" s="14">
        <f>ROUND(R6*L6,2)</f>
        <v>235.49</v>
      </c>
      <c r="T6" s="15" t="s">
        <v>349</v>
      </c>
      <c r="U6" s="19" t="s">
        <v>191</v>
      </c>
    </row>
    <row r="7" spans="1:22" x14ac:dyDescent="0.2">
      <c r="A7" s="19" t="s">
        <v>1234</v>
      </c>
      <c r="B7" s="20">
        <v>45663</v>
      </c>
      <c r="C7" s="20">
        <v>45615</v>
      </c>
      <c r="D7" s="19" t="s">
        <v>187</v>
      </c>
      <c r="E7" s="19" t="s">
        <v>188</v>
      </c>
      <c r="G7" s="19" t="s">
        <v>1199</v>
      </c>
      <c r="H7" s="19" t="s">
        <v>211</v>
      </c>
      <c r="I7" s="19" t="s">
        <v>212</v>
      </c>
      <c r="J7" s="11" t="str">
        <f>+LEFT(U7,4)</f>
        <v>ALM-</v>
      </c>
      <c r="K7" s="19" t="s">
        <v>98</v>
      </c>
      <c r="L7" s="19">
        <v>800</v>
      </c>
      <c r="M7" s="19" t="s">
        <v>186</v>
      </c>
      <c r="N7" s="19" t="s">
        <v>11</v>
      </c>
      <c r="O7" s="26">
        <v>3.1415999999999999</v>
      </c>
      <c r="P7" s="12">
        <f>ROUND(O7*L7,2)</f>
        <v>2513.2800000000002</v>
      </c>
      <c r="Q7" s="13">
        <f>IF(N7="HKD",7.8,IF(N7="CNY",7.30034,1))</f>
        <v>7.3003400000000003</v>
      </c>
      <c r="R7" s="15">
        <f>+ROUND(O7/Q7,4)</f>
        <v>0.43030000000000002</v>
      </c>
      <c r="S7" s="14">
        <f>ROUND(R7*L7,2)</f>
        <v>344.24</v>
      </c>
      <c r="T7" s="15" t="s">
        <v>349</v>
      </c>
      <c r="U7" s="19" t="s">
        <v>191</v>
      </c>
    </row>
    <row r="8" spans="1:22" x14ac:dyDescent="0.2">
      <c r="A8" s="19" t="s">
        <v>1233</v>
      </c>
      <c r="B8" s="20">
        <v>45663</v>
      </c>
      <c r="C8" s="20">
        <v>45615</v>
      </c>
      <c r="D8" s="19" t="s">
        <v>187</v>
      </c>
      <c r="E8" s="19" t="s">
        <v>188</v>
      </c>
      <c r="G8" s="19" t="s">
        <v>1199</v>
      </c>
      <c r="H8" s="19" t="s">
        <v>208</v>
      </c>
      <c r="I8" s="19" t="s">
        <v>209</v>
      </c>
      <c r="J8" s="11" t="str">
        <f>+LEFT(U8,4)</f>
        <v>ALM-</v>
      </c>
      <c r="K8" s="19" t="s">
        <v>98</v>
      </c>
      <c r="L8" s="19">
        <v>1000</v>
      </c>
      <c r="M8" s="19" t="s">
        <v>186</v>
      </c>
      <c r="N8" s="19" t="s">
        <v>11</v>
      </c>
      <c r="O8" s="26">
        <v>3.1415999999999999</v>
      </c>
      <c r="P8" s="12">
        <f>ROUND(O8*L8,2)</f>
        <v>3141.6</v>
      </c>
      <c r="Q8" s="13">
        <f>IF(N8="HKD",7.8,IF(N8="CNY",7.30034,1))</f>
        <v>7.3003400000000003</v>
      </c>
      <c r="R8" s="15">
        <f>+ROUND(O8/Q8,4)</f>
        <v>0.43030000000000002</v>
      </c>
      <c r="S8" s="14">
        <f>ROUND(R8*L8,2)</f>
        <v>430.3</v>
      </c>
      <c r="T8" s="15" t="s">
        <v>349</v>
      </c>
      <c r="U8" s="19" t="s">
        <v>191</v>
      </c>
    </row>
    <row r="9" spans="1:22" x14ac:dyDescent="0.2">
      <c r="A9" s="19" t="s">
        <v>1232</v>
      </c>
      <c r="B9" s="20">
        <v>45663</v>
      </c>
      <c r="C9" s="20">
        <v>45615</v>
      </c>
      <c r="D9" s="19" t="s">
        <v>187</v>
      </c>
      <c r="E9" s="19" t="s">
        <v>188</v>
      </c>
      <c r="G9" s="19" t="s">
        <v>1199</v>
      </c>
      <c r="H9" s="19" t="s">
        <v>205</v>
      </c>
      <c r="I9" s="19" t="s">
        <v>206</v>
      </c>
      <c r="J9" s="11" t="str">
        <f>+LEFT(U9,4)</f>
        <v>ALM-</v>
      </c>
      <c r="K9" s="19" t="s">
        <v>98</v>
      </c>
      <c r="L9" s="19">
        <v>550</v>
      </c>
      <c r="M9" s="19" t="s">
        <v>186</v>
      </c>
      <c r="N9" s="19" t="s">
        <v>11</v>
      </c>
      <c r="O9" s="26">
        <v>3.1415999999999999</v>
      </c>
      <c r="P9" s="12">
        <f>ROUND(O9*L9,2)</f>
        <v>1727.88</v>
      </c>
      <c r="Q9" s="13">
        <f>IF(N9="HKD",7.8,IF(N9="CNY",7.30034,1))</f>
        <v>7.3003400000000003</v>
      </c>
      <c r="R9" s="15">
        <f>+ROUND(O9/Q9,4)</f>
        <v>0.43030000000000002</v>
      </c>
      <c r="S9" s="14">
        <f>ROUND(R9*L9,2)</f>
        <v>236.67</v>
      </c>
      <c r="T9" s="15" t="s">
        <v>349</v>
      </c>
      <c r="U9" s="19" t="s">
        <v>191</v>
      </c>
    </row>
    <row r="10" spans="1:22" x14ac:dyDescent="0.2">
      <c r="A10" s="19" t="s">
        <v>1231</v>
      </c>
      <c r="B10" s="20">
        <v>45663</v>
      </c>
      <c r="C10" s="20">
        <v>45615</v>
      </c>
      <c r="D10" s="19" t="s">
        <v>187</v>
      </c>
      <c r="E10" s="19" t="s">
        <v>188</v>
      </c>
      <c r="G10" s="19" t="s">
        <v>1199</v>
      </c>
      <c r="H10" s="19" t="s">
        <v>202</v>
      </c>
      <c r="I10" s="19" t="s">
        <v>203</v>
      </c>
      <c r="J10" s="11" t="str">
        <f>+LEFT(U10,4)</f>
        <v>ALM-</v>
      </c>
      <c r="K10" s="19" t="s">
        <v>98</v>
      </c>
      <c r="L10" s="19">
        <v>300</v>
      </c>
      <c r="M10" s="19" t="s">
        <v>186</v>
      </c>
      <c r="N10" s="19" t="s">
        <v>11</v>
      </c>
      <c r="O10" s="26">
        <v>3.1415999999999999</v>
      </c>
      <c r="P10" s="12">
        <f>ROUND(O10*L10,2)</f>
        <v>942.48</v>
      </c>
      <c r="Q10" s="13">
        <f>IF(N10="HKD",7.8,IF(N10="CNY",7.30034,1))</f>
        <v>7.3003400000000003</v>
      </c>
      <c r="R10" s="15">
        <f>+ROUND(O10/Q10,4)</f>
        <v>0.43030000000000002</v>
      </c>
      <c r="S10" s="14">
        <f>ROUND(R10*L10,2)</f>
        <v>129.09</v>
      </c>
      <c r="T10" s="15" t="s">
        <v>349</v>
      </c>
      <c r="U10" s="19" t="s">
        <v>191</v>
      </c>
    </row>
    <row r="11" spans="1:22" x14ac:dyDescent="0.2">
      <c r="A11" s="19" t="s">
        <v>1230</v>
      </c>
      <c r="B11" s="20">
        <v>45663</v>
      </c>
      <c r="C11" s="20">
        <v>45615</v>
      </c>
      <c r="D11" s="19" t="s">
        <v>187</v>
      </c>
      <c r="E11" s="19" t="s">
        <v>188</v>
      </c>
      <c r="G11" s="19" t="s">
        <v>1199</v>
      </c>
      <c r="H11" s="19" t="s">
        <v>199</v>
      </c>
      <c r="I11" s="19" t="s">
        <v>200</v>
      </c>
      <c r="J11" s="11" t="str">
        <f>+LEFT(U11,4)</f>
        <v>ALM-</v>
      </c>
      <c r="K11" s="19" t="s">
        <v>98</v>
      </c>
      <c r="L11" s="19">
        <v>1900</v>
      </c>
      <c r="M11" s="19" t="s">
        <v>186</v>
      </c>
      <c r="N11" s="19" t="s">
        <v>11</v>
      </c>
      <c r="O11" s="26">
        <v>3.1415999999999999</v>
      </c>
      <c r="P11" s="12">
        <f>ROUND(O11*L11,2)</f>
        <v>5969.04</v>
      </c>
      <c r="Q11" s="13">
        <f>IF(N11="HKD",7.8,IF(N11="CNY",7.30034,1))</f>
        <v>7.3003400000000003</v>
      </c>
      <c r="R11" s="15">
        <f>+ROUND(O11/Q11,4)</f>
        <v>0.43030000000000002</v>
      </c>
      <c r="S11" s="14">
        <f>ROUND(R11*L11,2)</f>
        <v>817.57</v>
      </c>
      <c r="T11" s="15" t="s">
        <v>349</v>
      </c>
      <c r="U11" s="19" t="s">
        <v>191</v>
      </c>
    </row>
    <row r="12" spans="1:22" x14ac:dyDescent="0.2">
      <c r="A12" s="19" t="s">
        <v>1229</v>
      </c>
      <c r="B12" s="20">
        <v>45663</v>
      </c>
      <c r="C12" s="20">
        <v>45615</v>
      </c>
      <c r="D12" s="19" t="s">
        <v>187</v>
      </c>
      <c r="E12" s="19" t="s">
        <v>188</v>
      </c>
      <c r="G12" s="19" t="s">
        <v>1199</v>
      </c>
      <c r="H12" s="19" t="s">
        <v>1206</v>
      </c>
      <c r="I12" s="19" t="s">
        <v>1207</v>
      </c>
      <c r="J12" s="11" t="str">
        <f>+LEFT(U12,4)</f>
        <v>ALM-</v>
      </c>
      <c r="K12" s="19" t="s">
        <v>98</v>
      </c>
      <c r="L12" s="19">
        <v>100</v>
      </c>
      <c r="M12" s="19" t="s">
        <v>186</v>
      </c>
      <c r="N12" s="19" t="s">
        <v>11</v>
      </c>
      <c r="O12" s="26">
        <v>3.1415999999999999</v>
      </c>
      <c r="P12" s="12">
        <f>ROUND(O12*L12,2)</f>
        <v>314.16000000000003</v>
      </c>
      <c r="Q12" s="13">
        <f>IF(N12="HKD",7.8,IF(N12="CNY",7.30034,1))</f>
        <v>7.3003400000000003</v>
      </c>
      <c r="R12" s="15">
        <f>+ROUND(O12/Q12,4)</f>
        <v>0.43030000000000002</v>
      </c>
      <c r="S12" s="14">
        <f>ROUND(R12*L12,2)</f>
        <v>43.03</v>
      </c>
      <c r="T12" s="15" t="s">
        <v>349</v>
      </c>
      <c r="U12" s="19" t="s">
        <v>191</v>
      </c>
    </row>
    <row r="13" spans="1:22" x14ac:dyDescent="0.2">
      <c r="A13" s="19" t="s">
        <v>1205</v>
      </c>
      <c r="B13" s="20">
        <v>45663</v>
      </c>
      <c r="C13" s="20">
        <v>45638</v>
      </c>
      <c r="D13" s="19" t="s">
        <v>187</v>
      </c>
      <c r="E13" s="19" t="s">
        <v>188</v>
      </c>
      <c r="G13" s="19" t="s">
        <v>1199</v>
      </c>
      <c r="H13" s="19" t="s">
        <v>211</v>
      </c>
      <c r="I13" s="19" t="s">
        <v>212</v>
      </c>
      <c r="J13" s="11" t="str">
        <f>+LEFT(U13,4)</f>
        <v>ALM-</v>
      </c>
      <c r="K13" s="19" t="s">
        <v>98</v>
      </c>
      <c r="L13" s="19">
        <v>300</v>
      </c>
      <c r="M13" s="19" t="s">
        <v>186</v>
      </c>
      <c r="N13" s="19" t="s">
        <v>11</v>
      </c>
      <c r="O13" s="26">
        <v>3.1415999999999999</v>
      </c>
      <c r="P13" s="12">
        <f>ROUND(O13*L13,2)</f>
        <v>942.48</v>
      </c>
      <c r="Q13" s="13">
        <f>IF(N13="HKD",7.8,IF(N13="CNY",7.30034,1))</f>
        <v>7.3003400000000003</v>
      </c>
      <c r="R13" s="15">
        <f>+ROUND(O13/Q13,4)</f>
        <v>0.43030000000000002</v>
      </c>
      <c r="S13" s="14">
        <f>ROUND(R13*L13,2)</f>
        <v>129.09</v>
      </c>
      <c r="T13" s="15" t="s">
        <v>349</v>
      </c>
      <c r="U13" s="19" t="s">
        <v>191</v>
      </c>
    </row>
    <row r="14" spans="1:22" x14ac:dyDescent="0.2">
      <c r="A14" s="19" t="s">
        <v>1204</v>
      </c>
      <c r="B14" s="20">
        <v>45663</v>
      </c>
      <c r="C14" s="20">
        <v>45638</v>
      </c>
      <c r="D14" s="19" t="s">
        <v>187</v>
      </c>
      <c r="E14" s="19" t="s">
        <v>188</v>
      </c>
      <c r="G14" s="19" t="s">
        <v>1199</v>
      </c>
      <c r="H14" s="19" t="s">
        <v>208</v>
      </c>
      <c r="I14" s="19" t="s">
        <v>209</v>
      </c>
      <c r="J14" s="11" t="str">
        <f>+LEFT(U14,4)</f>
        <v>ALM-</v>
      </c>
      <c r="K14" s="19" t="s">
        <v>98</v>
      </c>
      <c r="L14" s="19">
        <v>300</v>
      </c>
      <c r="M14" s="19" t="s">
        <v>186</v>
      </c>
      <c r="N14" s="19" t="s">
        <v>11</v>
      </c>
      <c r="O14" s="26">
        <v>3.1415999999999999</v>
      </c>
      <c r="P14" s="12">
        <f>ROUND(O14*L14,2)</f>
        <v>942.48</v>
      </c>
      <c r="Q14" s="13">
        <f>IF(N14="HKD",7.8,IF(N14="CNY",7.30034,1))</f>
        <v>7.3003400000000003</v>
      </c>
      <c r="R14" s="15">
        <f>+ROUND(O14/Q14,4)</f>
        <v>0.43030000000000002</v>
      </c>
      <c r="S14" s="14">
        <f>ROUND(R14*L14,2)</f>
        <v>129.09</v>
      </c>
      <c r="T14" s="15" t="s">
        <v>349</v>
      </c>
      <c r="U14" s="19" t="s">
        <v>191</v>
      </c>
    </row>
    <row r="15" spans="1:22" x14ac:dyDescent="0.2">
      <c r="A15" s="19" t="s">
        <v>1222</v>
      </c>
      <c r="B15" s="20">
        <v>45663</v>
      </c>
      <c r="C15" s="20">
        <v>45643</v>
      </c>
      <c r="D15" s="19" t="s">
        <v>187</v>
      </c>
      <c r="E15" s="19" t="s">
        <v>188</v>
      </c>
      <c r="G15" s="19" t="s">
        <v>1199</v>
      </c>
      <c r="H15" s="19" t="s">
        <v>214</v>
      </c>
      <c r="I15" s="19" t="s">
        <v>215</v>
      </c>
      <c r="J15" s="11" t="str">
        <f>+LEFT(U15,4)</f>
        <v>ALM-</v>
      </c>
      <c r="K15" s="19" t="s">
        <v>98</v>
      </c>
      <c r="L15" s="19">
        <v>300</v>
      </c>
      <c r="M15" s="19" t="s">
        <v>186</v>
      </c>
      <c r="N15" s="19" t="s">
        <v>11</v>
      </c>
      <c r="O15" s="26">
        <v>3.1415999999999999</v>
      </c>
      <c r="P15" s="12">
        <f>ROUND(O15*L15,2)</f>
        <v>942.48</v>
      </c>
      <c r="Q15" s="13">
        <f>IF(N15="HKD",7.8,IF(N15="CNY",7.30034,1))</f>
        <v>7.3003400000000003</v>
      </c>
      <c r="R15" s="15">
        <f>+ROUND(O15/Q15,4)</f>
        <v>0.43030000000000002</v>
      </c>
      <c r="S15" s="14">
        <f>ROUND(R15*L15,2)</f>
        <v>129.09</v>
      </c>
      <c r="T15" s="15" t="s">
        <v>349</v>
      </c>
      <c r="U15" s="19" t="s">
        <v>191</v>
      </c>
    </row>
    <row r="16" spans="1:22" x14ac:dyDescent="0.2">
      <c r="A16" s="19" t="s">
        <v>1221</v>
      </c>
      <c r="B16" s="20">
        <v>45663</v>
      </c>
      <c r="C16" s="20">
        <v>45643</v>
      </c>
      <c r="D16" s="19" t="s">
        <v>187</v>
      </c>
      <c r="E16" s="19" t="s">
        <v>188</v>
      </c>
      <c r="G16" s="19" t="s">
        <v>1199</v>
      </c>
      <c r="H16" s="19" t="s">
        <v>211</v>
      </c>
      <c r="I16" s="19" t="s">
        <v>212</v>
      </c>
      <c r="J16" s="11" t="str">
        <f>+LEFT(U16,4)</f>
        <v>ALM-</v>
      </c>
      <c r="K16" s="19" t="s">
        <v>98</v>
      </c>
      <c r="L16" s="19">
        <v>460</v>
      </c>
      <c r="M16" s="19" t="s">
        <v>186</v>
      </c>
      <c r="N16" s="19" t="s">
        <v>11</v>
      </c>
      <c r="O16" s="26">
        <v>3.1415999999999999</v>
      </c>
      <c r="P16" s="12">
        <f>ROUND(O16*L16,2)</f>
        <v>1445.14</v>
      </c>
      <c r="Q16" s="13">
        <f>IF(N16="HKD",7.8,IF(N16="CNY",7.30034,1))</f>
        <v>7.3003400000000003</v>
      </c>
      <c r="R16" s="15">
        <f>+ROUND(O16/Q16,4)</f>
        <v>0.43030000000000002</v>
      </c>
      <c r="S16" s="14">
        <f>ROUND(R16*L16,2)</f>
        <v>197.94</v>
      </c>
      <c r="T16" s="15" t="s">
        <v>349</v>
      </c>
      <c r="U16" s="19" t="s">
        <v>191</v>
      </c>
    </row>
    <row r="17" spans="1:21" x14ac:dyDescent="0.2">
      <c r="A17" s="19" t="s">
        <v>1220</v>
      </c>
      <c r="B17" s="20">
        <v>45663</v>
      </c>
      <c r="C17" s="20">
        <v>45643</v>
      </c>
      <c r="D17" s="19" t="s">
        <v>187</v>
      </c>
      <c r="E17" s="19" t="s">
        <v>188</v>
      </c>
      <c r="G17" s="19" t="s">
        <v>1199</v>
      </c>
      <c r="H17" s="19" t="s">
        <v>202</v>
      </c>
      <c r="I17" s="19" t="s">
        <v>203</v>
      </c>
      <c r="J17" s="11" t="str">
        <f>+LEFT(U17,4)</f>
        <v>ALM-</v>
      </c>
      <c r="K17" s="19" t="s">
        <v>98</v>
      </c>
      <c r="L17" s="19">
        <v>310</v>
      </c>
      <c r="M17" s="19" t="s">
        <v>186</v>
      </c>
      <c r="N17" s="19" t="s">
        <v>11</v>
      </c>
      <c r="O17" s="26">
        <v>3.1415999999999999</v>
      </c>
      <c r="P17" s="12">
        <f>ROUND(O17*L17,2)</f>
        <v>973.9</v>
      </c>
      <c r="Q17" s="13">
        <f>IF(N17="HKD",7.8,IF(N17="CNY",7.30034,1))</f>
        <v>7.3003400000000003</v>
      </c>
      <c r="R17" s="15">
        <f>+ROUND(O17/Q17,4)</f>
        <v>0.43030000000000002</v>
      </c>
      <c r="S17" s="14">
        <f>ROUND(R17*L17,2)</f>
        <v>133.38999999999999</v>
      </c>
      <c r="T17" s="15" t="s">
        <v>349</v>
      </c>
      <c r="U17" s="19" t="s">
        <v>191</v>
      </c>
    </row>
    <row r="18" spans="1:21" x14ac:dyDescent="0.2">
      <c r="A18" s="19" t="s">
        <v>1219</v>
      </c>
      <c r="B18" s="20">
        <v>45663</v>
      </c>
      <c r="C18" s="20">
        <v>45643</v>
      </c>
      <c r="D18" s="19" t="s">
        <v>187</v>
      </c>
      <c r="E18" s="19" t="s">
        <v>188</v>
      </c>
      <c r="G18" s="19" t="s">
        <v>1199</v>
      </c>
      <c r="H18" s="19" t="s">
        <v>1217</v>
      </c>
      <c r="I18" s="19" t="s">
        <v>1218</v>
      </c>
      <c r="J18" s="11" t="str">
        <f>+LEFT(U18,4)</f>
        <v>ALM-</v>
      </c>
      <c r="K18" s="19" t="s">
        <v>98</v>
      </c>
      <c r="L18" s="19">
        <v>780</v>
      </c>
      <c r="M18" s="19" t="s">
        <v>186</v>
      </c>
      <c r="N18" s="19" t="s">
        <v>11</v>
      </c>
      <c r="O18" s="26">
        <v>3.1415999999999999</v>
      </c>
      <c r="P18" s="12">
        <f>ROUND(O18*L18,2)</f>
        <v>2450.4499999999998</v>
      </c>
      <c r="Q18" s="13">
        <f>IF(N18="HKD",7.8,IF(N18="CNY",7.30034,1))</f>
        <v>7.3003400000000003</v>
      </c>
      <c r="R18" s="15">
        <f>+ROUND(O18/Q18,4)</f>
        <v>0.43030000000000002</v>
      </c>
      <c r="S18" s="14">
        <f>ROUND(R18*L18,2)</f>
        <v>335.63</v>
      </c>
      <c r="T18" s="15" t="s">
        <v>349</v>
      </c>
      <c r="U18" s="19" t="s">
        <v>191</v>
      </c>
    </row>
    <row r="19" spans="1:21" x14ac:dyDescent="0.2">
      <c r="A19" s="19" t="s">
        <v>1216</v>
      </c>
      <c r="B19" s="20">
        <v>45663</v>
      </c>
      <c r="C19" s="20">
        <v>45643</v>
      </c>
      <c r="D19" s="19" t="s">
        <v>187</v>
      </c>
      <c r="E19" s="19" t="s">
        <v>188</v>
      </c>
      <c r="G19" s="19" t="s">
        <v>1199</v>
      </c>
      <c r="H19" s="19" t="s">
        <v>211</v>
      </c>
      <c r="I19" s="19" t="s">
        <v>212</v>
      </c>
      <c r="J19" s="11" t="str">
        <f>+LEFT(U19,4)</f>
        <v>ALM-</v>
      </c>
      <c r="K19" s="19" t="s">
        <v>98</v>
      </c>
      <c r="L19" s="19">
        <v>900</v>
      </c>
      <c r="M19" s="19" t="s">
        <v>186</v>
      </c>
      <c r="N19" s="19" t="s">
        <v>11</v>
      </c>
      <c r="O19" s="26">
        <v>3.1415999999999999</v>
      </c>
      <c r="P19" s="12">
        <f>ROUND(O19*L19,2)</f>
        <v>2827.44</v>
      </c>
      <c r="Q19" s="13">
        <f>IF(N19="HKD",7.8,IF(N19="CNY",7.30034,1))</f>
        <v>7.3003400000000003</v>
      </c>
      <c r="R19" s="15">
        <f>+ROUND(O19/Q19,4)</f>
        <v>0.43030000000000002</v>
      </c>
      <c r="S19" s="14">
        <f>ROUND(R19*L19,2)</f>
        <v>387.27</v>
      </c>
      <c r="T19" s="15" t="s">
        <v>349</v>
      </c>
      <c r="U19" s="19" t="s">
        <v>191</v>
      </c>
    </row>
    <row r="20" spans="1:21" x14ac:dyDescent="0.2">
      <c r="A20" s="19" t="s">
        <v>1215</v>
      </c>
      <c r="B20" s="20">
        <v>45663</v>
      </c>
      <c r="C20" s="20">
        <v>45643</v>
      </c>
      <c r="D20" s="19" t="s">
        <v>187</v>
      </c>
      <c r="E20" s="19" t="s">
        <v>188</v>
      </c>
      <c r="G20" s="19" t="s">
        <v>1199</v>
      </c>
      <c r="H20" s="19" t="s">
        <v>1213</v>
      </c>
      <c r="I20" s="19" t="s">
        <v>1214</v>
      </c>
      <c r="J20" s="11" t="str">
        <f>+LEFT(U20,4)</f>
        <v>ALM-</v>
      </c>
      <c r="K20" s="19" t="s">
        <v>98</v>
      </c>
      <c r="L20" s="19">
        <v>120</v>
      </c>
      <c r="M20" s="19" t="s">
        <v>186</v>
      </c>
      <c r="N20" s="19" t="s">
        <v>11</v>
      </c>
      <c r="O20" s="26">
        <v>3.1415999999999999</v>
      </c>
      <c r="P20" s="12">
        <f>ROUND(O20*L20,2)</f>
        <v>376.99</v>
      </c>
      <c r="Q20" s="13">
        <f>IF(N20="HKD",7.8,IF(N20="CNY",7.30034,1))</f>
        <v>7.3003400000000003</v>
      </c>
      <c r="R20" s="15">
        <f>+ROUND(O20/Q20,4)</f>
        <v>0.43030000000000002</v>
      </c>
      <c r="S20" s="14">
        <f>ROUND(R20*L20,2)</f>
        <v>51.64</v>
      </c>
      <c r="T20" s="15" t="s">
        <v>349</v>
      </c>
      <c r="U20" s="19" t="s">
        <v>191</v>
      </c>
    </row>
    <row r="21" spans="1:21" x14ac:dyDescent="0.2">
      <c r="A21" s="19" t="s">
        <v>1198</v>
      </c>
      <c r="B21" s="20">
        <v>45663</v>
      </c>
      <c r="C21" s="20">
        <v>45650</v>
      </c>
      <c r="D21" s="19" t="s">
        <v>187</v>
      </c>
      <c r="E21" s="19" t="s">
        <v>188</v>
      </c>
      <c r="G21" s="19" t="s">
        <v>1199</v>
      </c>
      <c r="H21" s="19" t="s">
        <v>211</v>
      </c>
      <c r="I21" s="19" t="s">
        <v>212</v>
      </c>
      <c r="J21" s="11" t="str">
        <f>+LEFT(U21,4)</f>
        <v>ALM-</v>
      </c>
      <c r="K21" s="19" t="s">
        <v>98</v>
      </c>
      <c r="L21" s="19">
        <v>450</v>
      </c>
      <c r="M21" s="19" t="s">
        <v>186</v>
      </c>
      <c r="N21" s="19" t="s">
        <v>11</v>
      </c>
      <c r="O21" s="26">
        <v>3.1415999999999999</v>
      </c>
      <c r="P21" s="12">
        <f>ROUND(O21*L21,2)</f>
        <v>1413.72</v>
      </c>
      <c r="Q21" s="13">
        <f>IF(N21="HKD",7.8,IF(N21="CNY",7.30034,1))</f>
        <v>7.3003400000000003</v>
      </c>
      <c r="R21" s="15">
        <f>+ROUND(O21/Q21,4)</f>
        <v>0.43030000000000002</v>
      </c>
      <c r="S21" s="14">
        <f>ROUND(R21*L21,2)</f>
        <v>193.64</v>
      </c>
      <c r="T21" s="15" t="s">
        <v>349</v>
      </c>
      <c r="U21" s="19" t="s">
        <v>191</v>
      </c>
    </row>
    <row r="22" spans="1:21" x14ac:dyDescent="0.2">
      <c r="A22" s="19" t="s">
        <v>1212</v>
      </c>
      <c r="B22" s="20">
        <v>45663</v>
      </c>
      <c r="C22" s="20">
        <v>45656</v>
      </c>
      <c r="D22" s="19" t="s">
        <v>187</v>
      </c>
      <c r="E22" s="19" t="s">
        <v>188</v>
      </c>
      <c r="G22" s="19" t="s">
        <v>1199</v>
      </c>
      <c r="H22" s="19" t="s">
        <v>1210</v>
      </c>
      <c r="I22" s="19" t="s">
        <v>1211</v>
      </c>
      <c r="J22" s="11" t="str">
        <f>+LEFT(U22,4)</f>
        <v>ALM-</v>
      </c>
      <c r="K22" s="19" t="s">
        <v>98</v>
      </c>
      <c r="L22" s="19">
        <v>205</v>
      </c>
      <c r="M22" s="19" t="s">
        <v>186</v>
      </c>
      <c r="N22" s="19" t="s">
        <v>11</v>
      </c>
      <c r="O22" s="26">
        <v>3.1415999999999999</v>
      </c>
      <c r="P22" s="12">
        <f>ROUND(O22*L22,2)</f>
        <v>644.03</v>
      </c>
      <c r="Q22" s="13">
        <f>IF(N22="HKD",7.8,IF(N22="CNY",7.30034,1))</f>
        <v>7.3003400000000003</v>
      </c>
      <c r="R22" s="15">
        <f>+ROUND(O22/Q22,4)</f>
        <v>0.43030000000000002</v>
      </c>
      <c r="S22" s="14">
        <f>ROUND(R22*L22,2)</f>
        <v>88.21</v>
      </c>
      <c r="T22" s="15" t="s">
        <v>349</v>
      </c>
      <c r="U22" s="19" t="s">
        <v>191</v>
      </c>
    </row>
    <row r="23" spans="1:21" x14ac:dyDescent="0.2">
      <c r="A23" s="19" t="s">
        <v>1208</v>
      </c>
      <c r="B23" s="20">
        <v>45663</v>
      </c>
      <c r="C23" s="20">
        <v>45656</v>
      </c>
      <c r="D23" s="19" t="s">
        <v>187</v>
      </c>
      <c r="E23" s="19" t="s">
        <v>188</v>
      </c>
      <c r="G23" s="19" t="s">
        <v>1199</v>
      </c>
      <c r="H23" s="19" t="s">
        <v>1206</v>
      </c>
      <c r="I23" s="19" t="s">
        <v>1207</v>
      </c>
      <c r="J23" s="11" t="str">
        <f>+LEFT(U23,4)</f>
        <v>ALM-</v>
      </c>
      <c r="K23" s="19" t="s">
        <v>98</v>
      </c>
      <c r="L23" s="19">
        <v>160</v>
      </c>
      <c r="M23" s="19" t="s">
        <v>186</v>
      </c>
      <c r="N23" s="19" t="s">
        <v>11</v>
      </c>
      <c r="O23" s="26">
        <v>3.1415999999999999</v>
      </c>
      <c r="P23" s="12">
        <f>ROUND(O23*L23,2)</f>
        <v>502.66</v>
      </c>
      <c r="Q23" s="13">
        <f>IF(N23="HKD",7.8,IF(N23="CNY",7.30034,1))</f>
        <v>7.3003400000000003</v>
      </c>
      <c r="R23" s="15">
        <f>+ROUND(O23/Q23,4)</f>
        <v>0.43030000000000002</v>
      </c>
      <c r="S23" s="14">
        <f>ROUND(R23*L23,2)</f>
        <v>68.849999999999994</v>
      </c>
      <c r="T23" s="15" t="s">
        <v>349</v>
      </c>
      <c r="U23" s="19" t="s">
        <v>191</v>
      </c>
    </row>
    <row r="24" spans="1:21" x14ac:dyDescent="0.2">
      <c r="A24" s="19" t="s">
        <v>1225</v>
      </c>
      <c r="B24" s="20">
        <v>45663</v>
      </c>
      <c r="C24" s="20">
        <v>45643</v>
      </c>
      <c r="D24" s="19" t="s">
        <v>187</v>
      </c>
      <c r="E24" s="19" t="s">
        <v>188</v>
      </c>
      <c r="G24" s="19" t="s">
        <v>1199</v>
      </c>
      <c r="H24" s="19" t="s">
        <v>1223</v>
      </c>
      <c r="I24" s="19" t="s">
        <v>1224</v>
      </c>
      <c r="J24" s="11" t="str">
        <f>+LEFT(U24,4)</f>
        <v>ALM-</v>
      </c>
      <c r="K24" s="19" t="s">
        <v>98</v>
      </c>
      <c r="L24" s="19">
        <v>50</v>
      </c>
      <c r="M24" s="19" t="s">
        <v>186</v>
      </c>
      <c r="N24" s="19" t="s">
        <v>11</v>
      </c>
      <c r="O24" s="26">
        <v>3.6282999999999999</v>
      </c>
      <c r="P24" s="12">
        <f>ROUND(O24*L24,2)</f>
        <v>181.42</v>
      </c>
      <c r="Q24" s="13">
        <f>IF(N24="HKD",7.8,IF(N24="CNY",7.30034,1))</f>
        <v>7.3003400000000003</v>
      </c>
      <c r="R24" s="15">
        <f>+ROUND(O24/Q24,4)</f>
        <v>0.497</v>
      </c>
      <c r="S24" s="14">
        <f>ROUND(R24*L24,2)</f>
        <v>24.85</v>
      </c>
      <c r="T24" s="15" t="s">
        <v>349</v>
      </c>
      <c r="U24" s="19" t="s">
        <v>191</v>
      </c>
    </row>
    <row r="25" spans="1:21" x14ac:dyDescent="0.2">
      <c r="A25" s="19" t="s">
        <v>1228</v>
      </c>
      <c r="B25" s="20">
        <v>45663</v>
      </c>
      <c r="C25" s="20">
        <v>45643</v>
      </c>
      <c r="D25" s="19" t="s">
        <v>187</v>
      </c>
      <c r="E25" s="19" t="s">
        <v>188</v>
      </c>
      <c r="G25" s="19" t="s">
        <v>1199</v>
      </c>
      <c r="H25" s="19" t="s">
        <v>1226</v>
      </c>
      <c r="I25" s="19" t="s">
        <v>1227</v>
      </c>
      <c r="J25" s="11" t="str">
        <f>+LEFT(U25,4)</f>
        <v>ALM-</v>
      </c>
      <c r="K25" s="19" t="s">
        <v>98</v>
      </c>
      <c r="L25" s="19">
        <v>220</v>
      </c>
      <c r="M25" s="19" t="s">
        <v>186</v>
      </c>
      <c r="N25" s="19" t="s">
        <v>11</v>
      </c>
      <c r="O25" s="26">
        <v>3.6282999999999999</v>
      </c>
      <c r="P25" s="12">
        <f>ROUND(O25*L25,2)</f>
        <v>798.23</v>
      </c>
      <c r="Q25" s="13">
        <f>IF(N25="HKD",7.8,IF(N25="CNY",7.30034,1))</f>
        <v>7.3003400000000003</v>
      </c>
      <c r="R25" s="15">
        <f>+ROUND(O25/Q25,4)</f>
        <v>0.497</v>
      </c>
      <c r="S25" s="14">
        <f>ROUND(R25*L25,2)</f>
        <v>109.34</v>
      </c>
      <c r="T25" s="15" t="s">
        <v>349</v>
      </c>
      <c r="U25" s="19" t="s">
        <v>191</v>
      </c>
    </row>
    <row r="26" spans="1:21" x14ac:dyDescent="0.2">
      <c r="A26" s="19" t="s">
        <v>1203</v>
      </c>
      <c r="B26" s="20">
        <v>45663</v>
      </c>
      <c r="C26" s="20">
        <v>45650</v>
      </c>
      <c r="D26" s="19" t="s">
        <v>187</v>
      </c>
      <c r="E26" s="19" t="s">
        <v>188</v>
      </c>
      <c r="G26" s="19" t="s">
        <v>1199</v>
      </c>
      <c r="H26" s="19" t="s">
        <v>192</v>
      </c>
      <c r="I26" s="19" t="s">
        <v>193</v>
      </c>
      <c r="J26" s="11" t="str">
        <f>+LEFT(U26,4)</f>
        <v>ALM-</v>
      </c>
      <c r="K26" s="19" t="s">
        <v>98</v>
      </c>
      <c r="L26" s="19">
        <v>85</v>
      </c>
      <c r="M26" s="19" t="s">
        <v>186</v>
      </c>
      <c r="N26" s="19" t="s">
        <v>11</v>
      </c>
      <c r="O26" s="26">
        <v>3.6282999999999999</v>
      </c>
      <c r="P26" s="12">
        <f>ROUND(O26*L26,2)</f>
        <v>308.41000000000003</v>
      </c>
      <c r="Q26" s="13">
        <f>IF(N26="HKD",7.8,IF(N26="CNY",7.30034,1))</f>
        <v>7.3003400000000003</v>
      </c>
      <c r="R26" s="15">
        <f>+ROUND(O26/Q26,4)</f>
        <v>0.497</v>
      </c>
      <c r="S26" s="14">
        <f>ROUND(R26*L26,2)</f>
        <v>42.25</v>
      </c>
      <c r="T26" s="15" t="s">
        <v>349</v>
      </c>
      <c r="U26" s="19" t="s">
        <v>191</v>
      </c>
    </row>
    <row r="27" spans="1:21" x14ac:dyDescent="0.2">
      <c r="A27" s="19" t="s">
        <v>1202</v>
      </c>
      <c r="B27" s="20">
        <v>45663</v>
      </c>
      <c r="C27" s="20">
        <v>45650</v>
      </c>
      <c r="D27" s="19" t="s">
        <v>187</v>
      </c>
      <c r="E27" s="19" t="s">
        <v>188</v>
      </c>
      <c r="G27" s="19" t="s">
        <v>1199</v>
      </c>
      <c r="H27" s="19" t="s">
        <v>1200</v>
      </c>
      <c r="I27" s="19" t="s">
        <v>1201</v>
      </c>
      <c r="J27" s="11" t="str">
        <f>+LEFT(U27,4)</f>
        <v>ALM-</v>
      </c>
      <c r="K27" s="19" t="s">
        <v>98</v>
      </c>
      <c r="L27" s="19">
        <v>70</v>
      </c>
      <c r="M27" s="19" t="s">
        <v>186</v>
      </c>
      <c r="N27" s="19" t="s">
        <v>11</v>
      </c>
      <c r="O27" s="26">
        <v>3.6282999999999999</v>
      </c>
      <c r="P27" s="12">
        <f>ROUND(O27*L27,2)</f>
        <v>253.98</v>
      </c>
      <c r="Q27" s="13">
        <f>IF(N27="HKD",7.8,IF(N27="CNY",7.30034,1))</f>
        <v>7.3003400000000003</v>
      </c>
      <c r="R27" s="15">
        <f>+ROUND(O27/Q27,4)</f>
        <v>0.497</v>
      </c>
      <c r="S27" s="14">
        <f>ROUND(R27*L27,2)</f>
        <v>34.79</v>
      </c>
      <c r="T27" s="15" t="s">
        <v>349</v>
      </c>
      <c r="U27" s="19" t="s">
        <v>191</v>
      </c>
    </row>
    <row r="28" spans="1:21" x14ac:dyDescent="0.2">
      <c r="A28" s="19" t="s">
        <v>1209</v>
      </c>
      <c r="B28" s="20">
        <v>45663</v>
      </c>
      <c r="C28" s="20">
        <v>45656</v>
      </c>
      <c r="D28" s="19" t="s">
        <v>187</v>
      </c>
      <c r="E28" s="19" t="s">
        <v>188</v>
      </c>
      <c r="G28" s="19" t="s">
        <v>1199</v>
      </c>
      <c r="H28" s="19" t="s">
        <v>192</v>
      </c>
      <c r="I28" s="19" t="s">
        <v>193</v>
      </c>
      <c r="J28" s="11" t="str">
        <f>+LEFT(U28,4)</f>
        <v>ALM-</v>
      </c>
      <c r="K28" s="19" t="s">
        <v>98</v>
      </c>
      <c r="L28" s="19">
        <v>50</v>
      </c>
      <c r="M28" s="19" t="s">
        <v>186</v>
      </c>
      <c r="N28" s="19" t="s">
        <v>11</v>
      </c>
      <c r="O28" s="26">
        <v>3.6282999999999999</v>
      </c>
      <c r="P28" s="12">
        <f>ROUND(O28*L28,2)</f>
        <v>181.42</v>
      </c>
      <c r="Q28" s="13">
        <f>IF(N28="HKD",7.8,IF(N28="CNY",7.30034,1))</f>
        <v>7.3003400000000003</v>
      </c>
      <c r="R28" s="15">
        <f>+ROUND(O28/Q28,4)</f>
        <v>0.497</v>
      </c>
      <c r="S28" s="14">
        <f>ROUND(R28*L28,2)</f>
        <v>24.85</v>
      </c>
      <c r="T28" s="15" t="s">
        <v>349</v>
      </c>
      <c r="U28" s="19" t="s">
        <v>191</v>
      </c>
    </row>
    <row r="29" spans="1:21" x14ac:dyDescent="0.2">
      <c r="A29" s="19" t="s">
        <v>220</v>
      </c>
      <c r="B29" s="20">
        <v>45674</v>
      </c>
      <c r="C29" s="20">
        <v>45663</v>
      </c>
      <c r="D29" s="19" t="s">
        <v>187</v>
      </c>
      <c r="E29" s="19" t="s">
        <v>188</v>
      </c>
      <c r="G29" s="19" t="s">
        <v>195</v>
      </c>
      <c r="H29" s="19" t="s">
        <v>211</v>
      </c>
      <c r="I29" s="19" t="s">
        <v>212</v>
      </c>
      <c r="J29" s="11" t="str">
        <f>+LEFT(U29,4)</f>
        <v>ALM-</v>
      </c>
      <c r="K29" s="19" t="s">
        <v>98</v>
      </c>
      <c r="L29" s="19">
        <v>400</v>
      </c>
      <c r="M29" s="19" t="s">
        <v>186</v>
      </c>
      <c r="N29" s="19" t="s">
        <v>11</v>
      </c>
      <c r="O29" s="26">
        <v>3.1415999999999999</v>
      </c>
      <c r="P29" s="12">
        <f>ROUND(O29*L29,2)</f>
        <v>1256.6400000000001</v>
      </c>
      <c r="Q29" s="13">
        <f>IF(N29="HKD",7.8,IF(N29="CNY",7.30034,1))</f>
        <v>7.3003400000000003</v>
      </c>
      <c r="R29" s="15">
        <f>+ROUND(O29/Q29,4)</f>
        <v>0.43030000000000002</v>
      </c>
      <c r="S29" s="14">
        <f>ROUND(R29*L29,2)</f>
        <v>172.12</v>
      </c>
      <c r="T29" s="15" t="s">
        <v>349</v>
      </c>
      <c r="U29" s="19" t="s">
        <v>191</v>
      </c>
    </row>
    <row r="30" spans="1:21" x14ac:dyDescent="0.2">
      <c r="A30" s="19" t="s">
        <v>219</v>
      </c>
      <c r="B30" s="20">
        <v>45674</v>
      </c>
      <c r="C30" s="20">
        <v>45663</v>
      </c>
      <c r="D30" s="19" t="s">
        <v>187</v>
      </c>
      <c r="E30" s="19" t="s">
        <v>188</v>
      </c>
      <c r="G30" s="19" t="s">
        <v>195</v>
      </c>
      <c r="H30" s="19" t="s">
        <v>217</v>
      </c>
      <c r="I30" s="19" t="s">
        <v>218</v>
      </c>
      <c r="J30" s="11" t="str">
        <f>+LEFT(U30,4)</f>
        <v>ALM-</v>
      </c>
      <c r="K30" s="19" t="s">
        <v>98</v>
      </c>
      <c r="L30" s="19">
        <v>100</v>
      </c>
      <c r="M30" s="19" t="s">
        <v>186</v>
      </c>
      <c r="N30" s="19" t="s">
        <v>11</v>
      </c>
      <c r="O30" s="26">
        <v>3.1415999999999999</v>
      </c>
      <c r="P30" s="12">
        <f>ROUND(O30*L30,2)</f>
        <v>314.16000000000003</v>
      </c>
      <c r="Q30" s="13">
        <f>IF(N30="HKD",7.8,IF(N30="CNY",7.30034,1))</f>
        <v>7.3003400000000003</v>
      </c>
      <c r="R30" s="15">
        <f>+ROUND(O30/Q30,4)</f>
        <v>0.43030000000000002</v>
      </c>
      <c r="S30" s="14">
        <f>ROUND(R30*L30,2)</f>
        <v>43.03</v>
      </c>
      <c r="T30" s="15" t="s">
        <v>349</v>
      </c>
      <c r="U30" s="19" t="s">
        <v>191</v>
      </c>
    </row>
    <row r="31" spans="1:21" x14ac:dyDescent="0.2">
      <c r="A31" s="19" t="s">
        <v>216</v>
      </c>
      <c r="B31" s="20">
        <v>45674</v>
      </c>
      <c r="C31" s="20">
        <v>45663</v>
      </c>
      <c r="D31" s="19" t="s">
        <v>187</v>
      </c>
      <c r="E31" s="19" t="s">
        <v>188</v>
      </c>
      <c r="G31" s="19" t="s">
        <v>195</v>
      </c>
      <c r="H31" s="19" t="s">
        <v>214</v>
      </c>
      <c r="I31" s="19" t="s">
        <v>215</v>
      </c>
      <c r="J31" s="11" t="str">
        <f>+LEFT(U31,4)</f>
        <v>ALM-</v>
      </c>
      <c r="K31" s="19" t="s">
        <v>98</v>
      </c>
      <c r="L31" s="19">
        <v>350</v>
      </c>
      <c r="M31" s="19" t="s">
        <v>186</v>
      </c>
      <c r="N31" s="19" t="s">
        <v>11</v>
      </c>
      <c r="O31" s="26">
        <v>3.1415999999999999</v>
      </c>
      <c r="P31" s="12">
        <f>ROUND(O31*L31,2)</f>
        <v>1099.56</v>
      </c>
      <c r="Q31" s="13">
        <f>IF(N31="HKD",7.8,IF(N31="CNY",7.30034,1))</f>
        <v>7.3003400000000003</v>
      </c>
      <c r="R31" s="15">
        <f>+ROUND(O31/Q31,4)</f>
        <v>0.43030000000000002</v>
      </c>
      <c r="S31" s="14">
        <f>ROUND(R31*L31,2)</f>
        <v>150.61000000000001</v>
      </c>
      <c r="T31" s="15" t="s">
        <v>349</v>
      </c>
      <c r="U31" s="19" t="s">
        <v>191</v>
      </c>
    </row>
    <row r="32" spans="1:21" x14ac:dyDescent="0.2">
      <c r="A32" s="19" t="s">
        <v>213</v>
      </c>
      <c r="B32" s="20">
        <v>45674</v>
      </c>
      <c r="C32" s="20">
        <v>45663</v>
      </c>
      <c r="D32" s="19" t="s">
        <v>187</v>
      </c>
      <c r="E32" s="19" t="s">
        <v>188</v>
      </c>
      <c r="G32" s="19" t="s">
        <v>195</v>
      </c>
      <c r="H32" s="19" t="s">
        <v>211</v>
      </c>
      <c r="I32" s="19" t="s">
        <v>212</v>
      </c>
      <c r="J32" s="11" t="str">
        <f>+LEFT(U32,4)</f>
        <v>ALM-</v>
      </c>
      <c r="K32" s="19" t="s">
        <v>98</v>
      </c>
      <c r="L32" s="19">
        <v>800</v>
      </c>
      <c r="M32" s="19" t="s">
        <v>186</v>
      </c>
      <c r="N32" s="19" t="s">
        <v>11</v>
      </c>
      <c r="O32" s="26">
        <v>3.1415999999999999</v>
      </c>
      <c r="P32" s="12">
        <f>ROUND(O32*L32,2)</f>
        <v>2513.2800000000002</v>
      </c>
      <c r="Q32" s="13">
        <f>IF(N32="HKD",7.8,IF(N32="CNY",7.30034,1))</f>
        <v>7.3003400000000003</v>
      </c>
      <c r="R32" s="15">
        <f>+ROUND(O32/Q32,4)</f>
        <v>0.43030000000000002</v>
      </c>
      <c r="S32" s="14">
        <f>ROUND(R32*L32,2)</f>
        <v>344.24</v>
      </c>
      <c r="T32" s="15" t="s">
        <v>349</v>
      </c>
      <c r="U32" s="19" t="s">
        <v>191</v>
      </c>
    </row>
    <row r="33" spans="1:21" x14ac:dyDescent="0.2">
      <c r="A33" s="19" t="s">
        <v>210</v>
      </c>
      <c r="B33" s="20">
        <v>45674</v>
      </c>
      <c r="C33" s="20">
        <v>45663</v>
      </c>
      <c r="D33" s="19" t="s">
        <v>187</v>
      </c>
      <c r="E33" s="19" t="s">
        <v>188</v>
      </c>
      <c r="G33" s="19" t="s">
        <v>195</v>
      </c>
      <c r="H33" s="19" t="s">
        <v>208</v>
      </c>
      <c r="I33" s="19" t="s">
        <v>209</v>
      </c>
      <c r="J33" s="11" t="str">
        <f>+LEFT(U33,4)</f>
        <v>ALM-</v>
      </c>
      <c r="K33" s="19" t="s">
        <v>98</v>
      </c>
      <c r="L33" s="19">
        <v>550</v>
      </c>
      <c r="M33" s="19" t="s">
        <v>186</v>
      </c>
      <c r="N33" s="19" t="s">
        <v>11</v>
      </c>
      <c r="O33" s="26">
        <v>3.1415999999999999</v>
      </c>
      <c r="P33" s="12">
        <f>ROUND(O33*L33,2)</f>
        <v>1727.88</v>
      </c>
      <c r="Q33" s="13">
        <f>IF(N33="HKD",7.8,IF(N33="CNY",7.30034,1))</f>
        <v>7.3003400000000003</v>
      </c>
      <c r="R33" s="15">
        <f>+ROUND(O33/Q33,4)</f>
        <v>0.43030000000000002</v>
      </c>
      <c r="S33" s="14">
        <f>ROUND(R33*L33,2)</f>
        <v>236.67</v>
      </c>
      <c r="T33" s="15" t="s">
        <v>349</v>
      </c>
      <c r="U33" s="19" t="s">
        <v>191</v>
      </c>
    </row>
    <row r="34" spans="1:21" x14ac:dyDescent="0.2">
      <c r="A34" s="19" t="s">
        <v>207</v>
      </c>
      <c r="B34" s="20">
        <v>45674</v>
      </c>
      <c r="C34" s="20">
        <v>45663</v>
      </c>
      <c r="D34" s="19" t="s">
        <v>187</v>
      </c>
      <c r="E34" s="19" t="s">
        <v>188</v>
      </c>
      <c r="G34" s="19" t="s">
        <v>195</v>
      </c>
      <c r="H34" s="19" t="s">
        <v>205</v>
      </c>
      <c r="I34" s="19" t="s">
        <v>206</v>
      </c>
      <c r="J34" s="11" t="str">
        <f>+LEFT(U34,4)</f>
        <v>ALM-</v>
      </c>
      <c r="K34" s="19" t="s">
        <v>98</v>
      </c>
      <c r="L34" s="19">
        <v>400</v>
      </c>
      <c r="M34" s="19" t="s">
        <v>186</v>
      </c>
      <c r="N34" s="19" t="s">
        <v>11</v>
      </c>
      <c r="O34" s="26">
        <v>3.1415999999999999</v>
      </c>
      <c r="P34" s="12">
        <f>ROUND(O34*L34,2)</f>
        <v>1256.6400000000001</v>
      </c>
      <c r="Q34" s="13">
        <f>IF(N34="HKD",7.8,IF(N34="CNY",7.30034,1))</f>
        <v>7.3003400000000003</v>
      </c>
      <c r="R34" s="15">
        <f>+ROUND(O34/Q34,4)</f>
        <v>0.43030000000000002</v>
      </c>
      <c r="S34" s="14">
        <f>ROUND(R34*L34,2)</f>
        <v>172.12</v>
      </c>
      <c r="T34" s="15" t="s">
        <v>349</v>
      </c>
      <c r="U34" s="19" t="s">
        <v>191</v>
      </c>
    </row>
    <row r="35" spans="1:21" x14ac:dyDescent="0.2">
      <c r="A35" s="19" t="s">
        <v>204</v>
      </c>
      <c r="B35" s="20">
        <v>45674</v>
      </c>
      <c r="C35" s="20">
        <v>45663</v>
      </c>
      <c r="D35" s="19" t="s">
        <v>187</v>
      </c>
      <c r="E35" s="19" t="s">
        <v>188</v>
      </c>
      <c r="G35" s="19" t="s">
        <v>195</v>
      </c>
      <c r="H35" s="19" t="s">
        <v>202</v>
      </c>
      <c r="I35" s="19" t="s">
        <v>203</v>
      </c>
      <c r="J35" s="11" t="str">
        <f>+LEFT(U35,4)</f>
        <v>ALM-</v>
      </c>
      <c r="K35" s="19" t="s">
        <v>98</v>
      </c>
      <c r="L35" s="19">
        <v>500</v>
      </c>
      <c r="M35" s="19" t="s">
        <v>186</v>
      </c>
      <c r="N35" s="19" t="s">
        <v>11</v>
      </c>
      <c r="O35" s="26">
        <v>3.1415999999999999</v>
      </c>
      <c r="P35" s="12">
        <f>ROUND(O35*L35,2)</f>
        <v>1570.8</v>
      </c>
      <c r="Q35" s="13">
        <f>IF(N35="HKD",7.8,IF(N35="CNY",7.30034,1))</f>
        <v>7.3003400000000003</v>
      </c>
      <c r="R35" s="15">
        <f>+ROUND(O35/Q35,4)</f>
        <v>0.43030000000000002</v>
      </c>
      <c r="S35" s="14">
        <f>ROUND(R35*L35,2)</f>
        <v>215.15</v>
      </c>
      <c r="T35" s="15" t="s">
        <v>349</v>
      </c>
      <c r="U35" s="19" t="s">
        <v>191</v>
      </c>
    </row>
    <row r="36" spans="1:21" x14ac:dyDescent="0.2">
      <c r="A36" s="19" t="s">
        <v>201</v>
      </c>
      <c r="B36" s="20">
        <v>45674</v>
      </c>
      <c r="C36" s="20">
        <v>45663</v>
      </c>
      <c r="D36" s="19" t="s">
        <v>187</v>
      </c>
      <c r="E36" s="19" t="s">
        <v>188</v>
      </c>
      <c r="G36" s="19" t="s">
        <v>195</v>
      </c>
      <c r="H36" s="19" t="s">
        <v>199</v>
      </c>
      <c r="I36" s="19" t="s">
        <v>200</v>
      </c>
      <c r="J36" s="11" t="str">
        <f>+LEFT(U36,4)</f>
        <v>ALM-</v>
      </c>
      <c r="K36" s="19" t="s">
        <v>98</v>
      </c>
      <c r="L36" s="19">
        <v>1200</v>
      </c>
      <c r="M36" s="19" t="s">
        <v>186</v>
      </c>
      <c r="N36" s="19" t="s">
        <v>11</v>
      </c>
      <c r="O36" s="26">
        <v>3.1415999999999999</v>
      </c>
      <c r="P36" s="12">
        <f>ROUND(O36*L36,2)</f>
        <v>3769.92</v>
      </c>
      <c r="Q36" s="13">
        <f>IF(N36="HKD",7.8,IF(N36="CNY",7.30034,1))</f>
        <v>7.3003400000000003</v>
      </c>
      <c r="R36" s="15">
        <f>+ROUND(O36/Q36,4)</f>
        <v>0.43030000000000002</v>
      </c>
      <c r="S36" s="14">
        <f>ROUND(R36*L36,2)</f>
        <v>516.36</v>
      </c>
      <c r="T36" s="15" t="s">
        <v>349</v>
      </c>
      <c r="U36" s="19" t="s">
        <v>191</v>
      </c>
    </row>
    <row r="37" spans="1:21" x14ac:dyDescent="0.2">
      <c r="A37" s="19" t="s">
        <v>198</v>
      </c>
      <c r="B37" s="20">
        <v>45674</v>
      </c>
      <c r="C37" s="20">
        <v>45664</v>
      </c>
      <c r="D37" s="19" t="s">
        <v>187</v>
      </c>
      <c r="E37" s="19" t="s">
        <v>188</v>
      </c>
      <c r="G37" s="19" t="s">
        <v>195</v>
      </c>
      <c r="H37" s="19" t="s">
        <v>196</v>
      </c>
      <c r="I37" s="19" t="s">
        <v>197</v>
      </c>
      <c r="J37" s="11" t="str">
        <f>+LEFT(U37,4)</f>
        <v>ALM-</v>
      </c>
      <c r="K37" s="19" t="s">
        <v>98</v>
      </c>
      <c r="L37" s="19">
        <v>2400</v>
      </c>
      <c r="M37" s="19" t="s">
        <v>186</v>
      </c>
      <c r="N37" s="19" t="s">
        <v>11</v>
      </c>
      <c r="O37" s="26">
        <v>3.1415999999999999</v>
      </c>
      <c r="P37" s="12">
        <f>ROUND(O37*L37,2)</f>
        <v>7539.84</v>
      </c>
      <c r="Q37" s="13">
        <f>IF(N37="HKD",7.8,IF(N37="CNY",7.30034,1))</f>
        <v>7.3003400000000003</v>
      </c>
      <c r="R37" s="15">
        <f>+ROUND(O37/Q37,4)</f>
        <v>0.43030000000000002</v>
      </c>
      <c r="S37" s="14">
        <f>ROUND(R37*L37,2)</f>
        <v>1032.72</v>
      </c>
      <c r="T37" s="15" t="s">
        <v>349</v>
      </c>
      <c r="U37" s="19" t="s">
        <v>191</v>
      </c>
    </row>
    <row r="38" spans="1:21" x14ac:dyDescent="0.2">
      <c r="A38" s="19" t="s">
        <v>189</v>
      </c>
      <c r="B38" s="20">
        <v>45674</v>
      </c>
      <c r="C38" s="20">
        <v>45650</v>
      </c>
      <c r="D38" s="19" t="s">
        <v>187</v>
      </c>
      <c r="E38" s="19" t="s">
        <v>188</v>
      </c>
      <c r="G38" s="19" t="s">
        <v>190</v>
      </c>
      <c r="H38" s="19" t="s">
        <v>184</v>
      </c>
      <c r="I38" s="19" t="s">
        <v>185</v>
      </c>
      <c r="J38" s="11" t="str">
        <f>+LEFT(U38,4)</f>
        <v>ALM-</v>
      </c>
      <c r="K38" s="19" t="s">
        <v>98</v>
      </c>
      <c r="L38" s="19">
        <v>100</v>
      </c>
      <c r="M38" s="19" t="s">
        <v>186</v>
      </c>
      <c r="N38" s="19" t="s">
        <v>11</v>
      </c>
      <c r="O38" s="26">
        <v>3.6282999999999999</v>
      </c>
      <c r="P38" s="12">
        <f>ROUND(O38*L38,2)</f>
        <v>362.83</v>
      </c>
      <c r="Q38" s="13">
        <f>IF(N38="HKD",7.8,IF(N38="CNY",7.30034,1))</f>
        <v>7.3003400000000003</v>
      </c>
      <c r="R38" s="15">
        <f>+ROUND(O38/Q38,4)</f>
        <v>0.497</v>
      </c>
      <c r="S38" s="14">
        <f>ROUND(R38*L38,2)</f>
        <v>49.7</v>
      </c>
      <c r="T38" s="15" t="s">
        <v>349</v>
      </c>
      <c r="U38" s="19" t="s">
        <v>191</v>
      </c>
    </row>
    <row r="39" spans="1:21" x14ac:dyDescent="0.2">
      <c r="A39" s="19" t="s">
        <v>194</v>
      </c>
      <c r="B39" s="20">
        <v>45674</v>
      </c>
      <c r="C39" s="20">
        <v>45667</v>
      </c>
      <c r="D39" s="19" t="s">
        <v>187</v>
      </c>
      <c r="E39" s="19" t="s">
        <v>188</v>
      </c>
      <c r="G39" s="19" t="s">
        <v>195</v>
      </c>
      <c r="H39" s="19" t="s">
        <v>192</v>
      </c>
      <c r="I39" s="19" t="s">
        <v>193</v>
      </c>
      <c r="J39" s="11" t="str">
        <f>+LEFT(U39,4)</f>
        <v>ALM-</v>
      </c>
      <c r="K39" s="19" t="s">
        <v>98</v>
      </c>
      <c r="L39" s="19">
        <v>50</v>
      </c>
      <c r="M39" s="19" t="s">
        <v>186</v>
      </c>
      <c r="N39" s="19" t="s">
        <v>11</v>
      </c>
      <c r="O39" s="26">
        <v>3.6282999999999999</v>
      </c>
      <c r="P39" s="12">
        <f>ROUND(O39*L39,2)</f>
        <v>181.42</v>
      </c>
      <c r="Q39" s="13">
        <f>IF(N39="HKD",7.8,IF(N39="CNY",7.30034,1))</f>
        <v>7.3003400000000003</v>
      </c>
      <c r="R39" s="15">
        <f>+ROUND(O39/Q39,4)</f>
        <v>0.497</v>
      </c>
      <c r="S39" s="14">
        <f>ROUND(R39*L39,2)</f>
        <v>24.85</v>
      </c>
      <c r="T39" s="15" t="s">
        <v>349</v>
      </c>
      <c r="U39" s="19" t="s">
        <v>191</v>
      </c>
    </row>
    <row r="40" spans="1:21" x14ac:dyDescent="0.2">
      <c r="A40" t="s">
        <v>2121</v>
      </c>
      <c r="B40" s="24">
        <v>45712</v>
      </c>
      <c r="C40" s="24">
        <v>45709</v>
      </c>
      <c r="D40" t="s">
        <v>2261</v>
      </c>
      <c r="E40" t="s">
        <v>2262</v>
      </c>
      <c r="G40" t="s">
        <v>2233</v>
      </c>
      <c r="H40" s="19" t="s">
        <v>1819</v>
      </c>
      <c r="I40" s="19" t="s">
        <v>1820</v>
      </c>
      <c r="J40" s="11" t="str">
        <f>+LEFT(U40,4)</f>
        <v>ALM-</v>
      </c>
      <c r="K40" t="s">
        <v>10</v>
      </c>
      <c r="L40" s="19">
        <v>34295</v>
      </c>
      <c r="M40" t="s">
        <v>186</v>
      </c>
      <c r="N40" t="s">
        <v>11</v>
      </c>
      <c r="O40" s="26">
        <v>18.380500000000001</v>
      </c>
      <c r="P40" s="12">
        <f>ROUND(O40*L40,2)</f>
        <v>630359.25</v>
      </c>
      <c r="Q40" s="13">
        <f>IF(N40="HKD",7.8,IF(N40="CNY",7.30034,1))</f>
        <v>7.3003400000000003</v>
      </c>
      <c r="R40" s="15">
        <f>+ROUND(O40/Q40,4)</f>
        <v>2.5177999999999998</v>
      </c>
      <c r="S40" s="14">
        <f>ROUND(R40*L40,2)</f>
        <v>86347.95</v>
      </c>
      <c r="T40" s="15" t="s">
        <v>349</v>
      </c>
      <c r="U40" t="s">
        <v>191</v>
      </c>
    </row>
    <row r="41" spans="1:21" x14ac:dyDescent="0.2">
      <c r="A41" t="s">
        <v>1992</v>
      </c>
      <c r="B41" s="24">
        <v>45714</v>
      </c>
      <c r="C41" s="24">
        <v>45671</v>
      </c>
      <c r="D41" t="s">
        <v>187</v>
      </c>
      <c r="E41" t="s">
        <v>188</v>
      </c>
      <c r="G41" t="s">
        <v>2187</v>
      </c>
      <c r="H41" s="19" t="s">
        <v>211</v>
      </c>
      <c r="I41" s="19" t="s">
        <v>212</v>
      </c>
      <c r="J41" s="11" t="str">
        <f>+LEFT(U41,4)</f>
        <v>ALM-</v>
      </c>
      <c r="K41" t="s">
        <v>98</v>
      </c>
      <c r="L41" s="19">
        <v>1200</v>
      </c>
      <c r="M41" t="s">
        <v>186</v>
      </c>
      <c r="N41" t="s">
        <v>11</v>
      </c>
      <c r="O41" s="26">
        <v>3.1415999999999999</v>
      </c>
      <c r="P41" s="12">
        <f>ROUND(O41*L41,2)</f>
        <v>3769.92</v>
      </c>
      <c r="Q41" s="13">
        <f>IF(N41="HKD",7.8,IF(N41="CNY",7.30034,1))</f>
        <v>7.3003400000000003</v>
      </c>
      <c r="R41" s="15">
        <f>+ROUND(O41/Q41,4)</f>
        <v>0.43030000000000002</v>
      </c>
      <c r="S41" s="14">
        <f>ROUND(R41*L41,2)</f>
        <v>516.36</v>
      </c>
      <c r="T41" s="15" t="s">
        <v>349</v>
      </c>
      <c r="U41" t="s">
        <v>191</v>
      </c>
    </row>
    <row r="42" spans="1:21" x14ac:dyDescent="0.2">
      <c r="A42" t="s">
        <v>1993</v>
      </c>
      <c r="B42" s="24">
        <v>45714</v>
      </c>
      <c r="C42" s="24">
        <v>45671</v>
      </c>
      <c r="D42" t="s">
        <v>187</v>
      </c>
      <c r="E42" t="s">
        <v>188</v>
      </c>
      <c r="G42" t="s">
        <v>2187</v>
      </c>
      <c r="H42" s="19" t="s">
        <v>214</v>
      </c>
      <c r="I42" s="19" t="s">
        <v>215</v>
      </c>
      <c r="J42" s="11" t="str">
        <f>+LEFT(U42,4)</f>
        <v>ALM-</v>
      </c>
      <c r="K42" t="s">
        <v>98</v>
      </c>
      <c r="L42" s="19">
        <v>500</v>
      </c>
      <c r="M42" t="s">
        <v>186</v>
      </c>
      <c r="N42" t="s">
        <v>11</v>
      </c>
      <c r="O42" s="26">
        <v>3.1415999999999999</v>
      </c>
      <c r="P42" s="12">
        <f>ROUND(O42*L42,2)</f>
        <v>1570.8</v>
      </c>
      <c r="Q42" s="13">
        <f>IF(N42="HKD",7.8,IF(N42="CNY",7.30034,1))</f>
        <v>7.3003400000000003</v>
      </c>
      <c r="R42" s="15">
        <f>+ROUND(O42/Q42,4)</f>
        <v>0.43030000000000002</v>
      </c>
      <c r="S42" s="14">
        <f>ROUND(R42*L42,2)</f>
        <v>215.15</v>
      </c>
      <c r="T42" s="15" t="s">
        <v>349</v>
      </c>
      <c r="U42" t="s">
        <v>191</v>
      </c>
    </row>
    <row r="43" spans="1:21" x14ac:dyDescent="0.2">
      <c r="A43" t="s">
        <v>1994</v>
      </c>
      <c r="B43" s="24">
        <v>45714</v>
      </c>
      <c r="C43" s="24">
        <v>45671</v>
      </c>
      <c r="D43" t="s">
        <v>187</v>
      </c>
      <c r="E43" t="s">
        <v>188</v>
      </c>
      <c r="G43" t="s">
        <v>2187</v>
      </c>
      <c r="H43" s="19" t="s">
        <v>199</v>
      </c>
      <c r="I43" s="19" t="s">
        <v>200</v>
      </c>
      <c r="J43" s="11" t="str">
        <f>+LEFT(U43,4)</f>
        <v>ALM-</v>
      </c>
      <c r="K43" t="s">
        <v>98</v>
      </c>
      <c r="L43" s="19">
        <v>1000</v>
      </c>
      <c r="M43" t="s">
        <v>186</v>
      </c>
      <c r="N43" t="s">
        <v>11</v>
      </c>
      <c r="O43" s="26">
        <v>3.1415999999999999</v>
      </c>
      <c r="P43" s="12">
        <f>ROUND(O43*L43,2)</f>
        <v>3141.6</v>
      </c>
      <c r="Q43" s="13">
        <f>IF(N43="HKD",7.8,IF(N43="CNY",7.30034,1))</f>
        <v>7.3003400000000003</v>
      </c>
      <c r="R43" s="15">
        <f>+ROUND(O43/Q43,4)</f>
        <v>0.43030000000000002</v>
      </c>
      <c r="S43" s="14">
        <f>ROUND(R43*L43,2)</f>
        <v>430.3</v>
      </c>
      <c r="T43" s="15" t="s">
        <v>349</v>
      </c>
      <c r="U43" t="s">
        <v>191</v>
      </c>
    </row>
    <row r="44" spans="1:21" x14ac:dyDescent="0.2">
      <c r="A44" t="s">
        <v>1995</v>
      </c>
      <c r="B44" s="24">
        <v>45714</v>
      </c>
      <c r="C44" s="24">
        <v>45675</v>
      </c>
      <c r="D44" t="s">
        <v>187</v>
      </c>
      <c r="E44" t="s">
        <v>188</v>
      </c>
      <c r="G44" t="s">
        <v>2187</v>
      </c>
      <c r="H44" s="19" t="s">
        <v>208</v>
      </c>
      <c r="I44" s="19" t="s">
        <v>209</v>
      </c>
      <c r="J44" s="11" t="str">
        <f>+LEFT(U44,4)</f>
        <v>ALM-</v>
      </c>
      <c r="K44" t="s">
        <v>98</v>
      </c>
      <c r="L44" s="19">
        <v>500</v>
      </c>
      <c r="M44" t="s">
        <v>186</v>
      </c>
      <c r="N44" t="s">
        <v>11</v>
      </c>
      <c r="O44" s="26">
        <v>3.1415999999999999</v>
      </c>
      <c r="P44" s="12">
        <f>ROUND(O44*L44,2)</f>
        <v>1570.8</v>
      </c>
      <c r="Q44" s="13">
        <f>IF(N44="HKD",7.8,IF(N44="CNY",7.30034,1))</f>
        <v>7.3003400000000003</v>
      </c>
      <c r="R44" s="15">
        <f>+ROUND(O44/Q44,4)</f>
        <v>0.43030000000000002</v>
      </c>
      <c r="S44" s="14">
        <f>ROUND(R44*L44,2)</f>
        <v>215.15</v>
      </c>
      <c r="T44" s="15" t="s">
        <v>349</v>
      </c>
      <c r="U44" t="s">
        <v>191</v>
      </c>
    </row>
    <row r="45" spans="1:21" x14ac:dyDescent="0.2">
      <c r="A45" t="s">
        <v>1996</v>
      </c>
      <c r="B45" s="24">
        <v>45714</v>
      </c>
      <c r="C45" s="24">
        <v>45675</v>
      </c>
      <c r="D45" t="s">
        <v>187</v>
      </c>
      <c r="E45" t="s">
        <v>188</v>
      </c>
      <c r="G45" t="s">
        <v>2187</v>
      </c>
      <c r="H45" s="19" t="s">
        <v>202</v>
      </c>
      <c r="I45" s="19" t="s">
        <v>203</v>
      </c>
      <c r="J45" s="11" t="str">
        <f>+LEFT(U45,4)</f>
        <v>ALM-</v>
      </c>
      <c r="K45" t="s">
        <v>98</v>
      </c>
      <c r="L45" s="19">
        <v>300</v>
      </c>
      <c r="M45" t="s">
        <v>186</v>
      </c>
      <c r="N45" t="s">
        <v>11</v>
      </c>
      <c r="O45" s="26">
        <v>3.1415999999999999</v>
      </c>
      <c r="P45" s="12">
        <f>ROUND(O45*L45,2)</f>
        <v>942.48</v>
      </c>
      <c r="Q45" s="13">
        <f>IF(N45="HKD",7.8,IF(N45="CNY",7.30034,1))</f>
        <v>7.3003400000000003</v>
      </c>
      <c r="R45" s="15">
        <f>+ROUND(O45/Q45,4)</f>
        <v>0.43030000000000002</v>
      </c>
      <c r="S45" s="14">
        <f>ROUND(R45*L45,2)</f>
        <v>129.09</v>
      </c>
      <c r="T45" s="15" t="s">
        <v>349</v>
      </c>
      <c r="U45" t="s">
        <v>191</v>
      </c>
    </row>
    <row r="46" spans="1:21" x14ac:dyDescent="0.2">
      <c r="A46" t="s">
        <v>1997</v>
      </c>
      <c r="B46" s="24">
        <v>45714</v>
      </c>
      <c r="C46" s="24">
        <v>45675</v>
      </c>
      <c r="D46" t="s">
        <v>187</v>
      </c>
      <c r="E46" t="s">
        <v>188</v>
      </c>
      <c r="G46" t="s">
        <v>2187</v>
      </c>
      <c r="H46" s="19" t="s">
        <v>1217</v>
      </c>
      <c r="I46" s="19" t="s">
        <v>1218</v>
      </c>
      <c r="J46" s="11" t="str">
        <f>+LEFT(U46,4)</f>
        <v>ALM-</v>
      </c>
      <c r="K46" t="s">
        <v>98</v>
      </c>
      <c r="L46" s="19">
        <v>250</v>
      </c>
      <c r="M46" t="s">
        <v>186</v>
      </c>
      <c r="N46" t="s">
        <v>11</v>
      </c>
      <c r="O46" s="26">
        <v>3.1415999999999999</v>
      </c>
      <c r="P46" s="12">
        <f>ROUND(O46*L46,2)</f>
        <v>785.4</v>
      </c>
      <c r="Q46" s="13">
        <f>IF(N46="HKD",7.8,IF(N46="CNY",7.30034,1))</f>
        <v>7.3003400000000003</v>
      </c>
      <c r="R46" s="15">
        <f>+ROUND(O46/Q46,4)</f>
        <v>0.43030000000000002</v>
      </c>
      <c r="S46" s="14">
        <f>ROUND(R46*L46,2)</f>
        <v>107.58</v>
      </c>
      <c r="T46" s="15" t="s">
        <v>349</v>
      </c>
      <c r="U46" t="s">
        <v>191</v>
      </c>
    </row>
    <row r="47" spans="1:21" x14ac:dyDescent="0.2">
      <c r="A47" t="s">
        <v>1998</v>
      </c>
      <c r="B47" s="24">
        <v>45714</v>
      </c>
      <c r="C47" s="24">
        <v>45675</v>
      </c>
      <c r="D47" t="s">
        <v>187</v>
      </c>
      <c r="E47" t="s">
        <v>188</v>
      </c>
      <c r="G47" t="s">
        <v>2188</v>
      </c>
      <c r="H47" s="19" t="s">
        <v>214</v>
      </c>
      <c r="I47" s="19" t="s">
        <v>215</v>
      </c>
      <c r="J47" s="11" t="str">
        <f>+LEFT(U47,4)</f>
        <v>ALM-</v>
      </c>
      <c r="K47" t="s">
        <v>98</v>
      </c>
      <c r="L47" s="19">
        <v>150</v>
      </c>
      <c r="M47" t="s">
        <v>186</v>
      </c>
      <c r="N47" t="s">
        <v>11</v>
      </c>
      <c r="O47" s="26">
        <v>3.1415999999999999</v>
      </c>
      <c r="P47" s="12">
        <f>ROUND(O47*L47,2)</f>
        <v>471.24</v>
      </c>
      <c r="Q47" s="13">
        <f>IF(N47="HKD",7.8,IF(N47="CNY",7.30034,1))</f>
        <v>7.3003400000000003</v>
      </c>
      <c r="R47" s="15">
        <f>+ROUND(O47/Q47,4)</f>
        <v>0.43030000000000002</v>
      </c>
      <c r="S47" s="14">
        <f>ROUND(R47*L47,2)</f>
        <v>64.55</v>
      </c>
      <c r="T47" s="15" t="s">
        <v>349</v>
      </c>
      <c r="U47" t="s">
        <v>191</v>
      </c>
    </row>
    <row r="48" spans="1:21" x14ac:dyDescent="0.2">
      <c r="A48" t="s">
        <v>1999</v>
      </c>
      <c r="B48" s="24">
        <v>45714</v>
      </c>
      <c r="C48" s="24">
        <v>45698</v>
      </c>
      <c r="D48" t="s">
        <v>187</v>
      </c>
      <c r="E48" t="s">
        <v>188</v>
      </c>
      <c r="G48" t="s">
        <v>2187</v>
      </c>
      <c r="H48" s="19" t="s">
        <v>205</v>
      </c>
      <c r="I48" s="19" t="s">
        <v>206</v>
      </c>
      <c r="J48" s="11" t="str">
        <f>+LEFT(U48,4)</f>
        <v>ALM-</v>
      </c>
      <c r="K48" t="s">
        <v>98</v>
      </c>
      <c r="L48" s="19">
        <v>550</v>
      </c>
      <c r="M48" t="s">
        <v>186</v>
      </c>
      <c r="N48" t="s">
        <v>11</v>
      </c>
      <c r="O48" s="26">
        <v>3.1415999999999999</v>
      </c>
      <c r="P48" s="12">
        <f>ROUND(O48*L48,2)</f>
        <v>1727.88</v>
      </c>
      <c r="Q48" s="13">
        <f>IF(N48="HKD",7.8,IF(N48="CNY",7.30034,1))</f>
        <v>7.3003400000000003</v>
      </c>
      <c r="R48" s="15">
        <f>+ROUND(O48/Q48,4)</f>
        <v>0.43030000000000002</v>
      </c>
      <c r="S48" s="14">
        <f>ROUND(R48*L48,2)</f>
        <v>236.67</v>
      </c>
      <c r="T48" s="15" t="s">
        <v>349</v>
      </c>
      <c r="U48" t="s">
        <v>191</v>
      </c>
    </row>
    <row r="49" spans="1:21" x14ac:dyDescent="0.2">
      <c r="A49" t="s">
        <v>2000</v>
      </c>
      <c r="B49" s="24">
        <v>45714</v>
      </c>
      <c r="C49" s="24">
        <v>45698</v>
      </c>
      <c r="D49" t="s">
        <v>187</v>
      </c>
      <c r="E49" t="s">
        <v>188</v>
      </c>
      <c r="G49" t="s">
        <v>2187</v>
      </c>
      <c r="H49" s="19" t="s">
        <v>214</v>
      </c>
      <c r="I49" s="19" t="s">
        <v>215</v>
      </c>
      <c r="J49" s="11" t="str">
        <f>+LEFT(U49,4)</f>
        <v>ALM-</v>
      </c>
      <c r="K49" t="s">
        <v>98</v>
      </c>
      <c r="L49" s="19">
        <v>300</v>
      </c>
      <c r="M49" t="s">
        <v>186</v>
      </c>
      <c r="N49" t="s">
        <v>11</v>
      </c>
      <c r="O49" s="26">
        <v>3.1415999999999999</v>
      </c>
      <c r="P49" s="12">
        <f>ROUND(O49*L49,2)</f>
        <v>942.48</v>
      </c>
      <c r="Q49" s="13">
        <f>IF(N49="HKD",7.8,IF(N49="CNY",7.30034,1))</f>
        <v>7.3003400000000003</v>
      </c>
      <c r="R49" s="15">
        <f>+ROUND(O49/Q49,4)</f>
        <v>0.43030000000000002</v>
      </c>
      <c r="S49" s="14">
        <f>ROUND(R49*L49,2)</f>
        <v>129.09</v>
      </c>
      <c r="T49" s="15" t="s">
        <v>349</v>
      </c>
      <c r="U49" t="s">
        <v>191</v>
      </c>
    </row>
    <row r="50" spans="1:21" x14ac:dyDescent="0.2">
      <c r="A50" t="s">
        <v>2001</v>
      </c>
      <c r="B50" s="24">
        <v>45714</v>
      </c>
      <c r="C50" s="24">
        <v>45698</v>
      </c>
      <c r="D50" t="s">
        <v>187</v>
      </c>
      <c r="E50" t="s">
        <v>188</v>
      </c>
      <c r="G50" t="s">
        <v>2187</v>
      </c>
      <c r="H50" s="19" t="s">
        <v>211</v>
      </c>
      <c r="I50" s="19" t="s">
        <v>212</v>
      </c>
      <c r="J50" s="11" t="str">
        <f>+LEFT(U50,4)</f>
        <v>ALM-</v>
      </c>
      <c r="K50" t="s">
        <v>98</v>
      </c>
      <c r="L50" s="19">
        <v>1000</v>
      </c>
      <c r="M50" t="s">
        <v>186</v>
      </c>
      <c r="N50" t="s">
        <v>11</v>
      </c>
      <c r="O50" s="26">
        <v>3.1415999999999999</v>
      </c>
      <c r="P50" s="12">
        <f>ROUND(O50*L50,2)</f>
        <v>3141.6</v>
      </c>
      <c r="Q50" s="13">
        <f>IF(N50="HKD",7.8,IF(N50="CNY",7.30034,1))</f>
        <v>7.3003400000000003</v>
      </c>
      <c r="R50" s="15">
        <f>+ROUND(O50/Q50,4)</f>
        <v>0.43030000000000002</v>
      </c>
      <c r="S50" s="14">
        <f>ROUND(R50*L50,2)</f>
        <v>430.3</v>
      </c>
      <c r="T50" s="15" t="s">
        <v>349</v>
      </c>
      <c r="U50" t="s">
        <v>191</v>
      </c>
    </row>
    <row r="51" spans="1:21" x14ac:dyDescent="0.2">
      <c r="A51" t="s">
        <v>2002</v>
      </c>
      <c r="B51" s="24">
        <v>45714</v>
      </c>
      <c r="C51" s="24">
        <v>45698</v>
      </c>
      <c r="D51" t="s">
        <v>187</v>
      </c>
      <c r="E51" t="s">
        <v>188</v>
      </c>
      <c r="G51" t="s">
        <v>2187</v>
      </c>
      <c r="H51" s="19" t="s">
        <v>1715</v>
      </c>
      <c r="I51" s="19" t="s">
        <v>1716</v>
      </c>
      <c r="J51" s="11" t="str">
        <f>+LEFT(U51,4)</f>
        <v>ALM-</v>
      </c>
      <c r="K51" t="s">
        <v>98</v>
      </c>
      <c r="L51" s="19">
        <v>100</v>
      </c>
      <c r="M51" t="s">
        <v>186</v>
      </c>
      <c r="N51" t="s">
        <v>11</v>
      </c>
      <c r="O51" s="26">
        <v>3.1415999999999999</v>
      </c>
      <c r="P51" s="12">
        <f>ROUND(O51*L51,2)</f>
        <v>314.16000000000003</v>
      </c>
      <c r="Q51" s="13">
        <f>IF(N51="HKD",7.8,IF(N51="CNY",7.30034,1))</f>
        <v>7.3003400000000003</v>
      </c>
      <c r="R51" s="15">
        <f>+ROUND(O51/Q51,4)</f>
        <v>0.43030000000000002</v>
      </c>
      <c r="S51" s="14">
        <f>ROUND(R51*L51,2)</f>
        <v>43.03</v>
      </c>
      <c r="T51" s="15" t="s">
        <v>349</v>
      </c>
      <c r="U51" t="s">
        <v>191</v>
      </c>
    </row>
    <row r="52" spans="1:21" x14ac:dyDescent="0.2">
      <c r="A52" t="s">
        <v>2003</v>
      </c>
      <c r="B52" s="24">
        <v>45714</v>
      </c>
      <c r="C52" s="24">
        <v>45698</v>
      </c>
      <c r="D52" t="s">
        <v>187</v>
      </c>
      <c r="E52" t="s">
        <v>188</v>
      </c>
      <c r="G52" t="s">
        <v>2187</v>
      </c>
      <c r="H52" s="19" t="s">
        <v>1717</v>
      </c>
      <c r="I52" s="19" t="s">
        <v>1214</v>
      </c>
      <c r="J52" s="11" t="str">
        <f>+LEFT(U52,4)</f>
        <v>ALM-</v>
      </c>
      <c r="K52" t="s">
        <v>98</v>
      </c>
      <c r="L52" s="19">
        <v>50</v>
      </c>
      <c r="M52" t="s">
        <v>186</v>
      </c>
      <c r="N52" t="s">
        <v>11</v>
      </c>
      <c r="O52" s="26">
        <v>3.1415999999999999</v>
      </c>
      <c r="P52" s="12">
        <f>ROUND(O52*L52,2)</f>
        <v>157.08000000000001</v>
      </c>
      <c r="Q52" s="13">
        <f>IF(N52="HKD",7.8,IF(N52="CNY",7.30034,1))</f>
        <v>7.3003400000000003</v>
      </c>
      <c r="R52" s="15">
        <f>+ROUND(O52/Q52,4)</f>
        <v>0.43030000000000002</v>
      </c>
      <c r="S52" s="14">
        <f>ROUND(R52*L52,2)</f>
        <v>21.52</v>
      </c>
      <c r="T52" s="15" t="s">
        <v>349</v>
      </c>
      <c r="U52" t="s">
        <v>191</v>
      </c>
    </row>
    <row r="53" spans="1:21" x14ac:dyDescent="0.2">
      <c r="A53" t="s">
        <v>2004</v>
      </c>
      <c r="B53" s="24">
        <v>45714</v>
      </c>
      <c r="C53" s="24">
        <v>45698</v>
      </c>
      <c r="D53" t="s">
        <v>187</v>
      </c>
      <c r="E53" t="s">
        <v>188</v>
      </c>
      <c r="G53" t="s">
        <v>2187</v>
      </c>
      <c r="H53" s="19" t="s">
        <v>1718</v>
      </c>
      <c r="I53" s="19" t="s">
        <v>1719</v>
      </c>
      <c r="J53" s="11" t="str">
        <f>+LEFT(U53,4)</f>
        <v>ALM-</v>
      </c>
      <c r="K53" t="s">
        <v>98</v>
      </c>
      <c r="L53" s="19">
        <v>300</v>
      </c>
      <c r="M53" t="s">
        <v>186</v>
      </c>
      <c r="N53" t="s">
        <v>11</v>
      </c>
      <c r="O53" s="26">
        <v>3.1415999999999999</v>
      </c>
      <c r="P53" s="12">
        <f>ROUND(O53*L53,2)</f>
        <v>942.48</v>
      </c>
      <c r="Q53" s="13">
        <f>IF(N53="HKD",7.8,IF(N53="CNY",7.30034,1))</f>
        <v>7.3003400000000003</v>
      </c>
      <c r="R53" s="15">
        <f>+ROUND(O53/Q53,4)</f>
        <v>0.43030000000000002</v>
      </c>
      <c r="S53" s="14">
        <f>ROUND(R53*L53,2)</f>
        <v>129.09</v>
      </c>
      <c r="T53" s="15" t="s">
        <v>349</v>
      </c>
      <c r="U53" t="s">
        <v>191</v>
      </c>
    </row>
    <row r="54" spans="1:21" x14ac:dyDescent="0.2">
      <c r="A54" t="s">
        <v>2005</v>
      </c>
      <c r="B54" s="24">
        <v>45714</v>
      </c>
      <c r="C54" s="24">
        <v>45698</v>
      </c>
      <c r="D54" t="s">
        <v>187</v>
      </c>
      <c r="E54" t="s">
        <v>188</v>
      </c>
      <c r="G54" t="s">
        <v>2187</v>
      </c>
      <c r="H54" s="19" t="s">
        <v>199</v>
      </c>
      <c r="I54" s="19" t="s">
        <v>200</v>
      </c>
      <c r="J54" s="11" t="str">
        <f>+LEFT(U54,4)</f>
        <v>ALM-</v>
      </c>
      <c r="K54" t="s">
        <v>98</v>
      </c>
      <c r="L54" s="19">
        <v>1500</v>
      </c>
      <c r="M54" t="s">
        <v>186</v>
      </c>
      <c r="N54" t="s">
        <v>11</v>
      </c>
      <c r="O54" s="26">
        <v>3.1415999999999999</v>
      </c>
      <c r="P54" s="12">
        <f>ROUND(O54*L54,2)</f>
        <v>4712.3999999999996</v>
      </c>
      <c r="Q54" s="13">
        <f>IF(N54="HKD",7.8,IF(N54="CNY",7.30034,1))</f>
        <v>7.3003400000000003</v>
      </c>
      <c r="R54" s="15">
        <f>+ROUND(O54/Q54,4)</f>
        <v>0.43030000000000002</v>
      </c>
      <c r="S54" s="14">
        <f>ROUND(R54*L54,2)</f>
        <v>645.45000000000005</v>
      </c>
      <c r="T54" s="15" t="s">
        <v>349</v>
      </c>
      <c r="U54" t="s">
        <v>191</v>
      </c>
    </row>
    <row r="55" spans="1:21" x14ac:dyDescent="0.2">
      <c r="A55" t="s">
        <v>2006</v>
      </c>
      <c r="B55" s="24">
        <v>45714</v>
      </c>
      <c r="C55" s="24">
        <v>45698</v>
      </c>
      <c r="D55" t="s">
        <v>187</v>
      </c>
      <c r="E55" t="s">
        <v>188</v>
      </c>
      <c r="G55" t="s">
        <v>2187</v>
      </c>
      <c r="H55" s="19" t="s">
        <v>1720</v>
      </c>
      <c r="I55" s="19" t="s">
        <v>1721</v>
      </c>
      <c r="J55" s="11" t="str">
        <f>+LEFT(U55,4)</f>
        <v>ALM-</v>
      </c>
      <c r="K55" t="s">
        <v>98</v>
      </c>
      <c r="L55" s="19">
        <v>400</v>
      </c>
      <c r="M55" t="s">
        <v>186</v>
      </c>
      <c r="N55" t="s">
        <v>11</v>
      </c>
      <c r="O55" s="26">
        <v>3.1415999999999999</v>
      </c>
      <c r="P55" s="12">
        <f>ROUND(O55*L55,2)</f>
        <v>1256.6400000000001</v>
      </c>
      <c r="Q55" s="13">
        <f>IF(N55="HKD",7.8,IF(N55="CNY",7.30034,1))</f>
        <v>7.3003400000000003</v>
      </c>
      <c r="R55" s="15">
        <f>+ROUND(O55/Q55,4)</f>
        <v>0.43030000000000002</v>
      </c>
      <c r="S55" s="14">
        <f>ROUND(R55*L55,2)</f>
        <v>172.12</v>
      </c>
      <c r="T55" s="15" t="s">
        <v>349</v>
      </c>
      <c r="U55" t="s">
        <v>191</v>
      </c>
    </row>
    <row r="56" spans="1:21" x14ac:dyDescent="0.2">
      <c r="A56" t="s">
        <v>2007</v>
      </c>
      <c r="B56" s="24">
        <v>45714</v>
      </c>
      <c r="C56" s="24">
        <v>45698</v>
      </c>
      <c r="D56" t="s">
        <v>187</v>
      </c>
      <c r="E56" t="s">
        <v>188</v>
      </c>
      <c r="G56" t="s">
        <v>2187</v>
      </c>
      <c r="H56" s="19" t="s">
        <v>1722</v>
      </c>
      <c r="I56" s="19" t="s">
        <v>1723</v>
      </c>
      <c r="J56" s="11" t="str">
        <f>+LEFT(U56,4)</f>
        <v>ALM-</v>
      </c>
      <c r="K56" t="s">
        <v>98</v>
      </c>
      <c r="L56" s="19">
        <v>350</v>
      </c>
      <c r="M56" t="s">
        <v>186</v>
      </c>
      <c r="N56" t="s">
        <v>11</v>
      </c>
      <c r="O56" s="26">
        <v>3.1415999999999999</v>
      </c>
      <c r="P56" s="12">
        <f>ROUND(O56*L56,2)</f>
        <v>1099.56</v>
      </c>
      <c r="Q56" s="13">
        <f>IF(N56="HKD",7.8,IF(N56="CNY",7.30034,1))</f>
        <v>7.3003400000000003</v>
      </c>
      <c r="R56" s="15">
        <f>+ROUND(O56/Q56,4)</f>
        <v>0.43030000000000002</v>
      </c>
      <c r="S56" s="14">
        <f>ROUND(R56*L56,2)</f>
        <v>150.61000000000001</v>
      </c>
      <c r="T56" s="15" t="s">
        <v>349</v>
      </c>
      <c r="U56" t="s">
        <v>191</v>
      </c>
    </row>
    <row r="57" spans="1:21" x14ac:dyDescent="0.2">
      <c r="A57" t="s">
        <v>2008</v>
      </c>
      <c r="B57" s="24">
        <v>45714</v>
      </c>
      <c r="C57" s="24">
        <v>45701</v>
      </c>
      <c r="D57" t="s">
        <v>187</v>
      </c>
      <c r="E57" t="s">
        <v>188</v>
      </c>
      <c r="G57" t="s">
        <v>2189</v>
      </c>
      <c r="H57" s="19" t="s">
        <v>202</v>
      </c>
      <c r="I57" s="19" t="s">
        <v>203</v>
      </c>
      <c r="J57" s="11" t="str">
        <f>+LEFT(U57,4)</f>
        <v>ALM-</v>
      </c>
      <c r="K57" t="s">
        <v>98</v>
      </c>
      <c r="L57" s="19">
        <v>500</v>
      </c>
      <c r="M57" t="s">
        <v>186</v>
      </c>
      <c r="N57" t="s">
        <v>11</v>
      </c>
      <c r="O57" s="26">
        <v>3.1415999999999999</v>
      </c>
      <c r="P57" s="12">
        <f>ROUND(O57*L57,2)</f>
        <v>1570.8</v>
      </c>
      <c r="Q57" s="13">
        <f>IF(N57="HKD",7.8,IF(N57="CNY",7.30034,1))</f>
        <v>7.3003400000000003</v>
      </c>
      <c r="R57" s="15">
        <f>+ROUND(O57/Q57,4)</f>
        <v>0.43030000000000002</v>
      </c>
      <c r="S57" s="14">
        <f>ROUND(R57*L57,2)</f>
        <v>215.15</v>
      </c>
      <c r="T57" s="15" t="s">
        <v>349</v>
      </c>
      <c r="U57" t="s">
        <v>191</v>
      </c>
    </row>
    <row r="58" spans="1:21" x14ac:dyDescent="0.2">
      <c r="A58" t="s">
        <v>2009</v>
      </c>
      <c r="B58" s="24">
        <v>45714</v>
      </c>
      <c r="C58" s="24">
        <v>45701</v>
      </c>
      <c r="D58" t="s">
        <v>187</v>
      </c>
      <c r="E58" t="s">
        <v>188</v>
      </c>
      <c r="G58" t="s">
        <v>2187</v>
      </c>
      <c r="H58" s="19" t="s">
        <v>205</v>
      </c>
      <c r="I58" s="19" t="s">
        <v>206</v>
      </c>
      <c r="J58" s="11" t="str">
        <f>+LEFT(U58,4)</f>
        <v>ALM-</v>
      </c>
      <c r="K58" t="s">
        <v>98</v>
      </c>
      <c r="L58" s="19">
        <v>550</v>
      </c>
      <c r="M58" t="s">
        <v>186</v>
      </c>
      <c r="N58" t="s">
        <v>11</v>
      </c>
      <c r="O58" s="26">
        <v>3.1415999999999999</v>
      </c>
      <c r="P58" s="12">
        <f>ROUND(O58*L58,2)</f>
        <v>1727.88</v>
      </c>
      <c r="Q58" s="13">
        <f>IF(N58="HKD",7.8,IF(N58="CNY",7.30034,1))</f>
        <v>7.3003400000000003</v>
      </c>
      <c r="R58" s="15">
        <f>+ROUND(O58/Q58,4)</f>
        <v>0.43030000000000002</v>
      </c>
      <c r="S58" s="14">
        <f>ROUND(R58*L58,2)</f>
        <v>236.67</v>
      </c>
      <c r="T58" s="15" t="s">
        <v>349</v>
      </c>
      <c r="U58" t="s">
        <v>191</v>
      </c>
    </row>
    <row r="59" spans="1:21" x14ac:dyDescent="0.2">
      <c r="A59" t="s">
        <v>2023</v>
      </c>
      <c r="B59" s="24">
        <v>45714</v>
      </c>
      <c r="C59" s="24">
        <v>45675</v>
      </c>
      <c r="D59" t="s">
        <v>187</v>
      </c>
      <c r="E59" t="s">
        <v>188</v>
      </c>
      <c r="G59" t="s">
        <v>2187</v>
      </c>
      <c r="H59" s="19" t="s">
        <v>192</v>
      </c>
      <c r="I59" s="19" t="s">
        <v>193</v>
      </c>
      <c r="J59" s="11" t="str">
        <f>+LEFT(U59,4)</f>
        <v>ALM-</v>
      </c>
      <c r="K59" t="s">
        <v>98</v>
      </c>
      <c r="L59" s="19">
        <v>50</v>
      </c>
      <c r="M59" t="s">
        <v>186</v>
      </c>
      <c r="N59" t="s">
        <v>11</v>
      </c>
      <c r="O59" s="26">
        <v>3.6282999999999999</v>
      </c>
      <c r="P59" s="12">
        <f>ROUND(O59*L59,2)</f>
        <v>181.42</v>
      </c>
      <c r="Q59" s="13">
        <f>IF(N59="HKD",7.8,IF(N59="CNY",7.30034,1))</f>
        <v>7.3003400000000003</v>
      </c>
      <c r="R59" s="15">
        <f>+ROUND(O59/Q59,4)</f>
        <v>0.497</v>
      </c>
      <c r="S59" s="14">
        <f>ROUND(R59*L59,2)</f>
        <v>24.85</v>
      </c>
      <c r="T59" s="15" t="s">
        <v>349</v>
      </c>
      <c r="U59" t="s">
        <v>191</v>
      </c>
    </row>
    <row r="60" spans="1:21" x14ac:dyDescent="0.2">
      <c r="A60" t="s">
        <v>2024</v>
      </c>
      <c r="B60" s="24">
        <v>45714</v>
      </c>
      <c r="C60" s="24">
        <v>45675</v>
      </c>
      <c r="D60" t="s">
        <v>187</v>
      </c>
      <c r="E60" t="s">
        <v>188</v>
      </c>
      <c r="G60" t="s">
        <v>2187</v>
      </c>
      <c r="H60" s="19" t="s">
        <v>1736</v>
      </c>
      <c r="I60" s="19" t="s">
        <v>1737</v>
      </c>
      <c r="J60" s="11" t="str">
        <f>+LEFT(U60,4)</f>
        <v>ALM-</v>
      </c>
      <c r="K60" t="s">
        <v>98</v>
      </c>
      <c r="L60" s="19">
        <v>50</v>
      </c>
      <c r="M60" t="s">
        <v>186</v>
      </c>
      <c r="N60" t="s">
        <v>11</v>
      </c>
      <c r="O60" s="26">
        <v>3.6282999999999999</v>
      </c>
      <c r="P60" s="12">
        <f>ROUND(O60*L60,2)</f>
        <v>181.42</v>
      </c>
      <c r="Q60" s="13">
        <f>IF(N60="HKD",7.8,IF(N60="CNY",7.30034,1))</f>
        <v>7.3003400000000003</v>
      </c>
      <c r="R60" s="15">
        <f>+ROUND(O60/Q60,4)</f>
        <v>0.497</v>
      </c>
      <c r="S60" s="14">
        <f>ROUND(R60*L60,2)</f>
        <v>24.85</v>
      </c>
      <c r="T60" s="15" t="s">
        <v>349</v>
      </c>
      <c r="U60" t="s">
        <v>191</v>
      </c>
    </row>
    <row r="61" spans="1:21" x14ac:dyDescent="0.2">
      <c r="A61" t="s">
        <v>2025</v>
      </c>
      <c r="B61" s="24">
        <v>45714</v>
      </c>
      <c r="C61" s="24">
        <v>45675</v>
      </c>
      <c r="D61" t="s">
        <v>187</v>
      </c>
      <c r="E61" t="s">
        <v>188</v>
      </c>
      <c r="G61" t="s">
        <v>2187</v>
      </c>
      <c r="H61" s="19" t="s">
        <v>1200</v>
      </c>
      <c r="I61" s="19" t="s">
        <v>1201</v>
      </c>
      <c r="J61" s="11" t="str">
        <f>+LEFT(U61,4)</f>
        <v>ALM-</v>
      </c>
      <c r="K61" t="s">
        <v>98</v>
      </c>
      <c r="L61" s="19">
        <v>80</v>
      </c>
      <c r="M61" t="s">
        <v>186</v>
      </c>
      <c r="N61" t="s">
        <v>11</v>
      </c>
      <c r="O61" s="26">
        <v>3.6282999999999999</v>
      </c>
      <c r="P61" s="12">
        <f>ROUND(O61*L61,2)</f>
        <v>290.26</v>
      </c>
      <c r="Q61" s="13">
        <f>IF(N61="HKD",7.8,IF(N61="CNY",7.30034,1))</f>
        <v>7.3003400000000003</v>
      </c>
      <c r="R61" s="15">
        <f>+ROUND(O61/Q61,4)</f>
        <v>0.497</v>
      </c>
      <c r="S61" s="14">
        <f>ROUND(R61*L61,2)</f>
        <v>39.76</v>
      </c>
      <c r="T61" s="15" t="s">
        <v>349</v>
      </c>
      <c r="U61" t="s">
        <v>191</v>
      </c>
    </row>
    <row r="62" spans="1:21" x14ac:dyDescent="0.2">
      <c r="A62" t="s">
        <v>2026</v>
      </c>
      <c r="B62" s="24">
        <v>45714</v>
      </c>
      <c r="C62" s="24">
        <v>45675</v>
      </c>
      <c r="D62" t="s">
        <v>187</v>
      </c>
      <c r="E62" t="s">
        <v>188</v>
      </c>
      <c r="G62" t="s">
        <v>2187</v>
      </c>
      <c r="H62" s="19" t="s">
        <v>1226</v>
      </c>
      <c r="I62" s="19" t="s">
        <v>1227</v>
      </c>
      <c r="J62" s="11" t="str">
        <f>+LEFT(U62,4)</f>
        <v>ALM-</v>
      </c>
      <c r="K62" t="s">
        <v>98</v>
      </c>
      <c r="L62" s="19">
        <v>170</v>
      </c>
      <c r="M62" t="s">
        <v>186</v>
      </c>
      <c r="N62" t="s">
        <v>11</v>
      </c>
      <c r="O62" s="26">
        <v>3.6282999999999999</v>
      </c>
      <c r="P62" s="12">
        <f>ROUND(O62*L62,2)</f>
        <v>616.80999999999995</v>
      </c>
      <c r="Q62" s="13">
        <f>IF(N62="HKD",7.8,IF(N62="CNY",7.30034,1))</f>
        <v>7.3003400000000003</v>
      </c>
      <c r="R62" s="15">
        <f>+ROUND(O62/Q62,4)</f>
        <v>0.497</v>
      </c>
      <c r="S62" s="14">
        <f>ROUND(R62*L62,2)</f>
        <v>84.49</v>
      </c>
      <c r="T62" s="15" t="s">
        <v>349</v>
      </c>
      <c r="U62" t="s">
        <v>191</v>
      </c>
    </row>
    <row r="63" spans="1:21" x14ac:dyDescent="0.2">
      <c r="A63" t="s">
        <v>2027</v>
      </c>
      <c r="B63" s="24">
        <v>45714</v>
      </c>
      <c r="C63" s="24">
        <v>45698</v>
      </c>
      <c r="D63" t="s">
        <v>187</v>
      </c>
      <c r="E63" t="s">
        <v>188</v>
      </c>
      <c r="G63" t="s">
        <v>2187</v>
      </c>
      <c r="H63" s="19" t="s">
        <v>1736</v>
      </c>
      <c r="I63" s="19" t="s">
        <v>1737</v>
      </c>
      <c r="J63" s="11" t="str">
        <f>+LEFT(U63,4)</f>
        <v>ALM-</v>
      </c>
      <c r="K63" t="s">
        <v>98</v>
      </c>
      <c r="L63" s="19">
        <v>50</v>
      </c>
      <c r="M63" t="s">
        <v>186</v>
      </c>
      <c r="N63" t="s">
        <v>11</v>
      </c>
      <c r="O63" s="26">
        <v>3.6282999999999999</v>
      </c>
      <c r="P63" s="12">
        <f>ROUND(O63*L63,2)</f>
        <v>181.42</v>
      </c>
      <c r="Q63" s="13">
        <f>IF(N63="HKD",7.8,IF(N63="CNY",7.30034,1))</f>
        <v>7.3003400000000003</v>
      </c>
      <c r="R63" s="15">
        <f>+ROUND(O63/Q63,4)</f>
        <v>0.497</v>
      </c>
      <c r="S63" s="14">
        <f>ROUND(R63*L63,2)</f>
        <v>24.85</v>
      </c>
      <c r="T63" s="15" t="s">
        <v>349</v>
      </c>
      <c r="U63" t="s">
        <v>191</v>
      </c>
    </row>
    <row r="64" spans="1:21" x14ac:dyDescent="0.2">
      <c r="A64" t="s">
        <v>2028</v>
      </c>
      <c r="B64" s="24">
        <v>45714</v>
      </c>
      <c r="C64" s="24">
        <v>45698</v>
      </c>
      <c r="D64" t="s">
        <v>187</v>
      </c>
      <c r="E64" t="s">
        <v>188</v>
      </c>
      <c r="G64" t="s">
        <v>2187</v>
      </c>
      <c r="H64" s="19" t="s">
        <v>1738</v>
      </c>
      <c r="I64" s="19" t="s">
        <v>1739</v>
      </c>
      <c r="J64" s="11" t="str">
        <f>+LEFT(U64,4)</f>
        <v>ALM-</v>
      </c>
      <c r="K64" t="s">
        <v>98</v>
      </c>
      <c r="L64" s="19">
        <v>100</v>
      </c>
      <c r="M64" t="s">
        <v>186</v>
      </c>
      <c r="N64" t="s">
        <v>11</v>
      </c>
      <c r="O64" s="26">
        <v>3.6282999999999999</v>
      </c>
      <c r="P64" s="12">
        <f>ROUND(O64*L64,2)</f>
        <v>362.83</v>
      </c>
      <c r="Q64" s="13">
        <f>IF(N64="HKD",7.8,IF(N64="CNY",7.30034,1))</f>
        <v>7.3003400000000003</v>
      </c>
      <c r="R64" s="15">
        <f>+ROUND(O64/Q64,4)</f>
        <v>0.497</v>
      </c>
      <c r="S64" s="14">
        <f>ROUND(R64*L64,2)</f>
        <v>49.7</v>
      </c>
      <c r="T64" s="15" t="s">
        <v>349</v>
      </c>
      <c r="U64" t="s">
        <v>191</v>
      </c>
    </row>
    <row r="65" spans="1:21" x14ac:dyDescent="0.2">
      <c r="A65" t="s">
        <v>2029</v>
      </c>
      <c r="B65" s="24">
        <v>45714</v>
      </c>
      <c r="C65" s="24">
        <v>45698</v>
      </c>
      <c r="D65" t="s">
        <v>187</v>
      </c>
      <c r="E65" t="s">
        <v>188</v>
      </c>
      <c r="G65" t="s">
        <v>2187</v>
      </c>
      <c r="H65" s="19" t="s">
        <v>1740</v>
      </c>
      <c r="I65" s="19" t="s">
        <v>1741</v>
      </c>
      <c r="J65" s="11" t="str">
        <f>+LEFT(U65,4)</f>
        <v>ALM-</v>
      </c>
      <c r="K65" t="s">
        <v>98</v>
      </c>
      <c r="L65" s="19">
        <v>150</v>
      </c>
      <c r="M65" t="s">
        <v>186</v>
      </c>
      <c r="N65" t="s">
        <v>11</v>
      </c>
      <c r="O65" s="26">
        <v>3.6282999999999999</v>
      </c>
      <c r="P65" s="12">
        <f>ROUND(O65*L65,2)</f>
        <v>544.25</v>
      </c>
      <c r="Q65" s="13">
        <f>IF(N65="HKD",7.8,IF(N65="CNY",7.30034,1))</f>
        <v>7.3003400000000003</v>
      </c>
      <c r="R65" s="15">
        <f>+ROUND(O65/Q65,4)</f>
        <v>0.497</v>
      </c>
      <c r="S65" s="14">
        <f>ROUND(R65*L65,2)</f>
        <v>74.55</v>
      </c>
      <c r="T65" s="15" t="s">
        <v>349</v>
      </c>
      <c r="U65" t="s">
        <v>191</v>
      </c>
    </row>
    <row r="66" spans="1:21" x14ac:dyDescent="0.2">
      <c r="A66" t="s">
        <v>1976</v>
      </c>
      <c r="B66" s="24">
        <v>45715</v>
      </c>
      <c r="C66" s="24">
        <v>45695</v>
      </c>
      <c r="D66" t="s">
        <v>1006</v>
      </c>
      <c r="E66" t="s">
        <v>1007</v>
      </c>
      <c r="G66" t="s">
        <v>2184</v>
      </c>
      <c r="H66" s="19" t="s">
        <v>1697</v>
      </c>
      <c r="I66" s="19" t="s">
        <v>1698</v>
      </c>
      <c r="J66" s="11" t="str">
        <f>+LEFT(U66,4)</f>
        <v>ALM-</v>
      </c>
      <c r="K66" t="s">
        <v>98</v>
      </c>
      <c r="L66" s="19">
        <v>672</v>
      </c>
      <c r="M66" t="s">
        <v>186</v>
      </c>
      <c r="N66" t="s">
        <v>11</v>
      </c>
      <c r="O66" s="26">
        <v>2.9203999999999999</v>
      </c>
      <c r="P66" s="12">
        <f>ROUND(O66*L66,2)</f>
        <v>1962.51</v>
      </c>
      <c r="Q66" s="13">
        <f>IF(N66="HKD",7.8,IF(N66="CNY",7.30034,1))</f>
        <v>7.3003400000000003</v>
      </c>
      <c r="R66" s="15">
        <f>+ROUND(O66/Q66,4)</f>
        <v>0.4</v>
      </c>
      <c r="S66" s="14">
        <f>ROUND(R66*L66,2)</f>
        <v>268.8</v>
      </c>
      <c r="T66" s="15" t="s">
        <v>349</v>
      </c>
      <c r="U66" t="s">
        <v>191</v>
      </c>
    </row>
    <row r="67" spans="1:21" x14ac:dyDescent="0.2">
      <c r="A67" t="s">
        <v>1977</v>
      </c>
      <c r="B67" s="24">
        <v>45715</v>
      </c>
      <c r="C67" s="24">
        <v>45695</v>
      </c>
      <c r="D67" t="s">
        <v>1006</v>
      </c>
      <c r="E67" t="s">
        <v>1007</v>
      </c>
      <c r="G67" t="s">
        <v>2184</v>
      </c>
      <c r="H67" s="19" t="s">
        <v>1019</v>
      </c>
      <c r="I67" s="19" t="s">
        <v>1020</v>
      </c>
      <c r="J67" s="11" t="str">
        <f>+LEFT(U67,4)</f>
        <v>ALM-</v>
      </c>
      <c r="K67" t="s">
        <v>98</v>
      </c>
      <c r="L67" s="19">
        <v>2032</v>
      </c>
      <c r="M67" t="s">
        <v>186</v>
      </c>
      <c r="N67" t="s">
        <v>11</v>
      </c>
      <c r="O67" s="26">
        <v>2.9203999999999999</v>
      </c>
      <c r="P67" s="12">
        <f>ROUND(O67*L67,2)</f>
        <v>5934.25</v>
      </c>
      <c r="Q67" s="13">
        <f>IF(N67="HKD",7.8,IF(N67="CNY",7.30034,1))</f>
        <v>7.3003400000000003</v>
      </c>
      <c r="R67" s="15">
        <f>+ROUND(O67/Q67,4)</f>
        <v>0.4</v>
      </c>
      <c r="S67" s="14">
        <f>ROUND(R67*L67,2)</f>
        <v>812.8</v>
      </c>
      <c r="T67" s="15" t="s">
        <v>349</v>
      </c>
      <c r="U67" t="s">
        <v>191</v>
      </c>
    </row>
    <row r="68" spans="1:21" x14ac:dyDescent="0.2">
      <c r="A68" t="s">
        <v>1978</v>
      </c>
      <c r="B68" s="24">
        <v>45715</v>
      </c>
      <c r="C68" s="24">
        <v>45695</v>
      </c>
      <c r="D68" t="s">
        <v>1006</v>
      </c>
      <c r="E68" t="s">
        <v>1007</v>
      </c>
      <c r="G68" t="s">
        <v>2184</v>
      </c>
      <c r="H68" s="19" t="s">
        <v>1699</v>
      </c>
      <c r="I68" s="19" t="s">
        <v>1700</v>
      </c>
      <c r="J68" s="11" t="str">
        <f>+LEFT(U68,4)</f>
        <v>ALM-</v>
      </c>
      <c r="K68" t="s">
        <v>98</v>
      </c>
      <c r="L68" s="19">
        <v>1564</v>
      </c>
      <c r="M68" t="s">
        <v>186</v>
      </c>
      <c r="N68" t="s">
        <v>11</v>
      </c>
      <c r="O68" s="26">
        <v>2.9203999999999999</v>
      </c>
      <c r="P68" s="12">
        <f>ROUND(O68*L68,2)</f>
        <v>4567.51</v>
      </c>
      <c r="Q68" s="13">
        <f>IF(N68="HKD",7.8,IF(N68="CNY",7.30034,1))</f>
        <v>7.3003400000000003</v>
      </c>
      <c r="R68" s="15">
        <f>+ROUND(O68/Q68,4)</f>
        <v>0.4</v>
      </c>
      <c r="S68" s="14">
        <f>ROUND(R68*L68,2)</f>
        <v>625.6</v>
      </c>
      <c r="T68" s="15" t="s">
        <v>349</v>
      </c>
      <c r="U68" t="s">
        <v>191</v>
      </c>
    </row>
    <row r="69" spans="1:21" x14ac:dyDescent="0.2">
      <c r="A69" t="s">
        <v>1979</v>
      </c>
      <c r="B69" s="24">
        <v>45715</v>
      </c>
      <c r="C69" s="24">
        <v>45695</v>
      </c>
      <c r="D69" t="s">
        <v>1006</v>
      </c>
      <c r="E69" t="s">
        <v>1007</v>
      </c>
      <c r="G69" t="s">
        <v>2184</v>
      </c>
      <c r="H69" s="19" t="s">
        <v>1701</v>
      </c>
      <c r="I69" s="19" t="s">
        <v>1702</v>
      </c>
      <c r="J69" s="11" t="str">
        <f>+LEFT(U69,4)</f>
        <v>ALM-</v>
      </c>
      <c r="K69" t="s">
        <v>98</v>
      </c>
      <c r="L69" s="19">
        <v>1254</v>
      </c>
      <c r="M69" t="s">
        <v>186</v>
      </c>
      <c r="N69" t="s">
        <v>11</v>
      </c>
      <c r="O69" s="26">
        <v>2.9203999999999999</v>
      </c>
      <c r="P69" s="12">
        <f>ROUND(O69*L69,2)</f>
        <v>3662.18</v>
      </c>
      <c r="Q69" s="13">
        <f>IF(N69="HKD",7.8,IF(N69="CNY",7.30034,1))</f>
        <v>7.3003400000000003</v>
      </c>
      <c r="R69" s="15">
        <f>+ROUND(O69/Q69,4)</f>
        <v>0.4</v>
      </c>
      <c r="S69" s="14">
        <f>ROUND(R69*L69,2)</f>
        <v>501.6</v>
      </c>
      <c r="T69" s="15" t="s">
        <v>349</v>
      </c>
      <c r="U69" t="s">
        <v>191</v>
      </c>
    </row>
    <row r="70" spans="1:21" x14ac:dyDescent="0.2">
      <c r="A70" t="s">
        <v>1980</v>
      </c>
      <c r="B70" s="24">
        <v>45715</v>
      </c>
      <c r="C70" s="24">
        <v>45698</v>
      </c>
      <c r="D70" t="s">
        <v>1006</v>
      </c>
      <c r="E70" t="s">
        <v>1007</v>
      </c>
      <c r="G70" t="s">
        <v>2184</v>
      </c>
      <c r="H70" s="19" t="s">
        <v>1703</v>
      </c>
      <c r="I70" s="19" t="s">
        <v>1704</v>
      </c>
      <c r="J70" s="11" t="str">
        <f>+LEFT(U70,4)</f>
        <v>ALM-</v>
      </c>
      <c r="K70" t="s">
        <v>98</v>
      </c>
      <c r="L70" s="19">
        <v>628</v>
      </c>
      <c r="M70" t="s">
        <v>186</v>
      </c>
      <c r="N70" t="s">
        <v>11</v>
      </c>
      <c r="O70" s="26">
        <v>2.9203999999999999</v>
      </c>
      <c r="P70" s="12">
        <f>ROUND(O70*L70,2)</f>
        <v>1834.01</v>
      </c>
      <c r="Q70" s="13">
        <f>IF(N70="HKD",7.8,IF(N70="CNY",7.30034,1))</f>
        <v>7.3003400000000003</v>
      </c>
      <c r="R70" s="15">
        <f>+ROUND(O70/Q70,4)</f>
        <v>0.4</v>
      </c>
      <c r="S70" s="14">
        <f>ROUND(R70*L70,2)</f>
        <v>251.2</v>
      </c>
      <c r="T70" s="15" t="s">
        <v>349</v>
      </c>
      <c r="U70" t="s">
        <v>191</v>
      </c>
    </row>
    <row r="71" spans="1:21" x14ac:dyDescent="0.2">
      <c r="A71" t="s">
        <v>1981</v>
      </c>
      <c r="B71" s="24">
        <v>45715</v>
      </c>
      <c r="C71" s="24">
        <v>45698</v>
      </c>
      <c r="D71" t="s">
        <v>1006</v>
      </c>
      <c r="E71" t="s">
        <v>1007</v>
      </c>
      <c r="G71" t="s">
        <v>2184</v>
      </c>
      <c r="H71" s="19" t="s">
        <v>1705</v>
      </c>
      <c r="I71" s="19" t="s">
        <v>1706</v>
      </c>
      <c r="J71" s="11" t="str">
        <f>+LEFT(U71,4)</f>
        <v>ALM-</v>
      </c>
      <c r="K71" t="s">
        <v>98</v>
      </c>
      <c r="L71" s="19">
        <v>1387</v>
      </c>
      <c r="M71" t="s">
        <v>186</v>
      </c>
      <c r="N71" t="s">
        <v>11</v>
      </c>
      <c r="O71" s="26">
        <v>2.9203999999999999</v>
      </c>
      <c r="P71" s="12">
        <f>ROUND(O71*L71,2)</f>
        <v>4050.59</v>
      </c>
      <c r="Q71" s="13">
        <f>IF(N71="HKD",7.8,IF(N71="CNY",7.30034,1))</f>
        <v>7.3003400000000003</v>
      </c>
      <c r="R71" s="15">
        <f>+ROUND(O71/Q71,4)</f>
        <v>0.4</v>
      </c>
      <c r="S71" s="14">
        <f>ROUND(R71*L71,2)</f>
        <v>554.79999999999995</v>
      </c>
      <c r="T71" s="15" t="s">
        <v>349</v>
      </c>
      <c r="U71" t="s">
        <v>191</v>
      </c>
    </row>
    <row r="72" spans="1:21" x14ac:dyDescent="0.2">
      <c r="A72" t="s">
        <v>1982</v>
      </c>
      <c r="B72" s="24">
        <v>45715</v>
      </c>
      <c r="C72" s="24">
        <v>45698</v>
      </c>
      <c r="D72" t="s">
        <v>1006</v>
      </c>
      <c r="E72" t="s">
        <v>1007</v>
      </c>
      <c r="G72" t="s">
        <v>2184</v>
      </c>
      <c r="H72" s="19" t="s">
        <v>1699</v>
      </c>
      <c r="I72" s="19" t="s">
        <v>1700</v>
      </c>
      <c r="J72" s="11" t="str">
        <f>+LEFT(U72,4)</f>
        <v>ALM-</v>
      </c>
      <c r="K72" t="s">
        <v>98</v>
      </c>
      <c r="L72" s="19">
        <v>756</v>
      </c>
      <c r="M72" t="s">
        <v>186</v>
      </c>
      <c r="N72" t="s">
        <v>11</v>
      </c>
      <c r="O72" s="26">
        <v>2.9203999999999999</v>
      </c>
      <c r="P72" s="12">
        <f>ROUND(O72*L72,2)</f>
        <v>2207.8200000000002</v>
      </c>
      <c r="Q72" s="13">
        <f>IF(N72="HKD",7.8,IF(N72="CNY",7.30034,1))</f>
        <v>7.3003400000000003</v>
      </c>
      <c r="R72" s="15">
        <f>+ROUND(O72/Q72,4)</f>
        <v>0.4</v>
      </c>
      <c r="S72" s="14">
        <f>ROUND(R72*L72,2)</f>
        <v>302.39999999999998</v>
      </c>
      <c r="T72" s="15" t="s">
        <v>349</v>
      </c>
      <c r="U72" t="s">
        <v>191</v>
      </c>
    </row>
    <row r="73" spans="1:21" x14ac:dyDescent="0.2">
      <c r="A73" t="s">
        <v>1989</v>
      </c>
      <c r="B73" s="24">
        <v>45715</v>
      </c>
      <c r="C73" s="24">
        <v>45695</v>
      </c>
      <c r="D73" t="s">
        <v>1006</v>
      </c>
      <c r="E73" t="s">
        <v>1007</v>
      </c>
      <c r="G73" t="s">
        <v>2184</v>
      </c>
      <c r="H73" s="19" t="s">
        <v>1713</v>
      </c>
      <c r="I73" s="19" t="s">
        <v>1714</v>
      </c>
      <c r="J73" s="11" t="str">
        <f>+LEFT(U73,4)</f>
        <v>ALM-</v>
      </c>
      <c r="K73" t="s">
        <v>98</v>
      </c>
      <c r="L73" s="19">
        <v>585</v>
      </c>
      <c r="M73" t="s">
        <v>186</v>
      </c>
      <c r="N73" t="s">
        <v>11</v>
      </c>
      <c r="O73" s="26">
        <v>3.0973000000000002</v>
      </c>
      <c r="P73" s="12">
        <f>ROUND(O73*L73,2)</f>
        <v>1811.92</v>
      </c>
      <c r="Q73" s="13">
        <f>IF(N73="HKD",7.8,IF(N73="CNY",7.30034,1))</f>
        <v>7.3003400000000003</v>
      </c>
      <c r="R73" s="15">
        <f>+ROUND(O73/Q73,4)</f>
        <v>0.42430000000000001</v>
      </c>
      <c r="S73" s="14">
        <f>ROUND(R73*L73,2)</f>
        <v>248.22</v>
      </c>
      <c r="T73" s="15" t="s">
        <v>349</v>
      </c>
      <c r="U73" t="s">
        <v>191</v>
      </c>
    </row>
    <row r="74" spans="1:21" x14ac:dyDescent="0.2">
      <c r="A74" t="s">
        <v>1990</v>
      </c>
      <c r="B74" s="24">
        <v>45715</v>
      </c>
      <c r="C74" s="24">
        <v>45698</v>
      </c>
      <c r="D74" t="s">
        <v>1006</v>
      </c>
      <c r="E74" t="s">
        <v>1007</v>
      </c>
      <c r="G74" t="s">
        <v>2184</v>
      </c>
      <c r="H74" s="19" t="s">
        <v>1016</v>
      </c>
      <c r="I74" s="19" t="s">
        <v>1017</v>
      </c>
      <c r="J74" s="11" t="str">
        <f>+LEFT(U74,4)</f>
        <v>ALM-</v>
      </c>
      <c r="K74" t="s">
        <v>98</v>
      </c>
      <c r="L74" s="19">
        <v>484</v>
      </c>
      <c r="M74" t="s">
        <v>186</v>
      </c>
      <c r="N74" t="s">
        <v>11</v>
      </c>
      <c r="O74" s="26">
        <v>3.0973000000000002</v>
      </c>
      <c r="P74" s="12">
        <f>ROUND(O74*L74,2)</f>
        <v>1499.09</v>
      </c>
      <c r="Q74" s="13">
        <f>IF(N74="HKD",7.8,IF(N74="CNY",7.30034,1))</f>
        <v>7.3003400000000003</v>
      </c>
      <c r="R74" s="15">
        <f>+ROUND(O74/Q74,4)</f>
        <v>0.42430000000000001</v>
      </c>
      <c r="S74" s="14">
        <f>ROUND(R74*L74,2)</f>
        <v>205.36</v>
      </c>
      <c r="T74" s="15" t="s">
        <v>349</v>
      </c>
      <c r="U74" t="s">
        <v>191</v>
      </c>
    </row>
    <row r="75" spans="1:21" x14ac:dyDescent="0.2">
      <c r="A75" t="s">
        <v>2331</v>
      </c>
      <c r="B75" s="24">
        <v>45719</v>
      </c>
      <c r="C75" s="24">
        <v>45671</v>
      </c>
      <c r="D75" t="s">
        <v>169</v>
      </c>
      <c r="E75" t="s">
        <v>170</v>
      </c>
      <c r="G75" t="s">
        <v>2887</v>
      </c>
      <c r="H75" t="s">
        <v>1133</v>
      </c>
      <c r="I75" t="s">
        <v>1134</v>
      </c>
      <c r="J75" s="11" t="str">
        <f>+LEFT(U75,4)</f>
        <v>STKR</v>
      </c>
      <c r="K75" t="s">
        <v>10</v>
      </c>
      <c r="L75">
        <v>4000</v>
      </c>
      <c r="M75" t="s">
        <v>1472</v>
      </c>
      <c r="N75" t="s">
        <v>11</v>
      </c>
      <c r="O75">
        <v>2.5899999999999999E-2</v>
      </c>
      <c r="P75" s="12">
        <f>ROUND(O75*L75,2)</f>
        <v>103.6</v>
      </c>
      <c r="Q75" s="13">
        <f>IF(N75="HKD",7.8,IF(N75="CNY",7.30034,1))</f>
        <v>7.3003400000000003</v>
      </c>
      <c r="R75" s="15">
        <f>+ROUND(O75/Q75,4)</f>
        <v>3.5000000000000001E-3</v>
      </c>
      <c r="S75" s="14">
        <f>ROUND(R75*L75,2)</f>
        <v>14</v>
      </c>
      <c r="T75" s="15" t="s">
        <v>349</v>
      </c>
      <c r="U75" t="s">
        <v>18</v>
      </c>
    </row>
    <row r="76" spans="1:21" x14ac:dyDescent="0.2">
      <c r="A76" t="s">
        <v>2710</v>
      </c>
      <c r="B76" s="24">
        <v>45740</v>
      </c>
      <c r="C76" s="24">
        <v>45728</v>
      </c>
      <c r="D76" t="s">
        <v>169</v>
      </c>
      <c r="E76" t="s">
        <v>170</v>
      </c>
      <c r="G76" t="s">
        <v>3016</v>
      </c>
      <c r="H76" t="s">
        <v>1133</v>
      </c>
      <c r="I76" t="s">
        <v>1134</v>
      </c>
      <c r="J76" s="11" t="str">
        <f>+LEFT(U76,4)</f>
        <v>STKR</v>
      </c>
      <c r="K76" t="s">
        <v>10</v>
      </c>
      <c r="L76">
        <v>6500</v>
      </c>
      <c r="M76" t="s">
        <v>1472</v>
      </c>
      <c r="N76" t="s">
        <v>11</v>
      </c>
      <c r="O76">
        <v>2.5899999999999999E-2</v>
      </c>
      <c r="P76" s="12">
        <f>ROUND(O76*L76,2)</f>
        <v>168.35</v>
      </c>
      <c r="Q76" s="13">
        <f>IF(N76="HKD",7.8,IF(N76="CNY",7.30034,1))</f>
        <v>7.3003400000000003</v>
      </c>
      <c r="R76" s="15">
        <f>+ROUND(O76/Q76,4)</f>
        <v>3.5000000000000001E-3</v>
      </c>
      <c r="S76" s="14">
        <f>ROUND(R76*L76,2)</f>
        <v>22.75</v>
      </c>
      <c r="T76" s="15" t="s">
        <v>349</v>
      </c>
      <c r="U76" t="s">
        <v>18</v>
      </c>
    </row>
    <row r="77" spans="1:21" x14ac:dyDescent="0.2">
      <c r="A77" t="s">
        <v>2787</v>
      </c>
      <c r="B77" s="24">
        <v>45743</v>
      </c>
      <c r="C77" s="24">
        <v>45733</v>
      </c>
      <c r="D77" t="s">
        <v>14</v>
      </c>
      <c r="E77" t="s">
        <v>15</v>
      </c>
      <c r="G77" t="s">
        <v>3049</v>
      </c>
      <c r="H77" t="s">
        <v>12</v>
      </c>
      <c r="I77" t="s">
        <v>13</v>
      </c>
      <c r="J77" s="11" t="str">
        <f>+LEFT(U77,4)</f>
        <v>STKR</v>
      </c>
      <c r="K77" t="s">
        <v>10</v>
      </c>
      <c r="L77">
        <v>60000</v>
      </c>
      <c r="M77" t="s">
        <v>1472</v>
      </c>
      <c r="N77" t="s">
        <v>11</v>
      </c>
      <c r="O77">
        <v>2.8199999999999999E-2</v>
      </c>
      <c r="P77" s="12">
        <f>ROUND(O77*L77,2)</f>
        <v>1692</v>
      </c>
      <c r="Q77" s="13">
        <f>IF(N77="HKD",7.8,IF(N77="CNY",7.30034,1))</f>
        <v>7.3003400000000003</v>
      </c>
      <c r="R77" s="15">
        <f>+ROUND(O77/Q77,4)</f>
        <v>3.8999999999999998E-3</v>
      </c>
      <c r="S77" s="14">
        <f>ROUND(R77*L77,2)</f>
        <v>234</v>
      </c>
      <c r="T77" s="15" t="s">
        <v>349</v>
      </c>
      <c r="U77" t="s">
        <v>18</v>
      </c>
    </row>
    <row r="78" spans="1:21" x14ac:dyDescent="0.2">
      <c r="A78" t="s">
        <v>2699</v>
      </c>
      <c r="B78" s="24">
        <v>45740</v>
      </c>
      <c r="C78" s="24">
        <v>45728</v>
      </c>
      <c r="D78" t="s">
        <v>169</v>
      </c>
      <c r="E78" t="s">
        <v>170</v>
      </c>
      <c r="G78" t="s">
        <v>3016</v>
      </c>
      <c r="H78" t="s">
        <v>619</v>
      </c>
      <c r="I78" t="s">
        <v>620</v>
      </c>
      <c r="J78" s="11" t="str">
        <f>+LEFT(U78,4)</f>
        <v>STKR</v>
      </c>
      <c r="K78" t="s">
        <v>10</v>
      </c>
      <c r="L78">
        <v>3020</v>
      </c>
      <c r="M78" t="s">
        <v>1472</v>
      </c>
      <c r="N78" t="s">
        <v>11</v>
      </c>
      <c r="O78">
        <v>0.03</v>
      </c>
      <c r="P78" s="12">
        <f>ROUND(O78*L78,2)</f>
        <v>90.6</v>
      </c>
      <c r="Q78" s="13">
        <f>IF(N78="HKD",7.8,IF(N78="CNY",7.30034,1))</f>
        <v>7.3003400000000003</v>
      </c>
      <c r="R78" s="15">
        <f>+ROUND(O78/Q78,4)</f>
        <v>4.1000000000000003E-3</v>
      </c>
      <c r="S78" s="14">
        <f>ROUND(R78*L78,2)</f>
        <v>12.38</v>
      </c>
      <c r="T78" s="15" t="s">
        <v>349</v>
      </c>
      <c r="U78" t="s">
        <v>18</v>
      </c>
    </row>
    <row r="79" spans="1:21" x14ac:dyDescent="0.2">
      <c r="A79" t="s">
        <v>2700</v>
      </c>
      <c r="B79" s="24">
        <v>45740</v>
      </c>
      <c r="C79" s="24">
        <v>45728</v>
      </c>
      <c r="D79" t="s">
        <v>169</v>
      </c>
      <c r="E79" t="s">
        <v>170</v>
      </c>
      <c r="G79" t="s">
        <v>3016</v>
      </c>
      <c r="H79" t="s">
        <v>615</v>
      </c>
      <c r="I79" t="s">
        <v>616</v>
      </c>
      <c r="J79" s="11" t="str">
        <f>+LEFT(U79,4)</f>
        <v>STKR</v>
      </c>
      <c r="K79" t="s">
        <v>10</v>
      </c>
      <c r="L79">
        <v>3020</v>
      </c>
      <c r="M79" t="s">
        <v>1472</v>
      </c>
      <c r="N79" t="s">
        <v>11</v>
      </c>
      <c r="O79">
        <v>0.03</v>
      </c>
      <c r="P79" s="12">
        <f>ROUND(O79*L79,2)</f>
        <v>90.6</v>
      </c>
      <c r="Q79" s="13">
        <f>IF(N79="HKD",7.8,IF(N79="CNY",7.30034,1))</f>
        <v>7.3003400000000003</v>
      </c>
      <c r="R79" s="15">
        <f>+ROUND(O79/Q79,4)</f>
        <v>4.1000000000000003E-3</v>
      </c>
      <c r="S79" s="14">
        <f>ROUND(R79*L79,2)</f>
        <v>12.38</v>
      </c>
      <c r="T79" s="15" t="s">
        <v>349</v>
      </c>
      <c r="U79" t="s">
        <v>18</v>
      </c>
    </row>
    <row r="80" spans="1:21" x14ac:dyDescent="0.2">
      <c r="A80" t="s">
        <v>2514</v>
      </c>
      <c r="B80" s="24">
        <v>45719</v>
      </c>
      <c r="C80" s="24">
        <v>45713</v>
      </c>
      <c r="D80" t="s">
        <v>169</v>
      </c>
      <c r="E80" t="s">
        <v>170</v>
      </c>
      <c r="G80" t="s">
        <v>2887</v>
      </c>
      <c r="H80" t="s">
        <v>3157</v>
      </c>
      <c r="I80" t="s">
        <v>3367</v>
      </c>
      <c r="J80" s="11" t="str">
        <f>+LEFT(U80,4)</f>
        <v>STKR</v>
      </c>
      <c r="K80" t="s">
        <v>10</v>
      </c>
      <c r="L80">
        <v>3600</v>
      </c>
      <c r="M80" t="s">
        <v>1472</v>
      </c>
      <c r="N80" t="s">
        <v>11</v>
      </c>
      <c r="O80">
        <v>3.5000000000000003E-2</v>
      </c>
      <c r="P80" s="12">
        <f>ROUND(O80*L80,2)</f>
        <v>126</v>
      </c>
      <c r="Q80" s="13">
        <f>IF(N80="HKD",7.8,IF(N80="CNY",7.30034,1))</f>
        <v>7.3003400000000003</v>
      </c>
      <c r="R80" s="15">
        <f>+ROUND(O80/Q80,4)</f>
        <v>4.7999999999999996E-3</v>
      </c>
      <c r="S80" s="14">
        <f>ROUND(R80*L80,2)</f>
        <v>17.28</v>
      </c>
      <c r="T80" s="15" t="s">
        <v>349</v>
      </c>
      <c r="U80" t="s">
        <v>18</v>
      </c>
    </row>
    <row r="81" spans="1:21" x14ac:dyDescent="0.2">
      <c r="A81" t="s">
        <v>2518</v>
      </c>
      <c r="B81" s="24">
        <v>45719</v>
      </c>
      <c r="C81" s="24">
        <v>45713</v>
      </c>
      <c r="D81" t="s">
        <v>169</v>
      </c>
      <c r="E81" t="s">
        <v>170</v>
      </c>
      <c r="G81" t="s">
        <v>2963</v>
      </c>
      <c r="H81" t="s">
        <v>1561</v>
      </c>
      <c r="I81" t="s">
        <v>1562</v>
      </c>
      <c r="J81" s="11" t="str">
        <f>+LEFT(U81,4)</f>
        <v>STKR</v>
      </c>
      <c r="K81" t="s">
        <v>10</v>
      </c>
      <c r="L81">
        <v>3000</v>
      </c>
      <c r="M81" t="s">
        <v>1472</v>
      </c>
      <c r="N81" t="s">
        <v>11</v>
      </c>
      <c r="O81">
        <v>3.5000000000000003E-2</v>
      </c>
      <c r="P81" s="12">
        <f>ROUND(O81*L81,2)</f>
        <v>105</v>
      </c>
      <c r="Q81" s="13">
        <f>IF(N81="HKD",7.8,IF(N81="CNY",7.30034,1))</f>
        <v>7.3003400000000003</v>
      </c>
      <c r="R81" s="15">
        <f>+ROUND(O81/Q81,4)</f>
        <v>4.7999999999999996E-3</v>
      </c>
      <c r="S81" s="14">
        <f>ROUND(R81*L81,2)</f>
        <v>14.4</v>
      </c>
      <c r="T81" s="15" t="s">
        <v>349</v>
      </c>
      <c r="U81" t="s">
        <v>18</v>
      </c>
    </row>
    <row r="82" spans="1:21" x14ac:dyDescent="0.2">
      <c r="A82" t="s">
        <v>2709</v>
      </c>
      <c r="B82" s="24">
        <v>45740</v>
      </c>
      <c r="C82" s="24">
        <v>45728</v>
      </c>
      <c r="D82" t="s">
        <v>169</v>
      </c>
      <c r="E82" t="s">
        <v>170</v>
      </c>
      <c r="G82" t="s">
        <v>3016</v>
      </c>
      <c r="H82" t="s">
        <v>1561</v>
      </c>
      <c r="I82" t="s">
        <v>1562</v>
      </c>
      <c r="J82" s="11" t="str">
        <f>+LEFT(U82,4)</f>
        <v>STKR</v>
      </c>
      <c r="K82" t="s">
        <v>10</v>
      </c>
      <c r="L82">
        <v>4000</v>
      </c>
      <c r="M82" t="s">
        <v>1472</v>
      </c>
      <c r="N82" t="s">
        <v>11</v>
      </c>
      <c r="O82">
        <v>3.5000000000000003E-2</v>
      </c>
      <c r="P82" s="12">
        <f>ROUND(O82*L82,2)</f>
        <v>140</v>
      </c>
      <c r="Q82" s="13">
        <f>IF(N82="HKD",7.8,IF(N82="CNY",7.30034,1))</f>
        <v>7.3003400000000003</v>
      </c>
      <c r="R82" s="15">
        <f>+ROUND(O82/Q82,4)</f>
        <v>4.7999999999999996E-3</v>
      </c>
      <c r="S82" s="14">
        <f>ROUND(R82*L82,2)</f>
        <v>19.2</v>
      </c>
      <c r="T82" s="15" t="s">
        <v>349</v>
      </c>
      <c r="U82" t="s">
        <v>18</v>
      </c>
    </row>
    <row r="83" spans="1:21" x14ac:dyDescent="0.2">
      <c r="A83" t="s">
        <v>2776</v>
      </c>
      <c r="B83" s="24">
        <v>45740</v>
      </c>
      <c r="C83" s="24">
        <v>45730</v>
      </c>
      <c r="D83" t="s">
        <v>169</v>
      </c>
      <c r="E83" t="s">
        <v>170</v>
      </c>
      <c r="G83" t="s">
        <v>3016</v>
      </c>
      <c r="H83" t="s">
        <v>3157</v>
      </c>
      <c r="I83" t="s">
        <v>3367</v>
      </c>
      <c r="J83" s="11" t="str">
        <f>+LEFT(U83,4)</f>
        <v>STKR</v>
      </c>
      <c r="K83" t="s">
        <v>10</v>
      </c>
      <c r="L83">
        <v>2020</v>
      </c>
      <c r="M83" t="s">
        <v>1472</v>
      </c>
      <c r="N83" t="s">
        <v>11</v>
      </c>
      <c r="O83">
        <v>3.5000000000000003E-2</v>
      </c>
      <c r="P83" s="12">
        <f>ROUND(O83*L83,2)</f>
        <v>70.7</v>
      </c>
      <c r="Q83" s="13">
        <f>IF(N83="HKD",7.8,IF(N83="CNY",7.30034,1))</f>
        <v>7.3003400000000003</v>
      </c>
      <c r="R83" s="15">
        <f>+ROUND(O83/Q83,4)</f>
        <v>4.7999999999999996E-3</v>
      </c>
      <c r="S83" s="14">
        <f>ROUND(R83*L83,2)</f>
        <v>9.6999999999999993</v>
      </c>
      <c r="T83" s="15" t="s">
        <v>349</v>
      </c>
      <c r="U83" t="s">
        <v>18</v>
      </c>
    </row>
    <row r="84" spans="1:21" x14ac:dyDescent="0.2">
      <c r="A84" t="s">
        <v>2335</v>
      </c>
      <c r="B84" s="24">
        <v>45719</v>
      </c>
      <c r="C84" s="24">
        <v>45674</v>
      </c>
      <c r="D84" t="s">
        <v>545</v>
      </c>
      <c r="E84" t="s">
        <v>546</v>
      </c>
      <c r="G84" t="s">
        <v>2892</v>
      </c>
      <c r="H84" t="s">
        <v>557</v>
      </c>
      <c r="I84" t="s">
        <v>558</v>
      </c>
      <c r="J84" s="11" t="str">
        <f>+LEFT(U84,4)</f>
        <v>WHR-</v>
      </c>
      <c r="K84" t="s">
        <v>10</v>
      </c>
      <c r="L84">
        <v>1000</v>
      </c>
      <c r="M84" t="s">
        <v>1472</v>
      </c>
      <c r="N84" t="s">
        <v>11</v>
      </c>
      <c r="O84">
        <v>3.9800000000000002E-2</v>
      </c>
      <c r="P84" s="12">
        <f>ROUND(O84*L84,2)</f>
        <v>39.799999999999997</v>
      </c>
      <c r="Q84" s="13">
        <f>IF(N84="HKD",7.8,IF(N84="CNY",7.30034,1))</f>
        <v>7.3003400000000003</v>
      </c>
      <c r="R84" s="15">
        <f>+ROUND(O84/Q84,4)</f>
        <v>5.4999999999999997E-3</v>
      </c>
      <c r="S84" s="14">
        <f>ROUND(R84*L84,2)</f>
        <v>5.5</v>
      </c>
      <c r="T84" s="15" t="s">
        <v>349</v>
      </c>
      <c r="U84" t="s">
        <v>248</v>
      </c>
    </row>
    <row r="85" spans="1:21" x14ac:dyDescent="0.2">
      <c r="A85" t="s">
        <v>2475</v>
      </c>
      <c r="B85" s="24">
        <v>45719</v>
      </c>
      <c r="C85" s="24">
        <v>45709</v>
      </c>
      <c r="D85" t="s">
        <v>545</v>
      </c>
      <c r="E85" t="s">
        <v>546</v>
      </c>
      <c r="G85" t="s">
        <v>2892</v>
      </c>
      <c r="H85" t="s">
        <v>557</v>
      </c>
      <c r="I85" t="s">
        <v>558</v>
      </c>
      <c r="J85" s="11" t="str">
        <f>+LEFT(U85,4)</f>
        <v>WHR-</v>
      </c>
      <c r="K85" t="s">
        <v>10</v>
      </c>
      <c r="L85">
        <v>6000</v>
      </c>
      <c r="M85" t="s">
        <v>1472</v>
      </c>
      <c r="N85" t="s">
        <v>11</v>
      </c>
      <c r="O85">
        <v>3.9800000000000002E-2</v>
      </c>
      <c r="P85" s="12">
        <f>ROUND(O85*L85,2)</f>
        <v>238.8</v>
      </c>
      <c r="Q85" s="13">
        <f>IF(N85="HKD",7.8,IF(N85="CNY",7.30034,1))</f>
        <v>7.3003400000000003</v>
      </c>
      <c r="R85" s="15">
        <f>+ROUND(O85/Q85,4)</f>
        <v>5.4999999999999997E-3</v>
      </c>
      <c r="S85" s="14">
        <f>ROUND(R85*L85,2)</f>
        <v>33</v>
      </c>
      <c r="T85" s="15" t="s">
        <v>349</v>
      </c>
      <c r="U85" t="s">
        <v>248</v>
      </c>
    </row>
    <row r="86" spans="1:21" x14ac:dyDescent="0.2">
      <c r="A86" t="s">
        <v>2564</v>
      </c>
      <c r="B86" s="24">
        <v>45734</v>
      </c>
      <c r="C86" s="24">
        <v>45716</v>
      </c>
      <c r="D86" t="s">
        <v>545</v>
      </c>
      <c r="E86" t="s">
        <v>546</v>
      </c>
      <c r="G86" t="s">
        <v>2944</v>
      </c>
      <c r="H86" t="s">
        <v>557</v>
      </c>
      <c r="I86" t="s">
        <v>558</v>
      </c>
      <c r="J86" s="11" t="str">
        <f>+LEFT(U86,4)</f>
        <v>WHR-</v>
      </c>
      <c r="K86" t="s">
        <v>10</v>
      </c>
      <c r="L86">
        <v>1000</v>
      </c>
      <c r="M86" t="s">
        <v>1472</v>
      </c>
      <c r="N86" t="s">
        <v>11</v>
      </c>
      <c r="O86">
        <v>3.9800000000000002E-2</v>
      </c>
      <c r="P86" s="12">
        <f>ROUND(O86*L86,2)</f>
        <v>39.799999999999997</v>
      </c>
      <c r="Q86" s="13">
        <f>IF(N86="HKD",7.8,IF(N86="CNY",7.30034,1))</f>
        <v>7.3003400000000003</v>
      </c>
      <c r="R86" s="15">
        <f>+ROUND(O86/Q86,4)</f>
        <v>5.4999999999999997E-3</v>
      </c>
      <c r="S86" s="14">
        <f>ROUND(R86*L86,2)</f>
        <v>5.5</v>
      </c>
      <c r="T86" s="15" t="s">
        <v>349</v>
      </c>
      <c r="U86" t="s">
        <v>248</v>
      </c>
    </row>
    <row r="87" spans="1:21" x14ac:dyDescent="0.2">
      <c r="A87" t="s">
        <v>2458</v>
      </c>
      <c r="B87" s="24">
        <v>45734</v>
      </c>
      <c r="C87" s="24">
        <v>45706</v>
      </c>
      <c r="D87" t="s">
        <v>545</v>
      </c>
      <c r="E87" t="s">
        <v>546</v>
      </c>
      <c r="G87" t="s">
        <v>2944</v>
      </c>
      <c r="H87" t="s">
        <v>563</v>
      </c>
      <c r="I87" t="s">
        <v>564</v>
      </c>
      <c r="J87" s="11" t="str">
        <f>+LEFT(U87,4)</f>
        <v>WHR-</v>
      </c>
      <c r="K87" t="s">
        <v>10</v>
      </c>
      <c r="L87">
        <v>5000</v>
      </c>
      <c r="M87" t="s">
        <v>1472</v>
      </c>
      <c r="N87" t="s">
        <v>11</v>
      </c>
      <c r="O87">
        <v>4.1000000000000002E-2</v>
      </c>
      <c r="P87" s="12">
        <f>ROUND(O87*L87,2)</f>
        <v>205</v>
      </c>
      <c r="Q87" s="13">
        <f>IF(N87="HKD",7.8,IF(N87="CNY",7.30034,1))</f>
        <v>7.3003400000000003</v>
      </c>
      <c r="R87" s="15">
        <f>+ROUND(O87/Q87,4)</f>
        <v>5.5999999999999999E-3</v>
      </c>
      <c r="S87" s="14">
        <f>ROUND(R87*L87,2)</f>
        <v>28</v>
      </c>
      <c r="T87" s="15" t="s">
        <v>349</v>
      </c>
      <c r="U87" t="s">
        <v>248</v>
      </c>
    </row>
    <row r="88" spans="1:21" x14ac:dyDescent="0.2">
      <c r="A88" t="s">
        <v>2460</v>
      </c>
      <c r="B88" s="24">
        <v>45734</v>
      </c>
      <c r="C88" s="24">
        <v>45706</v>
      </c>
      <c r="D88" t="s">
        <v>545</v>
      </c>
      <c r="E88" t="s">
        <v>546</v>
      </c>
      <c r="G88" t="s">
        <v>2944</v>
      </c>
      <c r="H88" t="s">
        <v>563</v>
      </c>
      <c r="I88" t="s">
        <v>564</v>
      </c>
      <c r="J88" s="11" t="str">
        <f>+LEFT(U88,4)</f>
        <v>WHR-</v>
      </c>
      <c r="K88" t="s">
        <v>10</v>
      </c>
      <c r="L88">
        <v>6500</v>
      </c>
      <c r="M88" t="s">
        <v>1472</v>
      </c>
      <c r="N88" t="s">
        <v>11</v>
      </c>
      <c r="O88">
        <v>4.1000000000000002E-2</v>
      </c>
      <c r="P88" s="12">
        <f>ROUND(O88*L88,2)</f>
        <v>266.5</v>
      </c>
      <c r="Q88" s="13">
        <f>IF(N88="HKD",7.8,IF(N88="CNY",7.30034,1))</f>
        <v>7.3003400000000003</v>
      </c>
      <c r="R88" s="15">
        <f>+ROUND(O88/Q88,4)</f>
        <v>5.5999999999999999E-3</v>
      </c>
      <c r="S88" s="14">
        <f>ROUND(R88*L88,2)</f>
        <v>36.4</v>
      </c>
      <c r="T88" s="15" t="s">
        <v>349</v>
      </c>
      <c r="U88" t="s">
        <v>248</v>
      </c>
    </row>
    <row r="89" spans="1:21" x14ac:dyDescent="0.2">
      <c r="A89" t="s">
        <v>2746</v>
      </c>
      <c r="B89" s="24">
        <v>45734</v>
      </c>
      <c r="C89" s="24">
        <v>45729</v>
      </c>
      <c r="D89" t="s">
        <v>545</v>
      </c>
      <c r="E89" t="s">
        <v>546</v>
      </c>
      <c r="G89" t="s">
        <v>2944</v>
      </c>
      <c r="H89" t="s">
        <v>563</v>
      </c>
      <c r="I89" t="s">
        <v>564</v>
      </c>
      <c r="J89" s="11" t="str">
        <f>+LEFT(U89,4)</f>
        <v>WHR-</v>
      </c>
      <c r="K89" t="s">
        <v>10</v>
      </c>
      <c r="L89">
        <v>1150</v>
      </c>
      <c r="M89" t="s">
        <v>1472</v>
      </c>
      <c r="N89" t="s">
        <v>11</v>
      </c>
      <c r="O89">
        <v>4.1000000000000002E-2</v>
      </c>
      <c r="P89" s="12">
        <f>ROUND(O89*L89,2)</f>
        <v>47.15</v>
      </c>
      <c r="Q89" s="13">
        <f>IF(N89="HKD",7.8,IF(N89="CNY",7.30034,1))</f>
        <v>7.3003400000000003</v>
      </c>
      <c r="R89" s="15">
        <f>+ROUND(O89/Q89,4)</f>
        <v>5.5999999999999999E-3</v>
      </c>
      <c r="S89" s="14">
        <f>ROUND(R89*L89,2)</f>
        <v>6.44</v>
      </c>
      <c r="T89" s="15" t="s">
        <v>349</v>
      </c>
      <c r="U89" t="s">
        <v>248</v>
      </c>
    </row>
    <row r="90" spans="1:21" x14ac:dyDescent="0.2">
      <c r="A90" t="s">
        <v>2725</v>
      </c>
      <c r="B90" s="24">
        <v>45744</v>
      </c>
      <c r="C90" s="24">
        <v>45728</v>
      </c>
      <c r="D90" t="s">
        <v>235</v>
      </c>
      <c r="E90" t="s">
        <v>236</v>
      </c>
      <c r="G90" t="s">
        <v>3040</v>
      </c>
      <c r="H90" t="s">
        <v>233</v>
      </c>
      <c r="I90" t="s">
        <v>234</v>
      </c>
      <c r="J90" s="11" t="str">
        <f>+LEFT(U90,4)</f>
        <v>RIV-</v>
      </c>
      <c r="K90" t="s">
        <v>10</v>
      </c>
      <c r="L90">
        <v>6000</v>
      </c>
      <c r="M90" t="s">
        <v>1472</v>
      </c>
      <c r="N90" t="s">
        <v>11</v>
      </c>
      <c r="O90">
        <v>4.1599999999999998E-2</v>
      </c>
      <c r="P90" s="12">
        <f>ROUND(O90*L90,2)</f>
        <v>249.6</v>
      </c>
      <c r="Q90" s="13">
        <f>IF(N90="HKD",7.8,IF(N90="CNY",7.30034,1))</f>
        <v>7.3003400000000003</v>
      </c>
      <c r="R90" s="15">
        <f>+ROUND(O90/Q90,4)</f>
        <v>5.7000000000000002E-3</v>
      </c>
      <c r="S90" s="14">
        <f>ROUND(R90*L90,2)</f>
        <v>34.200000000000003</v>
      </c>
      <c r="T90" s="15" t="s">
        <v>349</v>
      </c>
      <c r="U90" t="s">
        <v>132</v>
      </c>
    </row>
    <row r="91" spans="1:21" x14ac:dyDescent="0.2">
      <c r="A91" t="s">
        <v>2572</v>
      </c>
      <c r="B91" s="24">
        <v>45740</v>
      </c>
      <c r="C91" s="24">
        <v>45716</v>
      </c>
      <c r="D91" t="s">
        <v>162</v>
      </c>
      <c r="E91" t="s">
        <v>163</v>
      </c>
      <c r="G91" t="s">
        <v>2907</v>
      </c>
      <c r="H91" t="s">
        <v>599</v>
      </c>
      <c r="I91" t="s">
        <v>600</v>
      </c>
      <c r="J91" s="11" t="str">
        <f>+LEFT(U91,4)</f>
        <v>SCR-</v>
      </c>
      <c r="K91" t="s">
        <v>10</v>
      </c>
      <c r="L91">
        <v>11000</v>
      </c>
      <c r="M91" t="s">
        <v>1472</v>
      </c>
      <c r="N91" t="s">
        <v>11</v>
      </c>
      <c r="O91">
        <v>4.2000000000000003E-2</v>
      </c>
      <c r="P91" s="12">
        <f>ROUND(O91*L91,2)</f>
        <v>462</v>
      </c>
      <c r="Q91" s="13">
        <f>IF(N91="HKD",7.8,IF(N91="CNY",7.30034,1))</f>
        <v>7.3003400000000003</v>
      </c>
      <c r="R91" s="15">
        <f>+ROUND(O91/Q91,4)</f>
        <v>5.7999999999999996E-3</v>
      </c>
      <c r="S91" s="14">
        <f>ROUND(R91*L91,2)</f>
        <v>63.8</v>
      </c>
      <c r="T91" s="15" t="s">
        <v>349</v>
      </c>
      <c r="U91" t="s">
        <v>166</v>
      </c>
    </row>
    <row r="92" spans="1:21" x14ac:dyDescent="0.2">
      <c r="A92" t="s">
        <v>2293</v>
      </c>
      <c r="B92" s="24">
        <v>45719</v>
      </c>
      <c r="C92" s="24">
        <v>45643</v>
      </c>
      <c r="D92" t="s">
        <v>169</v>
      </c>
      <c r="E92" t="s">
        <v>170</v>
      </c>
      <c r="G92" t="s">
        <v>2861</v>
      </c>
      <c r="H92" t="s">
        <v>3067</v>
      </c>
      <c r="I92" t="s">
        <v>3283</v>
      </c>
      <c r="J92" s="11" t="str">
        <f>+LEFT(U92,4)</f>
        <v>STKR</v>
      </c>
      <c r="K92" t="s">
        <v>10</v>
      </c>
      <c r="L92">
        <v>1600</v>
      </c>
      <c r="M92" t="s">
        <v>1472</v>
      </c>
      <c r="N92" t="s">
        <v>11</v>
      </c>
      <c r="O92">
        <v>4.2000000000000003E-2</v>
      </c>
      <c r="P92" s="12">
        <f>ROUND(O92*L92,2)</f>
        <v>67.2</v>
      </c>
      <c r="Q92" s="13">
        <f>IF(N92="HKD",7.8,IF(N92="CNY",7.30034,1))</f>
        <v>7.3003400000000003</v>
      </c>
      <c r="R92" s="15">
        <f>+ROUND(O92/Q92,4)</f>
        <v>5.7999999999999996E-3</v>
      </c>
      <c r="S92" s="14">
        <f>ROUND(R92*L92,2)</f>
        <v>9.2799999999999994</v>
      </c>
      <c r="T92" s="15" t="s">
        <v>349</v>
      </c>
      <c r="U92" t="s">
        <v>18</v>
      </c>
    </row>
    <row r="93" spans="1:21" x14ac:dyDescent="0.2">
      <c r="A93" t="s">
        <v>2294</v>
      </c>
      <c r="B93" s="24">
        <v>45719</v>
      </c>
      <c r="C93" s="24">
        <v>45643</v>
      </c>
      <c r="D93" t="s">
        <v>169</v>
      </c>
      <c r="E93" t="s">
        <v>170</v>
      </c>
      <c r="G93" t="s">
        <v>2861</v>
      </c>
      <c r="H93" t="s">
        <v>3067</v>
      </c>
      <c r="I93" t="s">
        <v>3283</v>
      </c>
      <c r="J93" s="11" t="str">
        <f>+LEFT(U93,4)</f>
        <v>STKR</v>
      </c>
      <c r="K93" t="s">
        <v>10</v>
      </c>
      <c r="L93">
        <v>30</v>
      </c>
      <c r="M93" t="s">
        <v>1472</v>
      </c>
      <c r="N93" t="s">
        <v>11</v>
      </c>
      <c r="O93">
        <v>4.2000000000000003E-2</v>
      </c>
      <c r="P93" s="12">
        <f>ROUND(O93*L93,2)</f>
        <v>1.26</v>
      </c>
      <c r="Q93" s="13">
        <f>IF(N93="HKD",7.8,IF(N93="CNY",7.30034,1))</f>
        <v>7.3003400000000003</v>
      </c>
      <c r="R93" s="15">
        <f>+ROUND(O93/Q93,4)</f>
        <v>5.7999999999999996E-3</v>
      </c>
      <c r="S93" s="14">
        <f>ROUND(R93*L93,2)</f>
        <v>0.17</v>
      </c>
      <c r="T93" s="15" t="s">
        <v>349</v>
      </c>
      <c r="U93" t="s">
        <v>18</v>
      </c>
    </row>
    <row r="94" spans="1:21" x14ac:dyDescent="0.2">
      <c r="A94" t="s">
        <v>2330</v>
      </c>
      <c r="B94" s="24">
        <v>45719</v>
      </c>
      <c r="C94" s="24">
        <v>45671</v>
      </c>
      <c r="D94" t="s">
        <v>169</v>
      </c>
      <c r="E94" t="s">
        <v>170</v>
      </c>
      <c r="G94" t="s">
        <v>2887</v>
      </c>
      <c r="H94" t="s">
        <v>3085</v>
      </c>
      <c r="I94" t="s">
        <v>3301</v>
      </c>
      <c r="J94" s="11" t="str">
        <f>+LEFT(U94,4)</f>
        <v>STKR</v>
      </c>
      <c r="K94" t="s">
        <v>10</v>
      </c>
      <c r="L94">
        <v>9100</v>
      </c>
      <c r="M94" t="s">
        <v>1472</v>
      </c>
      <c r="N94" t="s">
        <v>11</v>
      </c>
      <c r="O94">
        <v>4.2000000000000003E-2</v>
      </c>
      <c r="P94" s="12">
        <f>ROUND(O94*L94,2)</f>
        <v>382.2</v>
      </c>
      <c r="Q94" s="13">
        <f>IF(N94="HKD",7.8,IF(N94="CNY",7.30034,1))</f>
        <v>7.3003400000000003</v>
      </c>
      <c r="R94" s="15">
        <f>+ROUND(O94/Q94,4)</f>
        <v>5.7999999999999996E-3</v>
      </c>
      <c r="S94" s="14">
        <f>ROUND(R94*L94,2)</f>
        <v>52.78</v>
      </c>
      <c r="T94" s="15" t="s">
        <v>349</v>
      </c>
      <c r="U94" t="s">
        <v>18</v>
      </c>
    </row>
    <row r="95" spans="1:21" x14ac:dyDescent="0.2">
      <c r="A95" t="s">
        <v>2332</v>
      </c>
      <c r="B95" s="24">
        <v>45719</v>
      </c>
      <c r="C95" s="24">
        <v>45671</v>
      </c>
      <c r="D95" t="s">
        <v>169</v>
      </c>
      <c r="E95" t="s">
        <v>170</v>
      </c>
      <c r="G95" t="s">
        <v>2887</v>
      </c>
      <c r="H95" t="s">
        <v>3085</v>
      </c>
      <c r="I95" t="s">
        <v>3301</v>
      </c>
      <c r="J95" s="11" t="str">
        <f>+LEFT(U95,4)</f>
        <v>STKR</v>
      </c>
      <c r="K95" t="s">
        <v>10</v>
      </c>
      <c r="L95">
        <v>50</v>
      </c>
      <c r="M95" t="s">
        <v>1472</v>
      </c>
      <c r="N95" t="s">
        <v>11</v>
      </c>
      <c r="O95">
        <v>4.2000000000000003E-2</v>
      </c>
      <c r="P95" s="12">
        <f>ROUND(O95*L95,2)</f>
        <v>2.1</v>
      </c>
      <c r="Q95" s="13">
        <f>IF(N95="HKD",7.8,IF(N95="CNY",7.30034,1))</f>
        <v>7.3003400000000003</v>
      </c>
      <c r="R95" s="15">
        <f>+ROUND(O95/Q95,4)</f>
        <v>5.7999999999999996E-3</v>
      </c>
      <c r="S95" s="14">
        <f>ROUND(R95*L95,2)</f>
        <v>0.28999999999999998</v>
      </c>
      <c r="T95" s="15" t="s">
        <v>349</v>
      </c>
      <c r="U95" t="s">
        <v>18</v>
      </c>
    </row>
    <row r="96" spans="1:21" x14ac:dyDescent="0.2">
      <c r="A96" t="s">
        <v>2703</v>
      </c>
      <c r="B96" s="24">
        <v>45740</v>
      </c>
      <c r="C96" s="24">
        <v>45728</v>
      </c>
      <c r="D96" t="s">
        <v>169</v>
      </c>
      <c r="E96" t="s">
        <v>170</v>
      </c>
      <c r="G96" t="s">
        <v>3036</v>
      </c>
      <c r="H96" t="s">
        <v>3230</v>
      </c>
      <c r="I96" t="s">
        <v>3437</v>
      </c>
      <c r="J96" s="11" t="str">
        <f>+LEFT(U96,4)</f>
        <v>STKR</v>
      </c>
      <c r="K96" t="s">
        <v>10</v>
      </c>
      <c r="L96">
        <v>1010</v>
      </c>
      <c r="M96" t="s">
        <v>1472</v>
      </c>
      <c r="N96" t="s">
        <v>11</v>
      </c>
      <c r="O96">
        <v>4.2000000000000003E-2</v>
      </c>
      <c r="P96" s="12">
        <f>ROUND(O96*L96,2)</f>
        <v>42.42</v>
      </c>
      <c r="Q96" s="13">
        <f>IF(N96="HKD",7.8,IF(N96="CNY",7.30034,1))</f>
        <v>7.3003400000000003</v>
      </c>
      <c r="R96" s="15">
        <f>+ROUND(O96/Q96,4)</f>
        <v>5.7999999999999996E-3</v>
      </c>
      <c r="S96" s="14">
        <f>ROUND(R96*L96,2)</f>
        <v>5.86</v>
      </c>
      <c r="T96" s="15" t="s">
        <v>349</v>
      </c>
      <c r="U96" t="s">
        <v>18</v>
      </c>
    </row>
    <row r="97" spans="1:21" x14ac:dyDescent="0.2">
      <c r="A97" t="s">
        <v>2704</v>
      </c>
      <c r="B97" s="24">
        <v>45740</v>
      </c>
      <c r="C97" s="24">
        <v>45728</v>
      </c>
      <c r="D97" t="s">
        <v>169</v>
      </c>
      <c r="E97" t="s">
        <v>170</v>
      </c>
      <c r="G97" t="s">
        <v>3036</v>
      </c>
      <c r="H97" t="s">
        <v>3231</v>
      </c>
      <c r="I97" t="s">
        <v>3438</v>
      </c>
      <c r="J97" s="11" t="str">
        <f>+LEFT(U97,4)</f>
        <v>STKR</v>
      </c>
      <c r="K97" t="s">
        <v>10</v>
      </c>
      <c r="L97">
        <v>1010</v>
      </c>
      <c r="M97" t="s">
        <v>1472</v>
      </c>
      <c r="N97" t="s">
        <v>11</v>
      </c>
      <c r="O97">
        <v>4.2000000000000003E-2</v>
      </c>
      <c r="P97" s="12">
        <f>ROUND(O97*L97,2)</f>
        <v>42.42</v>
      </c>
      <c r="Q97" s="13">
        <f>IF(N97="HKD",7.8,IF(N97="CNY",7.30034,1))</f>
        <v>7.3003400000000003</v>
      </c>
      <c r="R97" s="15">
        <f>+ROUND(O97/Q97,4)</f>
        <v>5.7999999999999996E-3</v>
      </c>
      <c r="S97" s="14">
        <f>ROUND(R97*L97,2)</f>
        <v>5.86</v>
      </c>
      <c r="T97" s="15" t="s">
        <v>349</v>
      </c>
      <c r="U97" t="s">
        <v>18</v>
      </c>
    </row>
    <row r="98" spans="1:21" x14ac:dyDescent="0.2">
      <c r="A98" t="s">
        <v>2705</v>
      </c>
      <c r="B98" s="24">
        <v>45740</v>
      </c>
      <c r="C98" s="24">
        <v>45728</v>
      </c>
      <c r="D98" t="s">
        <v>169</v>
      </c>
      <c r="E98" t="s">
        <v>170</v>
      </c>
      <c r="G98" t="s">
        <v>3036</v>
      </c>
      <c r="H98" t="s">
        <v>3232</v>
      </c>
      <c r="I98" t="s">
        <v>3439</v>
      </c>
      <c r="J98" s="11" t="str">
        <f>+LEFT(U98,4)</f>
        <v>STKR</v>
      </c>
      <c r="K98" t="s">
        <v>10</v>
      </c>
      <c r="L98">
        <v>1010</v>
      </c>
      <c r="M98" t="s">
        <v>1472</v>
      </c>
      <c r="N98" t="s">
        <v>11</v>
      </c>
      <c r="O98">
        <v>4.2000000000000003E-2</v>
      </c>
      <c r="P98" s="12">
        <f>ROUND(O98*L98,2)</f>
        <v>42.42</v>
      </c>
      <c r="Q98" s="13">
        <f>IF(N98="HKD",7.8,IF(N98="CNY",7.30034,1))</f>
        <v>7.3003400000000003</v>
      </c>
      <c r="R98" s="15">
        <f>+ROUND(O98/Q98,4)</f>
        <v>5.7999999999999996E-3</v>
      </c>
      <c r="S98" s="14">
        <f>ROUND(R98*L98,2)</f>
        <v>5.86</v>
      </c>
      <c r="T98" s="15" t="s">
        <v>349</v>
      </c>
      <c r="U98" t="s">
        <v>18</v>
      </c>
    </row>
    <row r="99" spans="1:21" x14ac:dyDescent="0.2">
      <c r="A99" t="s">
        <v>2706</v>
      </c>
      <c r="B99" s="24">
        <v>45740</v>
      </c>
      <c r="C99" s="24">
        <v>45728</v>
      </c>
      <c r="D99" t="s">
        <v>169</v>
      </c>
      <c r="E99" t="s">
        <v>170</v>
      </c>
      <c r="G99" t="s">
        <v>3036</v>
      </c>
      <c r="H99" t="s">
        <v>3233</v>
      </c>
      <c r="I99" t="s">
        <v>3440</v>
      </c>
      <c r="J99" s="11" t="str">
        <f>+LEFT(U99,4)</f>
        <v>STKR</v>
      </c>
      <c r="K99" t="s">
        <v>10</v>
      </c>
      <c r="L99">
        <v>1010</v>
      </c>
      <c r="M99" t="s">
        <v>1472</v>
      </c>
      <c r="N99" t="s">
        <v>11</v>
      </c>
      <c r="O99">
        <v>4.2000000000000003E-2</v>
      </c>
      <c r="P99" s="12">
        <f>ROUND(O99*L99,2)</f>
        <v>42.42</v>
      </c>
      <c r="Q99" s="13">
        <f>IF(N99="HKD",7.8,IF(N99="CNY",7.30034,1))</f>
        <v>7.3003400000000003</v>
      </c>
      <c r="R99" s="15">
        <f>+ROUND(O99/Q99,4)</f>
        <v>5.7999999999999996E-3</v>
      </c>
      <c r="S99" s="14">
        <f>ROUND(R99*L99,2)</f>
        <v>5.86</v>
      </c>
      <c r="T99" s="15" t="s">
        <v>349</v>
      </c>
      <c r="U99" t="s">
        <v>18</v>
      </c>
    </row>
    <row r="100" spans="1:21" x14ac:dyDescent="0.2">
      <c r="A100" t="s">
        <v>2707</v>
      </c>
      <c r="B100" s="24">
        <v>45740</v>
      </c>
      <c r="C100" s="24">
        <v>45728</v>
      </c>
      <c r="D100" t="s">
        <v>169</v>
      </c>
      <c r="E100" t="s">
        <v>170</v>
      </c>
      <c r="G100" t="s">
        <v>3036</v>
      </c>
      <c r="H100" t="s">
        <v>3234</v>
      </c>
      <c r="I100" t="s">
        <v>3441</v>
      </c>
      <c r="J100" s="11" t="str">
        <f>+LEFT(U100,4)</f>
        <v>STKR</v>
      </c>
      <c r="K100" t="s">
        <v>10</v>
      </c>
      <c r="L100">
        <v>1010</v>
      </c>
      <c r="M100" t="s">
        <v>1472</v>
      </c>
      <c r="N100" t="s">
        <v>11</v>
      </c>
      <c r="O100">
        <v>4.2000000000000003E-2</v>
      </c>
      <c r="P100" s="12">
        <f>ROUND(O100*L100,2)</f>
        <v>42.42</v>
      </c>
      <c r="Q100" s="13">
        <f>IF(N100="HKD",7.8,IF(N100="CNY",7.30034,1))</f>
        <v>7.3003400000000003</v>
      </c>
      <c r="R100" s="15">
        <f>+ROUND(O100/Q100,4)</f>
        <v>5.7999999999999996E-3</v>
      </c>
      <c r="S100" s="14">
        <f>ROUND(R100*L100,2)</f>
        <v>5.86</v>
      </c>
      <c r="T100" s="15" t="s">
        <v>349</v>
      </c>
      <c r="U100" t="s">
        <v>18</v>
      </c>
    </row>
    <row r="101" spans="1:21" x14ac:dyDescent="0.2">
      <c r="A101" t="s">
        <v>2708</v>
      </c>
      <c r="B101" s="24">
        <v>45740</v>
      </c>
      <c r="C101" s="24">
        <v>45728</v>
      </c>
      <c r="D101" t="s">
        <v>169</v>
      </c>
      <c r="E101" t="s">
        <v>170</v>
      </c>
      <c r="G101" t="s">
        <v>3036</v>
      </c>
      <c r="H101" t="s">
        <v>3235</v>
      </c>
      <c r="I101" t="s">
        <v>3442</v>
      </c>
      <c r="J101" s="11" t="str">
        <f>+LEFT(U101,4)</f>
        <v>STKR</v>
      </c>
      <c r="K101" t="s">
        <v>10</v>
      </c>
      <c r="L101">
        <v>510</v>
      </c>
      <c r="M101" t="s">
        <v>1472</v>
      </c>
      <c r="N101" t="s">
        <v>11</v>
      </c>
      <c r="O101">
        <v>4.2000000000000003E-2</v>
      </c>
      <c r="P101" s="12">
        <f>ROUND(O101*L101,2)</f>
        <v>21.42</v>
      </c>
      <c r="Q101" s="13">
        <f>IF(N101="HKD",7.8,IF(N101="CNY",7.30034,1))</f>
        <v>7.3003400000000003</v>
      </c>
      <c r="R101" s="15">
        <f>+ROUND(O101/Q101,4)</f>
        <v>5.7999999999999996E-3</v>
      </c>
      <c r="S101" s="14">
        <f>ROUND(R101*L101,2)</f>
        <v>2.96</v>
      </c>
      <c r="T101" s="15" t="s">
        <v>349</v>
      </c>
      <c r="U101" t="s">
        <v>18</v>
      </c>
    </row>
    <row r="102" spans="1:21" x14ac:dyDescent="0.2">
      <c r="A102" t="s">
        <v>2711</v>
      </c>
      <c r="B102" s="24">
        <v>45740</v>
      </c>
      <c r="C102" s="24">
        <v>45728</v>
      </c>
      <c r="D102" t="s">
        <v>169</v>
      </c>
      <c r="E102" t="s">
        <v>170</v>
      </c>
      <c r="G102" t="s">
        <v>3016</v>
      </c>
      <c r="H102" t="s">
        <v>3236</v>
      </c>
      <c r="I102" t="s">
        <v>3443</v>
      </c>
      <c r="J102" s="11" t="str">
        <f>+LEFT(U102,4)</f>
        <v>STKR</v>
      </c>
      <c r="K102" t="s">
        <v>10</v>
      </c>
      <c r="L102">
        <v>200</v>
      </c>
      <c r="M102" t="s">
        <v>1472</v>
      </c>
      <c r="N102" t="s">
        <v>11</v>
      </c>
      <c r="O102">
        <v>4.2000000000000003E-2</v>
      </c>
      <c r="P102" s="12">
        <f>ROUND(O102*L102,2)</f>
        <v>8.4</v>
      </c>
      <c r="Q102" s="13">
        <f>IF(N102="HKD",7.8,IF(N102="CNY",7.30034,1))</f>
        <v>7.3003400000000003</v>
      </c>
      <c r="R102" s="15">
        <f>+ROUND(O102/Q102,4)</f>
        <v>5.7999999999999996E-3</v>
      </c>
      <c r="S102" s="14">
        <f>ROUND(R102*L102,2)</f>
        <v>1.1599999999999999</v>
      </c>
      <c r="T102" s="15" t="s">
        <v>349</v>
      </c>
      <c r="U102" t="s">
        <v>18</v>
      </c>
    </row>
    <row r="103" spans="1:21" x14ac:dyDescent="0.2">
      <c r="A103" t="s">
        <v>2712</v>
      </c>
      <c r="B103" s="24">
        <v>45740</v>
      </c>
      <c r="C103" s="24">
        <v>45728</v>
      </c>
      <c r="D103" t="s">
        <v>169</v>
      </c>
      <c r="E103" t="s">
        <v>170</v>
      </c>
      <c r="G103" t="s">
        <v>3016</v>
      </c>
      <c r="H103" t="s">
        <v>3236</v>
      </c>
      <c r="I103" t="s">
        <v>3443</v>
      </c>
      <c r="J103" s="11" t="str">
        <f>+LEFT(U103,4)</f>
        <v>STKR</v>
      </c>
      <c r="K103" t="s">
        <v>10</v>
      </c>
      <c r="L103">
        <v>2020</v>
      </c>
      <c r="M103" t="s">
        <v>1472</v>
      </c>
      <c r="N103" t="s">
        <v>11</v>
      </c>
      <c r="O103">
        <v>4.2000000000000003E-2</v>
      </c>
      <c r="P103" s="12">
        <f>ROUND(O103*L103,2)</f>
        <v>84.84</v>
      </c>
      <c r="Q103" s="13">
        <f>IF(N103="HKD",7.8,IF(N103="CNY",7.30034,1))</f>
        <v>7.3003400000000003</v>
      </c>
      <c r="R103" s="15">
        <f>+ROUND(O103/Q103,4)</f>
        <v>5.7999999999999996E-3</v>
      </c>
      <c r="S103" s="14">
        <f>ROUND(R103*L103,2)</f>
        <v>11.72</v>
      </c>
      <c r="T103" s="15" t="s">
        <v>349</v>
      </c>
      <c r="U103" t="s">
        <v>18</v>
      </c>
    </row>
    <row r="104" spans="1:21" x14ac:dyDescent="0.2">
      <c r="A104" t="s">
        <v>2481</v>
      </c>
      <c r="B104" s="24">
        <v>45719</v>
      </c>
      <c r="C104" s="24">
        <v>45709</v>
      </c>
      <c r="D104" t="s">
        <v>545</v>
      </c>
      <c r="E104" t="s">
        <v>546</v>
      </c>
      <c r="G104" t="s">
        <v>2892</v>
      </c>
      <c r="H104" t="s">
        <v>543</v>
      </c>
      <c r="I104" t="s">
        <v>544</v>
      </c>
      <c r="J104" s="11" t="str">
        <f>+LEFT(U104,4)</f>
        <v>WHR-</v>
      </c>
      <c r="K104" t="s">
        <v>10</v>
      </c>
      <c r="L104">
        <v>5000</v>
      </c>
      <c r="M104" t="s">
        <v>1472</v>
      </c>
      <c r="N104" t="s">
        <v>11</v>
      </c>
      <c r="O104">
        <v>4.2999999999999997E-2</v>
      </c>
      <c r="P104" s="12">
        <f>ROUND(O104*L104,2)</f>
        <v>215</v>
      </c>
      <c r="Q104" s="13">
        <f>IF(N104="HKD",7.8,IF(N104="CNY",7.30034,1))</f>
        <v>7.3003400000000003</v>
      </c>
      <c r="R104" s="15">
        <f>+ROUND(O104/Q104,4)</f>
        <v>5.8999999999999999E-3</v>
      </c>
      <c r="S104" s="14">
        <f>ROUND(R104*L104,2)</f>
        <v>29.5</v>
      </c>
      <c r="T104" s="15" t="s">
        <v>349</v>
      </c>
      <c r="U104" t="s">
        <v>248</v>
      </c>
    </row>
    <row r="105" spans="1:21" x14ac:dyDescent="0.2">
      <c r="A105" t="s">
        <v>2523</v>
      </c>
      <c r="B105" s="24">
        <v>45720</v>
      </c>
      <c r="C105" s="24">
        <v>45713</v>
      </c>
      <c r="D105" t="s">
        <v>128</v>
      </c>
      <c r="E105" t="s">
        <v>129</v>
      </c>
      <c r="G105" t="s">
        <v>2886</v>
      </c>
      <c r="H105" t="s">
        <v>958</v>
      </c>
      <c r="I105" t="s">
        <v>959</v>
      </c>
      <c r="J105" s="11" t="str">
        <f>+LEFT(U105,4)</f>
        <v>RIV-</v>
      </c>
      <c r="K105" t="s">
        <v>10</v>
      </c>
      <c r="L105">
        <v>4000</v>
      </c>
      <c r="M105" t="s">
        <v>1472</v>
      </c>
      <c r="N105" t="s">
        <v>11</v>
      </c>
      <c r="O105">
        <v>4.8000000000000001E-2</v>
      </c>
      <c r="P105" s="12">
        <f>ROUND(O105*L105,2)</f>
        <v>192</v>
      </c>
      <c r="Q105" s="13">
        <f>IF(N105="HKD",7.8,IF(N105="CNY",7.30034,1))</f>
        <v>7.3003400000000003</v>
      </c>
      <c r="R105" s="15">
        <f>+ROUND(O105/Q105,4)</f>
        <v>6.6E-3</v>
      </c>
      <c r="S105" s="14">
        <f>ROUND(R105*L105,2)</f>
        <v>26.4</v>
      </c>
      <c r="T105" s="15" t="s">
        <v>349</v>
      </c>
      <c r="U105" t="s">
        <v>132</v>
      </c>
    </row>
    <row r="106" spans="1:21" x14ac:dyDescent="0.2">
      <c r="A106" t="s">
        <v>2527</v>
      </c>
      <c r="B106" s="24">
        <v>45733</v>
      </c>
      <c r="C106" s="24">
        <v>45713</v>
      </c>
      <c r="D106" t="s">
        <v>101</v>
      </c>
      <c r="E106" t="s">
        <v>102</v>
      </c>
      <c r="G106" t="s">
        <v>2964</v>
      </c>
      <c r="H106" t="s">
        <v>3162</v>
      </c>
      <c r="I106" t="s">
        <v>3372</v>
      </c>
      <c r="J106" s="11" t="str">
        <f>+LEFT(U106,4)</f>
        <v>STKR</v>
      </c>
      <c r="K106" t="s">
        <v>10</v>
      </c>
      <c r="L106">
        <v>1010</v>
      </c>
      <c r="M106" t="s">
        <v>1472</v>
      </c>
      <c r="N106" t="s">
        <v>11</v>
      </c>
      <c r="O106">
        <v>0.05</v>
      </c>
      <c r="P106" s="12">
        <f>ROUND(O106*L106,2)</f>
        <v>50.5</v>
      </c>
      <c r="Q106" s="13">
        <f>IF(N106="HKD",7.8,IF(N106="CNY",7.30034,1))</f>
        <v>7.3003400000000003</v>
      </c>
      <c r="R106" s="15">
        <f>+ROUND(O106/Q106,4)</f>
        <v>6.7999999999999996E-3</v>
      </c>
      <c r="S106" s="14">
        <f>ROUND(R106*L106,2)</f>
        <v>6.87</v>
      </c>
      <c r="T106" s="15" t="s">
        <v>349</v>
      </c>
      <c r="U106" t="s">
        <v>18</v>
      </c>
    </row>
    <row r="107" spans="1:21" x14ac:dyDescent="0.2">
      <c r="A107" t="s">
        <v>2722</v>
      </c>
      <c r="B107" s="24">
        <v>45740</v>
      </c>
      <c r="C107" s="24">
        <v>45728</v>
      </c>
      <c r="D107" t="s">
        <v>101</v>
      </c>
      <c r="E107" t="s">
        <v>102</v>
      </c>
      <c r="G107" t="s">
        <v>3039</v>
      </c>
      <c r="H107" t="s">
        <v>111</v>
      </c>
      <c r="I107" t="s">
        <v>112</v>
      </c>
      <c r="J107" s="11" t="str">
        <f>+LEFT(U107,4)</f>
        <v>STKR</v>
      </c>
      <c r="K107" t="s">
        <v>10</v>
      </c>
      <c r="L107">
        <v>2270</v>
      </c>
      <c r="M107" t="s">
        <v>1472</v>
      </c>
      <c r="N107" t="s">
        <v>11</v>
      </c>
      <c r="O107">
        <v>0.05</v>
      </c>
      <c r="P107" s="12">
        <f>ROUND(O107*L107,2)</f>
        <v>113.5</v>
      </c>
      <c r="Q107" s="13">
        <f>IF(N107="HKD",7.8,IF(N107="CNY",7.30034,1))</f>
        <v>7.3003400000000003</v>
      </c>
      <c r="R107" s="15">
        <f>+ROUND(O107/Q107,4)</f>
        <v>6.7999999999999996E-3</v>
      </c>
      <c r="S107" s="14">
        <f>ROUND(R107*L107,2)</f>
        <v>15.44</v>
      </c>
      <c r="T107" s="15" t="s">
        <v>349</v>
      </c>
      <c r="U107" t="s">
        <v>18</v>
      </c>
    </row>
    <row r="108" spans="1:21" x14ac:dyDescent="0.2">
      <c r="A108" t="s">
        <v>2723</v>
      </c>
      <c r="B108" s="24">
        <v>45740</v>
      </c>
      <c r="C108" s="24">
        <v>45728</v>
      </c>
      <c r="D108" t="s">
        <v>101</v>
      </c>
      <c r="E108" t="s">
        <v>102</v>
      </c>
      <c r="G108" t="s">
        <v>3039</v>
      </c>
      <c r="H108" t="s">
        <v>108</v>
      </c>
      <c r="I108" t="s">
        <v>109</v>
      </c>
      <c r="J108" s="11" t="str">
        <f>+LEFT(U108,4)</f>
        <v>STKR</v>
      </c>
      <c r="K108" t="s">
        <v>10</v>
      </c>
      <c r="L108">
        <v>2270</v>
      </c>
      <c r="M108" t="s">
        <v>1472</v>
      </c>
      <c r="N108" t="s">
        <v>11</v>
      </c>
      <c r="O108">
        <v>0.05</v>
      </c>
      <c r="P108" s="12">
        <f>ROUND(O108*L108,2)</f>
        <v>113.5</v>
      </c>
      <c r="Q108" s="13">
        <f>IF(N108="HKD",7.8,IF(N108="CNY",7.30034,1))</f>
        <v>7.3003400000000003</v>
      </c>
      <c r="R108" s="15">
        <f>+ROUND(O108/Q108,4)</f>
        <v>6.7999999999999996E-3</v>
      </c>
      <c r="S108" s="14">
        <f>ROUND(R108*L108,2)</f>
        <v>15.44</v>
      </c>
      <c r="T108" s="15" t="s">
        <v>349</v>
      </c>
      <c r="U108" t="s">
        <v>18</v>
      </c>
    </row>
    <row r="109" spans="1:21" x14ac:dyDescent="0.2">
      <c r="A109" t="s">
        <v>2800</v>
      </c>
      <c r="B109" s="24">
        <v>45740</v>
      </c>
      <c r="C109" s="24">
        <v>45735</v>
      </c>
      <c r="D109" t="s">
        <v>101</v>
      </c>
      <c r="E109" t="s">
        <v>102</v>
      </c>
      <c r="G109" t="s">
        <v>3039</v>
      </c>
      <c r="H109" t="s">
        <v>1245</v>
      </c>
      <c r="I109" t="s">
        <v>1246</v>
      </c>
      <c r="J109" s="11" t="str">
        <f>+LEFT(U109,4)</f>
        <v>STKR</v>
      </c>
      <c r="K109" t="s">
        <v>10</v>
      </c>
      <c r="L109">
        <v>510</v>
      </c>
      <c r="M109" t="s">
        <v>1472</v>
      </c>
      <c r="N109" t="s">
        <v>11</v>
      </c>
      <c r="O109">
        <v>0.05</v>
      </c>
      <c r="P109" s="12">
        <f>ROUND(O109*L109,2)</f>
        <v>25.5</v>
      </c>
      <c r="Q109" s="13">
        <f>IF(N109="HKD",7.8,IF(N109="CNY",7.30034,1))</f>
        <v>7.3003400000000003</v>
      </c>
      <c r="R109" s="15">
        <f>+ROUND(O109/Q109,4)</f>
        <v>6.7999999999999996E-3</v>
      </c>
      <c r="S109" s="14">
        <f>ROUND(R109*L109,2)</f>
        <v>3.47</v>
      </c>
      <c r="T109" s="15" t="s">
        <v>349</v>
      </c>
      <c r="U109" t="s">
        <v>18</v>
      </c>
    </row>
    <row r="110" spans="1:21" x14ac:dyDescent="0.2">
      <c r="A110" t="s">
        <v>1835</v>
      </c>
      <c r="B110" s="24">
        <v>45729</v>
      </c>
      <c r="C110" s="24">
        <v>45674</v>
      </c>
      <c r="D110" t="s">
        <v>806</v>
      </c>
      <c r="E110" t="s">
        <v>807</v>
      </c>
      <c r="G110" t="s">
        <v>2895</v>
      </c>
      <c r="H110" t="s">
        <v>1569</v>
      </c>
      <c r="I110" t="s">
        <v>1570</v>
      </c>
      <c r="J110" s="11" t="str">
        <f>+LEFT(U110,4)</f>
        <v>BAG-</v>
      </c>
      <c r="K110" t="s">
        <v>10</v>
      </c>
      <c r="L110">
        <v>2840</v>
      </c>
      <c r="M110" t="s">
        <v>1472</v>
      </c>
      <c r="N110" t="s">
        <v>11</v>
      </c>
      <c r="O110">
        <v>0.06</v>
      </c>
      <c r="P110" s="12">
        <f>ROUND(O110*L110,2)</f>
        <v>170.4</v>
      </c>
      <c r="Q110" s="13">
        <f>IF(N110="HKD",7.8,IF(N110="CNY",7.30034,1))</f>
        <v>7.3003400000000003</v>
      </c>
      <c r="R110" s="15">
        <f>+ROUND(O110/Q110,4)</f>
        <v>8.2000000000000007E-3</v>
      </c>
      <c r="S110" s="14">
        <f>ROUND(R110*L110,2)</f>
        <v>23.29</v>
      </c>
      <c r="T110" s="15" t="s">
        <v>349</v>
      </c>
      <c r="U110" t="s">
        <v>810</v>
      </c>
    </row>
    <row r="111" spans="1:21" x14ac:dyDescent="0.2">
      <c r="A111" t="s">
        <v>2620</v>
      </c>
      <c r="B111" s="24">
        <v>45726</v>
      </c>
      <c r="C111" s="24">
        <v>45721</v>
      </c>
      <c r="D111" t="s">
        <v>169</v>
      </c>
      <c r="E111" t="s">
        <v>170</v>
      </c>
      <c r="G111" t="s">
        <v>3015</v>
      </c>
      <c r="H111" t="s">
        <v>3204</v>
      </c>
      <c r="I111" t="s">
        <v>3411</v>
      </c>
      <c r="J111" s="11" t="str">
        <f>+LEFT(U111,4)</f>
        <v>STKR</v>
      </c>
      <c r="K111" t="s">
        <v>10</v>
      </c>
      <c r="L111">
        <v>1010</v>
      </c>
      <c r="M111" t="s">
        <v>1472</v>
      </c>
      <c r="N111" t="s">
        <v>11</v>
      </c>
      <c r="O111">
        <v>0.06</v>
      </c>
      <c r="P111" s="12">
        <f>ROUND(O111*L111,2)</f>
        <v>60.6</v>
      </c>
      <c r="Q111" s="13">
        <f>IF(N111="HKD",7.8,IF(N111="CNY",7.30034,1))</f>
        <v>7.3003400000000003</v>
      </c>
      <c r="R111" s="15">
        <f>+ROUND(O111/Q111,4)</f>
        <v>8.2000000000000007E-3</v>
      </c>
      <c r="S111" s="14">
        <f>ROUND(R111*L111,2)</f>
        <v>8.2799999999999994</v>
      </c>
      <c r="T111" s="15" t="s">
        <v>349</v>
      </c>
      <c r="U111" t="s">
        <v>18</v>
      </c>
    </row>
    <row r="112" spans="1:21" x14ac:dyDescent="0.2">
      <c r="A112" t="s">
        <v>2621</v>
      </c>
      <c r="B112" s="24">
        <v>45726</v>
      </c>
      <c r="C112" s="24">
        <v>45721</v>
      </c>
      <c r="D112" t="s">
        <v>169</v>
      </c>
      <c r="E112" t="s">
        <v>170</v>
      </c>
      <c r="G112" t="s">
        <v>3015</v>
      </c>
      <c r="H112" t="s">
        <v>1320</v>
      </c>
      <c r="I112" t="s">
        <v>1321</v>
      </c>
      <c r="J112" s="11" t="str">
        <f>+LEFT(U112,4)</f>
        <v>STKR</v>
      </c>
      <c r="K112" t="s">
        <v>10</v>
      </c>
      <c r="L112">
        <v>1010</v>
      </c>
      <c r="M112" t="s">
        <v>1472</v>
      </c>
      <c r="N112" t="s">
        <v>11</v>
      </c>
      <c r="O112">
        <v>0.06</v>
      </c>
      <c r="P112" s="12">
        <f>ROUND(O112*L112,2)</f>
        <v>60.6</v>
      </c>
      <c r="Q112" s="13">
        <f>IF(N112="HKD",7.8,IF(N112="CNY",7.30034,1))</f>
        <v>7.3003400000000003</v>
      </c>
      <c r="R112" s="15">
        <f>+ROUND(O112/Q112,4)</f>
        <v>8.2000000000000007E-3</v>
      </c>
      <c r="S112" s="14">
        <f>ROUND(R112*L112,2)</f>
        <v>8.2799999999999994</v>
      </c>
      <c r="T112" s="15" t="s">
        <v>349</v>
      </c>
      <c r="U112" t="s">
        <v>18</v>
      </c>
    </row>
    <row r="113" spans="1:21" x14ac:dyDescent="0.2">
      <c r="A113" t="s">
        <v>2622</v>
      </c>
      <c r="B113" s="24">
        <v>45726</v>
      </c>
      <c r="C113" s="24">
        <v>45721</v>
      </c>
      <c r="D113" t="s">
        <v>169</v>
      </c>
      <c r="E113" t="s">
        <v>170</v>
      </c>
      <c r="G113" t="s">
        <v>3015</v>
      </c>
      <c r="H113" t="s">
        <v>3205</v>
      </c>
      <c r="I113" t="s">
        <v>3412</v>
      </c>
      <c r="J113" s="11" t="str">
        <f>+LEFT(U113,4)</f>
        <v>STKR</v>
      </c>
      <c r="K113" t="s">
        <v>10</v>
      </c>
      <c r="L113">
        <v>1010</v>
      </c>
      <c r="M113" t="s">
        <v>1472</v>
      </c>
      <c r="N113" t="s">
        <v>11</v>
      </c>
      <c r="O113">
        <v>0.06</v>
      </c>
      <c r="P113" s="12">
        <f>ROUND(O113*L113,2)</f>
        <v>60.6</v>
      </c>
      <c r="Q113" s="13">
        <f>IF(N113="HKD",7.8,IF(N113="CNY",7.30034,1))</f>
        <v>7.3003400000000003</v>
      </c>
      <c r="R113" s="15">
        <f>+ROUND(O113/Q113,4)</f>
        <v>8.2000000000000007E-3</v>
      </c>
      <c r="S113" s="14">
        <f>ROUND(R113*L113,2)</f>
        <v>8.2799999999999994</v>
      </c>
      <c r="T113" s="15" t="s">
        <v>349</v>
      </c>
      <c r="U113" t="s">
        <v>18</v>
      </c>
    </row>
    <row r="114" spans="1:21" x14ac:dyDescent="0.2">
      <c r="A114" t="s">
        <v>2802</v>
      </c>
      <c r="B114" s="24">
        <v>45740</v>
      </c>
      <c r="C114" s="24">
        <v>45735</v>
      </c>
      <c r="D114" t="s">
        <v>101</v>
      </c>
      <c r="E114" t="s">
        <v>102</v>
      </c>
      <c r="G114" t="s">
        <v>3039</v>
      </c>
      <c r="H114" t="s">
        <v>1265</v>
      </c>
      <c r="I114" t="s">
        <v>1266</v>
      </c>
      <c r="J114" s="11" t="str">
        <f>+LEFT(U114,4)</f>
        <v>STKR</v>
      </c>
      <c r="K114" t="s">
        <v>10</v>
      </c>
      <c r="L114">
        <v>1210</v>
      </c>
      <c r="M114" t="s">
        <v>1472</v>
      </c>
      <c r="N114" t="s">
        <v>11</v>
      </c>
      <c r="O114">
        <v>0.06</v>
      </c>
      <c r="P114" s="12">
        <f>ROUND(O114*L114,2)</f>
        <v>72.599999999999994</v>
      </c>
      <c r="Q114" s="13">
        <f>IF(N114="HKD",7.8,IF(N114="CNY",7.30034,1))</f>
        <v>7.3003400000000003</v>
      </c>
      <c r="R114" s="15">
        <f>+ROUND(O114/Q114,4)</f>
        <v>8.2000000000000007E-3</v>
      </c>
      <c r="S114" s="14">
        <f>ROUND(R114*L114,2)</f>
        <v>9.92</v>
      </c>
      <c r="T114" s="15" t="s">
        <v>349</v>
      </c>
      <c r="U114" t="s">
        <v>18</v>
      </c>
    </row>
    <row r="115" spans="1:21" x14ac:dyDescent="0.2">
      <c r="A115" t="s">
        <v>2373</v>
      </c>
      <c r="B115" s="24">
        <v>45723</v>
      </c>
      <c r="C115" s="24">
        <v>45695</v>
      </c>
      <c r="D115" t="s">
        <v>128</v>
      </c>
      <c r="E115" t="s">
        <v>129</v>
      </c>
      <c r="G115" t="s">
        <v>2867</v>
      </c>
      <c r="H115" t="s">
        <v>3090</v>
      </c>
      <c r="I115" t="s">
        <v>3306</v>
      </c>
      <c r="J115" s="11" t="str">
        <f>+LEFT(U115,4)</f>
        <v>RIV-</v>
      </c>
      <c r="K115" t="s">
        <v>10</v>
      </c>
      <c r="L115">
        <v>12000</v>
      </c>
      <c r="M115" t="s">
        <v>1472</v>
      </c>
      <c r="N115" t="s">
        <v>11</v>
      </c>
      <c r="O115">
        <v>6.2199999999999998E-2</v>
      </c>
      <c r="P115" s="12">
        <f>ROUND(O115*L115,2)</f>
        <v>746.4</v>
      </c>
      <c r="Q115" s="13">
        <f>IF(N115="HKD",7.8,IF(N115="CNY",7.30034,1))</f>
        <v>7.3003400000000003</v>
      </c>
      <c r="R115" s="15">
        <f>+ROUND(O115/Q115,4)</f>
        <v>8.5000000000000006E-3</v>
      </c>
      <c r="S115" s="14">
        <f>ROUND(R115*L115,2)</f>
        <v>102</v>
      </c>
      <c r="T115" s="15" t="s">
        <v>349</v>
      </c>
      <c r="U115" t="s">
        <v>132</v>
      </c>
    </row>
    <row r="116" spans="1:21" x14ac:dyDescent="0.2">
      <c r="A116" t="s">
        <v>2637</v>
      </c>
      <c r="B116" s="24">
        <v>45733</v>
      </c>
      <c r="C116" s="24">
        <v>45721</v>
      </c>
      <c r="D116" t="s">
        <v>128</v>
      </c>
      <c r="E116" t="s">
        <v>129</v>
      </c>
      <c r="G116" t="s">
        <v>2910</v>
      </c>
      <c r="H116" t="s">
        <v>3090</v>
      </c>
      <c r="I116" t="s">
        <v>3306</v>
      </c>
      <c r="J116" s="11" t="str">
        <f>+LEFT(U116,4)</f>
        <v>RIV-</v>
      </c>
      <c r="K116" t="s">
        <v>10</v>
      </c>
      <c r="L116">
        <v>16500</v>
      </c>
      <c r="M116" t="s">
        <v>1472</v>
      </c>
      <c r="N116" t="s">
        <v>11</v>
      </c>
      <c r="O116">
        <v>6.2199999999999998E-2</v>
      </c>
      <c r="P116" s="12">
        <f>ROUND(O116*L116,2)</f>
        <v>1026.3</v>
      </c>
      <c r="Q116" s="13">
        <f>IF(N116="HKD",7.8,IF(N116="CNY",7.30034,1))</f>
        <v>7.3003400000000003</v>
      </c>
      <c r="R116" s="15">
        <f>+ROUND(O116/Q116,4)</f>
        <v>8.5000000000000006E-3</v>
      </c>
      <c r="S116" s="14">
        <f>ROUND(R116*L116,2)</f>
        <v>140.25</v>
      </c>
      <c r="T116" s="15" t="s">
        <v>349</v>
      </c>
      <c r="U116" t="s">
        <v>132</v>
      </c>
    </row>
    <row r="117" spans="1:21" x14ac:dyDescent="0.2">
      <c r="A117" t="s">
        <v>2467</v>
      </c>
      <c r="B117" s="24">
        <v>45723</v>
      </c>
      <c r="C117" s="24">
        <v>45706</v>
      </c>
      <c r="D117" t="s">
        <v>128</v>
      </c>
      <c r="E117" t="s">
        <v>129</v>
      </c>
      <c r="G117" t="s">
        <v>2867</v>
      </c>
      <c r="H117" t="s">
        <v>954</v>
      </c>
      <c r="I117" t="s">
        <v>955</v>
      </c>
      <c r="J117" s="11" t="str">
        <f>+LEFT(U117,4)</f>
        <v>RIV-</v>
      </c>
      <c r="K117" t="s">
        <v>10</v>
      </c>
      <c r="L117">
        <v>20000</v>
      </c>
      <c r="M117" t="s">
        <v>1472</v>
      </c>
      <c r="N117" t="s">
        <v>11</v>
      </c>
      <c r="O117">
        <v>6.8599999999999994E-2</v>
      </c>
      <c r="P117" s="12">
        <f>ROUND(O117*L117,2)</f>
        <v>1372</v>
      </c>
      <c r="Q117" s="13">
        <f>IF(N117="HKD",7.8,IF(N117="CNY",7.30034,1))</f>
        <v>7.3003400000000003</v>
      </c>
      <c r="R117" s="15">
        <f>+ROUND(O117/Q117,4)</f>
        <v>9.4000000000000004E-3</v>
      </c>
      <c r="S117" s="14">
        <f>ROUND(R117*L117,2)</f>
        <v>188</v>
      </c>
      <c r="T117" s="15" t="s">
        <v>349</v>
      </c>
      <c r="U117" t="s">
        <v>132</v>
      </c>
    </row>
    <row r="118" spans="1:21" x14ac:dyDescent="0.2">
      <c r="A118" t="s">
        <v>2570</v>
      </c>
      <c r="B118" s="24">
        <v>45740</v>
      </c>
      <c r="C118" s="24">
        <v>45716</v>
      </c>
      <c r="D118" t="s">
        <v>162</v>
      </c>
      <c r="E118" t="s">
        <v>163</v>
      </c>
      <c r="G118" t="s">
        <v>2907</v>
      </c>
      <c r="H118" t="s">
        <v>606</v>
      </c>
      <c r="I118" t="s">
        <v>607</v>
      </c>
      <c r="J118" s="11" t="str">
        <f>+LEFT(U118,4)</f>
        <v>SCR-</v>
      </c>
      <c r="K118" t="s">
        <v>10</v>
      </c>
      <c r="L118">
        <v>3000</v>
      </c>
      <c r="M118" t="s">
        <v>1472</v>
      </c>
      <c r="N118" t="s">
        <v>11</v>
      </c>
      <c r="O118">
        <v>6.9000000000000006E-2</v>
      </c>
      <c r="P118" s="12">
        <f>ROUND(O118*L118,2)</f>
        <v>207</v>
      </c>
      <c r="Q118" s="13">
        <f>IF(N118="HKD",7.8,IF(N118="CNY",7.30034,1))</f>
        <v>7.3003400000000003</v>
      </c>
      <c r="R118" s="15">
        <f>+ROUND(O118/Q118,4)</f>
        <v>9.4999999999999998E-3</v>
      </c>
      <c r="S118" s="14">
        <f>ROUND(R118*L118,2)</f>
        <v>28.5</v>
      </c>
      <c r="T118" s="15" t="s">
        <v>349</v>
      </c>
      <c r="U118" t="s">
        <v>166</v>
      </c>
    </row>
    <row r="119" spans="1:21" x14ac:dyDescent="0.2">
      <c r="A119" t="s">
        <v>2369</v>
      </c>
      <c r="B119" s="24">
        <v>45740</v>
      </c>
      <c r="C119" s="24">
        <v>45695</v>
      </c>
      <c r="D119" t="s">
        <v>162</v>
      </c>
      <c r="E119" t="s">
        <v>163</v>
      </c>
      <c r="G119" t="s">
        <v>2907</v>
      </c>
      <c r="H119" t="s">
        <v>592</v>
      </c>
      <c r="I119" t="s">
        <v>593</v>
      </c>
      <c r="J119" s="11" t="str">
        <f>+LEFT(U119,4)</f>
        <v>SCR-</v>
      </c>
      <c r="K119" t="s">
        <v>10</v>
      </c>
      <c r="L119">
        <v>3000</v>
      </c>
      <c r="M119" t="s">
        <v>1472</v>
      </c>
      <c r="N119" t="s">
        <v>11</v>
      </c>
      <c r="O119">
        <v>7.0000000000000007E-2</v>
      </c>
      <c r="P119" s="12">
        <f>ROUND(O119*L119,2)</f>
        <v>210</v>
      </c>
      <c r="Q119" s="13">
        <f>IF(N119="HKD",7.8,IF(N119="CNY",7.30034,1))</f>
        <v>7.3003400000000003</v>
      </c>
      <c r="R119" s="15">
        <f>+ROUND(O119/Q119,4)</f>
        <v>9.5999999999999992E-3</v>
      </c>
      <c r="S119" s="14">
        <f>ROUND(R119*L119,2)</f>
        <v>28.8</v>
      </c>
      <c r="T119" s="15" t="s">
        <v>349</v>
      </c>
      <c r="U119" t="s">
        <v>166</v>
      </c>
    </row>
    <row r="120" spans="1:21" x14ac:dyDescent="0.2">
      <c r="A120" t="s">
        <v>2623</v>
      </c>
      <c r="B120" s="24">
        <v>45740</v>
      </c>
      <c r="C120" s="24">
        <v>45721</v>
      </c>
      <c r="D120" t="s">
        <v>169</v>
      </c>
      <c r="E120" t="s">
        <v>170</v>
      </c>
      <c r="G120" t="s">
        <v>3016</v>
      </c>
      <c r="H120" t="s">
        <v>3206</v>
      </c>
      <c r="I120" t="s">
        <v>3413</v>
      </c>
      <c r="J120" s="11" t="str">
        <f>+LEFT(U120,4)</f>
        <v>STKR</v>
      </c>
      <c r="K120" t="s">
        <v>10</v>
      </c>
      <c r="L120">
        <v>1010</v>
      </c>
      <c r="M120" t="s">
        <v>1472</v>
      </c>
      <c r="N120" t="s">
        <v>11</v>
      </c>
      <c r="O120">
        <v>7.0000000000000007E-2</v>
      </c>
      <c r="P120" s="12">
        <f>ROUND(O120*L120,2)</f>
        <v>70.7</v>
      </c>
      <c r="Q120" s="13">
        <f>IF(N120="HKD",7.8,IF(N120="CNY",7.30034,1))</f>
        <v>7.3003400000000003</v>
      </c>
      <c r="R120" s="15">
        <f>+ROUND(O120/Q120,4)</f>
        <v>9.5999999999999992E-3</v>
      </c>
      <c r="S120" s="14">
        <f>ROUND(R120*L120,2)</f>
        <v>9.6999999999999993</v>
      </c>
      <c r="T120" s="15" t="s">
        <v>349</v>
      </c>
      <c r="U120" t="s">
        <v>18</v>
      </c>
    </row>
    <row r="121" spans="1:21" x14ac:dyDescent="0.2">
      <c r="A121" t="s">
        <v>2624</v>
      </c>
      <c r="B121" s="24">
        <v>45740</v>
      </c>
      <c r="C121" s="24">
        <v>45721</v>
      </c>
      <c r="D121" t="s">
        <v>169</v>
      </c>
      <c r="E121" t="s">
        <v>170</v>
      </c>
      <c r="G121" t="s">
        <v>3016</v>
      </c>
      <c r="H121" t="s">
        <v>3207</v>
      </c>
      <c r="I121" t="s">
        <v>3414</v>
      </c>
      <c r="J121" s="11" t="str">
        <f>+LEFT(U121,4)</f>
        <v>STKR</v>
      </c>
      <c r="K121" t="s">
        <v>10</v>
      </c>
      <c r="L121">
        <v>1010</v>
      </c>
      <c r="M121" t="s">
        <v>1472</v>
      </c>
      <c r="N121" t="s">
        <v>11</v>
      </c>
      <c r="O121">
        <v>7.0000000000000007E-2</v>
      </c>
      <c r="P121" s="12">
        <f>ROUND(O121*L121,2)</f>
        <v>70.7</v>
      </c>
      <c r="Q121" s="13">
        <f>IF(N121="HKD",7.8,IF(N121="CNY",7.30034,1))</f>
        <v>7.3003400000000003</v>
      </c>
      <c r="R121" s="15">
        <f>+ROUND(O121/Q121,4)</f>
        <v>9.5999999999999992E-3</v>
      </c>
      <c r="S121" s="14">
        <f>ROUND(R121*L121,2)</f>
        <v>9.6999999999999993</v>
      </c>
      <c r="T121" s="15" t="s">
        <v>349</v>
      </c>
      <c r="U121" t="s">
        <v>18</v>
      </c>
    </row>
    <row r="122" spans="1:21" x14ac:dyDescent="0.2">
      <c r="A122" t="s">
        <v>2578</v>
      </c>
      <c r="B122" s="24">
        <v>45741</v>
      </c>
      <c r="C122" s="24">
        <v>45716</v>
      </c>
      <c r="D122" t="s">
        <v>128</v>
      </c>
      <c r="E122" t="s">
        <v>129</v>
      </c>
      <c r="G122" t="s">
        <v>2938</v>
      </c>
      <c r="H122" t="s">
        <v>954</v>
      </c>
      <c r="I122" t="s">
        <v>955</v>
      </c>
      <c r="J122" s="11" t="str">
        <f>+LEFT(U122,4)</f>
        <v>RIV-</v>
      </c>
      <c r="K122" t="s">
        <v>10</v>
      </c>
      <c r="L122">
        <v>6100</v>
      </c>
      <c r="M122" t="s">
        <v>1472</v>
      </c>
      <c r="N122" t="s">
        <v>11</v>
      </c>
      <c r="O122">
        <v>7.0099999999999996E-2</v>
      </c>
      <c r="P122" s="12">
        <f>ROUND(O122*L122,2)</f>
        <v>427.61</v>
      </c>
      <c r="Q122" s="13">
        <f>IF(N122="HKD",7.8,IF(N122="CNY",7.30034,1))</f>
        <v>7.3003400000000003</v>
      </c>
      <c r="R122" s="15">
        <f>+ROUND(O122/Q122,4)</f>
        <v>9.5999999999999992E-3</v>
      </c>
      <c r="S122" s="14">
        <f>ROUND(R122*L122,2)</f>
        <v>58.56</v>
      </c>
      <c r="T122" s="15" t="s">
        <v>349</v>
      </c>
      <c r="U122" t="s">
        <v>132</v>
      </c>
    </row>
    <row r="123" spans="1:21" x14ac:dyDescent="0.2">
      <c r="A123" t="s">
        <v>2720</v>
      </c>
      <c r="B123" s="24">
        <v>45741</v>
      </c>
      <c r="C123" s="24">
        <v>45728</v>
      </c>
      <c r="D123" t="s">
        <v>128</v>
      </c>
      <c r="E123" t="s">
        <v>129</v>
      </c>
      <c r="G123" t="s">
        <v>2938</v>
      </c>
      <c r="H123" t="s">
        <v>954</v>
      </c>
      <c r="I123" t="s">
        <v>955</v>
      </c>
      <c r="J123" s="11" t="str">
        <f>+LEFT(U123,4)</f>
        <v>RIV-</v>
      </c>
      <c r="K123" t="s">
        <v>10</v>
      </c>
      <c r="L123">
        <v>3500</v>
      </c>
      <c r="M123" t="s">
        <v>1472</v>
      </c>
      <c r="N123" t="s">
        <v>11</v>
      </c>
      <c r="O123">
        <v>7.0099999999999996E-2</v>
      </c>
      <c r="P123" s="12">
        <f>ROUND(O123*L123,2)</f>
        <v>245.35</v>
      </c>
      <c r="Q123" s="13">
        <f>IF(N123="HKD",7.8,IF(N123="CNY",7.30034,1))</f>
        <v>7.3003400000000003</v>
      </c>
      <c r="R123" s="15">
        <f>+ROUND(O123/Q123,4)</f>
        <v>9.5999999999999992E-3</v>
      </c>
      <c r="S123" s="14">
        <f>ROUND(R123*L123,2)</f>
        <v>33.6</v>
      </c>
      <c r="T123" s="15" t="s">
        <v>349</v>
      </c>
      <c r="U123" t="s">
        <v>132</v>
      </c>
    </row>
    <row r="124" spans="1:21" x14ac:dyDescent="0.2">
      <c r="A124" t="s">
        <v>2754</v>
      </c>
      <c r="B124" s="24">
        <v>45741</v>
      </c>
      <c r="C124" s="24">
        <v>45729</v>
      </c>
      <c r="D124" t="s">
        <v>128</v>
      </c>
      <c r="E124" t="s">
        <v>129</v>
      </c>
      <c r="G124" t="s">
        <v>2938</v>
      </c>
      <c r="H124" t="s">
        <v>954</v>
      </c>
      <c r="I124" t="s">
        <v>955</v>
      </c>
      <c r="J124" s="11" t="str">
        <f>+LEFT(U124,4)</f>
        <v>RIV-</v>
      </c>
      <c r="K124" t="s">
        <v>10</v>
      </c>
      <c r="L124">
        <v>1000</v>
      </c>
      <c r="M124" t="s">
        <v>1472</v>
      </c>
      <c r="N124" t="s">
        <v>11</v>
      </c>
      <c r="O124">
        <v>7.0099999999999996E-2</v>
      </c>
      <c r="P124" s="12">
        <f>ROUND(O124*L124,2)</f>
        <v>70.099999999999994</v>
      </c>
      <c r="Q124" s="13">
        <f>IF(N124="HKD",7.8,IF(N124="CNY",7.30034,1))</f>
        <v>7.3003400000000003</v>
      </c>
      <c r="R124" s="15">
        <f>+ROUND(O124/Q124,4)</f>
        <v>9.5999999999999992E-3</v>
      </c>
      <c r="S124" s="14">
        <f>ROUND(R124*L124,2)</f>
        <v>9.6</v>
      </c>
      <c r="T124" s="15" t="s">
        <v>349</v>
      </c>
      <c r="U124" t="s">
        <v>132</v>
      </c>
    </row>
    <row r="125" spans="1:21" x14ac:dyDescent="0.2">
      <c r="A125" t="s">
        <v>2461</v>
      </c>
      <c r="B125" s="24">
        <v>45722</v>
      </c>
      <c r="C125" s="24">
        <v>45706</v>
      </c>
      <c r="D125" t="s">
        <v>806</v>
      </c>
      <c r="E125" t="s">
        <v>807</v>
      </c>
      <c r="G125" t="s">
        <v>2945</v>
      </c>
      <c r="H125" t="s">
        <v>3139</v>
      </c>
      <c r="I125" t="s">
        <v>3349</v>
      </c>
      <c r="J125" s="11" t="str">
        <f>+LEFT(U125,4)</f>
        <v>BAG-</v>
      </c>
      <c r="K125" t="s">
        <v>10</v>
      </c>
      <c r="L125">
        <v>3000</v>
      </c>
      <c r="M125" t="s">
        <v>1472</v>
      </c>
      <c r="N125" t="s">
        <v>11</v>
      </c>
      <c r="O125">
        <v>7.2999999999999995E-2</v>
      </c>
      <c r="P125" s="12">
        <f>ROUND(O125*L125,2)</f>
        <v>219</v>
      </c>
      <c r="Q125" s="13">
        <f>IF(N125="HKD",7.8,IF(N125="CNY",7.30034,1))</f>
        <v>7.3003400000000003</v>
      </c>
      <c r="R125" s="15">
        <f>+ROUND(O125/Q125,4)</f>
        <v>0.01</v>
      </c>
      <c r="S125" s="14">
        <f>ROUND(R125*L125,2)</f>
        <v>30</v>
      </c>
      <c r="T125" s="15" t="s">
        <v>349</v>
      </c>
      <c r="U125" t="s">
        <v>810</v>
      </c>
    </row>
    <row r="126" spans="1:21" x14ac:dyDescent="0.2">
      <c r="A126" t="s">
        <v>2619</v>
      </c>
      <c r="B126" s="24">
        <v>45726</v>
      </c>
      <c r="C126" s="24">
        <v>45721</v>
      </c>
      <c r="D126" t="s">
        <v>169</v>
      </c>
      <c r="E126" t="s">
        <v>170</v>
      </c>
      <c r="G126" t="s">
        <v>3015</v>
      </c>
      <c r="H126" t="s">
        <v>1324</v>
      </c>
      <c r="I126" t="s">
        <v>1325</v>
      </c>
      <c r="J126" s="11" t="str">
        <f>+LEFT(U126,4)</f>
        <v>STKR</v>
      </c>
      <c r="K126" t="s">
        <v>10</v>
      </c>
      <c r="L126">
        <v>1010</v>
      </c>
      <c r="M126" t="s">
        <v>1472</v>
      </c>
      <c r="N126" t="s">
        <v>11</v>
      </c>
      <c r="O126">
        <v>0.08</v>
      </c>
      <c r="P126" s="12">
        <f>ROUND(O126*L126,2)</f>
        <v>80.8</v>
      </c>
      <c r="Q126" s="13">
        <f>IF(N126="HKD",7.8,IF(N126="CNY",7.30034,1))</f>
        <v>7.3003400000000003</v>
      </c>
      <c r="R126" s="15">
        <f>+ROUND(O126/Q126,4)</f>
        <v>1.0999999999999999E-2</v>
      </c>
      <c r="S126" s="14">
        <f>ROUND(R126*L126,2)</f>
        <v>11.11</v>
      </c>
      <c r="T126" s="15" t="s">
        <v>349</v>
      </c>
      <c r="U126" t="s">
        <v>18</v>
      </c>
    </row>
    <row r="127" spans="1:21" x14ac:dyDescent="0.2">
      <c r="A127" t="s">
        <v>2512</v>
      </c>
      <c r="B127" s="24">
        <v>45733</v>
      </c>
      <c r="C127" s="24">
        <v>45713</v>
      </c>
      <c r="D127" t="s">
        <v>169</v>
      </c>
      <c r="E127" t="s">
        <v>170</v>
      </c>
      <c r="G127" t="s">
        <v>2960</v>
      </c>
      <c r="H127" t="s">
        <v>3155</v>
      </c>
      <c r="I127" t="s">
        <v>3365</v>
      </c>
      <c r="J127" s="11" t="str">
        <f>+LEFT(U127,4)</f>
        <v>STKR</v>
      </c>
      <c r="K127" t="s">
        <v>10</v>
      </c>
      <c r="L127">
        <v>1010</v>
      </c>
      <c r="M127" t="s">
        <v>1472</v>
      </c>
      <c r="N127" t="s">
        <v>11</v>
      </c>
      <c r="O127">
        <v>0.08</v>
      </c>
      <c r="P127" s="12">
        <f>ROUND(O127*L127,2)</f>
        <v>80.8</v>
      </c>
      <c r="Q127" s="13">
        <f>IF(N127="HKD",7.8,IF(N127="CNY",7.30034,1))</f>
        <v>7.3003400000000003</v>
      </c>
      <c r="R127" s="15">
        <f>+ROUND(O127/Q127,4)</f>
        <v>1.0999999999999999E-2</v>
      </c>
      <c r="S127" s="14">
        <f>ROUND(R127*L127,2)</f>
        <v>11.11</v>
      </c>
      <c r="T127" s="15" t="s">
        <v>349</v>
      </c>
      <c r="U127" t="s">
        <v>18</v>
      </c>
    </row>
    <row r="128" spans="1:21" x14ac:dyDescent="0.2">
      <c r="A128" t="s">
        <v>2618</v>
      </c>
      <c r="B128" s="24">
        <v>45733</v>
      </c>
      <c r="C128" s="24">
        <v>45721</v>
      </c>
      <c r="D128" t="s">
        <v>169</v>
      </c>
      <c r="E128" t="s">
        <v>170</v>
      </c>
      <c r="G128" t="s">
        <v>2960</v>
      </c>
      <c r="H128" t="s">
        <v>1330</v>
      </c>
      <c r="I128" t="s">
        <v>1331</v>
      </c>
      <c r="J128" s="11" t="str">
        <f>+LEFT(U128,4)</f>
        <v>STKR</v>
      </c>
      <c r="K128" t="s">
        <v>10</v>
      </c>
      <c r="L128">
        <v>1010</v>
      </c>
      <c r="M128" t="s">
        <v>1472</v>
      </c>
      <c r="N128" t="s">
        <v>11</v>
      </c>
      <c r="O128">
        <v>0.08</v>
      </c>
      <c r="P128" s="12">
        <f>ROUND(O128*L128,2)</f>
        <v>80.8</v>
      </c>
      <c r="Q128" s="13">
        <f>IF(N128="HKD",7.8,IF(N128="CNY",7.30034,1))</f>
        <v>7.3003400000000003</v>
      </c>
      <c r="R128" s="15">
        <f>+ROUND(O128/Q128,4)</f>
        <v>1.0999999999999999E-2</v>
      </c>
      <c r="S128" s="14">
        <f>ROUND(R128*L128,2)</f>
        <v>11.11</v>
      </c>
      <c r="T128" s="15" t="s">
        <v>349</v>
      </c>
      <c r="U128" t="s">
        <v>18</v>
      </c>
    </row>
    <row r="129" spans="1:21" x14ac:dyDescent="0.2">
      <c r="A129" t="s">
        <v>2731</v>
      </c>
      <c r="B129" s="24">
        <v>45733</v>
      </c>
      <c r="C129" s="24">
        <v>45729</v>
      </c>
      <c r="D129" t="s">
        <v>169</v>
      </c>
      <c r="E129" t="s">
        <v>170</v>
      </c>
      <c r="G129" t="s">
        <v>3041</v>
      </c>
      <c r="H129" t="s">
        <v>3155</v>
      </c>
      <c r="I129" t="s">
        <v>3365</v>
      </c>
      <c r="J129" s="11" t="str">
        <f>+LEFT(U129,4)</f>
        <v>STKR</v>
      </c>
      <c r="K129" t="s">
        <v>10</v>
      </c>
      <c r="L129">
        <v>30</v>
      </c>
      <c r="M129" t="s">
        <v>1472</v>
      </c>
      <c r="N129" t="s">
        <v>11</v>
      </c>
      <c r="O129">
        <v>0.08</v>
      </c>
      <c r="P129" s="12">
        <f>ROUND(O129*L129,2)</f>
        <v>2.4</v>
      </c>
      <c r="Q129" s="13">
        <f>IF(N129="HKD",7.8,IF(N129="CNY",7.30034,1))</f>
        <v>7.3003400000000003</v>
      </c>
      <c r="R129" s="15">
        <f>+ROUND(O129/Q129,4)</f>
        <v>1.0999999999999999E-2</v>
      </c>
      <c r="S129" s="14">
        <f>ROUND(R129*L129,2)</f>
        <v>0.33</v>
      </c>
      <c r="T129" s="15" t="s">
        <v>349</v>
      </c>
      <c r="U129" t="s">
        <v>18</v>
      </c>
    </row>
    <row r="130" spans="1:21" x14ac:dyDescent="0.2">
      <c r="A130" t="s">
        <v>2766</v>
      </c>
      <c r="B130" s="24">
        <v>45740</v>
      </c>
      <c r="C130" s="24">
        <v>45730</v>
      </c>
      <c r="D130" t="s">
        <v>806</v>
      </c>
      <c r="E130" t="s">
        <v>807</v>
      </c>
      <c r="G130" t="s">
        <v>3037</v>
      </c>
      <c r="H130" t="s">
        <v>817</v>
      </c>
      <c r="I130" t="s">
        <v>818</v>
      </c>
      <c r="J130" s="11" t="str">
        <f>+LEFT(U130,4)</f>
        <v>BAG-</v>
      </c>
      <c r="K130" t="s">
        <v>10</v>
      </c>
      <c r="L130">
        <v>3000</v>
      </c>
      <c r="M130" t="s">
        <v>1472</v>
      </c>
      <c r="N130" t="s">
        <v>11</v>
      </c>
      <c r="O130">
        <v>8.5000000000000006E-2</v>
      </c>
      <c r="P130" s="12">
        <f>ROUND(O130*L130,2)</f>
        <v>255</v>
      </c>
      <c r="Q130" s="13">
        <f>IF(N130="HKD",7.8,IF(N130="CNY",7.30034,1))</f>
        <v>7.3003400000000003</v>
      </c>
      <c r="R130" s="15">
        <f>+ROUND(O130/Q130,4)</f>
        <v>1.1599999999999999E-2</v>
      </c>
      <c r="S130" s="14">
        <f>ROUND(R130*L130,2)</f>
        <v>34.799999999999997</v>
      </c>
      <c r="T130" s="15" t="s">
        <v>349</v>
      </c>
      <c r="U130" t="s">
        <v>810</v>
      </c>
    </row>
    <row r="131" spans="1:21" x14ac:dyDescent="0.2">
      <c r="A131" t="s">
        <v>2544</v>
      </c>
      <c r="B131" s="24">
        <v>45730</v>
      </c>
      <c r="C131" s="24">
        <v>45714</v>
      </c>
      <c r="D131" t="s">
        <v>545</v>
      </c>
      <c r="E131" t="s">
        <v>546</v>
      </c>
      <c r="G131" t="s">
        <v>2989</v>
      </c>
      <c r="H131" t="s">
        <v>553</v>
      </c>
      <c r="I131" t="s">
        <v>554</v>
      </c>
      <c r="J131" s="11" t="str">
        <f>+LEFT(U131,4)</f>
        <v>WHR-</v>
      </c>
      <c r="K131" t="s">
        <v>10</v>
      </c>
      <c r="L131">
        <v>3500</v>
      </c>
      <c r="M131" t="s">
        <v>1472</v>
      </c>
      <c r="N131" t="s">
        <v>11</v>
      </c>
      <c r="O131">
        <v>8.5000000000000006E-2</v>
      </c>
      <c r="P131" s="12">
        <f>ROUND(O131*L131,2)</f>
        <v>297.5</v>
      </c>
      <c r="Q131" s="13">
        <f>IF(N131="HKD",7.8,IF(N131="CNY",7.30034,1))</f>
        <v>7.3003400000000003</v>
      </c>
      <c r="R131" s="15">
        <f>+ROUND(O131/Q131,4)</f>
        <v>1.1599999999999999E-2</v>
      </c>
      <c r="S131" s="14">
        <f>ROUND(R131*L131,2)</f>
        <v>40.6</v>
      </c>
      <c r="T131" s="15" t="s">
        <v>349</v>
      </c>
      <c r="U131" t="s">
        <v>248</v>
      </c>
    </row>
    <row r="132" spans="1:21" x14ac:dyDescent="0.2">
      <c r="A132" t="s">
        <v>2788</v>
      </c>
      <c r="B132" s="24">
        <v>45734</v>
      </c>
      <c r="C132" s="24">
        <v>45734</v>
      </c>
      <c r="D132" t="s">
        <v>545</v>
      </c>
      <c r="E132" t="s">
        <v>546</v>
      </c>
      <c r="G132" t="s">
        <v>2944</v>
      </c>
      <c r="H132" t="s">
        <v>553</v>
      </c>
      <c r="I132" t="s">
        <v>554</v>
      </c>
      <c r="J132" s="11" t="str">
        <f>+LEFT(U132,4)</f>
        <v>WHR-</v>
      </c>
      <c r="K132" t="s">
        <v>10</v>
      </c>
      <c r="L132">
        <v>4000</v>
      </c>
      <c r="M132" t="s">
        <v>1472</v>
      </c>
      <c r="N132" t="s">
        <v>11</v>
      </c>
      <c r="O132">
        <v>8.5000000000000006E-2</v>
      </c>
      <c r="P132" s="12">
        <f>ROUND(O132*L132,2)</f>
        <v>340</v>
      </c>
      <c r="Q132" s="13">
        <f>IF(N132="HKD",7.8,IF(N132="CNY",7.30034,1))</f>
        <v>7.3003400000000003</v>
      </c>
      <c r="R132" s="15">
        <f>+ROUND(O132/Q132,4)</f>
        <v>1.1599999999999999E-2</v>
      </c>
      <c r="S132" s="14">
        <f>ROUND(R132*L132,2)</f>
        <v>46.4</v>
      </c>
      <c r="T132" s="15" t="s">
        <v>349</v>
      </c>
      <c r="U132" t="s">
        <v>248</v>
      </c>
    </row>
    <row r="133" spans="1:21" x14ac:dyDescent="0.2">
      <c r="A133" t="s">
        <v>2667</v>
      </c>
      <c r="B133" s="24">
        <v>45728</v>
      </c>
      <c r="C133" s="24">
        <v>45723</v>
      </c>
      <c r="D133" t="s">
        <v>806</v>
      </c>
      <c r="E133" t="s">
        <v>807</v>
      </c>
      <c r="G133" t="s">
        <v>2890</v>
      </c>
      <c r="H133" t="s">
        <v>3214</v>
      </c>
      <c r="I133" t="s">
        <v>3421</v>
      </c>
      <c r="J133" s="11" t="str">
        <f>+LEFT(U133,4)</f>
        <v>BAG-</v>
      </c>
      <c r="K133" t="s">
        <v>10</v>
      </c>
      <c r="L133">
        <v>10000</v>
      </c>
      <c r="M133" t="s">
        <v>1472</v>
      </c>
      <c r="N133" t="s">
        <v>11</v>
      </c>
      <c r="O133">
        <v>8.7999999999999995E-2</v>
      </c>
      <c r="P133" s="12">
        <f>ROUND(O133*L133,2)</f>
        <v>880</v>
      </c>
      <c r="Q133" s="13">
        <f>IF(N133="HKD",7.8,IF(N133="CNY",7.30034,1))</f>
        <v>7.3003400000000003</v>
      </c>
      <c r="R133" s="15">
        <f>+ROUND(O133/Q133,4)</f>
        <v>1.21E-2</v>
      </c>
      <c r="S133" s="14">
        <f>ROUND(R133*L133,2)</f>
        <v>121</v>
      </c>
      <c r="T133" s="15" t="s">
        <v>349</v>
      </c>
      <c r="U133" t="s">
        <v>810</v>
      </c>
    </row>
    <row r="134" spans="1:21" x14ac:dyDescent="0.2">
      <c r="A134" t="s">
        <v>2462</v>
      </c>
      <c r="B134" s="24">
        <v>45722</v>
      </c>
      <c r="C134" s="24">
        <v>45706</v>
      </c>
      <c r="D134" t="s">
        <v>806</v>
      </c>
      <c r="E134" t="s">
        <v>807</v>
      </c>
      <c r="G134" t="s">
        <v>2945</v>
      </c>
      <c r="H134" t="s">
        <v>1585</v>
      </c>
      <c r="I134" t="s">
        <v>1586</v>
      </c>
      <c r="J134" s="11" t="str">
        <f>+LEFT(U134,4)</f>
        <v>BAG-</v>
      </c>
      <c r="K134" t="s">
        <v>10</v>
      </c>
      <c r="L134">
        <v>10000</v>
      </c>
      <c r="M134" t="s">
        <v>1472</v>
      </c>
      <c r="N134" t="s">
        <v>11</v>
      </c>
      <c r="O134">
        <v>0.09</v>
      </c>
      <c r="P134" s="12">
        <f>ROUND(O134*L134,2)</f>
        <v>900</v>
      </c>
      <c r="Q134" s="13">
        <f>IF(N134="HKD",7.8,IF(N134="CNY",7.30034,1))</f>
        <v>7.3003400000000003</v>
      </c>
      <c r="R134" s="15">
        <f>+ROUND(O134/Q134,4)</f>
        <v>1.23E-2</v>
      </c>
      <c r="S134" s="14">
        <f>ROUND(R134*L134,2)</f>
        <v>123</v>
      </c>
      <c r="T134" s="15" t="s">
        <v>349</v>
      </c>
      <c r="U134" t="s">
        <v>810</v>
      </c>
    </row>
    <row r="135" spans="1:21" x14ac:dyDescent="0.2">
      <c r="A135" t="s">
        <v>2657</v>
      </c>
      <c r="B135" s="24">
        <v>45733</v>
      </c>
      <c r="C135" s="24">
        <v>45723</v>
      </c>
      <c r="D135" t="s">
        <v>806</v>
      </c>
      <c r="E135" t="s">
        <v>807</v>
      </c>
      <c r="G135" t="s">
        <v>3025</v>
      </c>
      <c r="H135" t="s">
        <v>1585</v>
      </c>
      <c r="I135" t="s">
        <v>1586</v>
      </c>
      <c r="J135" s="11" t="str">
        <f>+LEFT(U135,4)</f>
        <v>BAG-</v>
      </c>
      <c r="K135" t="s">
        <v>10</v>
      </c>
      <c r="L135">
        <v>4700</v>
      </c>
      <c r="M135" t="s">
        <v>1472</v>
      </c>
      <c r="N135" t="s">
        <v>11</v>
      </c>
      <c r="O135">
        <v>0.09</v>
      </c>
      <c r="P135" s="12">
        <f>ROUND(O135*L135,2)</f>
        <v>423</v>
      </c>
      <c r="Q135" s="13">
        <f>IF(N135="HKD",7.8,IF(N135="CNY",7.30034,1))</f>
        <v>7.3003400000000003</v>
      </c>
      <c r="R135" s="15">
        <f>+ROUND(O135/Q135,4)</f>
        <v>1.23E-2</v>
      </c>
      <c r="S135" s="14">
        <f>ROUND(R135*L135,2)</f>
        <v>57.81</v>
      </c>
      <c r="T135" s="15" t="s">
        <v>349</v>
      </c>
      <c r="U135" t="s">
        <v>810</v>
      </c>
    </row>
    <row r="136" spans="1:21" x14ac:dyDescent="0.2">
      <c r="A136" t="s">
        <v>2576</v>
      </c>
      <c r="B136" s="24">
        <v>45737</v>
      </c>
      <c r="C136" s="24">
        <v>45716</v>
      </c>
      <c r="D136" t="s">
        <v>128</v>
      </c>
      <c r="E136" t="s">
        <v>129</v>
      </c>
      <c r="G136" t="s">
        <v>2909</v>
      </c>
      <c r="H136" t="s">
        <v>3182</v>
      </c>
      <c r="I136" t="s">
        <v>3389</v>
      </c>
      <c r="J136" s="11" t="str">
        <f>+LEFT(U136,4)</f>
        <v>RIV-</v>
      </c>
      <c r="K136" t="s">
        <v>10</v>
      </c>
      <c r="L136">
        <v>1000</v>
      </c>
      <c r="M136" t="s">
        <v>1472</v>
      </c>
      <c r="N136" t="s">
        <v>11</v>
      </c>
      <c r="O136">
        <v>9.1499999999999998E-2</v>
      </c>
      <c r="P136" s="12">
        <f>ROUND(O136*L136,2)</f>
        <v>91.5</v>
      </c>
      <c r="Q136" s="13">
        <f>IF(N136="HKD",7.8,IF(N136="CNY",7.30034,1))</f>
        <v>7.3003400000000003</v>
      </c>
      <c r="R136" s="15">
        <f>+ROUND(O136/Q136,4)</f>
        <v>1.2500000000000001E-2</v>
      </c>
      <c r="S136" s="14">
        <f>ROUND(R136*L136,2)</f>
        <v>12.5</v>
      </c>
      <c r="T136" s="15" t="s">
        <v>349</v>
      </c>
      <c r="U136" t="s">
        <v>132</v>
      </c>
    </row>
    <row r="137" spans="1:21" x14ac:dyDescent="0.2">
      <c r="A137" t="s">
        <v>2761</v>
      </c>
      <c r="B137" s="24">
        <v>45743</v>
      </c>
      <c r="C137" s="24">
        <v>45730</v>
      </c>
      <c r="D137" t="s">
        <v>806</v>
      </c>
      <c r="E137" t="s">
        <v>807</v>
      </c>
      <c r="G137" t="s">
        <v>3048</v>
      </c>
      <c r="H137" t="s">
        <v>3250</v>
      </c>
      <c r="I137" t="s">
        <v>3457</v>
      </c>
      <c r="J137" s="11" t="str">
        <f>+LEFT(U137,4)</f>
        <v>BAG-</v>
      </c>
      <c r="K137" t="s">
        <v>10</v>
      </c>
      <c r="L137">
        <v>10000</v>
      </c>
      <c r="M137" t="s">
        <v>1472</v>
      </c>
      <c r="N137" t="s">
        <v>11</v>
      </c>
      <c r="O137">
        <v>9.6000000000000002E-2</v>
      </c>
      <c r="P137" s="12">
        <f>ROUND(O137*L137,2)</f>
        <v>960</v>
      </c>
      <c r="Q137" s="13">
        <f>IF(N137="HKD",7.8,IF(N137="CNY",7.30034,1))</f>
        <v>7.3003400000000003</v>
      </c>
      <c r="R137" s="15">
        <f>+ROUND(O137/Q137,4)</f>
        <v>1.32E-2</v>
      </c>
      <c r="S137" s="14">
        <f>ROUND(R137*L137,2)</f>
        <v>132</v>
      </c>
      <c r="T137" s="15" t="s">
        <v>349</v>
      </c>
      <c r="U137" t="s">
        <v>810</v>
      </c>
    </row>
    <row r="138" spans="1:21" x14ac:dyDescent="0.2">
      <c r="A138" t="s">
        <v>2405</v>
      </c>
      <c r="B138" s="24">
        <v>45730</v>
      </c>
      <c r="C138" s="24">
        <v>45698</v>
      </c>
      <c r="D138" t="s">
        <v>128</v>
      </c>
      <c r="E138" t="s">
        <v>129</v>
      </c>
      <c r="G138" t="s">
        <v>2842</v>
      </c>
      <c r="H138" t="s">
        <v>1587</v>
      </c>
      <c r="I138" t="s">
        <v>1588</v>
      </c>
      <c r="J138" s="11" t="str">
        <f>+LEFT(U138,4)</f>
        <v>RIV-</v>
      </c>
      <c r="K138" t="s">
        <v>10</v>
      </c>
      <c r="L138">
        <v>3100</v>
      </c>
      <c r="M138" t="s">
        <v>1472</v>
      </c>
      <c r="N138" t="s">
        <v>11</v>
      </c>
      <c r="O138">
        <v>9.6100000000000005E-2</v>
      </c>
      <c r="P138" s="12">
        <f>ROUND(O138*L138,2)</f>
        <v>297.91000000000003</v>
      </c>
      <c r="Q138" s="13">
        <f>IF(N138="HKD",7.8,IF(N138="CNY",7.30034,1))</f>
        <v>7.3003400000000003</v>
      </c>
      <c r="R138" s="15">
        <f>+ROUND(O138/Q138,4)</f>
        <v>1.32E-2</v>
      </c>
      <c r="S138" s="14">
        <f>ROUND(R138*L138,2)</f>
        <v>40.92</v>
      </c>
      <c r="T138" s="15" t="s">
        <v>349</v>
      </c>
      <c r="U138" t="s">
        <v>132</v>
      </c>
    </row>
    <row r="139" spans="1:21" x14ac:dyDescent="0.2">
      <c r="A139" t="s">
        <v>2573</v>
      </c>
      <c r="B139" s="24">
        <v>45740</v>
      </c>
      <c r="C139" s="24">
        <v>45716</v>
      </c>
      <c r="D139" t="s">
        <v>162</v>
      </c>
      <c r="E139" t="s">
        <v>163</v>
      </c>
      <c r="G139" t="s">
        <v>2907</v>
      </c>
      <c r="H139" t="s">
        <v>578</v>
      </c>
      <c r="I139" t="s">
        <v>579</v>
      </c>
      <c r="J139" s="11" t="str">
        <f>+LEFT(U139,4)</f>
        <v>SCR-</v>
      </c>
      <c r="K139" t="s">
        <v>10</v>
      </c>
      <c r="L139">
        <v>4000</v>
      </c>
      <c r="M139" t="s">
        <v>1472</v>
      </c>
      <c r="N139" t="s">
        <v>11</v>
      </c>
      <c r="O139">
        <v>9.8000000000000004E-2</v>
      </c>
      <c r="P139" s="12">
        <f>ROUND(O139*L139,2)</f>
        <v>392</v>
      </c>
      <c r="Q139" s="13">
        <f>IF(N139="HKD",7.8,IF(N139="CNY",7.30034,1))</f>
        <v>7.3003400000000003</v>
      </c>
      <c r="R139" s="15">
        <f>+ROUND(O139/Q139,4)</f>
        <v>1.34E-2</v>
      </c>
      <c r="S139" s="14">
        <f>ROUND(R139*L139,2)</f>
        <v>53.6</v>
      </c>
      <c r="T139" s="15" t="s">
        <v>349</v>
      </c>
      <c r="U139" t="s">
        <v>166</v>
      </c>
    </row>
    <row r="140" spans="1:21" x14ac:dyDescent="0.2">
      <c r="A140" t="s">
        <v>2668</v>
      </c>
      <c r="B140" s="24">
        <v>45729</v>
      </c>
      <c r="C140" s="24">
        <v>45723</v>
      </c>
      <c r="D140" t="s">
        <v>806</v>
      </c>
      <c r="E140" t="s">
        <v>807</v>
      </c>
      <c r="G140" t="s">
        <v>2895</v>
      </c>
      <c r="H140" t="s">
        <v>3215</v>
      </c>
      <c r="I140" t="s">
        <v>3422</v>
      </c>
      <c r="J140" s="11" t="str">
        <f>+LEFT(U140,4)</f>
        <v>BAG-</v>
      </c>
      <c r="K140" t="s">
        <v>10</v>
      </c>
      <c r="L140">
        <v>15000</v>
      </c>
      <c r="M140" t="s">
        <v>1472</v>
      </c>
      <c r="N140" t="s">
        <v>11</v>
      </c>
      <c r="O140">
        <v>0.1</v>
      </c>
      <c r="P140" s="12">
        <f>ROUND(O140*L140,2)</f>
        <v>1500</v>
      </c>
      <c r="Q140" s="13">
        <f>IF(N140="HKD",7.8,IF(N140="CNY",7.30034,1))</f>
        <v>7.3003400000000003</v>
      </c>
      <c r="R140" s="15">
        <f>+ROUND(O140/Q140,4)</f>
        <v>1.37E-2</v>
      </c>
      <c r="S140" s="14">
        <f>ROUND(R140*L140,2)</f>
        <v>205.5</v>
      </c>
      <c r="T140" s="15" t="s">
        <v>349</v>
      </c>
      <c r="U140" t="s">
        <v>810</v>
      </c>
    </row>
    <row r="141" spans="1:21" x14ac:dyDescent="0.2">
      <c r="A141" t="s">
        <v>2748</v>
      </c>
      <c r="B141" s="24">
        <v>45740</v>
      </c>
      <c r="C141" s="24">
        <v>45729</v>
      </c>
      <c r="D141" t="s">
        <v>806</v>
      </c>
      <c r="E141" t="s">
        <v>807</v>
      </c>
      <c r="G141" t="s">
        <v>3037</v>
      </c>
      <c r="H141" t="s">
        <v>3215</v>
      </c>
      <c r="I141" t="s">
        <v>3422</v>
      </c>
      <c r="J141" s="11" t="str">
        <f>+LEFT(U141,4)</f>
        <v>BAG-</v>
      </c>
      <c r="K141" t="s">
        <v>10</v>
      </c>
      <c r="L141">
        <v>2820</v>
      </c>
      <c r="M141" t="s">
        <v>1472</v>
      </c>
      <c r="N141" t="s">
        <v>11</v>
      </c>
      <c r="O141">
        <v>0.1</v>
      </c>
      <c r="P141" s="12">
        <f>ROUND(O141*L141,2)</f>
        <v>282</v>
      </c>
      <c r="Q141" s="13">
        <f>IF(N141="HKD",7.8,IF(N141="CNY",7.30034,1))</f>
        <v>7.3003400000000003</v>
      </c>
      <c r="R141" s="15">
        <f>+ROUND(O141/Q141,4)</f>
        <v>1.37E-2</v>
      </c>
      <c r="S141" s="14">
        <f>ROUND(R141*L141,2)</f>
        <v>38.630000000000003</v>
      </c>
      <c r="T141" s="15" t="s">
        <v>349</v>
      </c>
      <c r="U141" t="s">
        <v>810</v>
      </c>
    </row>
    <row r="142" spans="1:21" x14ac:dyDescent="0.2">
      <c r="A142" t="s">
        <v>2625</v>
      </c>
      <c r="B142" s="24">
        <v>45740</v>
      </c>
      <c r="C142" s="24">
        <v>45721</v>
      </c>
      <c r="D142" t="s">
        <v>169</v>
      </c>
      <c r="E142" t="s">
        <v>170</v>
      </c>
      <c r="G142" t="s">
        <v>3017</v>
      </c>
      <c r="H142" t="s">
        <v>1101</v>
      </c>
      <c r="I142" t="s">
        <v>1102</v>
      </c>
      <c r="J142" s="11" t="str">
        <f>+LEFT(U142,4)</f>
        <v>PAP-</v>
      </c>
      <c r="K142" t="s">
        <v>10</v>
      </c>
      <c r="L142">
        <v>8500</v>
      </c>
      <c r="M142" t="s">
        <v>1472</v>
      </c>
      <c r="N142" t="s">
        <v>11</v>
      </c>
      <c r="O142">
        <v>0.1</v>
      </c>
      <c r="P142" s="12">
        <f>ROUND(O142*L142,2)</f>
        <v>850</v>
      </c>
      <c r="Q142" s="13">
        <f>IF(N142="HKD",7.8,IF(N142="CNY",7.30034,1))</f>
        <v>7.3003400000000003</v>
      </c>
      <c r="R142" s="15">
        <f>+ROUND(O142/Q142,4)</f>
        <v>1.37E-2</v>
      </c>
      <c r="S142" s="14">
        <f>ROUND(R142*L142,2)</f>
        <v>116.45</v>
      </c>
      <c r="T142" s="15" t="s">
        <v>349</v>
      </c>
      <c r="U142" t="s">
        <v>1094</v>
      </c>
    </row>
    <row r="143" spans="1:21" x14ac:dyDescent="0.2">
      <c r="A143" t="s">
        <v>2579</v>
      </c>
      <c r="B143" s="24">
        <v>45744</v>
      </c>
      <c r="C143" s="24">
        <v>45716</v>
      </c>
      <c r="D143" t="s">
        <v>235</v>
      </c>
      <c r="E143" t="s">
        <v>236</v>
      </c>
      <c r="G143" t="s">
        <v>3002</v>
      </c>
      <c r="H143" t="s">
        <v>3183</v>
      </c>
      <c r="I143" t="s">
        <v>3390</v>
      </c>
      <c r="J143" s="11" t="str">
        <f>+LEFT(U143,4)</f>
        <v>RIV-</v>
      </c>
      <c r="K143" t="s">
        <v>10</v>
      </c>
      <c r="L143">
        <v>2000</v>
      </c>
      <c r="M143" t="s">
        <v>1472</v>
      </c>
      <c r="N143" t="s">
        <v>11</v>
      </c>
      <c r="O143">
        <v>0.10059999999999999</v>
      </c>
      <c r="P143" s="12">
        <f>ROUND(O143*L143,2)</f>
        <v>201.2</v>
      </c>
      <c r="Q143" s="13">
        <f>IF(N143="HKD",7.8,IF(N143="CNY",7.30034,1))</f>
        <v>7.3003400000000003</v>
      </c>
      <c r="R143" s="15">
        <f>+ROUND(O143/Q143,4)</f>
        <v>1.38E-2</v>
      </c>
      <c r="S143" s="14">
        <f>ROUND(R143*L143,2)</f>
        <v>27.6</v>
      </c>
      <c r="T143" s="15" t="s">
        <v>349</v>
      </c>
      <c r="U143" t="s">
        <v>132</v>
      </c>
    </row>
    <row r="144" spans="1:21" x14ac:dyDescent="0.2">
      <c r="A144" t="s">
        <v>2577</v>
      </c>
      <c r="B144" s="24">
        <v>45737</v>
      </c>
      <c r="C144" s="24">
        <v>45716</v>
      </c>
      <c r="D144" t="s">
        <v>128</v>
      </c>
      <c r="E144" t="s">
        <v>129</v>
      </c>
      <c r="G144" t="s">
        <v>2909</v>
      </c>
      <c r="H144" t="s">
        <v>950</v>
      </c>
      <c r="I144" t="s">
        <v>951</v>
      </c>
      <c r="J144" s="11" t="str">
        <f>+LEFT(U144,4)</f>
        <v>RIV-</v>
      </c>
      <c r="K144" t="s">
        <v>10</v>
      </c>
      <c r="L144">
        <v>9000</v>
      </c>
      <c r="M144" t="s">
        <v>1472</v>
      </c>
      <c r="N144" t="s">
        <v>11</v>
      </c>
      <c r="O144">
        <v>0.1016</v>
      </c>
      <c r="P144" s="12">
        <f>ROUND(O144*L144,2)</f>
        <v>914.4</v>
      </c>
      <c r="Q144" s="13">
        <f>IF(N144="HKD",7.8,IF(N144="CNY",7.30034,1))</f>
        <v>7.3003400000000003</v>
      </c>
      <c r="R144" s="15">
        <f>+ROUND(O144/Q144,4)</f>
        <v>1.3899999999999999E-2</v>
      </c>
      <c r="S144" s="14">
        <f>ROUND(R144*L144,2)</f>
        <v>125.1</v>
      </c>
      <c r="T144" s="15" t="s">
        <v>349</v>
      </c>
      <c r="U144" t="s">
        <v>132</v>
      </c>
    </row>
    <row r="145" spans="1:21" x14ac:dyDescent="0.2">
      <c r="A145" t="s">
        <v>2562</v>
      </c>
      <c r="B145" s="24">
        <v>45741</v>
      </c>
      <c r="C145" s="24">
        <v>45716</v>
      </c>
      <c r="D145" t="s">
        <v>143</v>
      </c>
      <c r="E145" t="s">
        <v>144</v>
      </c>
      <c r="G145" t="s">
        <v>2997</v>
      </c>
      <c r="H145" t="s">
        <v>245</v>
      </c>
      <c r="I145" t="s">
        <v>246</v>
      </c>
      <c r="J145" s="11" t="str">
        <f>+LEFT(U145,4)</f>
        <v>WHR-</v>
      </c>
      <c r="K145" t="s">
        <v>10</v>
      </c>
      <c r="L145">
        <v>17000</v>
      </c>
      <c r="M145" t="s">
        <v>1472</v>
      </c>
      <c r="N145" t="s">
        <v>11</v>
      </c>
      <c r="O145">
        <v>0.1096</v>
      </c>
      <c r="P145" s="12">
        <f>ROUND(O145*L145,2)</f>
        <v>1863.2</v>
      </c>
      <c r="Q145" s="13">
        <f>IF(N145="HKD",7.8,IF(N145="CNY",7.30034,1))</f>
        <v>7.3003400000000003</v>
      </c>
      <c r="R145" s="15">
        <f>+ROUND(O145/Q145,4)</f>
        <v>1.4999999999999999E-2</v>
      </c>
      <c r="S145" s="14">
        <f>ROUND(R145*L145,2)</f>
        <v>255</v>
      </c>
      <c r="T145" s="15" t="s">
        <v>349</v>
      </c>
      <c r="U145" t="s">
        <v>248</v>
      </c>
    </row>
    <row r="146" spans="1:21" x14ac:dyDescent="0.2">
      <c r="A146" t="s">
        <v>2524</v>
      </c>
      <c r="B146" s="24">
        <v>45733</v>
      </c>
      <c r="C146" s="24">
        <v>45713</v>
      </c>
      <c r="D146" t="s">
        <v>101</v>
      </c>
      <c r="E146" t="s">
        <v>102</v>
      </c>
      <c r="G146" t="s">
        <v>2964</v>
      </c>
      <c r="H146" t="s">
        <v>99</v>
      </c>
      <c r="I146" t="s">
        <v>100</v>
      </c>
      <c r="J146" s="11" t="str">
        <f>+LEFT(U146,4)</f>
        <v>STKR</v>
      </c>
      <c r="K146" t="s">
        <v>10</v>
      </c>
      <c r="L146">
        <v>1010</v>
      </c>
      <c r="M146" t="s">
        <v>1472</v>
      </c>
      <c r="N146" t="s">
        <v>11</v>
      </c>
      <c r="O146">
        <v>0.11</v>
      </c>
      <c r="P146" s="12">
        <f>ROUND(O146*L146,2)</f>
        <v>111.1</v>
      </c>
      <c r="Q146" s="13">
        <f>IF(N146="HKD",7.8,IF(N146="CNY",7.30034,1))</f>
        <v>7.3003400000000003</v>
      </c>
      <c r="R146" s="15">
        <f>+ROUND(O146/Q146,4)</f>
        <v>1.5100000000000001E-2</v>
      </c>
      <c r="S146" s="14">
        <f>ROUND(R146*L146,2)</f>
        <v>15.25</v>
      </c>
      <c r="T146" s="15" t="s">
        <v>349</v>
      </c>
      <c r="U146" t="s">
        <v>18</v>
      </c>
    </row>
    <row r="147" spans="1:21" x14ac:dyDescent="0.2">
      <c r="A147" t="s">
        <v>2525</v>
      </c>
      <c r="B147" s="24">
        <v>45733</v>
      </c>
      <c r="C147" s="24">
        <v>45713</v>
      </c>
      <c r="D147" t="s">
        <v>101</v>
      </c>
      <c r="E147" t="s">
        <v>102</v>
      </c>
      <c r="G147" t="s">
        <v>2964</v>
      </c>
      <c r="H147" t="s">
        <v>99</v>
      </c>
      <c r="I147" t="s">
        <v>100</v>
      </c>
      <c r="J147" s="11" t="str">
        <f>+LEFT(U147,4)</f>
        <v>STKR</v>
      </c>
      <c r="K147" t="s">
        <v>10</v>
      </c>
      <c r="L147">
        <v>1010</v>
      </c>
      <c r="M147" t="s">
        <v>1472</v>
      </c>
      <c r="N147" t="s">
        <v>11</v>
      </c>
      <c r="O147">
        <v>0.11</v>
      </c>
      <c r="P147" s="12">
        <f>ROUND(O147*L147,2)</f>
        <v>111.1</v>
      </c>
      <c r="Q147" s="13">
        <f>IF(N147="HKD",7.8,IF(N147="CNY",7.30034,1))</f>
        <v>7.3003400000000003</v>
      </c>
      <c r="R147" s="15">
        <f>+ROUND(O147/Q147,4)</f>
        <v>1.5100000000000001E-2</v>
      </c>
      <c r="S147" s="14">
        <f>ROUND(R147*L147,2)</f>
        <v>15.25</v>
      </c>
      <c r="T147" s="15" t="s">
        <v>349</v>
      </c>
      <c r="U147" t="s">
        <v>18</v>
      </c>
    </row>
    <row r="148" spans="1:21" x14ac:dyDescent="0.2">
      <c r="A148" t="s">
        <v>2526</v>
      </c>
      <c r="B148" s="24">
        <v>45733</v>
      </c>
      <c r="C148" s="24">
        <v>45713</v>
      </c>
      <c r="D148" t="s">
        <v>101</v>
      </c>
      <c r="E148" t="s">
        <v>102</v>
      </c>
      <c r="G148" t="s">
        <v>2964</v>
      </c>
      <c r="H148" t="s">
        <v>99</v>
      </c>
      <c r="I148" t="s">
        <v>100</v>
      </c>
      <c r="J148" s="11" t="str">
        <f>+LEFT(U148,4)</f>
        <v>STKR</v>
      </c>
      <c r="K148" t="s">
        <v>10</v>
      </c>
      <c r="L148">
        <v>1010</v>
      </c>
      <c r="M148" t="s">
        <v>1472</v>
      </c>
      <c r="N148" t="s">
        <v>11</v>
      </c>
      <c r="O148">
        <v>0.11</v>
      </c>
      <c r="P148" s="12">
        <f>ROUND(O148*L148,2)</f>
        <v>111.1</v>
      </c>
      <c r="Q148" s="13">
        <f>IF(N148="HKD",7.8,IF(N148="CNY",7.30034,1))</f>
        <v>7.3003400000000003</v>
      </c>
      <c r="R148" s="15">
        <f>+ROUND(O148/Q148,4)</f>
        <v>1.5100000000000001E-2</v>
      </c>
      <c r="S148" s="14">
        <f>ROUND(R148*L148,2)</f>
        <v>15.25</v>
      </c>
      <c r="T148" s="15" t="s">
        <v>349</v>
      </c>
      <c r="U148" t="s">
        <v>18</v>
      </c>
    </row>
    <row r="149" spans="1:21" x14ac:dyDescent="0.2">
      <c r="A149" t="s">
        <v>2721</v>
      </c>
      <c r="B149" s="24">
        <v>45740</v>
      </c>
      <c r="C149" s="24">
        <v>45728</v>
      </c>
      <c r="D149" t="s">
        <v>101</v>
      </c>
      <c r="E149" t="s">
        <v>102</v>
      </c>
      <c r="G149" t="s">
        <v>3039</v>
      </c>
      <c r="H149" t="s">
        <v>3239</v>
      </c>
      <c r="I149" t="s">
        <v>3446</v>
      </c>
      <c r="J149" s="11" t="str">
        <f>+LEFT(U149,4)</f>
        <v>STKR</v>
      </c>
      <c r="K149" t="s">
        <v>10</v>
      </c>
      <c r="L149">
        <v>1010</v>
      </c>
      <c r="M149" t="s">
        <v>1472</v>
      </c>
      <c r="N149" t="s">
        <v>11</v>
      </c>
      <c r="O149">
        <v>0.11</v>
      </c>
      <c r="P149" s="12">
        <f>ROUND(O149*L149,2)</f>
        <v>111.1</v>
      </c>
      <c r="Q149" s="13">
        <f>IF(N149="HKD",7.8,IF(N149="CNY",7.30034,1))</f>
        <v>7.3003400000000003</v>
      </c>
      <c r="R149" s="15">
        <f>+ROUND(O149/Q149,4)</f>
        <v>1.5100000000000001E-2</v>
      </c>
      <c r="S149" s="14">
        <f>ROUND(R149*L149,2)</f>
        <v>15.25</v>
      </c>
      <c r="T149" s="15" t="s">
        <v>349</v>
      </c>
      <c r="U149" t="s">
        <v>18</v>
      </c>
    </row>
    <row r="150" spans="1:21" x14ac:dyDescent="0.2">
      <c r="A150" t="s">
        <v>2724</v>
      </c>
      <c r="B150" s="24">
        <v>45740</v>
      </c>
      <c r="C150" s="24">
        <v>45728</v>
      </c>
      <c r="D150" t="s">
        <v>101</v>
      </c>
      <c r="E150" t="s">
        <v>102</v>
      </c>
      <c r="G150" t="s">
        <v>3039</v>
      </c>
      <c r="H150" t="s">
        <v>3240</v>
      </c>
      <c r="I150" t="s">
        <v>3447</v>
      </c>
      <c r="J150" s="11" t="str">
        <f>+LEFT(U150,4)</f>
        <v>STKR</v>
      </c>
      <c r="K150" t="s">
        <v>10</v>
      </c>
      <c r="L150">
        <v>1010</v>
      </c>
      <c r="M150" t="s">
        <v>1472</v>
      </c>
      <c r="N150" t="s">
        <v>11</v>
      </c>
      <c r="O150">
        <v>0.11</v>
      </c>
      <c r="P150" s="12">
        <f>ROUND(O150*L150,2)</f>
        <v>111.1</v>
      </c>
      <c r="Q150" s="13">
        <f>IF(N150="HKD",7.8,IF(N150="CNY",7.30034,1))</f>
        <v>7.3003400000000003</v>
      </c>
      <c r="R150" s="15">
        <f>+ROUND(O150/Q150,4)</f>
        <v>1.5100000000000001E-2</v>
      </c>
      <c r="S150" s="14">
        <f>ROUND(R150*L150,2)</f>
        <v>15.25</v>
      </c>
      <c r="T150" s="15" t="s">
        <v>349</v>
      </c>
      <c r="U150" t="s">
        <v>18</v>
      </c>
    </row>
    <row r="151" spans="1:21" x14ac:dyDescent="0.2">
      <c r="A151" t="s">
        <v>2762</v>
      </c>
      <c r="B151" s="24">
        <v>45743</v>
      </c>
      <c r="C151" s="24">
        <v>45730</v>
      </c>
      <c r="D151" t="s">
        <v>806</v>
      </c>
      <c r="E151" t="s">
        <v>807</v>
      </c>
      <c r="G151" t="s">
        <v>3048</v>
      </c>
      <c r="H151" t="s">
        <v>3251</v>
      </c>
      <c r="I151" t="s">
        <v>3458</v>
      </c>
      <c r="J151" s="11" t="str">
        <f>+LEFT(U151,4)</f>
        <v>BAG-</v>
      </c>
      <c r="K151" t="s">
        <v>10</v>
      </c>
      <c r="L151">
        <v>4000</v>
      </c>
      <c r="M151" t="s">
        <v>1472</v>
      </c>
      <c r="N151" t="s">
        <v>11</v>
      </c>
      <c r="O151">
        <v>0.113</v>
      </c>
      <c r="P151" s="12">
        <f>ROUND(O151*L151,2)</f>
        <v>452</v>
      </c>
      <c r="Q151" s="13">
        <f>IF(N151="HKD",7.8,IF(N151="CNY",7.30034,1))</f>
        <v>7.3003400000000003</v>
      </c>
      <c r="R151" s="15">
        <f>+ROUND(O151/Q151,4)</f>
        <v>1.55E-2</v>
      </c>
      <c r="S151" s="14">
        <f>ROUND(R151*L151,2)</f>
        <v>62</v>
      </c>
      <c r="T151" s="15" t="s">
        <v>349</v>
      </c>
      <c r="U151" t="s">
        <v>810</v>
      </c>
    </row>
    <row r="152" spans="1:21" x14ac:dyDescent="0.2">
      <c r="A152" t="s">
        <v>2604</v>
      </c>
      <c r="B152" s="24">
        <v>45722</v>
      </c>
      <c r="C152" s="24">
        <v>45719</v>
      </c>
      <c r="D152" t="s">
        <v>806</v>
      </c>
      <c r="E152" t="s">
        <v>807</v>
      </c>
      <c r="G152" t="s">
        <v>2945</v>
      </c>
      <c r="H152" t="s">
        <v>3194</v>
      </c>
      <c r="I152" t="s">
        <v>3401</v>
      </c>
      <c r="J152" s="11" t="str">
        <f>+LEFT(U152,4)</f>
        <v>BAG-</v>
      </c>
      <c r="K152" t="s">
        <v>10</v>
      </c>
      <c r="L152">
        <v>10000</v>
      </c>
      <c r="M152" t="s">
        <v>1472</v>
      </c>
      <c r="N152" t="s">
        <v>11</v>
      </c>
      <c r="O152">
        <v>0.115</v>
      </c>
      <c r="P152" s="12">
        <f>ROUND(O152*L152,2)</f>
        <v>1150</v>
      </c>
      <c r="Q152" s="13">
        <f>IF(N152="HKD",7.8,IF(N152="CNY",7.30034,1))</f>
        <v>7.3003400000000003</v>
      </c>
      <c r="R152" s="15">
        <f>+ROUND(O152/Q152,4)</f>
        <v>1.5800000000000002E-2</v>
      </c>
      <c r="S152" s="14">
        <f>ROUND(R152*L152,2)</f>
        <v>158</v>
      </c>
      <c r="T152" s="15" t="s">
        <v>349</v>
      </c>
      <c r="U152" t="s">
        <v>810</v>
      </c>
    </row>
    <row r="153" spans="1:21" x14ac:dyDescent="0.2">
      <c r="A153" t="s">
        <v>2457</v>
      </c>
      <c r="B153" s="24">
        <v>45734</v>
      </c>
      <c r="C153" s="24">
        <v>45706</v>
      </c>
      <c r="D153" t="s">
        <v>545</v>
      </c>
      <c r="E153" t="s">
        <v>546</v>
      </c>
      <c r="G153" t="s">
        <v>2944</v>
      </c>
      <c r="H153" t="s">
        <v>549</v>
      </c>
      <c r="I153" t="s">
        <v>550</v>
      </c>
      <c r="J153" s="11" t="str">
        <f>+LEFT(U153,4)</f>
        <v>MISC</v>
      </c>
      <c r="K153" t="s">
        <v>10</v>
      </c>
      <c r="L153">
        <v>5000</v>
      </c>
      <c r="M153" t="s">
        <v>1472</v>
      </c>
      <c r="N153" t="s">
        <v>11</v>
      </c>
      <c r="O153">
        <v>0.115</v>
      </c>
      <c r="P153" s="12">
        <f>ROUND(O153*L153,2)</f>
        <v>575</v>
      </c>
      <c r="Q153" s="13">
        <f>IF(N153="HKD",7.8,IF(N153="CNY",7.30034,1))</f>
        <v>7.3003400000000003</v>
      </c>
      <c r="R153" s="15">
        <f>+ROUND(O153/Q153,4)</f>
        <v>1.5800000000000002E-2</v>
      </c>
      <c r="S153" s="14">
        <f>ROUND(R153*L153,2)</f>
        <v>79</v>
      </c>
      <c r="T153" s="15" t="s">
        <v>349</v>
      </c>
      <c r="U153" t="s">
        <v>25</v>
      </c>
    </row>
    <row r="154" spans="1:21" x14ac:dyDescent="0.2">
      <c r="A154" t="s">
        <v>2459</v>
      </c>
      <c r="B154" s="24">
        <v>45734</v>
      </c>
      <c r="C154" s="24">
        <v>45706</v>
      </c>
      <c r="D154" t="s">
        <v>545</v>
      </c>
      <c r="E154" t="s">
        <v>546</v>
      </c>
      <c r="G154" t="s">
        <v>2944</v>
      </c>
      <c r="H154" t="s">
        <v>549</v>
      </c>
      <c r="I154" t="s">
        <v>550</v>
      </c>
      <c r="J154" s="11" t="str">
        <f>+LEFT(U154,4)</f>
        <v>MISC</v>
      </c>
      <c r="K154" t="s">
        <v>10</v>
      </c>
      <c r="L154">
        <v>6500</v>
      </c>
      <c r="M154" t="s">
        <v>1472</v>
      </c>
      <c r="N154" t="s">
        <v>11</v>
      </c>
      <c r="O154">
        <v>0.115</v>
      </c>
      <c r="P154" s="12">
        <f>ROUND(O154*L154,2)</f>
        <v>747.5</v>
      </c>
      <c r="Q154" s="13">
        <f>IF(N154="HKD",7.8,IF(N154="CNY",7.30034,1))</f>
        <v>7.3003400000000003</v>
      </c>
      <c r="R154" s="15">
        <f>+ROUND(O154/Q154,4)</f>
        <v>1.5800000000000002E-2</v>
      </c>
      <c r="S154" s="14">
        <f>ROUND(R154*L154,2)</f>
        <v>102.7</v>
      </c>
      <c r="T154" s="15" t="s">
        <v>349</v>
      </c>
      <c r="U154" t="s">
        <v>25</v>
      </c>
    </row>
    <row r="155" spans="1:21" x14ac:dyDescent="0.2">
      <c r="A155" t="s">
        <v>2747</v>
      </c>
      <c r="B155" s="24">
        <v>45734</v>
      </c>
      <c r="C155" s="24">
        <v>45729</v>
      </c>
      <c r="D155" t="s">
        <v>545</v>
      </c>
      <c r="E155" t="s">
        <v>546</v>
      </c>
      <c r="G155" t="s">
        <v>2944</v>
      </c>
      <c r="H155" t="s">
        <v>549</v>
      </c>
      <c r="I155" t="s">
        <v>550</v>
      </c>
      <c r="J155" s="11" t="str">
        <f>+LEFT(U155,4)</f>
        <v>MISC</v>
      </c>
      <c r="K155" t="s">
        <v>10</v>
      </c>
      <c r="L155">
        <v>1150</v>
      </c>
      <c r="M155" t="s">
        <v>1472</v>
      </c>
      <c r="N155" t="s">
        <v>11</v>
      </c>
      <c r="O155">
        <v>0.115</v>
      </c>
      <c r="P155" s="12">
        <f>ROUND(O155*L155,2)</f>
        <v>132.25</v>
      </c>
      <c r="Q155" s="13">
        <f>IF(N155="HKD",7.8,IF(N155="CNY",7.30034,1))</f>
        <v>7.3003400000000003</v>
      </c>
      <c r="R155" s="15">
        <f>+ROUND(O155/Q155,4)</f>
        <v>1.5800000000000002E-2</v>
      </c>
      <c r="S155" s="14">
        <f>ROUND(R155*L155,2)</f>
        <v>18.170000000000002</v>
      </c>
      <c r="T155" s="15" t="s">
        <v>349</v>
      </c>
      <c r="U155" t="s">
        <v>25</v>
      </c>
    </row>
    <row r="156" spans="1:21" x14ac:dyDescent="0.2">
      <c r="A156" t="s">
        <v>2569</v>
      </c>
      <c r="B156" s="24">
        <v>45740</v>
      </c>
      <c r="C156" s="24">
        <v>45716</v>
      </c>
      <c r="D156" t="s">
        <v>162</v>
      </c>
      <c r="E156" t="s">
        <v>163</v>
      </c>
      <c r="G156" t="s">
        <v>3000</v>
      </c>
      <c r="H156" t="s">
        <v>573</v>
      </c>
      <c r="I156" t="s">
        <v>574</v>
      </c>
      <c r="J156" s="11" t="str">
        <f>+LEFT(U156,4)</f>
        <v>SCR-</v>
      </c>
      <c r="K156" t="s">
        <v>10</v>
      </c>
      <c r="L156">
        <v>5000</v>
      </c>
      <c r="M156" t="s">
        <v>1472</v>
      </c>
      <c r="N156" t="s">
        <v>11</v>
      </c>
      <c r="O156">
        <v>0.11700000000000001</v>
      </c>
      <c r="P156" s="12">
        <f>ROUND(O156*L156,2)</f>
        <v>585</v>
      </c>
      <c r="Q156" s="13">
        <f>IF(N156="HKD",7.8,IF(N156="CNY",7.30034,1))</f>
        <v>7.3003400000000003</v>
      </c>
      <c r="R156" s="15">
        <f>+ROUND(O156/Q156,4)</f>
        <v>1.6E-2</v>
      </c>
      <c r="S156" s="14">
        <f>ROUND(R156*L156,2)</f>
        <v>80</v>
      </c>
      <c r="T156" s="15" t="s">
        <v>349</v>
      </c>
      <c r="U156" t="s">
        <v>166</v>
      </c>
    </row>
    <row r="157" spans="1:21" x14ac:dyDescent="0.2">
      <c r="A157" t="s">
        <v>2753</v>
      </c>
      <c r="B157" s="24">
        <v>45740</v>
      </c>
      <c r="C157" s="24">
        <v>45729</v>
      </c>
      <c r="D157" t="s">
        <v>162</v>
      </c>
      <c r="E157" t="s">
        <v>163</v>
      </c>
      <c r="G157" t="s">
        <v>3000</v>
      </c>
      <c r="H157" t="s">
        <v>573</v>
      </c>
      <c r="I157" t="s">
        <v>574</v>
      </c>
      <c r="J157" s="11" t="str">
        <f>+LEFT(U157,4)</f>
        <v>SCR-</v>
      </c>
      <c r="K157" t="s">
        <v>10</v>
      </c>
      <c r="L157">
        <v>930</v>
      </c>
      <c r="M157" t="s">
        <v>1472</v>
      </c>
      <c r="N157" t="s">
        <v>11</v>
      </c>
      <c r="O157">
        <v>0.11700000000000001</v>
      </c>
      <c r="P157" s="12">
        <f>ROUND(O157*L157,2)</f>
        <v>108.81</v>
      </c>
      <c r="Q157" s="13">
        <f>IF(N157="HKD",7.8,IF(N157="CNY",7.30034,1))</f>
        <v>7.3003400000000003</v>
      </c>
      <c r="R157" s="15">
        <f>+ROUND(O157/Q157,4)</f>
        <v>1.6E-2</v>
      </c>
      <c r="S157" s="14">
        <f>ROUND(R157*L157,2)</f>
        <v>14.88</v>
      </c>
      <c r="T157" s="15" t="s">
        <v>349</v>
      </c>
      <c r="U157" t="s">
        <v>166</v>
      </c>
    </row>
    <row r="158" spans="1:21" x14ac:dyDescent="0.2">
      <c r="A158" t="s">
        <v>2729</v>
      </c>
      <c r="B158" s="24">
        <v>45737</v>
      </c>
      <c r="C158" s="24">
        <v>45728</v>
      </c>
      <c r="D158" t="s">
        <v>569</v>
      </c>
      <c r="E158" t="s">
        <v>570</v>
      </c>
      <c r="G158" t="s">
        <v>2871</v>
      </c>
      <c r="H158" t="s">
        <v>1412</v>
      </c>
      <c r="I158" t="s">
        <v>1413</v>
      </c>
      <c r="J158" s="11" t="str">
        <f>+LEFT(U158,4)</f>
        <v>WHR-</v>
      </c>
      <c r="K158" t="s">
        <v>10</v>
      </c>
      <c r="L158">
        <v>4000</v>
      </c>
      <c r="M158" t="s">
        <v>1472</v>
      </c>
      <c r="N158" t="s">
        <v>11</v>
      </c>
      <c r="O158">
        <v>0.1176</v>
      </c>
      <c r="P158" s="12">
        <f>ROUND(O158*L158,2)</f>
        <v>470.4</v>
      </c>
      <c r="Q158" s="13">
        <f>IF(N158="HKD",7.8,IF(N158="CNY",7.30034,1))</f>
        <v>7.3003400000000003</v>
      </c>
      <c r="R158" s="15">
        <f>+ROUND(O158/Q158,4)</f>
        <v>1.61E-2</v>
      </c>
      <c r="S158" s="14">
        <f>ROUND(R158*L158,2)</f>
        <v>64.400000000000006</v>
      </c>
      <c r="T158" s="15" t="s">
        <v>349</v>
      </c>
      <c r="U158" t="s">
        <v>248</v>
      </c>
    </row>
    <row r="159" spans="1:21" x14ac:dyDescent="0.2">
      <c r="A159" t="s">
        <v>2463</v>
      </c>
      <c r="B159" s="24">
        <v>45722</v>
      </c>
      <c r="C159" s="24">
        <v>45706</v>
      </c>
      <c r="D159" t="s">
        <v>806</v>
      </c>
      <c r="E159" t="s">
        <v>807</v>
      </c>
      <c r="G159" t="s">
        <v>2945</v>
      </c>
      <c r="H159" t="s">
        <v>1599</v>
      </c>
      <c r="I159" t="s">
        <v>1600</v>
      </c>
      <c r="J159" s="11" t="str">
        <f>+LEFT(U159,4)</f>
        <v>BAG-</v>
      </c>
      <c r="K159" t="s">
        <v>10</v>
      </c>
      <c r="L159">
        <v>10000</v>
      </c>
      <c r="M159" t="s">
        <v>1472</v>
      </c>
      <c r="N159" t="s">
        <v>11</v>
      </c>
      <c r="O159">
        <v>0.12</v>
      </c>
      <c r="P159" s="12">
        <f>ROUND(O159*L159,2)</f>
        <v>1200</v>
      </c>
      <c r="Q159" s="13">
        <f>IF(N159="HKD",7.8,IF(N159="CNY",7.30034,1))</f>
        <v>7.3003400000000003</v>
      </c>
      <c r="R159" s="15">
        <f>+ROUND(O159/Q159,4)</f>
        <v>1.6400000000000001E-2</v>
      </c>
      <c r="S159" s="14">
        <f>ROUND(R159*L159,2)</f>
        <v>164</v>
      </c>
      <c r="T159" s="15" t="s">
        <v>349</v>
      </c>
      <c r="U159" t="s">
        <v>810</v>
      </c>
    </row>
    <row r="160" spans="1:21" x14ac:dyDescent="0.2">
      <c r="A160" t="s">
        <v>2658</v>
      </c>
      <c r="B160" s="24">
        <v>45733</v>
      </c>
      <c r="C160" s="24">
        <v>45723</v>
      </c>
      <c r="D160" t="s">
        <v>806</v>
      </c>
      <c r="E160" t="s">
        <v>807</v>
      </c>
      <c r="G160" t="s">
        <v>3025</v>
      </c>
      <c r="H160" t="s">
        <v>1599</v>
      </c>
      <c r="I160" t="s">
        <v>1600</v>
      </c>
      <c r="J160" s="11" t="str">
        <f>+LEFT(U160,4)</f>
        <v>BAG-</v>
      </c>
      <c r="K160" t="s">
        <v>10</v>
      </c>
      <c r="L160">
        <v>5000</v>
      </c>
      <c r="M160" t="s">
        <v>1472</v>
      </c>
      <c r="N160" t="s">
        <v>11</v>
      </c>
      <c r="O160">
        <v>0.12</v>
      </c>
      <c r="P160" s="12">
        <f>ROUND(O160*L160,2)</f>
        <v>600</v>
      </c>
      <c r="Q160" s="13">
        <f>IF(N160="HKD",7.8,IF(N160="CNY",7.30034,1))</f>
        <v>7.3003400000000003</v>
      </c>
      <c r="R160" s="15">
        <f>+ROUND(O160/Q160,4)</f>
        <v>1.6400000000000001E-2</v>
      </c>
      <c r="S160" s="14">
        <f>ROUND(R160*L160,2)</f>
        <v>82</v>
      </c>
      <c r="T160" s="15" t="s">
        <v>349</v>
      </c>
      <c r="U160" t="s">
        <v>810</v>
      </c>
    </row>
    <row r="161" spans="1:21" x14ac:dyDescent="0.2">
      <c r="A161" t="s">
        <v>2517</v>
      </c>
      <c r="B161" s="24">
        <v>45719</v>
      </c>
      <c r="C161" s="24">
        <v>45713</v>
      </c>
      <c r="D161" t="s">
        <v>169</v>
      </c>
      <c r="E161" t="s">
        <v>170</v>
      </c>
      <c r="G161" t="s">
        <v>2962</v>
      </c>
      <c r="H161" t="s">
        <v>3158</v>
      </c>
      <c r="I161" t="s">
        <v>3368</v>
      </c>
      <c r="J161" s="11" t="str">
        <f>+LEFT(U161,4)</f>
        <v>PAP-</v>
      </c>
      <c r="K161" t="s">
        <v>10</v>
      </c>
      <c r="L161">
        <v>2000</v>
      </c>
      <c r="M161" t="s">
        <v>1472</v>
      </c>
      <c r="N161" t="s">
        <v>11</v>
      </c>
      <c r="O161">
        <v>0.12</v>
      </c>
      <c r="P161" s="12">
        <f>ROUND(O161*L161,2)</f>
        <v>240</v>
      </c>
      <c r="Q161" s="13">
        <f>IF(N161="HKD",7.8,IF(N161="CNY",7.30034,1))</f>
        <v>7.3003400000000003</v>
      </c>
      <c r="R161" s="15">
        <f>+ROUND(O161/Q161,4)</f>
        <v>1.6400000000000001E-2</v>
      </c>
      <c r="S161" s="14">
        <f>ROUND(R161*L161,2)</f>
        <v>32.799999999999997</v>
      </c>
      <c r="T161" s="15" t="s">
        <v>349</v>
      </c>
      <c r="U161" t="s">
        <v>1094</v>
      </c>
    </row>
    <row r="162" spans="1:21" x14ac:dyDescent="0.2">
      <c r="A162" t="s">
        <v>2659</v>
      </c>
      <c r="B162" s="24">
        <v>45733</v>
      </c>
      <c r="C162" s="24">
        <v>45723</v>
      </c>
      <c r="D162" t="s">
        <v>806</v>
      </c>
      <c r="E162" t="s">
        <v>807</v>
      </c>
      <c r="G162" t="s">
        <v>3025</v>
      </c>
      <c r="H162" t="s">
        <v>1601</v>
      </c>
      <c r="I162" t="s">
        <v>1602</v>
      </c>
      <c r="J162" s="11" t="str">
        <f>+LEFT(U162,4)</f>
        <v>BAG-</v>
      </c>
      <c r="K162" t="s">
        <v>10</v>
      </c>
      <c r="L162">
        <v>5000</v>
      </c>
      <c r="M162" t="s">
        <v>1472</v>
      </c>
      <c r="N162" t="s">
        <v>11</v>
      </c>
      <c r="O162">
        <v>0.128</v>
      </c>
      <c r="P162" s="12">
        <f>ROUND(O162*L162,2)</f>
        <v>640</v>
      </c>
      <c r="Q162" s="13">
        <f>IF(N162="HKD",7.8,IF(N162="CNY",7.30034,1))</f>
        <v>7.3003400000000003</v>
      </c>
      <c r="R162" s="15">
        <f>+ROUND(O162/Q162,4)</f>
        <v>1.7500000000000002E-2</v>
      </c>
      <c r="S162" s="14">
        <f>ROUND(R162*L162,2)</f>
        <v>87.5</v>
      </c>
      <c r="T162" s="15" t="s">
        <v>349</v>
      </c>
      <c r="U162" t="s">
        <v>810</v>
      </c>
    </row>
    <row r="163" spans="1:21" x14ac:dyDescent="0.2">
      <c r="A163" t="s">
        <v>2669</v>
      </c>
      <c r="B163" s="24">
        <v>45728</v>
      </c>
      <c r="C163" s="24">
        <v>45723</v>
      </c>
      <c r="D163" t="s">
        <v>806</v>
      </c>
      <c r="E163" t="s">
        <v>807</v>
      </c>
      <c r="G163" t="s">
        <v>2890</v>
      </c>
      <c r="H163" t="s">
        <v>3216</v>
      </c>
      <c r="I163" t="s">
        <v>3423</v>
      </c>
      <c r="J163" s="11" t="str">
        <f>+LEFT(U163,4)</f>
        <v>BAG-</v>
      </c>
      <c r="K163" t="s">
        <v>10</v>
      </c>
      <c r="L163">
        <v>15000</v>
      </c>
      <c r="M163" t="s">
        <v>1472</v>
      </c>
      <c r="N163" t="s">
        <v>11</v>
      </c>
      <c r="O163">
        <v>0.13</v>
      </c>
      <c r="P163" s="12">
        <f>ROUND(O163*L163,2)</f>
        <v>1950</v>
      </c>
      <c r="Q163" s="13">
        <f>IF(N163="HKD",7.8,IF(N163="CNY",7.30034,1))</f>
        <v>7.3003400000000003</v>
      </c>
      <c r="R163" s="15">
        <f>+ROUND(O163/Q163,4)</f>
        <v>1.78E-2</v>
      </c>
      <c r="S163" s="14">
        <f>ROUND(R163*L163,2)</f>
        <v>267</v>
      </c>
      <c r="T163" s="15" t="s">
        <v>349</v>
      </c>
      <c r="U163" t="s">
        <v>810</v>
      </c>
    </row>
    <row r="164" spans="1:21" x14ac:dyDescent="0.2">
      <c r="A164" t="s">
        <v>2749</v>
      </c>
      <c r="B164" s="24">
        <v>45740</v>
      </c>
      <c r="C164" s="24">
        <v>45729</v>
      </c>
      <c r="D164" t="s">
        <v>806</v>
      </c>
      <c r="E164" t="s">
        <v>807</v>
      </c>
      <c r="G164" t="s">
        <v>3037</v>
      </c>
      <c r="H164" t="s">
        <v>3216</v>
      </c>
      <c r="I164" t="s">
        <v>3423</v>
      </c>
      <c r="J164" s="11" t="str">
        <f>+LEFT(U164,4)</f>
        <v>BAG-</v>
      </c>
      <c r="K164" t="s">
        <v>10</v>
      </c>
      <c r="L164">
        <v>15000</v>
      </c>
      <c r="M164" t="s">
        <v>1472</v>
      </c>
      <c r="N164" t="s">
        <v>11</v>
      </c>
      <c r="O164">
        <v>0.13</v>
      </c>
      <c r="P164" s="12">
        <f>ROUND(O164*L164,2)</f>
        <v>1950</v>
      </c>
      <c r="Q164" s="13">
        <f>IF(N164="HKD",7.8,IF(N164="CNY",7.30034,1))</f>
        <v>7.3003400000000003</v>
      </c>
      <c r="R164" s="15">
        <f>+ROUND(O164/Q164,4)</f>
        <v>1.78E-2</v>
      </c>
      <c r="S164" s="14">
        <f>ROUND(R164*L164,2)</f>
        <v>267</v>
      </c>
      <c r="T164" s="15" t="s">
        <v>349</v>
      </c>
      <c r="U164" t="s">
        <v>810</v>
      </c>
    </row>
    <row r="165" spans="1:21" x14ac:dyDescent="0.2">
      <c r="A165" t="s">
        <v>2765</v>
      </c>
      <c r="B165" s="24">
        <v>45740</v>
      </c>
      <c r="C165" s="24">
        <v>45730</v>
      </c>
      <c r="D165" t="s">
        <v>806</v>
      </c>
      <c r="E165" t="s">
        <v>807</v>
      </c>
      <c r="G165" t="s">
        <v>3037</v>
      </c>
      <c r="H165" t="s">
        <v>3253</v>
      </c>
      <c r="I165" t="s">
        <v>3460</v>
      </c>
      <c r="J165" s="11" t="str">
        <f>+LEFT(U165,4)</f>
        <v>BAG-</v>
      </c>
      <c r="K165" t="s">
        <v>10</v>
      </c>
      <c r="L165">
        <v>7000</v>
      </c>
      <c r="M165" t="s">
        <v>1472</v>
      </c>
      <c r="N165" t="s">
        <v>11</v>
      </c>
      <c r="O165">
        <v>0.13</v>
      </c>
      <c r="P165" s="12">
        <f>ROUND(O165*L165,2)</f>
        <v>910</v>
      </c>
      <c r="Q165" s="13">
        <f>IF(N165="HKD",7.8,IF(N165="CNY",7.30034,1))</f>
        <v>7.3003400000000003</v>
      </c>
      <c r="R165" s="15">
        <f>+ROUND(O165/Q165,4)</f>
        <v>1.78E-2</v>
      </c>
      <c r="S165" s="14">
        <f>ROUND(R165*L165,2)</f>
        <v>124.6</v>
      </c>
      <c r="T165" s="15" t="s">
        <v>349</v>
      </c>
      <c r="U165" t="s">
        <v>810</v>
      </c>
    </row>
    <row r="166" spans="1:21" x14ac:dyDescent="0.2">
      <c r="A166" t="s">
        <v>2545</v>
      </c>
      <c r="B166" s="24">
        <v>45726</v>
      </c>
      <c r="C166" s="24">
        <v>45714</v>
      </c>
      <c r="D166" t="s">
        <v>235</v>
      </c>
      <c r="E166" t="s">
        <v>236</v>
      </c>
      <c r="G166" t="s">
        <v>2923</v>
      </c>
      <c r="H166" t="s">
        <v>1352</v>
      </c>
      <c r="I166" t="s">
        <v>1353</v>
      </c>
      <c r="J166" s="11" t="str">
        <f>+LEFT(U166,4)</f>
        <v>RIV-</v>
      </c>
      <c r="K166" t="s">
        <v>10</v>
      </c>
      <c r="L166">
        <v>80000</v>
      </c>
      <c r="M166" t="s">
        <v>1472</v>
      </c>
      <c r="N166" t="s">
        <v>11</v>
      </c>
      <c r="O166">
        <v>0.13150000000000001</v>
      </c>
      <c r="P166" s="12">
        <f>ROUND(O166*L166,2)</f>
        <v>10520</v>
      </c>
      <c r="Q166" s="13">
        <f>IF(N166="HKD",7.8,IF(N166="CNY",7.30034,1))</f>
        <v>7.3003400000000003</v>
      </c>
      <c r="R166" s="15">
        <f>+ROUND(O166/Q166,4)</f>
        <v>1.7999999999999999E-2</v>
      </c>
      <c r="S166" s="14">
        <f>ROUND(R166*L166,2)</f>
        <v>1440</v>
      </c>
      <c r="T166" s="15" t="s">
        <v>349</v>
      </c>
      <c r="U166" t="s">
        <v>132</v>
      </c>
    </row>
    <row r="167" spans="1:21" x14ac:dyDescent="0.2">
      <c r="A167" t="s">
        <v>2545</v>
      </c>
      <c r="B167" s="24">
        <v>45733</v>
      </c>
      <c r="C167" s="24">
        <v>45714</v>
      </c>
      <c r="D167" t="s">
        <v>235</v>
      </c>
      <c r="E167" t="s">
        <v>236</v>
      </c>
      <c r="G167" t="s">
        <v>2990</v>
      </c>
      <c r="H167" t="s">
        <v>1352</v>
      </c>
      <c r="I167" t="s">
        <v>1353</v>
      </c>
      <c r="J167" s="11" t="str">
        <f>+LEFT(U167,4)</f>
        <v>RIV-</v>
      </c>
      <c r="K167" t="s">
        <v>10</v>
      </c>
      <c r="L167">
        <v>80000</v>
      </c>
      <c r="M167" t="s">
        <v>1472</v>
      </c>
      <c r="N167" t="s">
        <v>11</v>
      </c>
      <c r="O167">
        <v>0.13150000000000001</v>
      </c>
      <c r="P167" s="12">
        <f>ROUND(O167*L167,2)</f>
        <v>10520</v>
      </c>
      <c r="Q167" s="13">
        <f>IF(N167="HKD",7.8,IF(N167="CNY",7.30034,1))</f>
        <v>7.3003400000000003</v>
      </c>
      <c r="R167" s="15">
        <f>+ROUND(O167/Q167,4)</f>
        <v>1.7999999999999999E-2</v>
      </c>
      <c r="S167" s="14">
        <f>ROUND(R167*L167,2)</f>
        <v>1440</v>
      </c>
      <c r="T167" s="15" t="s">
        <v>349</v>
      </c>
      <c r="U167" t="s">
        <v>132</v>
      </c>
    </row>
    <row r="168" spans="1:21" x14ac:dyDescent="0.2">
      <c r="A168" t="s">
        <v>2464</v>
      </c>
      <c r="B168" s="24">
        <v>45722</v>
      </c>
      <c r="C168" s="24">
        <v>45706</v>
      </c>
      <c r="D168" t="s">
        <v>806</v>
      </c>
      <c r="E168" t="s">
        <v>807</v>
      </c>
      <c r="G168" t="s">
        <v>2945</v>
      </c>
      <c r="H168" t="s">
        <v>3140</v>
      </c>
      <c r="I168" t="s">
        <v>3350</v>
      </c>
      <c r="J168" s="11" t="str">
        <f>+LEFT(U168,4)</f>
        <v>BAG-</v>
      </c>
      <c r="K168" t="s">
        <v>10</v>
      </c>
      <c r="L168">
        <v>1500</v>
      </c>
      <c r="M168" t="s">
        <v>1472</v>
      </c>
      <c r="N168" t="s">
        <v>11</v>
      </c>
      <c r="O168">
        <v>0.13200000000000001</v>
      </c>
      <c r="P168" s="12">
        <f>ROUND(O168*L168,2)</f>
        <v>198</v>
      </c>
      <c r="Q168" s="13">
        <f>IF(N168="HKD",7.8,IF(N168="CNY",7.30034,1))</f>
        <v>7.3003400000000003</v>
      </c>
      <c r="R168" s="15">
        <f>+ROUND(O168/Q168,4)</f>
        <v>1.8100000000000002E-2</v>
      </c>
      <c r="S168" s="14">
        <f>ROUND(R168*L168,2)</f>
        <v>27.15</v>
      </c>
      <c r="T168" s="15" t="s">
        <v>349</v>
      </c>
      <c r="U168" t="s">
        <v>810</v>
      </c>
    </row>
    <row r="169" spans="1:21" x14ac:dyDescent="0.2">
      <c r="A169" t="s">
        <v>2726</v>
      </c>
      <c r="B169" s="24">
        <v>45744</v>
      </c>
      <c r="C169" s="24">
        <v>45728</v>
      </c>
      <c r="D169" t="s">
        <v>235</v>
      </c>
      <c r="E169" t="s">
        <v>236</v>
      </c>
      <c r="G169" t="s">
        <v>3040</v>
      </c>
      <c r="H169" t="s">
        <v>1352</v>
      </c>
      <c r="I169" t="s">
        <v>1353</v>
      </c>
      <c r="J169" s="11" t="str">
        <f>+LEFT(U169,4)</f>
        <v>RIV-</v>
      </c>
      <c r="K169" t="s">
        <v>10</v>
      </c>
      <c r="L169">
        <v>30000</v>
      </c>
      <c r="M169" t="s">
        <v>1472</v>
      </c>
      <c r="N169" t="s">
        <v>11</v>
      </c>
      <c r="O169">
        <v>0.1328</v>
      </c>
      <c r="P169" s="12">
        <f>ROUND(O169*L169,2)</f>
        <v>3984</v>
      </c>
      <c r="Q169" s="13">
        <f>IF(N169="HKD",7.8,IF(N169="CNY",7.30034,1))</f>
        <v>7.3003400000000003</v>
      </c>
      <c r="R169" s="15">
        <f>+ROUND(O169/Q169,4)</f>
        <v>1.8200000000000001E-2</v>
      </c>
      <c r="S169" s="14">
        <f>ROUND(R169*L169,2)</f>
        <v>546</v>
      </c>
      <c r="T169" s="15" t="s">
        <v>349</v>
      </c>
      <c r="U169" t="s">
        <v>132</v>
      </c>
    </row>
    <row r="170" spans="1:21" x14ac:dyDescent="0.2">
      <c r="A170" t="s">
        <v>2670</v>
      </c>
      <c r="B170" s="24">
        <v>45728</v>
      </c>
      <c r="C170" s="24">
        <v>45723</v>
      </c>
      <c r="D170" t="s">
        <v>806</v>
      </c>
      <c r="E170" t="s">
        <v>807</v>
      </c>
      <c r="G170" t="s">
        <v>2890</v>
      </c>
      <c r="H170" t="s">
        <v>3217</v>
      </c>
      <c r="I170" t="s">
        <v>3424</v>
      </c>
      <c r="J170" s="11" t="str">
        <f>+LEFT(U170,4)</f>
        <v>BAG-</v>
      </c>
      <c r="K170" t="s">
        <v>10</v>
      </c>
      <c r="L170">
        <v>5000</v>
      </c>
      <c r="M170" t="s">
        <v>1472</v>
      </c>
      <c r="N170" t="s">
        <v>11</v>
      </c>
      <c r="O170">
        <v>0.14000000000000001</v>
      </c>
      <c r="P170" s="12">
        <f>ROUND(O170*L170,2)</f>
        <v>700</v>
      </c>
      <c r="Q170" s="13">
        <f>IF(N170="HKD",7.8,IF(N170="CNY",7.30034,1))</f>
        <v>7.3003400000000003</v>
      </c>
      <c r="R170" s="15">
        <f>+ROUND(O170/Q170,4)</f>
        <v>1.9199999999999998E-2</v>
      </c>
      <c r="S170" s="14">
        <f>ROUND(R170*L170,2)</f>
        <v>96</v>
      </c>
      <c r="T170" s="15" t="s">
        <v>349</v>
      </c>
      <c r="U170" t="s">
        <v>810</v>
      </c>
    </row>
    <row r="171" spans="1:21" x14ac:dyDescent="0.2">
      <c r="A171" t="s">
        <v>2750</v>
      </c>
      <c r="B171" s="24">
        <v>45740</v>
      </c>
      <c r="C171" s="24">
        <v>45729</v>
      </c>
      <c r="D171" t="s">
        <v>806</v>
      </c>
      <c r="E171" t="s">
        <v>807</v>
      </c>
      <c r="G171" t="s">
        <v>3037</v>
      </c>
      <c r="H171" t="s">
        <v>3217</v>
      </c>
      <c r="I171" t="s">
        <v>3424</v>
      </c>
      <c r="J171" s="11" t="str">
        <f>+LEFT(U171,4)</f>
        <v>BAG-</v>
      </c>
      <c r="K171" t="s">
        <v>10</v>
      </c>
      <c r="L171">
        <v>7200</v>
      </c>
      <c r="M171" t="s">
        <v>1472</v>
      </c>
      <c r="N171" t="s">
        <v>11</v>
      </c>
      <c r="O171">
        <v>0.14000000000000001</v>
      </c>
      <c r="P171" s="12">
        <f>ROUND(O171*L171,2)</f>
        <v>1008</v>
      </c>
      <c r="Q171" s="13">
        <f>IF(N171="HKD",7.8,IF(N171="CNY",7.30034,1))</f>
        <v>7.3003400000000003</v>
      </c>
      <c r="R171" s="15">
        <f>+ROUND(O171/Q171,4)</f>
        <v>1.9199999999999998E-2</v>
      </c>
      <c r="S171" s="14">
        <f>ROUND(R171*L171,2)</f>
        <v>138.24</v>
      </c>
      <c r="T171" s="15" t="s">
        <v>349</v>
      </c>
      <c r="U171" t="s">
        <v>810</v>
      </c>
    </row>
    <row r="172" spans="1:21" x14ac:dyDescent="0.2">
      <c r="A172" t="s">
        <v>2777</v>
      </c>
      <c r="B172" s="24">
        <v>45740</v>
      </c>
      <c r="C172" s="24">
        <v>45730</v>
      </c>
      <c r="D172" t="s">
        <v>169</v>
      </c>
      <c r="E172" t="s">
        <v>170</v>
      </c>
      <c r="G172" t="s">
        <v>3017</v>
      </c>
      <c r="H172" t="s">
        <v>3256</v>
      </c>
      <c r="I172" t="s">
        <v>3463</v>
      </c>
      <c r="J172" s="11" t="str">
        <f>+LEFT(U172,4)</f>
        <v>PAP-</v>
      </c>
      <c r="K172" t="s">
        <v>10</v>
      </c>
      <c r="L172">
        <v>18000</v>
      </c>
      <c r="M172" t="s">
        <v>1472</v>
      </c>
      <c r="N172" t="s">
        <v>11</v>
      </c>
      <c r="O172">
        <v>0.14000000000000001</v>
      </c>
      <c r="P172" s="12">
        <f>ROUND(O172*L172,2)</f>
        <v>2520</v>
      </c>
      <c r="Q172" s="13">
        <f>IF(N172="HKD",7.8,IF(N172="CNY",7.30034,1))</f>
        <v>7.3003400000000003</v>
      </c>
      <c r="R172" s="15">
        <f>+ROUND(O172/Q172,4)</f>
        <v>1.9199999999999998E-2</v>
      </c>
      <c r="S172" s="14">
        <f>ROUND(R172*L172,2)</f>
        <v>345.6</v>
      </c>
      <c r="T172" s="15" t="s">
        <v>349</v>
      </c>
      <c r="U172" t="s">
        <v>1094</v>
      </c>
    </row>
    <row r="173" spans="1:21" x14ac:dyDescent="0.2">
      <c r="A173" t="s">
        <v>2571</v>
      </c>
      <c r="B173" s="24">
        <v>45740</v>
      </c>
      <c r="C173" s="24">
        <v>45716</v>
      </c>
      <c r="D173" t="s">
        <v>162</v>
      </c>
      <c r="E173" t="s">
        <v>163</v>
      </c>
      <c r="G173" t="s">
        <v>2907</v>
      </c>
      <c r="H173" t="s">
        <v>160</v>
      </c>
      <c r="I173" t="s">
        <v>161</v>
      </c>
      <c r="J173" s="11" t="str">
        <f>+LEFT(U173,4)</f>
        <v>SCR-</v>
      </c>
      <c r="K173" t="s">
        <v>10</v>
      </c>
      <c r="L173">
        <v>15000</v>
      </c>
      <c r="M173" t="s">
        <v>1472</v>
      </c>
      <c r="N173" t="s">
        <v>11</v>
      </c>
      <c r="O173">
        <v>0.14199999999999999</v>
      </c>
      <c r="P173" s="12">
        <f>ROUND(O173*L173,2)</f>
        <v>2130</v>
      </c>
      <c r="Q173" s="13">
        <f>IF(N173="HKD",7.8,IF(N173="CNY",7.30034,1))</f>
        <v>7.3003400000000003</v>
      </c>
      <c r="R173" s="15">
        <f>+ROUND(O173/Q173,4)</f>
        <v>1.95E-2</v>
      </c>
      <c r="S173" s="14">
        <f>ROUND(R173*L173,2)</f>
        <v>292.5</v>
      </c>
      <c r="T173" s="15" t="s">
        <v>349</v>
      </c>
      <c r="U173" t="s">
        <v>166</v>
      </c>
    </row>
    <row r="174" spans="1:21" x14ac:dyDescent="0.2">
      <c r="A174" t="s">
        <v>2465</v>
      </c>
      <c r="B174" s="24">
        <v>45722</v>
      </c>
      <c r="C174" s="24">
        <v>45706</v>
      </c>
      <c r="D174" t="s">
        <v>806</v>
      </c>
      <c r="E174" t="s">
        <v>807</v>
      </c>
      <c r="G174" t="s">
        <v>2945</v>
      </c>
      <c r="H174" t="s">
        <v>3141</v>
      </c>
      <c r="I174" t="s">
        <v>3351</v>
      </c>
      <c r="J174" s="11" t="str">
        <f>+LEFT(U174,4)</f>
        <v>BAG-</v>
      </c>
      <c r="K174" t="s">
        <v>10</v>
      </c>
      <c r="L174">
        <v>10000</v>
      </c>
      <c r="M174" t="s">
        <v>1472</v>
      </c>
      <c r="N174" t="s">
        <v>11</v>
      </c>
      <c r="O174">
        <v>0.15</v>
      </c>
      <c r="P174" s="12">
        <f>ROUND(O174*L174,2)</f>
        <v>1500</v>
      </c>
      <c r="Q174" s="13">
        <f>IF(N174="HKD",7.8,IF(N174="CNY",7.30034,1))</f>
        <v>7.3003400000000003</v>
      </c>
      <c r="R174" s="15">
        <f>+ROUND(O174/Q174,4)</f>
        <v>2.0500000000000001E-2</v>
      </c>
      <c r="S174" s="14">
        <f>ROUND(R174*L174,2)</f>
        <v>205</v>
      </c>
      <c r="T174" s="15" t="s">
        <v>349</v>
      </c>
      <c r="U174" t="s">
        <v>810</v>
      </c>
    </row>
    <row r="175" spans="1:21" x14ac:dyDescent="0.2">
      <c r="A175" t="s">
        <v>2763</v>
      </c>
      <c r="B175" s="24">
        <v>45743</v>
      </c>
      <c r="C175" s="24">
        <v>45730</v>
      </c>
      <c r="D175" t="s">
        <v>806</v>
      </c>
      <c r="E175" t="s">
        <v>807</v>
      </c>
      <c r="G175" t="s">
        <v>3048</v>
      </c>
      <c r="H175" t="s">
        <v>804</v>
      </c>
      <c r="I175" t="s">
        <v>805</v>
      </c>
      <c r="J175" s="11" t="str">
        <f>+LEFT(U175,4)</f>
        <v>BAG-</v>
      </c>
      <c r="K175" t="s">
        <v>10</v>
      </c>
      <c r="L175">
        <v>7000</v>
      </c>
      <c r="M175" t="s">
        <v>1472</v>
      </c>
      <c r="N175" t="s">
        <v>11</v>
      </c>
      <c r="O175">
        <v>0.152</v>
      </c>
      <c r="P175" s="12">
        <f>ROUND(O175*L175,2)</f>
        <v>1064</v>
      </c>
      <c r="Q175" s="13">
        <f>IF(N175="HKD",7.8,IF(N175="CNY",7.30034,1))</f>
        <v>7.3003400000000003</v>
      </c>
      <c r="R175" s="15">
        <f>+ROUND(O175/Q175,4)</f>
        <v>2.0799999999999999E-2</v>
      </c>
      <c r="S175" s="14">
        <f>ROUND(R175*L175,2)</f>
        <v>145.6</v>
      </c>
      <c r="T175" s="15" t="s">
        <v>349</v>
      </c>
      <c r="U175" t="s">
        <v>810</v>
      </c>
    </row>
    <row r="176" spans="1:21" x14ac:dyDescent="0.2">
      <c r="A176" t="s">
        <v>2466</v>
      </c>
      <c r="B176" s="24">
        <v>45740</v>
      </c>
      <c r="C176" s="24">
        <v>45706</v>
      </c>
      <c r="D176" t="s">
        <v>162</v>
      </c>
      <c r="E176" t="s">
        <v>163</v>
      </c>
      <c r="G176" t="s">
        <v>2907</v>
      </c>
      <c r="H176" t="s">
        <v>587</v>
      </c>
      <c r="I176" t="s">
        <v>588</v>
      </c>
      <c r="J176" s="11" t="str">
        <f>+LEFT(U176,4)</f>
        <v>SCR-</v>
      </c>
      <c r="K176" t="s">
        <v>10</v>
      </c>
      <c r="L176">
        <v>5000</v>
      </c>
      <c r="M176" t="s">
        <v>1472</v>
      </c>
      <c r="N176" t="s">
        <v>11</v>
      </c>
      <c r="O176">
        <v>0.153</v>
      </c>
      <c r="P176" s="12">
        <f>ROUND(O176*L176,2)</f>
        <v>765</v>
      </c>
      <c r="Q176" s="13">
        <f>IF(N176="HKD",7.8,IF(N176="CNY",7.30034,1))</f>
        <v>7.3003400000000003</v>
      </c>
      <c r="R176" s="15">
        <f>+ROUND(O176/Q176,4)</f>
        <v>2.1000000000000001E-2</v>
      </c>
      <c r="S176" s="14">
        <f>ROUND(R176*L176,2)</f>
        <v>105</v>
      </c>
      <c r="T176" s="15" t="s">
        <v>349</v>
      </c>
      <c r="U176" t="s">
        <v>166</v>
      </c>
    </row>
    <row r="177" spans="1:21" x14ac:dyDescent="0.2">
      <c r="A177" t="s">
        <v>1866</v>
      </c>
      <c r="B177" s="24">
        <v>45722</v>
      </c>
      <c r="C177" s="24">
        <v>45672</v>
      </c>
      <c r="D177" t="s">
        <v>806</v>
      </c>
      <c r="E177" t="s">
        <v>807</v>
      </c>
      <c r="G177" t="s">
        <v>2891</v>
      </c>
      <c r="H177" t="s">
        <v>1603</v>
      </c>
      <c r="I177" t="s">
        <v>1604</v>
      </c>
      <c r="J177" s="11" t="str">
        <f>+LEFT(U177,4)</f>
        <v>BAG-</v>
      </c>
      <c r="K177" t="s">
        <v>10</v>
      </c>
      <c r="L177">
        <v>-10000</v>
      </c>
      <c r="M177" t="s">
        <v>1472</v>
      </c>
      <c r="N177" t="s">
        <v>11</v>
      </c>
      <c r="O177">
        <v>0.158</v>
      </c>
      <c r="P177" s="12">
        <f>ROUND(O177*L177,2)</f>
        <v>-1580</v>
      </c>
      <c r="Q177" s="13">
        <f>IF(N177="HKD",7.8,IF(N177="CNY",7.30034,1))</f>
        <v>7.3003400000000003</v>
      </c>
      <c r="R177" s="15">
        <f>+ROUND(O177/Q177,4)</f>
        <v>2.1600000000000001E-2</v>
      </c>
      <c r="S177" s="14">
        <f>ROUND(R177*L177,2)</f>
        <v>-216</v>
      </c>
      <c r="T177" s="15" t="s">
        <v>349</v>
      </c>
      <c r="U177" t="s">
        <v>810</v>
      </c>
    </row>
    <row r="178" spans="1:21" x14ac:dyDescent="0.2">
      <c r="A178" t="s">
        <v>1866</v>
      </c>
      <c r="B178" s="24">
        <v>45728</v>
      </c>
      <c r="C178" s="24">
        <v>45672</v>
      </c>
      <c r="D178" t="s">
        <v>806</v>
      </c>
      <c r="E178" t="s">
        <v>807</v>
      </c>
      <c r="G178" t="s">
        <v>2890</v>
      </c>
      <c r="H178" t="s">
        <v>1603</v>
      </c>
      <c r="I178" t="s">
        <v>1604</v>
      </c>
      <c r="J178" s="11" t="str">
        <f>+LEFT(U178,4)</f>
        <v>BAG-</v>
      </c>
      <c r="K178" t="s">
        <v>10</v>
      </c>
      <c r="L178">
        <v>10000</v>
      </c>
      <c r="M178" t="s">
        <v>1472</v>
      </c>
      <c r="N178" t="s">
        <v>11</v>
      </c>
      <c r="O178">
        <v>0.158</v>
      </c>
      <c r="P178" s="12">
        <f>ROUND(O178*L178,2)</f>
        <v>1580</v>
      </c>
      <c r="Q178" s="13">
        <f>IF(N178="HKD",7.8,IF(N178="CNY",7.30034,1))</f>
        <v>7.3003400000000003</v>
      </c>
      <c r="R178" s="15">
        <f>+ROUND(O178/Q178,4)</f>
        <v>2.1600000000000001E-2</v>
      </c>
      <c r="S178" s="14">
        <f>ROUND(R178*L178,2)</f>
        <v>216</v>
      </c>
      <c r="T178" s="15" t="s">
        <v>349</v>
      </c>
      <c r="U178" t="s">
        <v>810</v>
      </c>
    </row>
    <row r="179" spans="1:21" x14ac:dyDescent="0.2">
      <c r="A179" t="s">
        <v>2640</v>
      </c>
      <c r="B179" s="24">
        <v>45744</v>
      </c>
      <c r="C179" s="24">
        <v>45721</v>
      </c>
      <c r="D179" t="s">
        <v>235</v>
      </c>
      <c r="E179" t="s">
        <v>236</v>
      </c>
      <c r="G179" t="s">
        <v>3021</v>
      </c>
      <c r="H179" t="s">
        <v>239</v>
      </c>
      <c r="I179" t="s">
        <v>240</v>
      </c>
      <c r="J179" s="11" t="str">
        <f>+LEFT(U179,4)</f>
        <v>RIV-</v>
      </c>
      <c r="K179" t="s">
        <v>10</v>
      </c>
      <c r="L179">
        <v>17200</v>
      </c>
      <c r="M179" t="s">
        <v>1472</v>
      </c>
      <c r="N179" t="s">
        <v>11</v>
      </c>
      <c r="O179">
        <v>0.16120000000000001</v>
      </c>
      <c r="P179" s="12">
        <f>ROUND(O179*L179,2)</f>
        <v>2772.64</v>
      </c>
      <c r="Q179" s="13">
        <f>IF(N179="HKD",7.8,IF(N179="CNY",7.30034,1))</f>
        <v>7.3003400000000003</v>
      </c>
      <c r="R179" s="15">
        <f>+ROUND(O179/Q179,4)</f>
        <v>2.2100000000000002E-2</v>
      </c>
      <c r="S179" s="14">
        <f>ROUND(R179*L179,2)</f>
        <v>380.12</v>
      </c>
      <c r="T179" s="15" t="s">
        <v>349</v>
      </c>
      <c r="U179" t="s">
        <v>132</v>
      </c>
    </row>
    <row r="180" spans="1:21" x14ac:dyDescent="0.2">
      <c r="A180" t="s">
        <v>2634</v>
      </c>
      <c r="B180" s="24">
        <v>45740</v>
      </c>
      <c r="C180" s="24">
        <v>45721</v>
      </c>
      <c r="D180" t="s">
        <v>162</v>
      </c>
      <c r="E180" t="s">
        <v>163</v>
      </c>
      <c r="G180" t="s">
        <v>2907</v>
      </c>
      <c r="H180" t="s">
        <v>3210</v>
      </c>
      <c r="I180" t="s">
        <v>3417</v>
      </c>
      <c r="J180" s="11" t="str">
        <f>+LEFT(U180,4)</f>
        <v>SCR-</v>
      </c>
      <c r="K180" t="s">
        <v>10</v>
      </c>
      <c r="L180">
        <v>1030</v>
      </c>
      <c r="M180" t="s">
        <v>1472</v>
      </c>
      <c r="N180" t="s">
        <v>11</v>
      </c>
      <c r="O180">
        <v>0.16500000000000001</v>
      </c>
      <c r="P180" s="12">
        <f>ROUND(O180*L180,2)</f>
        <v>169.95</v>
      </c>
      <c r="Q180" s="13">
        <f>IF(N180="HKD",7.8,IF(N180="CNY",7.30034,1))</f>
        <v>7.3003400000000003</v>
      </c>
      <c r="R180" s="15">
        <f>+ROUND(O180/Q180,4)</f>
        <v>2.2599999999999999E-2</v>
      </c>
      <c r="S180" s="14">
        <f>ROUND(R180*L180,2)</f>
        <v>23.28</v>
      </c>
      <c r="T180" s="15" t="s">
        <v>349</v>
      </c>
      <c r="U180" t="s">
        <v>166</v>
      </c>
    </row>
    <row r="181" spans="1:21" x14ac:dyDescent="0.2">
      <c r="A181" t="s">
        <v>2660</v>
      </c>
      <c r="B181" s="24">
        <v>45733</v>
      </c>
      <c r="C181" s="24">
        <v>45723</v>
      </c>
      <c r="D181" t="s">
        <v>806</v>
      </c>
      <c r="E181" t="s">
        <v>807</v>
      </c>
      <c r="G181" t="s">
        <v>3025</v>
      </c>
      <c r="H181" t="s">
        <v>1605</v>
      </c>
      <c r="I181" t="s">
        <v>1606</v>
      </c>
      <c r="J181" s="11" t="str">
        <f>+LEFT(U181,4)</f>
        <v>BAG-</v>
      </c>
      <c r="K181" t="s">
        <v>10</v>
      </c>
      <c r="L181">
        <v>5000</v>
      </c>
      <c r="M181" t="s">
        <v>1472</v>
      </c>
      <c r="N181" t="s">
        <v>11</v>
      </c>
      <c r="O181">
        <v>0.17</v>
      </c>
      <c r="P181" s="12">
        <f>ROUND(O181*L181,2)</f>
        <v>850</v>
      </c>
      <c r="Q181" s="13">
        <f>IF(N181="HKD",7.8,IF(N181="CNY",7.30034,1))</f>
        <v>7.3003400000000003</v>
      </c>
      <c r="R181" s="15">
        <f>+ROUND(O181/Q181,4)</f>
        <v>2.3300000000000001E-2</v>
      </c>
      <c r="S181" s="14">
        <f>ROUND(R181*L181,2)</f>
        <v>116.5</v>
      </c>
      <c r="T181" s="15" t="s">
        <v>349</v>
      </c>
      <c r="U181" t="s">
        <v>810</v>
      </c>
    </row>
    <row r="182" spans="1:21" x14ac:dyDescent="0.2">
      <c r="A182" t="s">
        <v>2713</v>
      </c>
      <c r="B182" s="24">
        <v>45740</v>
      </c>
      <c r="C182" s="24">
        <v>45728</v>
      </c>
      <c r="D182" t="s">
        <v>806</v>
      </c>
      <c r="E182" t="s">
        <v>807</v>
      </c>
      <c r="G182" t="s">
        <v>3037</v>
      </c>
      <c r="H182" t="s">
        <v>1607</v>
      </c>
      <c r="I182" t="s">
        <v>1608</v>
      </c>
      <c r="J182" s="11" t="str">
        <f>+LEFT(U182,4)</f>
        <v>BAG-</v>
      </c>
      <c r="K182" t="s">
        <v>10</v>
      </c>
      <c r="L182">
        <v>30000</v>
      </c>
      <c r="M182" t="s">
        <v>1472</v>
      </c>
      <c r="N182" t="s">
        <v>11</v>
      </c>
      <c r="O182">
        <v>0.17299999999999999</v>
      </c>
      <c r="P182" s="12">
        <f>ROUND(O182*L182,2)</f>
        <v>5190</v>
      </c>
      <c r="Q182" s="13">
        <f>IF(N182="HKD",7.8,IF(N182="CNY",7.30034,1))</f>
        <v>7.3003400000000003</v>
      </c>
      <c r="R182" s="15">
        <f>+ROUND(O182/Q182,4)</f>
        <v>2.3699999999999999E-2</v>
      </c>
      <c r="S182" s="14">
        <f>ROUND(R182*L182,2)</f>
        <v>711</v>
      </c>
      <c r="T182" s="15" t="s">
        <v>349</v>
      </c>
      <c r="U182" t="s">
        <v>810</v>
      </c>
    </row>
    <row r="183" spans="1:21" x14ac:dyDescent="0.2">
      <c r="A183" t="s">
        <v>2400</v>
      </c>
      <c r="B183" s="24">
        <v>45726</v>
      </c>
      <c r="C183" s="24">
        <v>45698</v>
      </c>
      <c r="D183" t="s">
        <v>235</v>
      </c>
      <c r="E183" t="s">
        <v>236</v>
      </c>
      <c r="G183" t="s">
        <v>2923</v>
      </c>
      <c r="H183" t="s">
        <v>1361</v>
      </c>
      <c r="I183" t="s">
        <v>1362</v>
      </c>
      <c r="J183" s="11" t="str">
        <f>+LEFT(U183,4)</f>
        <v>RIV-</v>
      </c>
      <c r="K183" t="s">
        <v>10</v>
      </c>
      <c r="L183">
        <v>10000</v>
      </c>
      <c r="M183" t="s">
        <v>1472</v>
      </c>
      <c r="N183" t="s">
        <v>11</v>
      </c>
      <c r="O183">
        <v>0.17649999999999999</v>
      </c>
      <c r="P183" s="12">
        <f>ROUND(O183*L183,2)</f>
        <v>1765</v>
      </c>
      <c r="Q183" s="13">
        <f>IF(N183="HKD",7.8,IF(N183="CNY",7.30034,1))</f>
        <v>7.3003400000000003</v>
      </c>
      <c r="R183" s="15">
        <f>+ROUND(O183/Q183,4)</f>
        <v>2.4199999999999999E-2</v>
      </c>
      <c r="S183" s="14">
        <f>ROUND(R183*L183,2)</f>
        <v>242</v>
      </c>
      <c r="T183" s="15" t="s">
        <v>349</v>
      </c>
      <c r="U183" t="s">
        <v>132</v>
      </c>
    </row>
    <row r="184" spans="1:21" x14ac:dyDescent="0.2">
      <c r="A184" t="s">
        <v>2641</v>
      </c>
      <c r="B184" s="24">
        <v>45744</v>
      </c>
      <c r="C184" s="24">
        <v>45721</v>
      </c>
      <c r="D184" t="s">
        <v>235</v>
      </c>
      <c r="E184" t="s">
        <v>236</v>
      </c>
      <c r="G184" t="s">
        <v>3021</v>
      </c>
      <c r="H184" t="s">
        <v>1361</v>
      </c>
      <c r="I184" t="s">
        <v>1362</v>
      </c>
      <c r="J184" s="11" t="str">
        <f>+LEFT(U184,4)</f>
        <v>RIV-</v>
      </c>
      <c r="K184" t="s">
        <v>10</v>
      </c>
      <c r="L184">
        <v>10000</v>
      </c>
      <c r="M184" t="s">
        <v>1472</v>
      </c>
      <c r="N184" t="s">
        <v>11</v>
      </c>
      <c r="O184">
        <v>0.17649999999999999</v>
      </c>
      <c r="P184" s="12">
        <f>ROUND(O184*L184,2)</f>
        <v>1765</v>
      </c>
      <c r="Q184" s="13">
        <f>IF(N184="HKD",7.8,IF(N184="CNY",7.30034,1))</f>
        <v>7.3003400000000003</v>
      </c>
      <c r="R184" s="15">
        <f>+ROUND(O184/Q184,4)</f>
        <v>2.4199999999999999E-2</v>
      </c>
      <c r="S184" s="14">
        <f>ROUND(R184*L184,2)</f>
        <v>242</v>
      </c>
      <c r="T184" s="15" t="s">
        <v>349</v>
      </c>
      <c r="U184" t="s">
        <v>132</v>
      </c>
    </row>
    <row r="185" spans="1:21" x14ac:dyDescent="0.2">
      <c r="A185" t="s">
        <v>2307</v>
      </c>
      <c r="B185" s="24">
        <v>45722</v>
      </c>
      <c r="C185" s="24">
        <v>45663</v>
      </c>
      <c r="D185" t="s">
        <v>2817</v>
      </c>
      <c r="E185" t="s">
        <v>2818</v>
      </c>
      <c r="G185" t="s">
        <v>2873</v>
      </c>
      <c r="H185" t="s">
        <v>3071</v>
      </c>
      <c r="I185" t="s">
        <v>3288</v>
      </c>
      <c r="J185" s="11" t="str">
        <f>+LEFT(U185,4)</f>
        <v>T&amp;G-</v>
      </c>
      <c r="K185" t="s">
        <v>10</v>
      </c>
      <c r="L185">
        <v>3500</v>
      </c>
      <c r="M185" t="s">
        <v>1472</v>
      </c>
      <c r="N185" t="s">
        <v>2246</v>
      </c>
      <c r="O185">
        <v>0.18</v>
      </c>
      <c r="P185" s="12">
        <f>ROUND(O185*L185,2)</f>
        <v>630</v>
      </c>
      <c r="Q185" s="13">
        <f>IF(N185="HKD",7.8,IF(N185="CNY",7.30034,1))</f>
        <v>1</v>
      </c>
      <c r="R185" s="15">
        <f>+ROUND(O185/Q185,4)</f>
        <v>0.18</v>
      </c>
      <c r="S185" s="14">
        <f>ROUND(R185*L185,2)</f>
        <v>630</v>
      </c>
      <c r="T185" s="15" t="s">
        <v>349</v>
      </c>
      <c r="U185" t="s">
        <v>2245</v>
      </c>
    </row>
    <row r="186" spans="1:21" x14ac:dyDescent="0.2">
      <c r="A186" t="s">
        <v>2454</v>
      </c>
      <c r="B186" s="24">
        <v>45726</v>
      </c>
      <c r="C186" s="24">
        <v>45705</v>
      </c>
      <c r="D186" t="s">
        <v>2817</v>
      </c>
      <c r="E186" t="s">
        <v>2818</v>
      </c>
      <c r="G186" t="s">
        <v>2941</v>
      </c>
      <c r="H186" t="s">
        <v>3071</v>
      </c>
      <c r="I186" t="s">
        <v>3288</v>
      </c>
      <c r="J186" s="11" t="str">
        <f>+LEFT(U186,4)</f>
        <v>T&amp;G-</v>
      </c>
      <c r="K186" t="s">
        <v>10</v>
      </c>
      <c r="L186">
        <v>1000</v>
      </c>
      <c r="M186" t="s">
        <v>1472</v>
      </c>
      <c r="N186" t="s">
        <v>2246</v>
      </c>
      <c r="O186">
        <v>0.18</v>
      </c>
      <c r="P186" s="12">
        <f>ROUND(O186*L186,2)</f>
        <v>180</v>
      </c>
      <c r="Q186" s="13">
        <f>IF(N186="HKD",7.8,IF(N186="CNY",7.30034,1))</f>
        <v>1</v>
      </c>
      <c r="R186" s="15">
        <f>+ROUND(O186/Q186,4)</f>
        <v>0.18</v>
      </c>
      <c r="S186" s="14">
        <f>ROUND(R186*L186,2)</f>
        <v>180</v>
      </c>
      <c r="T186" s="15" t="s">
        <v>349</v>
      </c>
      <c r="U186" t="s">
        <v>2245</v>
      </c>
    </row>
    <row r="187" spans="1:21" x14ac:dyDescent="0.2">
      <c r="A187" t="s">
        <v>2439</v>
      </c>
      <c r="B187" s="24">
        <v>45733</v>
      </c>
      <c r="C187" s="24">
        <v>45702</v>
      </c>
      <c r="D187" t="s">
        <v>28</v>
      </c>
      <c r="E187" t="s">
        <v>29</v>
      </c>
      <c r="G187" t="s">
        <v>2936</v>
      </c>
      <c r="H187" t="s">
        <v>1175</v>
      </c>
      <c r="I187" t="s">
        <v>1176</v>
      </c>
      <c r="J187" s="11" t="str">
        <f>+LEFT(U187,4)</f>
        <v>MISC</v>
      </c>
      <c r="K187" t="s">
        <v>10</v>
      </c>
      <c r="L187">
        <v>4320</v>
      </c>
      <c r="M187" t="s">
        <v>1472</v>
      </c>
      <c r="N187" t="s">
        <v>11</v>
      </c>
      <c r="O187">
        <v>0.18160000000000001</v>
      </c>
      <c r="P187" s="12">
        <f>ROUND(O187*L187,2)</f>
        <v>784.51</v>
      </c>
      <c r="Q187" s="13">
        <f>IF(N187="HKD",7.8,IF(N187="CNY",7.30034,1))</f>
        <v>7.3003400000000003</v>
      </c>
      <c r="R187" s="15">
        <f>+ROUND(O187/Q187,4)</f>
        <v>2.4899999999999999E-2</v>
      </c>
      <c r="S187" s="14">
        <f>ROUND(R187*L187,2)</f>
        <v>107.57</v>
      </c>
      <c r="T187" s="15" t="s">
        <v>349</v>
      </c>
      <c r="U187" t="s">
        <v>25</v>
      </c>
    </row>
    <row r="188" spans="1:21" x14ac:dyDescent="0.2">
      <c r="A188" t="s">
        <v>2751</v>
      </c>
      <c r="B188" s="24">
        <v>45740</v>
      </c>
      <c r="C188" s="24">
        <v>45729</v>
      </c>
      <c r="D188" t="s">
        <v>806</v>
      </c>
      <c r="E188" t="s">
        <v>807</v>
      </c>
      <c r="G188" t="s">
        <v>3037</v>
      </c>
      <c r="H188" t="s">
        <v>3248</v>
      </c>
      <c r="I188" t="s">
        <v>3455</v>
      </c>
      <c r="J188" s="11" t="str">
        <f>+LEFT(U188,4)</f>
        <v>BAG-</v>
      </c>
      <c r="K188" t="s">
        <v>10</v>
      </c>
      <c r="L188">
        <v>3000</v>
      </c>
      <c r="M188" t="s">
        <v>1472</v>
      </c>
      <c r="N188" t="s">
        <v>11</v>
      </c>
      <c r="O188">
        <v>0.185</v>
      </c>
      <c r="P188" s="12">
        <f>ROUND(O188*L188,2)</f>
        <v>555</v>
      </c>
      <c r="Q188" s="13">
        <f>IF(N188="HKD",7.8,IF(N188="CNY",7.30034,1))</f>
        <v>7.3003400000000003</v>
      </c>
      <c r="R188" s="15">
        <f>+ROUND(O188/Q188,4)</f>
        <v>2.53E-2</v>
      </c>
      <c r="S188" s="14">
        <f>ROUND(R188*L188,2)</f>
        <v>75.900000000000006</v>
      </c>
      <c r="T188" s="15" t="s">
        <v>349</v>
      </c>
      <c r="U188" t="s">
        <v>810</v>
      </c>
    </row>
    <row r="189" spans="1:21" x14ac:dyDescent="0.2">
      <c r="A189" t="s">
        <v>2575</v>
      </c>
      <c r="B189" s="24">
        <v>45741</v>
      </c>
      <c r="C189" s="24">
        <v>45716</v>
      </c>
      <c r="D189" t="s">
        <v>28</v>
      </c>
      <c r="E189" t="s">
        <v>29</v>
      </c>
      <c r="G189" t="s">
        <v>3001</v>
      </c>
      <c r="H189" t="s">
        <v>1175</v>
      </c>
      <c r="I189" t="s">
        <v>1176</v>
      </c>
      <c r="J189" s="11" t="str">
        <f>+LEFT(U189,4)</f>
        <v>MISC</v>
      </c>
      <c r="K189" t="s">
        <v>10</v>
      </c>
      <c r="L189">
        <v>1700</v>
      </c>
      <c r="M189" t="s">
        <v>1472</v>
      </c>
      <c r="N189" t="s">
        <v>11</v>
      </c>
      <c r="O189">
        <v>0.18720000000000001</v>
      </c>
      <c r="P189" s="12">
        <f>ROUND(O189*L189,2)</f>
        <v>318.24</v>
      </c>
      <c r="Q189" s="13">
        <f>IF(N189="HKD",7.8,IF(N189="CNY",7.30034,1))</f>
        <v>7.3003400000000003</v>
      </c>
      <c r="R189" s="15">
        <f>+ROUND(O189/Q189,4)</f>
        <v>2.5600000000000001E-2</v>
      </c>
      <c r="S189" s="14">
        <f>ROUND(R189*L189,2)</f>
        <v>43.52</v>
      </c>
      <c r="T189" s="15" t="s">
        <v>349</v>
      </c>
      <c r="U189" t="s">
        <v>25</v>
      </c>
    </row>
    <row r="190" spans="1:21" x14ac:dyDescent="0.2">
      <c r="A190" t="s">
        <v>2306</v>
      </c>
      <c r="B190" s="24">
        <v>45722</v>
      </c>
      <c r="C190" s="24">
        <v>45663</v>
      </c>
      <c r="D190" t="s">
        <v>2817</v>
      </c>
      <c r="E190" t="s">
        <v>2818</v>
      </c>
      <c r="G190" t="s">
        <v>2873</v>
      </c>
      <c r="H190" t="s">
        <v>3070</v>
      </c>
      <c r="I190" t="s">
        <v>3287</v>
      </c>
      <c r="J190" s="11" t="str">
        <f>+LEFT(U190,4)</f>
        <v>T&amp;G-</v>
      </c>
      <c r="K190" t="s">
        <v>10</v>
      </c>
      <c r="L190">
        <v>3500</v>
      </c>
      <c r="M190" t="s">
        <v>1472</v>
      </c>
      <c r="N190" t="s">
        <v>2246</v>
      </c>
      <c r="O190">
        <v>0.2</v>
      </c>
      <c r="P190" s="12">
        <f>ROUND(O190*L190,2)</f>
        <v>700</v>
      </c>
      <c r="Q190" s="13">
        <f>IF(N190="HKD",7.8,IF(N190="CNY",7.30034,1))</f>
        <v>1</v>
      </c>
      <c r="R190" s="15">
        <f>+ROUND(O190/Q190,4)</f>
        <v>0.2</v>
      </c>
      <c r="S190" s="14">
        <f>ROUND(R190*L190,2)</f>
        <v>700</v>
      </c>
      <c r="T190" s="15" t="s">
        <v>349</v>
      </c>
      <c r="U190" t="s">
        <v>2245</v>
      </c>
    </row>
    <row r="191" spans="1:21" x14ac:dyDescent="0.2">
      <c r="A191" t="s">
        <v>2453</v>
      </c>
      <c r="B191" s="24">
        <v>45726</v>
      </c>
      <c r="C191" s="24">
        <v>45705</v>
      </c>
      <c r="D191" t="s">
        <v>2817</v>
      </c>
      <c r="E191" t="s">
        <v>2818</v>
      </c>
      <c r="G191" t="s">
        <v>2941</v>
      </c>
      <c r="H191" t="s">
        <v>3070</v>
      </c>
      <c r="I191" t="s">
        <v>3287</v>
      </c>
      <c r="J191" s="11" t="str">
        <f>+LEFT(U191,4)</f>
        <v>T&amp;G-</v>
      </c>
      <c r="K191" t="s">
        <v>10</v>
      </c>
      <c r="L191">
        <v>1000</v>
      </c>
      <c r="M191" t="s">
        <v>1472</v>
      </c>
      <c r="N191" t="s">
        <v>2246</v>
      </c>
      <c r="O191">
        <v>0.2</v>
      </c>
      <c r="P191" s="12">
        <f>ROUND(O191*L191,2)</f>
        <v>200</v>
      </c>
      <c r="Q191" s="13">
        <f>IF(N191="HKD",7.8,IF(N191="CNY",7.30034,1))</f>
        <v>1</v>
      </c>
      <c r="R191" s="15">
        <f>+ROUND(O191/Q191,4)</f>
        <v>0.2</v>
      </c>
      <c r="S191" s="14">
        <f>ROUND(R191*L191,2)</f>
        <v>200</v>
      </c>
      <c r="T191" s="15" t="s">
        <v>349</v>
      </c>
      <c r="U191" t="s">
        <v>2245</v>
      </c>
    </row>
    <row r="192" spans="1:21" x14ac:dyDescent="0.2">
      <c r="A192" t="s">
        <v>2764</v>
      </c>
      <c r="B192" s="24">
        <v>45743</v>
      </c>
      <c r="C192" s="24">
        <v>45730</v>
      </c>
      <c r="D192" t="s">
        <v>806</v>
      </c>
      <c r="E192" t="s">
        <v>807</v>
      </c>
      <c r="G192" t="s">
        <v>3048</v>
      </c>
      <c r="H192" t="s">
        <v>3252</v>
      </c>
      <c r="I192" t="s">
        <v>3459</v>
      </c>
      <c r="J192" s="11" t="str">
        <f>+LEFT(U192,4)</f>
        <v>BAG-</v>
      </c>
      <c r="K192" t="s">
        <v>10</v>
      </c>
      <c r="L192">
        <v>1000</v>
      </c>
      <c r="M192" t="s">
        <v>1472</v>
      </c>
      <c r="N192" t="s">
        <v>11</v>
      </c>
      <c r="O192">
        <v>0.215</v>
      </c>
      <c r="P192" s="12">
        <f>ROUND(O192*L192,2)</f>
        <v>215</v>
      </c>
      <c r="Q192" s="13">
        <f>IF(N192="HKD",7.8,IF(N192="CNY",7.30034,1))</f>
        <v>7.3003400000000003</v>
      </c>
      <c r="R192" s="15">
        <f>+ROUND(O192/Q192,4)</f>
        <v>2.9499999999999998E-2</v>
      </c>
      <c r="S192" s="14">
        <f>ROUND(R192*L192,2)</f>
        <v>29.5</v>
      </c>
      <c r="T192" s="15" t="s">
        <v>349</v>
      </c>
      <c r="U192" t="s">
        <v>810</v>
      </c>
    </row>
    <row r="193" spans="1:21" x14ac:dyDescent="0.2">
      <c r="A193" t="s">
        <v>2801</v>
      </c>
      <c r="B193" s="24">
        <v>45740</v>
      </c>
      <c r="C193" s="24">
        <v>45735</v>
      </c>
      <c r="D193" t="s">
        <v>101</v>
      </c>
      <c r="E193" t="s">
        <v>102</v>
      </c>
      <c r="G193" t="s">
        <v>3039</v>
      </c>
      <c r="H193" t="s">
        <v>3267</v>
      </c>
      <c r="I193" t="s">
        <v>3474</v>
      </c>
      <c r="J193" s="11" t="str">
        <f>+LEFT(U193,4)</f>
        <v>STKR</v>
      </c>
      <c r="K193" t="s">
        <v>10</v>
      </c>
      <c r="L193">
        <v>102</v>
      </c>
      <c r="M193" t="s">
        <v>1472</v>
      </c>
      <c r="N193" t="s">
        <v>11</v>
      </c>
      <c r="O193">
        <v>0.217</v>
      </c>
      <c r="P193" s="12">
        <f>ROUND(O193*L193,2)</f>
        <v>22.13</v>
      </c>
      <c r="Q193" s="13">
        <f>IF(N193="HKD",7.8,IF(N193="CNY",7.30034,1))</f>
        <v>7.3003400000000003</v>
      </c>
      <c r="R193" s="15">
        <f>+ROUND(O193/Q193,4)</f>
        <v>2.9700000000000001E-2</v>
      </c>
      <c r="S193" s="14">
        <f>ROUND(R193*L193,2)</f>
        <v>3.03</v>
      </c>
      <c r="T193" s="15" t="s">
        <v>349</v>
      </c>
      <c r="U193" t="s">
        <v>18</v>
      </c>
    </row>
    <row r="194" spans="1:21" x14ac:dyDescent="0.2">
      <c r="A194" t="s">
        <v>2543</v>
      </c>
      <c r="B194" s="24">
        <v>45719</v>
      </c>
      <c r="C194" s="24">
        <v>45714</v>
      </c>
      <c r="D194" t="s">
        <v>169</v>
      </c>
      <c r="E194" t="s">
        <v>170</v>
      </c>
      <c r="G194" t="s">
        <v>2959</v>
      </c>
      <c r="H194" t="s">
        <v>3167</v>
      </c>
      <c r="I194" t="s">
        <v>3377</v>
      </c>
      <c r="J194" s="11" t="str">
        <f>+LEFT(U194,4)</f>
        <v>U&amp;C-</v>
      </c>
      <c r="K194" t="s">
        <v>10</v>
      </c>
      <c r="L194">
        <v>3000</v>
      </c>
      <c r="M194" t="s">
        <v>1472</v>
      </c>
      <c r="N194" t="s">
        <v>11</v>
      </c>
      <c r="O194">
        <v>0.21929999999999999</v>
      </c>
      <c r="P194" s="12">
        <f>ROUND(O194*L194,2)</f>
        <v>657.9</v>
      </c>
      <c r="Q194" s="13">
        <f>IF(N194="HKD",7.8,IF(N194="CNY",7.30034,1))</f>
        <v>7.3003400000000003</v>
      </c>
      <c r="R194" s="15">
        <f>+ROUND(O194/Q194,4)</f>
        <v>0.03</v>
      </c>
      <c r="S194" s="14">
        <f>ROUND(R194*L194,2)</f>
        <v>90</v>
      </c>
      <c r="T194" s="15" t="s">
        <v>349</v>
      </c>
      <c r="U194" t="s">
        <v>177</v>
      </c>
    </row>
    <row r="195" spans="1:21" x14ac:dyDescent="0.2">
      <c r="A195" t="s">
        <v>2478</v>
      </c>
      <c r="B195" s="24">
        <v>45719</v>
      </c>
      <c r="C195" s="24">
        <v>45709</v>
      </c>
      <c r="D195" t="s">
        <v>169</v>
      </c>
      <c r="E195" t="s">
        <v>170</v>
      </c>
      <c r="G195" t="s">
        <v>2921</v>
      </c>
      <c r="H195" t="s">
        <v>3145</v>
      </c>
      <c r="I195" t="s">
        <v>3355</v>
      </c>
      <c r="J195" s="11" t="str">
        <f>+LEFT(U195,4)</f>
        <v>U&amp;C-</v>
      </c>
      <c r="K195" t="s">
        <v>10</v>
      </c>
      <c r="L195">
        <v>5000</v>
      </c>
      <c r="M195" t="s">
        <v>1472</v>
      </c>
      <c r="N195" t="s">
        <v>11</v>
      </c>
      <c r="O195">
        <v>0.222</v>
      </c>
      <c r="P195" s="12">
        <f>ROUND(O195*L195,2)</f>
        <v>1110</v>
      </c>
      <c r="Q195" s="13">
        <f>IF(N195="HKD",7.8,IF(N195="CNY",7.30034,1))</f>
        <v>7.3003400000000003</v>
      </c>
      <c r="R195" s="15">
        <f>+ROUND(O195/Q195,4)</f>
        <v>3.04E-2</v>
      </c>
      <c r="S195" s="14">
        <f>ROUND(R195*L195,2)</f>
        <v>152</v>
      </c>
      <c r="T195" s="15" t="s">
        <v>349</v>
      </c>
      <c r="U195" t="s">
        <v>177</v>
      </c>
    </row>
    <row r="196" spans="1:21" x14ac:dyDescent="0.2">
      <c r="A196" t="s">
        <v>2513</v>
      </c>
      <c r="B196" s="24">
        <v>45719</v>
      </c>
      <c r="C196" s="24">
        <v>45713</v>
      </c>
      <c r="D196" t="s">
        <v>169</v>
      </c>
      <c r="E196" t="s">
        <v>170</v>
      </c>
      <c r="G196" t="s">
        <v>2959</v>
      </c>
      <c r="H196" t="s">
        <v>3156</v>
      </c>
      <c r="I196" t="s">
        <v>3366</v>
      </c>
      <c r="J196" s="11" t="str">
        <f>+LEFT(U196,4)</f>
        <v>U&amp;C-</v>
      </c>
      <c r="K196" t="s">
        <v>10</v>
      </c>
      <c r="L196">
        <v>1010</v>
      </c>
      <c r="M196" t="s">
        <v>1472</v>
      </c>
      <c r="N196" t="s">
        <v>11</v>
      </c>
      <c r="O196">
        <v>0.22839999999999999</v>
      </c>
      <c r="P196" s="12">
        <f>ROUND(O196*L196,2)</f>
        <v>230.68</v>
      </c>
      <c r="Q196" s="13">
        <f>IF(N196="HKD",7.8,IF(N196="CNY",7.30034,1))</f>
        <v>7.3003400000000003</v>
      </c>
      <c r="R196" s="15">
        <f>+ROUND(O196/Q196,4)</f>
        <v>3.1300000000000001E-2</v>
      </c>
      <c r="S196" s="14">
        <f>ROUND(R196*L196,2)</f>
        <v>31.61</v>
      </c>
      <c r="T196" s="15" t="s">
        <v>349</v>
      </c>
      <c r="U196" t="s">
        <v>177</v>
      </c>
    </row>
    <row r="197" spans="1:21" x14ac:dyDescent="0.2">
      <c r="A197" t="s">
        <v>2515</v>
      </c>
      <c r="B197" s="24">
        <v>45726</v>
      </c>
      <c r="C197" s="24">
        <v>45713</v>
      </c>
      <c r="D197" t="s">
        <v>169</v>
      </c>
      <c r="E197" t="s">
        <v>170</v>
      </c>
      <c r="G197" t="s">
        <v>2961</v>
      </c>
      <c r="H197" t="s">
        <v>1098</v>
      </c>
      <c r="I197" t="s">
        <v>1099</v>
      </c>
      <c r="J197" s="11" t="str">
        <f>+LEFT(U197,4)</f>
        <v>PAP-</v>
      </c>
      <c r="K197" t="s">
        <v>10</v>
      </c>
      <c r="L197">
        <v>10000</v>
      </c>
      <c r="M197" t="s">
        <v>1472</v>
      </c>
      <c r="N197" t="s">
        <v>11</v>
      </c>
      <c r="O197">
        <v>0.23</v>
      </c>
      <c r="P197" s="12">
        <f>ROUND(O197*L197,2)</f>
        <v>2300</v>
      </c>
      <c r="Q197" s="13">
        <f>IF(N197="HKD",7.8,IF(N197="CNY",7.30034,1))</f>
        <v>7.3003400000000003</v>
      </c>
      <c r="R197" s="15">
        <f>+ROUND(O197/Q197,4)</f>
        <v>3.15E-2</v>
      </c>
      <c r="S197" s="14">
        <f>ROUND(R197*L197,2)</f>
        <v>315</v>
      </c>
      <c r="T197" s="15" t="s">
        <v>349</v>
      </c>
      <c r="U197" t="s">
        <v>1094</v>
      </c>
    </row>
    <row r="198" spans="1:21" x14ac:dyDescent="0.2">
      <c r="A198" t="s">
        <v>2305</v>
      </c>
      <c r="B198" s="24">
        <v>45722</v>
      </c>
      <c r="C198" s="24">
        <v>45663</v>
      </c>
      <c r="D198" t="s">
        <v>2817</v>
      </c>
      <c r="E198" t="s">
        <v>2818</v>
      </c>
      <c r="G198" t="s">
        <v>2873</v>
      </c>
      <c r="H198" t="s">
        <v>3069</v>
      </c>
      <c r="I198" t="s">
        <v>3286</v>
      </c>
      <c r="J198" s="11" t="str">
        <f>+LEFT(U198,4)</f>
        <v>T&amp;G-</v>
      </c>
      <c r="K198" t="s">
        <v>10</v>
      </c>
      <c r="L198">
        <v>3500</v>
      </c>
      <c r="M198" t="s">
        <v>1472</v>
      </c>
      <c r="N198" t="s">
        <v>2246</v>
      </c>
      <c r="O198">
        <v>0.23</v>
      </c>
      <c r="P198" s="12">
        <f>ROUND(O198*L198,2)</f>
        <v>805</v>
      </c>
      <c r="Q198" s="13">
        <f>IF(N198="HKD",7.8,IF(N198="CNY",7.30034,1))</f>
        <v>1</v>
      </c>
      <c r="R198" s="15">
        <f>+ROUND(O198/Q198,4)</f>
        <v>0.23</v>
      </c>
      <c r="S198" s="14">
        <f>ROUND(R198*L198,2)</f>
        <v>805</v>
      </c>
      <c r="T198" s="15" t="s">
        <v>349</v>
      </c>
      <c r="U198" t="s">
        <v>2245</v>
      </c>
    </row>
    <row r="199" spans="1:21" x14ac:dyDescent="0.2">
      <c r="A199" t="s">
        <v>2452</v>
      </c>
      <c r="B199" s="24">
        <v>45726</v>
      </c>
      <c r="C199" s="24">
        <v>45705</v>
      </c>
      <c r="D199" t="s">
        <v>2817</v>
      </c>
      <c r="E199" t="s">
        <v>2818</v>
      </c>
      <c r="G199" t="s">
        <v>2941</v>
      </c>
      <c r="H199" t="s">
        <v>3069</v>
      </c>
      <c r="I199" t="s">
        <v>3286</v>
      </c>
      <c r="J199" s="11" t="str">
        <f>+LEFT(U199,4)</f>
        <v>T&amp;G-</v>
      </c>
      <c r="K199" t="s">
        <v>10</v>
      </c>
      <c r="L199">
        <v>1000</v>
      </c>
      <c r="M199" t="s">
        <v>1472</v>
      </c>
      <c r="N199" t="s">
        <v>2246</v>
      </c>
      <c r="O199">
        <v>0.23</v>
      </c>
      <c r="P199" s="12">
        <f>ROUND(O199*L199,2)</f>
        <v>230</v>
      </c>
      <c r="Q199" s="13">
        <f>IF(N199="HKD",7.8,IF(N199="CNY",7.30034,1))</f>
        <v>1</v>
      </c>
      <c r="R199" s="15">
        <f>+ROUND(O199/Q199,4)</f>
        <v>0.23</v>
      </c>
      <c r="S199" s="14">
        <f>ROUND(R199*L199,2)</f>
        <v>230</v>
      </c>
      <c r="T199" s="15" t="s">
        <v>349</v>
      </c>
      <c r="U199" t="s">
        <v>2245</v>
      </c>
    </row>
    <row r="200" spans="1:21" x14ac:dyDescent="0.2">
      <c r="A200" t="s">
        <v>2396</v>
      </c>
      <c r="B200" s="24">
        <v>45719</v>
      </c>
      <c r="C200" s="24">
        <v>45695</v>
      </c>
      <c r="D200" t="s">
        <v>169</v>
      </c>
      <c r="E200" t="s">
        <v>170</v>
      </c>
      <c r="G200" t="s">
        <v>2921</v>
      </c>
      <c r="H200" t="s">
        <v>3096</v>
      </c>
      <c r="I200" t="s">
        <v>3311</v>
      </c>
      <c r="J200" s="11" t="str">
        <f>+LEFT(U200,4)</f>
        <v>U&amp;C-</v>
      </c>
      <c r="K200" t="s">
        <v>10</v>
      </c>
      <c r="L200">
        <v>9100</v>
      </c>
      <c r="M200" t="s">
        <v>1472</v>
      </c>
      <c r="N200" t="s">
        <v>11</v>
      </c>
      <c r="O200">
        <v>0.23799999999999999</v>
      </c>
      <c r="P200" s="12">
        <f>ROUND(O200*L200,2)</f>
        <v>2165.8000000000002</v>
      </c>
      <c r="Q200" s="13">
        <f>IF(N200="HKD",7.8,IF(N200="CNY",7.30034,1))</f>
        <v>7.3003400000000003</v>
      </c>
      <c r="R200" s="15">
        <f>+ROUND(O200/Q200,4)</f>
        <v>3.2599999999999997E-2</v>
      </c>
      <c r="S200" s="14">
        <f>ROUND(R200*L200,2)</f>
        <v>296.66000000000003</v>
      </c>
      <c r="T200" s="15" t="s">
        <v>349</v>
      </c>
      <c r="U200" t="s">
        <v>177</v>
      </c>
    </row>
    <row r="201" spans="1:21" x14ac:dyDescent="0.2">
      <c r="A201" t="s">
        <v>2630</v>
      </c>
      <c r="B201" s="24">
        <v>45744</v>
      </c>
      <c r="C201" s="24">
        <v>45721</v>
      </c>
      <c r="D201" t="s">
        <v>21</v>
      </c>
      <c r="E201" t="s">
        <v>22</v>
      </c>
      <c r="G201" t="s">
        <v>2999</v>
      </c>
      <c r="H201" t="s">
        <v>19</v>
      </c>
      <c r="I201" t="s">
        <v>20</v>
      </c>
      <c r="J201" s="11" t="str">
        <f>+LEFT(U201,4)</f>
        <v>MISC</v>
      </c>
      <c r="K201" t="s">
        <v>10</v>
      </c>
      <c r="L201">
        <v>2100</v>
      </c>
      <c r="M201" t="s">
        <v>1472</v>
      </c>
      <c r="N201" t="s">
        <v>11</v>
      </c>
      <c r="O201">
        <v>0.24679999999999999</v>
      </c>
      <c r="P201" s="12">
        <f>ROUND(O201*L201,2)</f>
        <v>518.28</v>
      </c>
      <c r="Q201" s="13">
        <f>IF(N201="HKD",7.8,IF(N201="CNY",7.30034,1))</f>
        <v>7.3003400000000003</v>
      </c>
      <c r="R201" s="15">
        <f>+ROUND(O201/Q201,4)</f>
        <v>3.3799999999999997E-2</v>
      </c>
      <c r="S201" s="14">
        <f>ROUND(R201*L201,2)</f>
        <v>70.98</v>
      </c>
      <c r="T201" s="15" t="s">
        <v>349</v>
      </c>
      <c r="U201" t="s">
        <v>25</v>
      </c>
    </row>
    <row r="202" spans="1:21" x14ac:dyDescent="0.2">
      <c r="A202" t="s">
        <v>2520</v>
      </c>
      <c r="B202" s="24">
        <v>45719</v>
      </c>
      <c r="C202" s="24">
        <v>45713</v>
      </c>
      <c r="D202" t="s">
        <v>169</v>
      </c>
      <c r="E202" t="s">
        <v>170</v>
      </c>
      <c r="G202" t="s">
        <v>2959</v>
      </c>
      <c r="H202" t="s">
        <v>3159</v>
      </c>
      <c r="I202" t="s">
        <v>3369</v>
      </c>
      <c r="J202" s="11" t="str">
        <f>+LEFT(U202,4)</f>
        <v>U&amp;C-</v>
      </c>
      <c r="K202" t="s">
        <v>10</v>
      </c>
      <c r="L202">
        <v>5530</v>
      </c>
      <c r="M202" t="s">
        <v>1472</v>
      </c>
      <c r="N202" t="s">
        <v>11</v>
      </c>
      <c r="O202">
        <v>0.252</v>
      </c>
      <c r="P202" s="12">
        <f>ROUND(O202*L202,2)</f>
        <v>1393.56</v>
      </c>
      <c r="Q202" s="13">
        <f>IF(N202="HKD",7.8,IF(N202="CNY",7.30034,1))</f>
        <v>7.3003400000000003</v>
      </c>
      <c r="R202" s="15">
        <f>+ROUND(O202/Q202,4)</f>
        <v>3.4500000000000003E-2</v>
      </c>
      <c r="S202" s="14">
        <f>ROUND(R202*L202,2)</f>
        <v>190.79</v>
      </c>
      <c r="T202" s="15" t="s">
        <v>349</v>
      </c>
      <c r="U202" t="s">
        <v>177</v>
      </c>
    </row>
    <row r="203" spans="1:21" x14ac:dyDescent="0.2">
      <c r="A203" t="s">
        <v>2479</v>
      </c>
      <c r="B203" s="24">
        <v>45733</v>
      </c>
      <c r="C203" s="24">
        <v>45709</v>
      </c>
      <c r="D203" t="s">
        <v>169</v>
      </c>
      <c r="E203" t="s">
        <v>170</v>
      </c>
      <c r="G203" t="s">
        <v>2948</v>
      </c>
      <c r="H203" t="s">
        <v>1104</v>
      </c>
      <c r="I203" t="s">
        <v>1105</v>
      </c>
      <c r="J203" s="11" t="str">
        <f>+LEFT(U203,4)</f>
        <v>WACD</v>
      </c>
      <c r="K203" t="s">
        <v>10</v>
      </c>
      <c r="L203">
        <v>1000</v>
      </c>
      <c r="M203" t="s">
        <v>1472</v>
      </c>
      <c r="N203" t="s">
        <v>11</v>
      </c>
      <c r="O203">
        <v>0.26800000000000002</v>
      </c>
      <c r="P203" s="12">
        <f>ROUND(O203*L203,2)</f>
        <v>268</v>
      </c>
      <c r="Q203" s="13">
        <f>IF(N203="HKD",7.8,IF(N203="CNY",7.30034,1))</f>
        <v>7.3003400000000003</v>
      </c>
      <c r="R203" s="15">
        <f>+ROUND(O203/Q203,4)</f>
        <v>3.6700000000000003E-2</v>
      </c>
      <c r="S203" s="14">
        <f>ROUND(R203*L203,2)</f>
        <v>36.700000000000003</v>
      </c>
      <c r="T203" s="15" t="s">
        <v>349</v>
      </c>
      <c r="U203" t="s">
        <v>635</v>
      </c>
    </row>
    <row r="204" spans="1:21" x14ac:dyDescent="0.2">
      <c r="A204" s="19" t="s">
        <v>823</v>
      </c>
      <c r="B204" s="20">
        <v>45666</v>
      </c>
      <c r="C204" s="20">
        <v>45650</v>
      </c>
      <c r="D204" s="19" t="s">
        <v>806</v>
      </c>
      <c r="E204" s="19" t="s">
        <v>807</v>
      </c>
      <c r="G204" s="19" t="s">
        <v>809</v>
      </c>
      <c r="H204" s="19" t="s">
        <v>821</v>
      </c>
      <c r="I204" s="19" t="s">
        <v>822</v>
      </c>
      <c r="J204" s="11" t="str">
        <f>+LEFT(U204,4)</f>
        <v>BAG-</v>
      </c>
      <c r="K204" s="19" t="s">
        <v>10</v>
      </c>
      <c r="L204" s="19">
        <v>5000</v>
      </c>
      <c r="M204" s="19" t="s">
        <v>1472</v>
      </c>
      <c r="N204" s="19" t="s">
        <v>11</v>
      </c>
      <c r="O204" s="26">
        <v>0.08</v>
      </c>
      <c r="P204" s="12">
        <f>ROUND(O204*L204,2)</f>
        <v>400</v>
      </c>
      <c r="Q204" s="13">
        <f>IF(N204="HKD",7.8,IF(N204="CNY",7.30034,1))</f>
        <v>7.3003400000000003</v>
      </c>
      <c r="R204" s="15">
        <f>+ROUND(O204/Q204,4)</f>
        <v>1.0999999999999999E-2</v>
      </c>
      <c r="S204" s="14">
        <f>ROUND(R204*L204,2)</f>
        <v>55</v>
      </c>
      <c r="T204" s="15" t="s">
        <v>349</v>
      </c>
      <c r="U204" s="19" t="s">
        <v>810</v>
      </c>
    </row>
    <row r="205" spans="1:21" x14ac:dyDescent="0.2">
      <c r="A205" s="19" t="s">
        <v>819</v>
      </c>
      <c r="B205" s="20">
        <v>45666</v>
      </c>
      <c r="C205" s="20">
        <v>45650</v>
      </c>
      <c r="D205" s="19" t="s">
        <v>806</v>
      </c>
      <c r="E205" s="19" t="s">
        <v>807</v>
      </c>
      <c r="G205" s="19" t="s">
        <v>809</v>
      </c>
      <c r="H205" s="19" t="s">
        <v>817</v>
      </c>
      <c r="I205" s="19" t="s">
        <v>818</v>
      </c>
      <c r="J205" s="11" t="str">
        <f>+LEFT(U205,4)</f>
        <v>BAG-</v>
      </c>
      <c r="K205" s="19" t="s">
        <v>10</v>
      </c>
      <c r="L205" s="19">
        <v>5000</v>
      </c>
      <c r="M205" s="19" t="s">
        <v>1472</v>
      </c>
      <c r="N205" s="19" t="s">
        <v>11</v>
      </c>
      <c r="O205" s="26">
        <v>8.5000000000000006E-2</v>
      </c>
      <c r="P205" s="12">
        <f>ROUND(O205*L205,2)</f>
        <v>425</v>
      </c>
      <c r="Q205" s="13">
        <f>IF(N205="HKD",7.8,IF(N205="CNY",7.30034,1))</f>
        <v>7.3003400000000003</v>
      </c>
      <c r="R205" s="15">
        <f>+ROUND(O205/Q205,4)</f>
        <v>1.1599999999999999E-2</v>
      </c>
      <c r="S205" s="14">
        <f>ROUND(R205*L205,2)</f>
        <v>58</v>
      </c>
      <c r="T205" s="15" t="s">
        <v>349</v>
      </c>
      <c r="U205" s="19" t="s">
        <v>810</v>
      </c>
    </row>
    <row r="206" spans="1:21" x14ac:dyDescent="0.2">
      <c r="A206" s="19" t="s">
        <v>808</v>
      </c>
      <c r="B206" s="20">
        <v>45666</v>
      </c>
      <c r="C206" s="20">
        <v>45650</v>
      </c>
      <c r="D206" s="19" t="s">
        <v>806</v>
      </c>
      <c r="E206" s="19" t="s">
        <v>807</v>
      </c>
      <c r="G206" s="19" t="s">
        <v>809</v>
      </c>
      <c r="H206" s="19" t="s">
        <v>804</v>
      </c>
      <c r="I206" s="19" t="s">
        <v>805</v>
      </c>
      <c r="J206" s="11" t="str">
        <f>+LEFT(U206,4)</f>
        <v>BAG-</v>
      </c>
      <c r="K206" s="19" t="s">
        <v>10</v>
      </c>
      <c r="L206" s="19">
        <v>7000</v>
      </c>
      <c r="M206" s="19" t="s">
        <v>1472</v>
      </c>
      <c r="N206" s="19" t="s">
        <v>11</v>
      </c>
      <c r="O206" s="26">
        <v>0.152</v>
      </c>
      <c r="P206" s="12">
        <f>ROUND(O206*L206,2)</f>
        <v>1064</v>
      </c>
      <c r="Q206" s="13">
        <f>IF(N206="HKD",7.8,IF(N206="CNY",7.30034,1))</f>
        <v>7.3003400000000003</v>
      </c>
      <c r="R206" s="15">
        <f>+ROUND(O206/Q206,4)</f>
        <v>2.0799999999999999E-2</v>
      </c>
      <c r="S206" s="14">
        <f>ROUND(R206*L206,2)</f>
        <v>145.6</v>
      </c>
      <c r="T206" s="15" t="s">
        <v>349</v>
      </c>
      <c r="U206" s="19" t="s">
        <v>810</v>
      </c>
    </row>
    <row r="207" spans="1:21" x14ac:dyDescent="0.2">
      <c r="A207" t="s">
        <v>1834</v>
      </c>
      <c r="B207" s="24">
        <v>45708</v>
      </c>
      <c r="C207" s="24">
        <v>45674</v>
      </c>
      <c r="D207" t="s">
        <v>806</v>
      </c>
      <c r="E207" t="s">
        <v>807</v>
      </c>
      <c r="G207" t="s">
        <v>2142</v>
      </c>
      <c r="H207" s="19" t="s">
        <v>1567</v>
      </c>
      <c r="I207" s="19" t="s">
        <v>1568</v>
      </c>
      <c r="J207" s="11" t="str">
        <f>+LEFT(U207,4)</f>
        <v>BAG-</v>
      </c>
      <c r="K207" t="s">
        <v>10</v>
      </c>
      <c r="L207" s="19">
        <v>10000</v>
      </c>
      <c r="M207" t="s">
        <v>1472</v>
      </c>
      <c r="N207" t="s">
        <v>11</v>
      </c>
      <c r="O207" s="26">
        <v>5.2999999999999999E-2</v>
      </c>
      <c r="P207" s="12">
        <f>ROUND(O207*L207,2)</f>
        <v>530</v>
      </c>
      <c r="Q207" s="13">
        <f>IF(N207="HKD",7.8,IF(N207="CNY",7.30034,1))</f>
        <v>7.3003400000000003</v>
      </c>
      <c r="R207" s="15">
        <f>+ROUND(O207/Q207,4)</f>
        <v>7.3000000000000001E-3</v>
      </c>
      <c r="S207" s="14">
        <f>ROUND(R207*L207,2)</f>
        <v>73</v>
      </c>
      <c r="T207" s="15" t="s">
        <v>349</v>
      </c>
      <c r="U207" t="s">
        <v>810</v>
      </c>
    </row>
    <row r="208" spans="1:21" x14ac:dyDescent="0.2">
      <c r="A208" t="s">
        <v>1835</v>
      </c>
      <c r="B208" s="24">
        <v>45708</v>
      </c>
      <c r="C208" s="24">
        <v>45674</v>
      </c>
      <c r="D208" t="s">
        <v>806</v>
      </c>
      <c r="E208" t="s">
        <v>807</v>
      </c>
      <c r="G208" t="s">
        <v>2143</v>
      </c>
      <c r="H208" s="19" t="s">
        <v>1569</v>
      </c>
      <c r="I208" s="19" t="s">
        <v>1570</v>
      </c>
      <c r="J208" s="11" t="str">
        <f>+LEFT(U208,4)</f>
        <v>BAG-</v>
      </c>
      <c r="K208" t="s">
        <v>10</v>
      </c>
      <c r="L208" s="19">
        <v>7160</v>
      </c>
      <c r="M208" t="s">
        <v>1472</v>
      </c>
      <c r="N208" t="s">
        <v>11</v>
      </c>
      <c r="O208" s="26">
        <v>0.06</v>
      </c>
      <c r="P208" s="12">
        <f>ROUND(O208*L208,2)</f>
        <v>429.6</v>
      </c>
      <c r="Q208" s="13">
        <f>IF(N208="HKD",7.8,IF(N208="CNY",7.30034,1))</f>
        <v>7.3003400000000003</v>
      </c>
      <c r="R208" s="15">
        <f>+ROUND(O208/Q208,4)</f>
        <v>8.2000000000000007E-3</v>
      </c>
      <c r="S208" s="14">
        <f>ROUND(R208*L208,2)</f>
        <v>58.71</v>
      </c>
      <c r="T208" s="15" t="s">
        <v>349</v>
      </c>
      <c r="U208" t="s">
        <v>810</v>
      </c>
    </row>
    <row r="209" spans="1:21" x14ac:dyDescent="0.2">
      <c r="A209" t="s">
        <v>1836</v>
      </c>
      <c r="B209" s="24">
        <v>45708</v>
      </c>
      <c r="C209" s="24">
        <v>45674</v>
      </c>
      <c r="D209" t="s">
        <v>806</v>
      </c>
      <c r="E209" t="s">
        <v>807</v>
      </c>
      <c r="G209" t="s">
        <v>2142</v>
      </c>
      <c r="H209" s="19" t="s">
        <v>1571</v>
      </c>
      <c r="I209" s="19" t="s">
        <v>1572</v>
      </c>
      <c r="J209" s="11" t="str">
        <f>+LEFT(U209,4)</f>
        <v>BAG-</v>
      </c>
      <c r="K209" t="s">
        <v>10</v>
      </c>
      <c r="L209" s="19">
        <v>7000</v>
      </c>
      <c r="M209" t="s">
        <v>1472</v>
      </c>
      <c r="N209" t="s">
        <v>11</v>
      </c>
      <c r="O209" s="26">
        <v>0.06</v>
      </c>
      <c r="P209" s="12">
        <f>ROUND(O209*L209,2)</f>
        <v>420</v>
      </c>
      <c r="Q209" s="13">
        <f>IF(N209="HKD",7.8,IF(N209="CNY",7.30034,1))</f>
        <v>7.3003400000000003</v>
      </c>
      <c r="R209" s="15">
        <f>+ROUND(O209/Q209,4)</f>
        <v>8.2000000000000007E-3</v>
      </c>
      <c r="S209" s="14">
        <f>ROUND(R209*L209,2)</f>
        <v>57.4</v>
      </c>
      <c r="T209" s="15" t="s">
        <v>349</v>
      </c>
      <c r="U209" t="s">
        <v>810</v>
      </c>
    </row>
    <row r="210" spans="1:21" x14ac:dyDescent="0.2">
      <c r="A210" t="s">
        <v>1841</v>
      </c>
      <c r="B210" s="24">
        <v>45708</v>
      </c>
      <c r="C210" s="24">
        <v>45667</v>
      </c>
      <c r="D210" t="s">
        <v>806</v>
      </c>
      <c r="E210" t="s">
        <v>807</v>
      </c>
      <c r="G210" t="s">
        <v>2142</v>
      </c>
      <c r="H210" s="19" t="s">
        <v>1579</v>
      </c>
      <c r="I210" s="19" t="s">
        <v>1580</v>
      </c>
      <c r="J210" s="11" t="str">
        <f>+LEFT(U210,4)</f>
        <v>BAG-</v>
      </c>
      <c r="K210" t="s">
        <v>10</v>
      </c>
      <c r="L210" s="19">
        <v>10000</v>
      </c>
      <c r="M210" t="s">
        <v>1472</v>
      </c>
      <c r="N210" t="s">
        <v>11</v>
      </c>
      <c r="O210" s="26">
        <v>0.08</v>
      </c>
      <c r="P210" s="12">
        <f>ROUND(O210*L210,2)</f>
        <v>800</v>
      </c>
      <c r="Q210" s="13">
        <f>IF(N210="HKD",7.8,IF(N210="CNY",7.30034,1))</f>
        <v>7.3003400000000003</v>
      </c>
      <c r="R210" s="15">
        <f>+ROUND(O210/Q210,4)</f>
        <v>1.0999999999999999E-2</v>
      </c>
      <c r="S210" s="14">
        <f>ROUND(R210*L210,2)</f>
        <v>110</v>
      </c>
      <c r="T210" s="15" t="s">
        <v>349</v>
      </c>
      <c r="U210" t="s">
        <v>810</v>
      </c>
    </row>
    <row r="211" spans="1:21" x14ac:dyDescent="0.2">
      <c r="A211" t="s">
        <v>1842</v>
      </c>
      <c r="B211" s="24">
        <v>45708</v>
      </c>
      <c r="C211" s="24">
        <v>45672</v>
      </c>
      <c r="D211" t="s">
        <v>806</v>
      </c>
      <c r="E211" t="s">
        <v>807</v>
      </c>
      <c r="G211" t="s">
        <v>2143</v>
      </c>
      <c r="H211" s="19" t="s">
        <v>821</v>
      </c>
      <c r="I211" s="19" t="s">
        <v>822</v>
      </c>
      <c r="J211" s="11" t="str">
        <f>+LEFT(U211,4)</f>
        <v>BAG-</v>
      </c>
      <c r="K211" t="s">
        <v>10</v>
      </c>
      <c r="L211" s="19">
        <v>3000</v>
      </c>
      <c r="M211" t="s">
        <v>1472</v>
      </c>
      <c r="N211" t="s">
        <v>11</v>
      </c>
      <c r="O211" s="26">
        <v>0.08</v>
      </c>
      <c r="P211" s="12">
        <f>ROUND(O211*L211,2)</f>
        <v>240</v>
      </c>
      <c r="Q211" s="13">
        <f>IF(N211="HKD",7.8,IF(N211="CNY",7.30034,1))</f>
        <v>7.3003400000000003</v>
      </c>
      <c r="R211" s="15">
        <f>+ROUND(O211/Q211,4)</f>
        <v>1.0999999999999999E-2</v>
      </c>
      <c r="S211" s="14">
        <f>ROUND(R211*L211,2)</f>
        <v>33</v>
      </c>
      <c r="T211" s="15" t="s">
        <v>349</v>
      </c>
      <c r="U211" t="s">
        <v>810</v>
      </c>
    </row>
    <row r="212" spans="1:21" x14ac:dyDescent="0.2">
      <c r="A212" t="s">
        <v>1844</v>
      </c>
      <c r="B212" s="24">
        <v>45708</v>
      </c>
      <c r="C212" s="24">
        <v>45667</v>
      </c>
      <c r="D212" t="s">
        <v>806</v>
      </c>
      <c r="E212" t="s">
        <v>807</v>
      </c>
      <c r="G212" t="s">
        <v>2142</v>
      </c>
      <c r="H212" s="19" t="s">
        <v>1583</v>
      </c>
      <c r="I212" s="19" t="s">
        <v>1584</v>
      </c>
      <c r="J212" s="11" t="str">
        <f>+LEFT(U212,4)</f>
        <v>BAG-</v>
      </c>
      <c r="K212" t="s">
        <v>10</v>
      </c>
      <c r="L212" s="19">
        <v>3000</v>
      </c>
      <c r="M212" t="s">
        <v>1472</v>
      </c>
      <c r="N212" t="s">
        <v>11</v>
      </c>
      <c r="O212" s="26">
        <v>8.5000000000000006E-2</v>
      </c>
      <c r="P212" s="12">
        <f>ROUND(O212*L212,2)</f>
        <v>255</v>
      </c>
      <c r="Q212" s="13">
        <f>IF(N212="HKD",7.8,IF(N212="CNY",7.30034,1))</f>
        <v>7.3003400000000003</v>
      </c>
      <c r="R212" s="15">
        <f>+ROUND(O212/Q212,4)</f>
        <v>1.1599999999999999E-2</v>
      </c>
      <c r="S212" s="14">
        <f>ROUND(R212*L212,2)</f>
        <v>34.799999999999997</v>
      </c>
      <c r="T212" s="15" t="s">
        <v>349</v>
      </c>
      <c r="U212" t="s">
        <v>810</v>
      </c>
    </row>
    <row r="213" spans="1:21" x14ac:dyDescent="0.2">
      <c r="A213" t="s">
        <v>1845</v>
      </c>
      <c r="B213" s="24">
        <v>45708</v>
      </c>
      <c r="C213" s="24">
        <v>45667</v>
      </c>
      <c r="D213" t="s">
        <v>806</v>
      </c>
      <c r="E213" t="s">
        <v>807</v>
      </c>
      <c r="G213" t="s">
        <v>2142</v>
      </c>
      <c r="H213" s="19" t="s">
        <v>1585</v>
      </c>
      <c r="I213" s="19" t="s">
        <v>1586</v>
      </c>
      <c r="J213" s="11" t="str">
        <f>+LEFT(U213,4)</f>
        <v>BAG-</v>
      </c>
      <c r="K213" t="s">
        <v>10</v>
      </c>
      <c r="L213" s="19">
        <v>10000</v>
      </c>
      <c r="M213" t="s">
        <v>1472</v>
      </c>
      <c r="N213" t="s">
        <v>11</v>
      </c>
      <c r="O213" s="26">
        <v>0.09</v>
      </c>
      <c r="P213" s="12">
        <f>ROUND(O213*L213,2)</f>
        <v>900</v>
      </c>
      <c r="Q213" s="13">
        <f>IF(N213="HKD",7.8,IF(N213="CNY",7.30034,1))</f>
        <v>7.3003400000000003</v>
      </c>
      <c r="R213" s="15">
        <f>+ROUND(O213/Q213,4)</f>
        <v>1.23E-2</v>
      </c>
      <c r="S213" s="14">
        <f>ROUND(R213*L213,2)</f>
        <v>123</v>
      </c>
      <c r="T213" s="15" t="s">
        <v>349</v>
      </c>
      <c r="U213" t="s">
        <v>810</v>
      </c>
    </row>
    <row r="214" spans="1:21" x14ac:dyDescent="0.2">
      <c r="A214" t="s">
        <v>1861</v>
      </c>
      <c r="B214" s="24">
        <v>45708</v>
      </c>
      <c r="C214" s="24">
        <v>45667</v>
      </c>
      <c r="D214" t="s">
        <v>806</v>
      </c>
      <c r="E214" t="s">
        <v>807</v>
      </c>
      <c r="G214" t="s">
        <v>2142</v>
      </c>
      <c r="H214" s="19" t="s">
        <v>1599</v>
      </c>
      <c r="I214" s="19" t="s">
        <v>1600</v>
      </c>
      <c r="J214" s="11" t="str">
        <f>+LEFT(U214,4)</f>
        <v>BAG-</v>
      </c>
      <c r="K214" t="s">
        <v>10</v>
      </c>
      <c r="L214" s="19">
        <v>10000</v>
      </c>
      <c r="M214" t="s">
        <v>1472</v>
      </c>
      <c r="N214" t="s">
        <v>11</v>
      </c>
      <c r="O214" s="26">
        <v>0.12</v>
      </c>
      <c r="P214" s="12">
        <f>ROUND(O214*L214,2)</f>
        <v>1200</v>
      </c>
      <c r="Q214" s="13">
        <f>IF(N214="HKD",7.8,IF(N214="CNY",7.30034,1))</f>
        <v>7.3003400000000003</v>
      </c>
      <c r="R214" s="15">
        <f>+ROUND(O214/Q214,4)</f>
        <v>1.6400000000000001E-2</v>
      </c>
      <c r="S214" s="14">
        <f>ROUND(R214*L214,2)</f>
        <v>164</v>
      </c>
      <c r="T214" s="15" t="s">
        <v>349</v>
      </c>
      <c r="U214" t="s">
        <v>810</v>
      </c>
    </row>
    <row r="215" spans="1:21" x14ac:dyDescent="0.2">
      <c r="A215" t="s">
        <v>1863</v>
      </c>
      <c r="B215" s="24">
        <v>45708</v>
      </c>
      <c r="C215" s="24">
        <v>45679</v>
      </c>
      <c r="D215" t="s">
        <v>806</v>
      </c>
      <c r="E215" t="s">
        <v>807</v>
      </c>
      <c r="G215" t="s">
        <v>2142</v>
      </c>
      <c r="H215" s="19" t="s">
        <v>1601</v>
      </c>
      <c r="I215" s="19" t="s">
        <v>1602</v>
      </c>
      <c r="J215" s="11" t="str">
        <f>+LEFT(U215,4)</f>
        <v>BAG-</v>
      </c>
      <c r="K215" t="s">
        <v>10</v>
      </c>
      <c r="L215" s="19">
        <v>10000</v>
      </c>
      <c r="M215" t="s">
        <v>1472</v>
      </c>
      <c r="N215" t="s">
        <v>11</v>
      </c>
      <c r="O215" s="26">
        <v>0.128</v>
      </c>
      <c r="P215" s="12">
        <f>ROUND(O215*L215,2)</f>
        <v>1280</v>
      </c>
      <c r="Q215" s="13">
        <f>IF(N215="HKD",7.8,IF(N215="CNY",7.30034,1))</f>
        <v>7.3003400000000003</v>
      </c>
      <c r="R215" s="15">
        <f>+ROUND(O215/Q215,4)</f>
        <v>1.7500000000000002E-2</v>
      </c>
      <c r="S215" s="14">
        <f>ROUND(R215*L215,2)</f>
        <v>175</v>
      </c>
      <c r="T215" s="15" t="s">
        <v>349</v>
      </c>
      <c r="U215" t="s">
        <v>810</v>
      </c>
    </row>
    <row r="216" spans="1:21" x14ac:dyDescent="0.2">
      <c r="A216" t="s">
        <v>1866</v>
      </c>
      <c r="B216" s="24">
        <v>45708</v>
      </c>
      <c r="C216" s="24">
        <v>45672</v>
      </c>
      <c r="D216" t="s">
        <v>806</v>
      </c>
      <c r="E216" t="s">
        <v>807</v>
      </c>
      <c r="G216" t="s">
        <v>2143</v>
      </c>
      <c r="H216" s="19" t="s">
        <v>1603</v>
      </c>
      <c r="I216" s="19" t="s">
        <v>1604</v>
      </c>
      <c r="J216" s="11" t="str">
        <f>+LEFT(U216,4)</f>
        <v>BAG-</v>
      </c>
      <c r="K216" t="s">
        <v>10</v>
      </c>
      <c r="L216" s="19">
        <v>10000</v>
      </c>
      <c r="M216" t="s">
        <v>1472</v>
      </c>
      <c r="N216" t="s">
        <v>11</v>
      </c>
      <c r="O216" s="26">
        <v>0.158</v>
      </c>
      <c r="P216" s="12">
        <f>ROUND(O216*L216,2)</f>
        <v>1580</v>
      </c>
      <c r="Q216" s="13">
        <f>IF(N216="HKD",7.8,IF(N216="CNY",7.30034,1))</f>
        <v>7.3003400000000003</v>
      </c>
      <c r="R216" s="15">
        <f>+ROUND(O216/Q216,4)</f>
        <v>2.1600000000000001E-2</v>
      </c>
      <c r="S216" s="14">
        <f>ROUND(R216*L216,2)</f>
        <v>216</v>
      </c>
      <c r="T216" s="15" t="s">
        <v>349</v>
      </c>
      <c r="U216" t="s">
        <v>810</v>
      </c>
    </row>
    <row r="217" spans="1:21" x14ac:dyDescent="0.2">
      <c r="A217" t="s">
        <v>1869</v>
      </c>
      <c r="B217" s="24">
        <v>45708</v>
      </c>
      <c r="C217" s="24">
        <v>45667</v>
      </c>
      <c r="D217" t="s">
        <v>806</v>
      </c>
      <c r="E217" t="s">
        <v>807</v>
      </c>
      <c r="G217" t="s">
        <v>2142</v>
      </c>
      <c r="H217" s="19" t="s">
        <v>1605</v>
      </c>
      <c r="I217" s="19" t="s">
        <v>1606</v>
      </c>
      <c r="J217" s="11" t="str">
        <f>+LEFT(U217,4)</f>
        <v>BAG-</v>
      </c>
      <c r="K217" t="s">
        <v>10</v>
      </c>
      <c r="L217" s="19">
        <v>15000</v>
      </c>
      <c r="M217" t="s">
        <v>1472</v>
      </c>
      <c r="N217" t="s">
        <v>11</v>
      </c>
      <c r="O217" s="26">
        <v>0.17</v>
      </c>
      <c r="P217" s="12">
        <f>ROUND(O217*L217,2)</f>
        <v>2550</v>
      </c>
      <c r="Q217" s="13">
        <f>IF(N217="HKD",7.8,IF(N217="CNY",7.30034,1))</f>
        <v>7.3003400000000003</v>
      </c>
      <c r="R217" s="15">
        <f>+ROUND(O217/Q217,4)</f>
        <v>2.3300000000000001E-2</v>
      </c>
      <c r="S217" s="14">
        <f>ROUND(R217*L217,2)</f>
        <v>349.5</v>
      </c>
      <c r="T217" s="15" t="s">
        <v>349</v>
      </c>
      <c r="U217" t="s">
        <v>810</v>
      </c>
    </row>
    <row r="218" spans="1:21" x14ac:dyDescent="0.2">
      <c r="A218" t="s">
        <v>1870</v>
      </c>
      <c r="B218" s="24">
        <v>45708</v>
      </c>
      <c r="C218" s="24">
        <v>45674</v>
      </c>
      <c r="D218" t="s">
        <v>806</v>
      </c>
      <c r="E218" t="s">
        <v>807</v>
      </c>
      <c r="G218" t="s">
        <v>2142</v>
      </c>
      <c r="H218" s="19" t="s">
        <v>1605</v>
      </c>
      <c r="I218" s="19" t="s">
        <v>1606</v>
      </c>
      <c r="J218" s="11" t="str">
        <f>+LEFT(U218,4)</f>
        <v>BAG-</v>
      </c>
      <c r="K218" t="s">
        <v>10</v>
      </c>
      <c r="L218" s="19">
        <v>5000</v>
      </c>
      <c r="M218" t="s">
        <v>1472</v>
      </c>
      <c r="N218" t="s">
        <v>11</v>
      </c>
      <c r="O218" s="26">
        <v>0.17</v>
      </c>
      <c r="P218" s="12">
        <f>ROUND(O218*L218,2)</f>
        <v>850</v>
      </c>
      <c r="Q218" s="13">
        <f>IF(N218="HKD",7.8,IF(N218="CNY",7.30034,1))</f>
        <v>7.3003400000000003</v>
      </c>
      <c r="R218" s="15">
        <f>+ROUND(O218/Q218,4)</f>
        <v>2.3300000000000001E-2</v>
      </c>
      <c r="S218" s="14">
        <f>ROUND(R218*L218,2)</f>
        <v>116.5</v>
      </c>
      <c r="T218" s="15" t="s">
        <v>349</v>
      </c>
      <c r="U218" t="s">
        <v>810</v>
      </c>
    </row>
    <row r="219" spans="1:21" x14ac:dyDescent="0.2">
      <c r="A219" t="s">
        <v>1871</v>
      </c>
      <c r="B219" s="24">
        <v>45708</v>
      </c>
      <c r="C219" s="24">
        <v>45679</v>
      </c>
      <c r="D219" t="s">
        <v>806</v>
      </c>
      <c r="E219" t="s">
        <v>807</v>
      </c>
      <c r="G219" t="s">
        <v>2143</v>
      </c>
      <c r="H219" s="19" t="s">
        <v>1607</v>
      </c>
      <c r="I219" s="19" t="s">
        <v>1608</v>
      </c>
      <c r="J219" s="11" t="str">
        <f>+LEFT(U219,4)</f>
        <v>BAG-</v>
      </c>
      <c r="K219" t="s">
        <v>10</v>
      </c>
      <c r="L219" s="19">
        <v>20000</v>
      </c>
      <c r="M219" t="s">
        <v>1472</v>
      </c>
      <c r="N219" t="s">
        <v>11</v>
      </c>
      <c r="O219" s="26">
        <v>0.17299999999999999</v>
      </c>
      <c r="P219" s="12">
        <f>ROUND(O219*L219,2)</f>
        <v>3460</v>
      </c>
      <c r="Q219" s="13">
        <f>IF(N219="HKD",7.8,IF(N219="CNY",7.30034,1))</f>
        <v>7.3003400000000003</v>
      </c>
      <c r="R219" s="15">
        <f>+ROUND(O219/Q219,4)</f>
        <v>2.3699999999999999E-2</v>
      </c>
      <c r="S219" s="14">
        <f>ROUND(R219*L219,2)</f>
        <v>474</v>
      </c>
      <c r="T219" s="15" t="s">
        <v>349</v>
      </c>
      <c r="U219" t="s">
        <v>810</v>
      </c>
    </row>
    <row r="220" spans="1:21" x14ac:dyDescent="0.2">
      <c r="A220" t="s">
        <v>1877</v>
      </c>
      <c r="B220" s="24">
        <v>45708</v>
      </c>
      <c r="C220" s="24">
        <v>45667</v>
      </c>
      <c r="D220" t="s">
        <v>806</v>
      </c>
      <c r="E220" t="s">
        <v>807</v>
      </c>
      <c r="G220" t="s">
        <v>2142</v>
      </c>
      <c r="H220" s="19" t="s">
        <v>1609</v>
      </c>
      <c r="I220" s="19" t="s">
        <v>1610</v>
      </c>
      <c r="J220" s="11" t="str">
        <f>+LEFT(U220,4)</f>
        <v>BAG-</v>
      </c>
      <c r="K220" t="s">
        <v>10</v>
      </c>
      <c r="L220" s="19">
        <v>5000</v>
      </c>
      <c r="M220" t="s">
        <v>1472</v>
      </c>
      <c r="N220" t="s">
        <v>11</v>
      </c>
      <c r="O220" s="26">
        <v>0.185</v>
      </c>
      <c r="P220" s="12">
        <f>ROUND(O220*L220,2)</f>
        <v>925</v>
      </c>
      <c r="Q220" s="13">
        <f>IF(N220="HKD",7.8,IF(N220="CNY",7.30034,1))</f>
        <v>7.3003400000000003</v>
      </c>
      <c r="R220" s="15">
        <f>+ROUND(O220/Q220,4)</f>
        <v>2.53E-2</v>
      </c>
      <c r="S220" s="14">
        <f>ROUND(R220*L220,2)</f>
        <v>126.5</v>
      </c>
      <c r="T220" s="15" t="s">
        <v>349</v>
      </c>
      <c r="U220" t="s">
        <v>810</v>
      </c>
    </row>
    <row r="221" spans="1:21" x14ac:dyDescent="0.2">
      <c r="A221" t="s">
        <v>1878</v>
      </c>
      <c r="B221" s="24">
        <v>45708</v>
      </c>
      <c r="C221" s="24">
        <v>45667</v>
      </c>
      <c r="D221" t="s">
        <v>806</v>
      </c>
      <c r="E221" t="s">
        <v>807</v>
      </c>
      <c r="G221" t="s">
        <v>2142</v>
      </c>
      <c r="H221" s="19" t="s">
        <v>1611</v>
      </c>
      <c r="I221" s="19" t="s">
        <v>1612</v>
      </c>
      <c r="J221" s="11" t="str">
        <f>+LEFT(U221,4)</f>
        <v>BAG-</v>
      </c>
      <c r="K221" t="s">
        <v>10</v>
      </c>
      <c r="L221" s="19">
        <v>4000</v>
      </c>
      <c r="M221" t="s">
        <v>1472</v>
      </c>
      <c r="N221" t="s">
        <v>11</v>
      </c>
      <c r="O221" s="26">
        <v>0.22</v>
      </c>
      <c r="P221" s="12">
        <f>ROUND(O221*L221,2)</f>
        <v>880</v>
      </c>
      <c r="Q221" s="13">
        <f>IF(N221="HKD",7.8,IF(N221="CNY",7.30034,1))</f>
        <v>7.3003400000000003</v>
      </c>
      <c r="R221" s="15">
        <f>+ROUND(O221/Q221,4)</f>
        <v>3.0099999999999998E-2</v>
      </c>
      <c r="S221" s="14">
        <f>ROUND(R221*L221,2)</f>
        <v>120.4</v>
      </c>
      <c r="T221" s="15" t="s">
        <v>349</v>
      </c>
      <c r="U221" t="s">
        <v>810</v>
      </c>
    </row>
    <row r="222" spans="1:21" x14ac:dyDescent="0.2">
      <c r="A222" t="s">
        <v>1881</v>
      </c>
      <c r="B222" s="24">
        <v>45708</v>
      </c>
      <c r="C222" s="24">
        <v>45674</v>
      </c>
      <c r="D222" t="s">
        <v>806</v>
      </c>
      <c r="E222" t="s">
        <v>807</v>
      </c>
      <c r="G222" t="s">
        <v>2142</v>
      </c>
      <c r="H222" s="19" t="s">
        <v>1615</v>
      </c>
      <c r="I222" s="19" t="s">
        <v>1616</v>
      </c>
      <c r="J222" s="11" t="str">
        <f>+LEFT(U222,4)</f>
        <v>BAG-</v>
      </c>
      <c r="K222" t="s">
        <v>10</v>
      </c>
      <c r="L222" s="19">
        <v>2000</v>
      </c>
      <c r="M222" t="s">
        <v>1472</v>
      </c>
      <c r="N222" t="s">
        <v>11</v>
      </c>
      <c r="O222" s="26">
        <v>0.23499999999999999</v>
      </c>
      <c r="P222" s="12">
        <f>ROUND(O222*L222,2)</f>
        <v>470</v>
      </c>
      <c r="Q222" s="13">
        <f>IF(N222="HKD",7.8,IF(N222="CNY",7.30034,1))</f>
        <v>7.3003400000000003</v>
      </c>
      <c r="R222" s="15">
        <f>+ROUND(O222/Q222,4)</f>
        <v>3.2199999999999999E-2</v>
      </c>
      <c r="S222" s="14">
        <f>ROUND(R222*L222,2)</f>
        <v>64.400000000000006</v>
      </c>
      <c r="T222" s="15" t="s">
        <v>349</v>
      </c>
      <c r="U222" t="s">
        <v>810</v>
      </c>
    </row>
    <row r="223" spans="1:21" x14ac:dyDescent="0.2">
      <c r="A223" t="s">
        <v>1888</v>
      </c>
      <c r="B223" s="24">
        <v>45708</v>
      </c>
      <c r="C223" s="24">
        <v>45667</v>
      </c>
      <c r="D223" t="s">
        <v>806</v>
      </c>
      <c r="E223" t="s">
        <v>807</v>
      </c>
      <c r="G223" t="s">
        <v>2142</v>
      </c>
      <c r="H223" s="19" t="s">
        <v>1623</v>
      </c>
      <c r="I223" s="19" t="s">
        <v>1624</v>
      </c>
      <c r="J223" s="11" t="str">
        <f>+LEFT(U223,4)</f>
        <v>BAG-</v>
      </c>
      <c r="K223" t="s">
        <v>10</v>
      </c>
      <c r="L223" s="19">
        <v>4000</v>
      </c>
      <c r="M223" t="s">
        <v>1472</v>
      </c>
      <c r="N223" t="s">
        <v>11</v>
      </c>
      <c r="O223" s="26">
        <v>0.3</v>
      </c>
      <c r="P223" s="12">
        <f>ROUND(O223*L223,2)</f>
        <v>1200</v>
      </c>
      <c r="Q223" s="13">
        <f>IF(N223="HKD",7.8,IF(N223="CNY",7.30034,1))</f>
        <v>7.3003400000000003</v>
      </c>
      <c r="R223" s="15">
        <f>+ROUND(O223/Q223,4)</f>
        <v>4.1099999999999998E-2</v>
      </c>
      <c r="S223" s="14">
        <f>ROUND(R223*L223,2)</f>
        <v>164.4</v>
      </c>
      <c r="T223" s="15" t="s">
        <v>349</v>
      </c>
      <c r="U223" t="s">
        <v>810</v>
      </c>
    </row>
    <row r="224" spans="1:21" x14ac:dyDescent="0.2">
      <c r="A224" t="s">
        <v>2395</v>
      </c>
      <c r="B224" s="24">
        <v>45719</v>
      </c>
      <c r="C224" s="24">
        <v>45695</v>
      </c>
      <c r="D224" t="s">
        <v>169</v>
      </c>
      <c r="E224" t="s">
        <v>170</v>
      </c>
      <c r="G224" t="s">
        <v>2889</v>
      </c>
      <c r="H224" t="s">
        <v>1619</v>
      </c>
      <c r="I224" t="s">
        <v>1620</v>
      </c>
      <c r="J224" s="11" t="str">
        <f>+LEFT(U224,4)</f>
        <v>U&amp;C-</v>
      </c>
      <c r="K224" t="s">
        <v>10</v>
      </c>
      <c r="L224">
        <v>200</v>
      </c>
      <c r="M224" t="s">
        <v>1472</v>
      </c>
      <c r="N224" t="s">
        <v>11</v>
      </c>
      <c r="O224">
        <v>0.27500000000000002</v>
      </c>
      <c r="P224" s="12">
        <f>ROUND(O224*L224,2)</f>
        <v>55</v>
      </c>
      <c r="Q224" s="13">
        <f>IF(N224="HKD",7.8,IF(N224="CNY",7.30034,1))</f>
        <v>7.3003400000000003</v>
      </c>
      <c r="R224" s="15">
        <f>+ROUND(O224/Q224,4)</f>
        <v>3.7699999999999997E-2</v>
      </c>
      <c r="S224" s="14">
        <f>ROUND(R224*L224,2)</f>
        <v>7.54</v>
      </c>
      <c r="T224" s="15" t="s">
        <v>349</v>
      </c>
      <c r="U224" t="s">
        <v>177</v>
      </c>
    </row>
    <row r="225" spans="1:21" x14ac:dyDescent="0.2">
      <c r="A225" t="s">
        <v>2395</v>
      </c>
      <c r="B225" s="24">
        <v>45719</v>
      </c>
      <c r="C225" s="24">
        <v>45695</v>
      </c>
      <c r="D225" t="s">
        <v>169</v>
      </c>
      <c r="E225" t="s">
        <v>170</v>
      </c>
      <c r="G225" t="s">
        <v>2921</v>
      </c>
      <c r="H225" t="s">
        <v>1619</v>
      </c>
      <c r="I225" t="s">
        <v>1620</v>
      </c>
      <c r="J225" s="11" t="str">
        <f>+LEFT(U225,4)</f>
        <v>U&amp;C-</v>
      </c>
      <c r="K225" t="s">
        <v>10</v>
      </c>
      <c r="L225">
        <v>1000</v>
      </c>
      <c r="M225" t="s">
        <v>1472</v>
      </c>
      <c r="N225" t="s">
        <v>11</v>
      </c>
      <c r="O225">
        <v>0.27500000000000002</v>
      </c>
      <c r="P225" s="12">
        <f>ROUND(O225*L225,2)</f>
        <v>275</v>
      </c>
      <c r="Q225" s="13">
        <f>IF(N225="HKD",7.8,IF(N225="CNY",7.30034,1))</f>
        <v>7.3003400000000003</v>
      </c>
      <c r="R225" s="15">
        <f>+ROUND(O225/Q225,4)</f>
        <v>3.7699999999999997E-2</v>
      </c>
      <c r="S225" s="14">
        <f>ROUND(R225*L225,2)</f>
        <v>37.700000000000003</v>
      </c>
      <c r="T225" s="15" t="s">
        <v>349</v>
      </c>
      <c r="U225" t="s">
        <v>177</v>
      </c>
    </row>
    <row r="226" spans="1:21" x14ac:dyDescent="0.2">
      <c r="A226" t="s">
        <v>2519</v>
      </c>
      <c r="B226" s="24">
        <v>45733</v>
      </c>
      <c r="C226" s="24">
        <v>45713</v>
      </c>
      <c r="D226" t="s">
        <v>169</v>
      </c>
      <c r="E226" t="s">
        <v>170</v>
      </c>
      <c r="G226" t="s">
        <v>2948</v>
      </c>
      <c r="H226" t="s">
        <v>174</v>
      </c>
      <c r="I226" t="s">
        <v>175</v>
      </c>
      <c r="J226" s="11" t="str">
        <f>+LEFT(U226,4)</f>
        <v>U&amp;C-</v>
      </c>
      <c r="K226" t="s">
        <v>10</v>
      </c>
      <c r="L226">
        <v>2000</v>
      </c>
      <c r="M226" t="s">
        <v>1472</v>
      </c>
      <c r="N226" t="s">
        <v>11</v>
      </c>
      <c r="O226">
        <v>0.28000000000000003</v>
      </c>
      <c r="P226" s="12">
        <f>ROUND(O226*L226,2)</f>
        <v>560</v>
      </c>
      <c r="Q226" s="13">
        <f>IF(N226="HKD",7.8,IF(N226="CNY",7.30034,1))</f>
        <v>7.3003400000000003</v>
      </c>
      <c r="R226" s="15">
        <f>+ROUND(O226/Q226,4)</f>
        <v>3.8399999999999997E-2</v>
      </c>
      <c r="S226" s="14">
        <f>ROUND(R226*L226,2)</f>
        <v>76.8</v>
      </c>
      <c r="T226" s="15" t="s">
        <v>349</v>
      </c>
      <c r="U226" t="s">
        <v>177</v>
      </c>
    </row>
    <row r="227" spans="1:21" x14ac:dyDescent="0.2">
      <c r="A227" t="s">
        <v>2509</v>
      </c>
      <c r="B227" s="24">
        <v>45719</v>
      </c>
      <c r="C227" s="24">
        <v>45713</v>
      </c>
      <c r="D227" t="s">
        <v>169</v>
      </c>
      <c r="E227" t="s">
        <v>170</v>
      </c>
      <c r="G227" t="s">
        <v>2921</v>
      </c>
      <c r="H227" t="s">
        <v>1117</v>
      </c>
      <c r="I227" t="s">
        <v>1118</v>
      </c>
      <c r="J227" s="11" t="str">
        <f>+LEFT(U227,4)</f>
        <v>U&amp;C-</v>
      </c>
      <c r="K227" t="s">
        <v>10</v>
      </c>
      <c r="L227">
        <v>2030</v>
      </c>
      <c r="M227" t="s">
        <v>1472</v>
      </c>
      <c r="N227" t="s">
        <v>11</v>
      </c>
      <c r="O227">
        <v>0.28499999999999998</v>
      </c>
      <c r="P227" s="12">
        <f>ROUND(O227*L227,2)</f>
        <v>578.54999999999995</v>
      </c>
      <c r="Q227" s="13">
        <f>IF(N227="HKD",7.8,IF(N227="CNY",7.30034,1))</f>
        <v>7.3003400000000003</v>
      </c>
      <c r="R227" s="15">
        <f>+ROUND(O227/Q227,4)</f>
        <v>3.9E-2</v>
      </c>
      <c r="S227" s="14">
        <f>ROUND(R227*L227,2)</f>
        <v>79.17</v>
      </c>
      <c r="T227" s="15" t="s">
        <v>349</v>
      </c>
      <c r="U227" t="s">
        <v>177</v>
      </c>
    </row>
    <row r="228" spans="1:21" x14ac:dyDescent="0.2">
      <c r="A228" t="s">
        <v>2516</v>
      </c>
      <c r="B228" s="24">
        <v>45726</v>
      </c>
      <c r="C228" s="24">
        <v>45713</v>
      </c>
      <c r="D228" t="s">
        <v>169</v>
      </c>
      <c r="E228" t="s">
        <v>170</v>
      </c>
      <c r="G228" t="s">
        <v>2961</v>
      </c>
      <c r="H228" t="s">
        <v>1095</v>
      </c>
      <c r="I228" t="s">
        <v>1096</v>
      </c>
      <c r="J228" s="11" t="str">
        <f>+LEFT(U228,4)</f>
        <v>PAP-</v>
      </c>
      <c r="K228" t="s">
        <v>10</v>
      </c>
      <c r="L228">
        <v>30000</v>
      </c>
      <c r="M228" t="s">
        <v>1472</v>
      </c>
      <c r="N228" t="s">
        <v>11</v>
      </c>
      <c r="O228">
        <v>0.28999999999999998</v>
      </c>
      <c r="P228" s="12">
        <f>ROUND(O228*L228,2)</f>
        <v>8700</v>
      </c>
      <c r="Q228" s="13">
        <f>IF(N228="HKD",7.8,IF(N228="CNY",7.30034,1))</f>
        <v>7.3003400000000003</v>
      </c>
      <c r="R228" s="15">
        <f>+ROUND(O228/Q228,4)</f>
        <v>3.9699999999999999E-2</v>
      </c>
      <c r="S228" s="14">
        <f>ROUND(R228*L228,2)</f>
        <v>1191</v>
      </c>
      <c r="T228" s="15" t="s">
        <v>349</v>
      </c>
      <c r="U228" t="s">
        <v>1094</v>
      </c>
    </row>
    <row r="229" spans="1:21" x14ac:dyDescent="0.2">
      <c r="A229" t="s">
        <v>2521</v>
      </c>
      <c r="B229" s="24">
        <v>45719</v>
      </c>
      <c r="C229" s="24">
        <v>45713</v>
      </c>
      <c r="D229" t="s">
        <v>169</v>
      </c>
      <c r="E229" t="s">
        <v>170</v>
      </c>
      <c r="G229" t="s">
        <v>2959</v>
      </c>
      <c r="H229" t="s">
        <v>3160</v>
      </c>
      <c r="I229" t="s">
        <v>3370</v>
      </c>
      <c r="J229" s="11" t="str">
        <f>+LEFT(U229,4)</f>
        <v>U&amp;C-</v>
      </c>
      <c r="K229" t="s">
        <v>10</v>
      </c>
      <c r="L229">
        <v>1600</v>
      </c>
      <c r="M229" t="s">
        <v>1472</v>
      </c>
      <c r="N229" t="s">
        <v>11</v>
      </c>
      <c r="O229">
        <v>0.29499999999999998</v>
      </c>
      <c r="P229" s="12">
        <f>ROUND(O229*L229,2)</f>
        <v>472</v>
      </c>
      <c r="Q229" s="13">
        <f>IF(N229="HKD",7.8,IF(N229="CNY",7.30034,1))</f>
        <v>7.3003400000000003</v>
      </c>
      <c r="R229" s="15">
        <f>+ROUND(O229/Q229,4)</f>
        <v>4.0399999999999998E-2</v>
      </c>
      <c r="S229" s="14">
        <f>ROUND(R229*L229,2)</f>
        <v>64.64</v>
      </c>
      <c r="T229" s="15" t="s">
        <v>349</v>
      </c>
      <c r="U229" t="s">
        <v>177</v>
      </c>
    </row>
    <row r="230" spans="1:21" x14ac:dyDescent="0.2">
      <c r="A230" t="s">
        <v>2522</v>
      </c>
      <c r="B230" s="24">
        <v>45719</v>
      </c>
      <c r="C230" s="24">
        <v>45713</v>
      </c>
      <c r="D230" t="s">
        <v>169</v>
      </c>
      <c r="E230" t="s">
        <v>170</v>
      </c>
      <c r="G230" t="s">
        <v>2921</v>
      </c>
      <c r="H230" t="s">
        <v>3161</v>
      </c>
      <c r="I230" t="s">
        <v>3371</v>
      </c>
      <c r="J230" s="11" t="str">
        <f>+LEFT(U230,4)</f>
        <v>U&amp;C-</v>
      </c>
      <c r="K230" t="s">
        <v>10</v>
      </c>
      <c r="L230">
        <v>3100</v>
      </c>
      <c r="M230" t="s">
        <v>1472</v>
      </c>
      <c r="N230" t="s">
        <v>11</v>
      </c>
      <c r="O230">
        <v>0.30759999999999998</v>
      </c>
      <c r="P230" s="12">
        <f>ROUND(O230*L230,2)</f>
        <v>953.56</v>
      </c>
      <c r="Q230" s="13">
        <f>IF(N230="HKD",7.8,IF(N230="CNY",7.30034,1))</f>
        <v>7.3003400000000003</v>
      </c>
      <c r="R230" s="15">
        <f>+ROUND(O230/Q230,4)</f>
        <v>4.2099999999999999E-2</v>
      </c>
      <c r="S230" s="14">
        <f>ROUND(R230*L230,2)</f>
        <v>130.51</v>
      </c>
      <c r="T230" s="15" t="s">
        <v>349</v>
      </c>
      <c r="U230" t="s">
        <v>177</v>
      </c>
    </row>
    <row r="231" spans="1:21" x14ac:dyDescent="0.2">
      <c r="A231" t="s">
        <v>2626</v>
      </c>
      <c r="B231" s="24">
        <v>45733</v>
      </c>
      <c r="C231" s="24">
        <v>45721</v>
      </c>
      <c r="D231" t="s">
        <v>169</v>
      </c>
      <c r="E231" t="s">
        <v>170</v>
      </c>
      <c r="G231" t="s">
        <v>3018</v>
      </c>
      <c r="H231" t="s">
        <v>3208</v>
      </c>
      <c r="I231" t="s">
        <v>3415</v>
      </c>
      <c r="J231" s="11" t="str">
        <f>+LEFT(U231,4)</f>
        <v>PAP-</v>
      </c>
      <c r="K231" t="s">
        <v>10</v>
      </c>
      <c r="L231">
        <v>3000</v>
      </c>
      <c r="M231" t="s">
        <v>1472</v>
      </c>
      <c r="N231" t="s">
        <v>11</v>
      </c>
      <c r="O231">
        <v>0.36</v>
      </c>
      <c r="P231" s="12">
        <f>ROUND(O231*L231,2)</f>
        <v>1080</v>
      </c>
      <c r="Q231" s="13">
        <f>IF(N231="HKD",7.8,IF(N231="CNY",7.30034,1))</f>
        <v>7.3003400000000003</v>
      </c>
      <c r="R231" s="15">
        <f>+ROUND(O231/Q231,4)</f>
        <v>4.9299999999999997E-2</v>
      </c>
      <c r="S231" s="14">
        <f>ROUND(R231*L231,2)</f>
        <v>147.9</v>
      </c>
      <c r="T231" s="15" t="s">
        <v>349</v>
      </c>
      <c r="U231" t="s">
        <v>1094</v>
      </c>
    </row>
    <row r="232" spans="1:21" x14ac:dyDescent="0.2">
      <c r="A232" t="s">
        <v>2393</v>
      </c>
      <c r="B232" s="24">
        <v>45726</v>
      </c>
      <c r="C232" s="24">
        <v>45695</v>
      </c>
      <c r="D232" t="s">
        <v>169</v>
      </c>
      <c r="E232" t="s">
        <v>170</v>
      </c>
      <c r="G232" t="s">
        <v>2919</v>
      </c>
      <c r="H232" t="s">
        <v>3094</v>
      </c>
      <c r="I232" t="s">
        <v>1628</v>
      </c>
      <c r="J232" s="11" t="str">
        <f>+LEFT(U232,4)</f>
        <v>WACD</v>
      </c>
      <c r="K232" t="s">
        <v>10</v>
      </c>
      <c r="L232">
        <v>1000</v>
      </c>
      <c r="M232" t="s">
        <v>1472</v>
      </c>
      <c r="N232" t="s">
        <v>11</v>
      </c>
      <c r="O232">
        <v>0.39200000000000002</v>
      </c>
      <c r="P232" s="12">
        <f>ROUND(O232*L232,2)</f>
        <v>392</v>
      </c>
      <c r="Q232" s="13">
        <f>IF(N232="HKD",7.8,IF(N232="CNY",7.30034,1))</f>
        <v>7.3003400000000003</v>
      </c>
      <c r="R232" s="15">
        <f>+ROUND(O232/Q232,4)</f>
        <v>5.3699999999999998E-2</v>
      </c>
      <c r="S232" s="14">
        <f>ROUND(R232*L232,2)</f>
        <v>53.7</v>
      </c>
      <c r="T232" s="15" t="s">
        <v>349</v>
      </c>
      <c r="U232" t="s">
        <v>635</v>
      </c>
    </row>
    <row r="233" spans="1:21" x14ac:dyDescent="0.2">
      <c r="A233" t="s">
        <v>2627</v>
      </c>
      <c r="B233" s="24">
        <v>45733</v>
      </c>
      <c r="C233" s="24">
        <v>45721</v>
      </c>
      <c r="D233" t="s">
        <v>169</v>
      </c>
      <c r="E233" t="s">
        <v>170</v>
      </c>
      <c r="G233" t="s">
        <v>3018</v>
      </c>
      <c r="H233" t="s">
        <v>3209</v>
      </c>
      <c r="I233" t="s">
        <v>3416</v>
      </c>
      <c r="J233" s="11" t="str">
        <f>+LEFT(U233,4)</f>
        <v>PAP-</v>
      </c>
      <c r="K233" t="s">
        <v>10</v>
      </c>
      <c r="L233">
        <v>7000</v>
      </c>
      <c r="M233" t="s">
        <v>1472</v>
      </c>
      <c r="N233" t="s">
        <v>11</v>
      </c>
      <c r="O233">
        <v>0.42</v>
      </c>
      <c r="P233" s="12">
        <f>ROUND(O233*L233,2)</f>
        <v>2940</v>
      </c>
      <c r="Q233" s="13">
        <f>IF(N233="HKD",7.8,IF(N233="CNY",7.30034,1))</f>
        <v>7.3003400000000003</v>
      </c>
      <c r="R233" s="15">
        <f>+ROUND(O233/Q233,4)</f>
        <v>5.7500000000000002E-2</v>
      </c>
      <c r="S233" s="14">
        <f>ROUND(R233*L233,2)</f>
        <v>402.5</v>
      </c>
      <c r="T233" s="15" t="s">
        <v>349</v>
      </c>
      <c r="U233" t="s">
        <v>1094</v>
      </c>
    </row>
    <row r="234" spans="1:21" x14ac:dyDescent="0.2">
      <c r="A234" t="s">
        <v>2642</v>
      </c>
      <c r="B234" s="24">
        <v>45744</v>
      </c>
      <c r="C234" s="24">
        <v>45721</v>
      </c>
      <c r="D234" t="s">
        <v>235</v>
      </c>
      <c r="E234" t="s">
        <v>236</v>
      </c>
      <c r="G234" t="s">
        <v>3021</v>
      </c>
      <c r="H234" t="s">
        <v>1344</v>
      </c>
      <c r="I234" t="s">
        <v>1345</v>
      </c>
      <c r="J234" s="11" t="str">
        <f>+LEFT(U234,4)</f>
        <v>SCR-</v>
      </c>
      <c r="K234" t="s">
        <v>10</v>
      </c>
      <c r="L234">
        <v>3050</v>
      </c>
      <c r="M234" t="s">
        <v>1472</v>
      </c>
      <c r="N234" t="s">
        <v>11</v>
      </c>
      <c r="O234">
        <v>0.47449999999999998</v>
      </c>
      <c r="P234" s="12">
        <f>ROUND(O234*L234,2)</f>
        <v>1447.23</v>
      </c>
      <c r="Q234" s="13">
        <f>IF(N234="HKD",7.8,IF(N234="CNY",7.30034,1))</f>
        <v>7.3003400000000003</v>
      </c>
      <c r="R234" s="15">
        <f>+ROUND(O234/Q234,4)</f>
        <v>6.5000000000000002E-2</v>
      </c>
      <c r="S234" s="14">
        <f>ROUND(R234*L234,2)</f>
        <v>198.25</v>
      </c>
      <c r="T234" s="15" t="s">
        <v>349</v>
      </c>
      <c r="U234" t="s">
        <v>166</v>
      </c>
    </row>
    <row r="235" spans="1:21" x14ac:dyDescent="0.2">
      <c r="A235" t="s">
        <v>2727</v>
      </c>
      <c r="B235" s="24">
        <v>45744</v>
      </c>
      <c r="C235" s="24">
        <v>45728</v>
      </c>
      <c r="D235" t="s">
        <v>235</v>
      </c>
      <c r="E235" t="s">
        <v>236</v>
      </c>
      <c r="G235" t="s">
        <v>3040</v>
      </c>
      <c r="H235" t="s">
        <v>1344</v>
      </c>
      <c r="I235" t="s">
        <v>1345</v>
      </c>
      <c r="J235" s="11" t="str">
        <f>+LEFT(U235,4)</f>
        <v>SCR-</v>
      </c>
      <c r="K235" t="s">
        <v>10</v>
      </c>
      <c r="L235">
        <v>3600</v>
      </c>
      <c r="M235" t="s">
        <v>1472</v>
      </c>
      <c r="N235" t="s">
        <v>11</v>
      </c>
      <c r="O235">
        <v>0.47449999999999998</v>
      </c>
      <c r="P235" s="12">
        <f>ROUND(O235*L235,2)</f>
        <v>1708.2</v>
      </c>
      <c r="Q235" s="13">
        <f>IF(N235="HKD",7.8,IF(N235="CNY",7.30034,1))</f>
        <v>7.3003400000000003</v>
      </c>
      <c r="R235" s="15">
        <f>+ROUND(O235/Q235,4)</f>
        <v>6.5000000000000002E-2</v>
      </c>
      <c r="S235" s="14">
        <f>ROUND(R235*L235,2)</f>
        <v>234</v>
      </c>
      <c r="T235" s="15" t="s">
        <v>349</v>
      </c>
      <c r="U235" t="s">
        <v>166</v>
      </c>
    </row>
    <row r="236" spans="1:21" x14ac:dyDescent="0.2">
      <c r="A236" t="s">
        <v>2336</v>
      </c>
      <c r="B236" s="24">
        <v>45721</v>
      </c>
      <c r="C236" s="24">
        <v>45674</v>
      </c>
      <c r="D236" t="s">
        <v>169</v>
      </c>
      <c r="E236" t="s">
        <v>170</v>
      </c>
      <c r="G236" t="s">
        <v>2893</v>
      </c>
      <c r="H236" t="s">
        <v>1090</v>
      </c>
      <c r="I236" t="s">
        <v>1091</v>
      </c>
      <c r="J236" s="11" t="str">
        <f>+LEFT(U236,4)</f>
        <v>PAP-</v>
      </c>
      <c r="K236" t="s">
        <v>10</v>
      </c>
      <c r="L236">
        <v>15000</v>
      </c>
      <c r="M236" t="s">
        <v>1472</v>
      </c>
      <c r="N236" t="s">
        <v>11</v>
      </c>
      <c r="O236">
        <v>0.47789999999999999</v>
      </c>
      <c r="P236" s="12">
        <f>ROUND(O236*L236,2)</f>
        <v>7168.5</v>
      </c>
      <c r="Q236" s="13">
        <f>IF(N236="HKD",7.8,IF(N236="CNY",7.30034,1))</f>
        <v>7.3003400000000003</v>
      </c>
      <c r="R236" s="15">
        <f>+ROUND(O236/Q236,4)</f>
        <v>6.5500000000000003E-2</v>
      </c>
      <c r="S236" s="14">
        <f>ROUND(R236*L236,2)</f>
        <v>982.5</v>
      </c>
      <c r="T236" s="15" t="s">
        <v>349</v>
      </c>
      <c r="U236" t="s">
        <v>1094</v>
      </c>
    </row>
    <row r="237" spans="1:21" x14ac:dyDescent="0.2">
      <c r="A237" t="s">
        <v>2635</v>
      </c>
      <c r="B237" s="24">
        <v>45741</v>
      </c>
      <c r="C237" s="24">
        <v>45721</v>
      </c>
      <c r="D237" t="s">
        <v>28</v>
      </c>
      <c r="E237" t="s">
        <v>29</v>
      </c>
      <c r="G237" t="s">
        <v>3001</v>
      </c>
      <c r="H237" t="s">
        <v>1629</v>
      </c>
      <c r="I237" t="s">
        <v>1630</v>
      </c>
      <c r="J237" s="11" t="str">
        <f>+LEFT(U237,4)</f>
        <v>FG--</v>
      </c>
      <c r="K237" t="s">
        <v>10</v>
      </c>
      <c r="L237">
        <v>500</v>
      </c>
      <c r="M237" t="s">
        <v>1472</v>
      </c>
      <c r="N237" t="s">
        <v>11</v>
      </c>
      <c r="O237">
        <v>0.4859</v>
      </c>
      <c r="P237" s="12">
        <f>ROUND(O237*L237,2)</f>
        <v>242.95</v>
      </c>
      <c r="Q237" s="13">
        <f>IF(N237="HKD",7.8,IF(N237="CNY",7.30034,1))</f>
        <v>7.3003400000000003</v>
      </c>
      <c r="R237" s="15">
        <f>+ROUND(O237/Q237,4)</f>
        <v>6.6600000000000006E-2</v>
      </c>
      <c r="S237" s="14">
        <f>ROUND(R237*L237,2)</f>
        <v>33.299999999999997</v>
      </c>
      <c r="T237" s="15" t="s">
        <v>349</v>
      </c>
      <c r="U237" t="s">
        <v>64</v>
      </c>
    </row>
    <row r="238" spans="1:21" x14ac:dyDescent="0.2">
      <c r="A238" t="s">
        <v>2423</v>
      </c>
      <c r="B238" s="24">
        <v>45741</v>
      </c>
      <c r="C238" s="24">
        <v>45702</v>
      </c>
      <c r="D238" t="s">
        <v>709</v>
      </c>
      <c r="E238" t="s">
        <v>710</v>
      </c>
      <c r="G238" t="s">
        <v>2930</v>
      </c>
      <c r="H238" t="s">
        <v>726</v>
      </c>
      <c r="I238" t="s">
        <v>727</v>
      </c>
      <c r="J238" s="11" t="str">
        <f>+LEFT(U238,4)</f>
        <v>KNOB</v>
      </c>
      <c r="K238" t="s">
        <v>10</v>
      </c>
      <c r="L238">
        <v>1120</v>
      </c>
      <c r="M238" t="s">
        <v>1472</v>
      </c>
      <c r="N238" t="s">
        <v>11</v>
      </c>
      <c r="O238">
        <v>0.54969999999999997</v>
      </c>
      <c r="P238" s="12">
        <f>ROUND(O238*L238,2)</f>
        <v>615.66</v>
      </c>
      <c r="Q238" s="13">
        <f>IF(N238="HKD",7.8,IF(N238="CNY",7.30034,1))</f>
        <v>7.3003400000000003</v>
      </c>
      <c r="R238" s="15">
        <f>+ROUND(O238/Q238,4)</f>
        <v>7.5300000000000006E-2</v>
      </c>
      <c r="S238" s="14">
        <f>ROUND(R238*L238,2)</f>
        <v>84.34</v>
      </c>
      <c r="T238" s="15" t="s">
        <v>349</v>
      </c>
      <c r="U238" t="s">
        <v>32</v>
      </c>
    </row>
    <row r="239" spans="1:21" x14ac:dyDescent="0.2">
      <c r="A239" t="s">
        <v>2718</v>
      </c>
      <c r="B239" s="24">
        <v>45741</v>
      </c>
      <c r="C239" s="24">
        <v>45728</v>
      </c>
      <c r="D239" t="s">
        <v>28</v>
      </c>
      <c r="E239" t="s">
        <v>29</v>
      </c>
      <c r="G239" t="s">
        <v>3001</v>
      </c>
      <c r="H239" t="s">
        <v>1149</v>
      </c>
      <c r="I239" t="s">
        <v>1150</v>
      </c>
      <c r="J239" s="11" t="str">
        <f>+LEFT(U239,4)</f>
        <v>BRKT</v>
      </c>
      <c r="K239" t="s">
        <v>10</v>
      </c>
      <c r="L239">
        <v>3100</v>
      </c>
      <c r="M239" t="s">
        <v>1472</v>
      </c>
      <c r="N239" t="s">
        <v>11</v>
      </c>
      <c r="O239">
        <v>0.57750000000000001</v>
      </c>
      <c r="P239" s="12">
        <f>ROUND(O239*L239,2)</f>
        <v>1790.25</v>
      </c>
      <c r="Q239" s="13">
        <f>IF(N239="HKD",7.8,IF(N239="CNY",7.30034,1))</f>
        <v>7.3003400000000003</v>
      </c>
      <c r="R239" s="15">
        <f>+ROUND(O239/Q239,4)</f>
        <v>7.9100000000000004E-2</v>
      </c>
      <c r="S239" s="14">
        <f>ROUND(R239*L239,2)</f>
        <v>245.21</v>
      </c>
      <c r="T239" s="15" t="s">
        <v>349</v>
      </c>
      <c r="U239" t="s">
        <v>442</v>
      </c>
    </row>
    <row r="240" spans="1:21" x14ac:dyDescent="0.2">
      <c r="A240" t="s">
        <v>2719</v>
      </c>
      <c r="B240" s="24">
        <v>45741</v>
      </c>
      <c r="C240" s="24">
        <v>45728</v>
      </c>
      <c r="D240" t="s">
        <v>28</v>
      </c>
      <c r="E240" t="s">
        <v>29</v>
      </c>
      <c r="G240" t="s">
        <v>3001</v>
      </c>
      <c r="H240" t="s">
        <v>1145</v>
      </c>
      <c r="I240" t="s">
        <v>1146</v>
      </c>
      <c r="J240" s="11" t="str">
        <f>+LEFT(U240,4)</f>
        <v>BRKT</v>
      </c>
      <c r="K240" t="s">
        <v>10</v>
      </c>
      <c r="L240">
        <v>3100</v>
      </c>
      <c r="M240" t="s">
        <v>1472</v>
      </c>
      <c r="N240" t="s">
        <v>11</v>
      </c>
      <c r="O240">
        <v>0.59809999999999997</v>
      </c>
      <c r="P240" s="12">
        <f>ROUND(O240*L240,2)</f>
        <v>1854.11</v>
      </c>
      <c r="Q240" s="13">
        <f>IF(N240="HKD",7.8,IF(N240="CNY",7.30034,1))</f>
        <v>7.3003400000000003</v>
      </c>
      <c r="R240" s="15">
        <f>+ROUND(O240/Q240,4)</f>
        <v>8.1900000000000001E-2</v>
      </c>
      <c r="S240" s="14">
        <f>ROUND(R240*L240,2)</f>
        <v>253.89</v>
      </c>
      <c r="T240" s="15" t="s">
        <v>349</v>
      </c>
      <c r="U240" t="s">
        <v>442</v>
      </c>
    </row>
    <row r="241" spans="1:21" x14ac:dyDescent="0.2">
      <c r="A241" t="s">
        <v>2565</v>
      </c>
      <c r="B241" s="24">
        <v>45744</v>
      </c>
      <c r="C241" s="24">
        <v>45716</v>
      </c>
      <c r="D241" t="s">
        <v>21</v>
      </c>
      <c r="E241" t="s">
        <v>22</v>
      </c>
      <c r="G241" t="s">
        <v>2929</v>
      </c>
      <c r="H241" t="s">
        <v>3178</v>
      </c>
      <c r="I241" t="s">
        <v>3385</v>
      </c>
      <c r="J241" s="11" t="str">
        <f>+LEFT(U241,4)</f>
        <v>BRKT</v>
      </c>
      <c r="K241" t="s">
        <v>10</v>
      </c>
      <c r="L241">
        <v>1050</v>
      </c>
      <c r="M241" t="s">
        <v>1472</v>
      </c>
      <c r="N241" t="s">
        <v>11</v>
      </c>
      <c r="O241">
        <v>0.60340000000000005</v>
      </c>
      <c r="P241" s="12">
        <f>ROUND(O241*L241,2)</f>
        <v>633.57000000000005</v>
      </c>
      <c r="Q241" s="13">
        <f>IF(N241="HKD",7.8,IF(N241="CNY",7.30034,1))</f>
        <v>7.3003400000000003</v>
      </c>
      <c r="R241" s="15">
        <f>+ROUND(O241/Q241,4)</f>
        <v>8.2699999999999996E-2</v>
      </c>
      <c r="S241" s="14">
        <f>ROUND(R241*L241,2)</f>
        <v>86.84</v>
      </c>
      <c r="T241" s="15" t="s">
        <v>349</v>
      </c>
      <c r="U241" t="s">
        <v>442</v>
      </c>
    </row>
    <row r="242" spans="1:21" x14ac:dyDescent="0.2">
      <c r="A242" t="s">
        <v>2628</v>
      </c>
      <c r="B242" s="24">
        <v>45744</v>
      </c>
      <c r="C242" s="24">
        <v>45721</v>
      </c>
      <c r="D242" t="s">
        <v>21</v>
      </c>
      <c r="E242" t="s">
        <v>22</v>
      </c>
      <c r="G242" t="s">
        <v>2999</v>
      </c>
      <c r="H242" t="s">
        <v>814</v>
      </c>
      <c r="I242" t="s">
        <v>815</v>
      </c>
      <c r="J242" s="11" t="str">
        <f>+LEFT(U242,4)</f>
        <v>BRKT</v>
      </c>
      <c r="K242" t="s">
        <v>10</v>
      </c>
      <c r="L242">
        <v>1020</v>
      </c>
      <c r="M242" t="s">
        <v>1472</v>
      </c>
      <c r="N242" t="s">
        <v>11</v>
      </c>
      <c r="O242">
        <v>0.60570000000000002</v>
      </c>
      <c r="P242" s="12">
        <f>ROUND(O242*L242,2)</f>
        <v>617.80999999999995</v>
      </c>
      <c r="Q242" s="13">
        <f>IF(N242="HKD",7.8,IF(N242="CNY",7.30034,1))</f>
        <v>7.3003400000000003</v>
      </c>
      <c r="R242" s="15">
        <f>+ROUND(O242/Q242,4)</f>
        <v>8.3000000000000004E-2</v>
      </c>
      <c r="S242" s="14">
        <f>ROUND(R242*L242,2)</f>
        <v>84.66</v>
      </c>
      <c r="T242" s="15" t="s">
        <v>349</v>
      </c>
      <c r="U242" t="s">
        <v>442</v>
      </c>
    </row>
    <row r="243" spans="1:21" x14ac:dyDescent="0.2">
      <c r="A243" t="s">
        <v>1900</v>
      </c>
      <c r="B243" s="24">
        <v>45728</v>
      </c>
      <c r="C243" s="24">
        <v>45695</v>
      </c>
      <c r="D243" t="s">
        <v>709</v>
      </c>
      <c r="E243" t="s">
        <v>710</v>
      </c>
      <c r="G243" t="s">
        <v>2917</v>
      </c>
      <c r="H243" t="s">
        <v>713</v>
      </c>
      <c r="I243" t="s">
        <v>714</v>
      </c>
      <c r="J243" s="11" t="str">
        <f>+LEFT(U243,4)</f>
        <v>KNOB</v>
      </c>
      <c r="K243" t="s">
        <v>10</v>
      </c>
      <c r="L243">
        <v>850</v>
      </c>
      <c r="M243" t="s">
        <v>1472</v>
      </c>
      <c r="N243" t="s">
        <v>11</v>
      </c>
      <c r="O243">
        <v>0.61839999999999995</v>
      </c>
      <c r="P243" s="12">
        <f>ROUND(O243*L243,2)</f>
        <v>525.64</v>
      </c>
      <c r="Q243" s="13">
        <f>IF(N243="HKD",7.8,IF(N243="CNY",7.30034,1))</f>
        <v>7.3003400000000003</v>
      </c>
      <c r="R243" s="15">
        <f>+ROUND(O243/Q243,4)</f>
        <v>8.4699999999999998E-2</v>
      </c>
      <c r="S243" s="14">
        <f>ROUND(R243*L243,2)</f>
        <v>72</v>
      </c>
      <c r="T243" s="15" t="s">
        <v>349</v>
      </c>
      <c r="U243" t="s">
        <v>32</v>
      </c>
    </row>
    <row r="244" spans="1:21" x14ac:dyDescent="0.2">
      <c r="A244" t="s">
        <v>2629</v>
      </c>
      <c r="B244" s="24">
        <v>45744</v>
      </c>
      <c r="C244" s="24">
        <v>45721</v>
      </c>
      <c r="D244" t="s">
        <v>21</v>
      </c>
      <c r="E244" t="s">
        <v>22</v>
      </c>
      <c r="G244" t="s">
        <v>2999</v>
      </c>
      <c r="H244" t="s">
        <v>793</v>
      </c>
      <c r="I244" t="s">
        <v>794</v>
      </c>
      <c r="J244" s="11" t="str">
        <f>+LEFT(U244,4)</f>
        <v>FG--</v>
      </c>
      <c r="K244" t="s">
        <v>10</v>
      </c>
      <c r="L244">
        <v>1010</v>
      </c>
      <c r="M244" t="s">
        <v>1472</v>
      </c>
      <c r="N244" t="s">
        <v>11</v>
      </c>
      <c r="O244">
        <v>0.62919999999999998</v>
      </c>
      <c r="P244" s="12">
        <f>ROUND(O244*L244,2)</f>
        <v>635.49</v>
      </c>
      <c r="Q244" s="13">
        <f>IF(N244="HKD",7.8,IF(N244="CNY",7.30034,1))</f>
        <v>7.3003400000000003</v>
      </c>
      <c r="R244" s="15">
        <f>+ROUND(O244/Q244,4)</f>
        <v>8.6199999999999999E-2</v>
      </c>
      <c r="S244" s="14">
        <f>ROUND(R244*L244,2)</f>
        <v>87.06</v>
      </c>
      <c r="T244" s="15" t="s">
        <v>349</v>
      </c>
      <c r="U244" t="s">
        <v>64</v>
      </c>
    </row>
    <row r="245" spans="1:21" x14ac:dyDescent="0.2">
      <c r="A245" t="s">
        <v>2541</v>
      </c>
      <c r="B245" s="24">
        <v>45729</v>
      </c>
      <c r="C245" s="24">
        <v>45714</v>
      </c>
      <c r="D245" t="s">
        <v>372</v>
      </c>
      <c r="E245" t="s">
        <v>373</v>
      </c>
      <c r="G245" t="s">
        <v>2926</v>
      </c>
      <c r="H245" t="s">
        <v>1046</v>
      </c>
      <c r="I245" t="s">
        <v>1047</v>
      </c>
      <c r="J245" s="11" t="str">
        <f>+LEFT(U245,4)</f>
        <v>KNOB</v>
      </c>
      <c r="K245" t="s">
        <v>98</v>
      </c>
      <c r="L245">
        <v>4000</v>
      </c>
      <c r="M245" t="s">
        <v>1472</v>
      </c>
      <c r="N245" t="s">
        <v>11</v>
      </c>
      <c r="O245">
        <v>0.6411</v>
      </c>
      <c r="P245" s="12">
        <f>ROUND(O245*L245,2)</f>
        <v>2564.4</v>
      </c>
      <c r="Q245" s="13">
        <f>IF(N245="HKD",7.8,IF(N245="CNY",7.30034,1))</f>
        <v>7.3003400000000003</v>
      </c>
      <c r="R245" s="15">
        <f>+ROUND(O245/Q245,4)</f>
        <v>8.7800000000000003E-2</v>
      </c>
      <c r="S245" s="14">
        <f>ROUND(R245*L245,2)</f>
        <v>351.2</v>
      </c>
      <c r="T245" s="15" t="s">
        <v>349</v>
      </c>
      <c r="U245" t="s">
        <v>32</v>
      </c>
    </row>
    <row r="246" spans="1:21" x14ac:dyDescent="0.2">
      <c r="A246" t="s">
        <v>2568</v>
      </c>
      <c r="B246" s="24">
        <v>45744</v>
      </c>
      <c r="C246" s="24">
        <v>45716</v>
      </c>
      <c r="D246" t="s">
        <v>21</v>
      </c>
      <c r="E246" t="s">
        <v>22</v>
      </c>
      <c r="G246" t="s">
        <v>2999</v>
      </c>
      <c r="H246" t="s">
        <v>3181</v>
      </c>
      <c r="I246" t="s">
        <v>3388</v>
      </c>
      <c r="J246" s="11" t="str">
        <f>+LEFT(U246,4)</f>
        <v>FG--</v>
      </c>
      <c r="K246" t="s">
        <v>10</v>
      </c>
      <c r="L246">
        <v>1000</v>
      </c>
      <c r="M246" t="s">
        <v>1472</v>
      </c>
      <c r="N246" t="s">
        <v>11</v>
      </c>
      <c r="O246">
        <v>0.64870000000000005</v>
      </c>
      <c r="P246" s="12">
        <f>ROUND(O246*L246,2)</f>
        <v>648.70000000000005</v>
      </c>
      <c r="Q246" s="13">
        <f>IF(N246="HKD",7.8,IF(N246="CNY",7.30034,1))</f>
        <v>7.3003400000000003</v>
      </c>
      <c r="R246" s="15">
        <f>+ROUND(O246/Q246,4)</f>
        <v>8.8900000000000007E-2</v>
      </c>
      <c r="S246" s="14">
        <f>ROUND(R246*L246,2)</f>
        <v>88.9</v>
      </c>
      <c r="T246" s="15" t="s">
        <v>349</v>
      </c>
      <c r="U246" t="s">
        <v>64</v>
      </c>
    </row>
    <row r="247" spans="1:21" x14ac:dyDescent="0.2">
      <c r="A247" t="s">
        <v>2510</v>
      </c>
      <c r="B247" s="24">
        <v>45719</v>
      </c>
      <c r="C247" s="24">
        <v>45713</v>
      </c>
      <c r="D247" t="s">
        <v>169</v>
      </c>
      <c r="E247" t="s">
        <v>170</v>
      </c>
      <c r="G247" t="s">
        <v>2959</v>
      </c>
      <c r="H247" t="s">
        <v>3153</v>
      </c>
      <c r="I247" t="s">
        <v>3363</v>
      </c>
      <c r="J247" s="11" t="str">
        <f>+LEFT(U247,4)</f>
        <v>U&amp;C-</v>
      </c>
      <c r="K247" t="s">
        <v>10</v>
      </c>
      <c r="L247">
        <v>1010</v>
      </c>
      <c r="M247" t="s">
        <v>1472</v>
      </c>
      <c r="N247" t="s">
        <v>11</v>
      </c>
      <c r="O247">
        <v>0.65</v>
      </c>
      <c r="P247" s="12">
        <f>ROUND(O247*L247,2)</f>
        <v>656.5</v>
      </c>
      <c r="Q247" s="13">
        <f>IF(N247="HKD",7.8,IF(N247="CNY",7.30034,1))</f>
        <v>7.3003400000000003</v>
      </c>
      <c r="R247" s="15">
        <f>+ROUND(O247/Q247,4)</f>
        <v>8.8999999999999996E-2</v>
      </c>
      <c r="S247" s="14">
        <f>ROUND(R247*L247,2)</f>
        <v>89.89</v>
      </c>
      <c r="T247" s="15" t="s">
        <v>349</v>
      </c>
      <c r="U247" t="s">
        <v>177</v>
      </c>
    </row>
    <row r="248" spans="1:21" x14ac:dyDescent="0.2">
      <c r="A248" t="s">
        <v>2664</v>
      </c>
      <c r="B248" s="24">
        <v>45741</v>
      </c>
      <c r="C248" s="24">
        <v>45723</v>
      </c>
      <c r="D248" t="s">
        <v>28</v>
      </c>
      <c r="E248" t="s">
        <v>29</v>
      </c>
      <c r="G248" t="s">
        <v>2937</v>
      </c>
      <c r="H248" t="s">
        <v>1152</v>
      </c>
      <c r="I248" t="s">
        <v>1153</v>
      </c>
      <c r="J248" s="11" t="str">
        <f>+LEFT(U248,4)</f>
        <v>BRKT</v>
      </c>
      <c r="K248" t="s">
        <v>10</v>
      </c>
      <c r="L248">
        <v>1530</v>
      </c>
      <c r="M248" t="s">
        <v>1472</v>
      </c>
      <c r="N248" t="s">
        <v>11</v>
      </c>
      <c r="O248">
        <v>0.6522</v>
      </c>
      <c r="P248" s="12">
        <f>ROUND(O248*L248,2)</f>
        <v>997.87</v>
      </c>
      <c r="Q248" s="13">
        <f>IF(N248="HKD",7.8,IF(N248="CNY",7.30034,1))</f>
        <v>7.3003400000000003</v>
      </c>
      <c r="R248" s="15">
        <f>+ROUND(O248/Q248,4)</f>
        <v>8.9300000000000004E-2</v>
      </c>
      <c r="S248" s="14">
        <f>ROUND(R248*L248,2)</f>
        <v>136.63</v>
      </c>
      <c r="T248" s="15" t="s">
        <v>349</v>
      </c>
      <c r="U248" t="s">
        <v>442</v>
      </c>
    </row>
    <row r="249" spans="1:21" x14ac:dyDescent="0.2">
      <c r="A249" t="s">
        <v>2366</v>
      </c>
      <c r="B249" s="24">
        <v>45719</v>
      </c>
      <c r="C249" s="24">
        <v>45695</v>
      </c>
      <c r="D249" t="s">
        <v>21</v>
      </c>
      <c r="E249" t="s">
        <v>22</v>
      </c>
      <c r="G249" t="s">
        <v>2905</v>
      </c>
      <c r="H249" t="s">
        <v>1432</v>
      </c>
      <c r="I249" t="s">
        <v>1433</v>
      </c>
      <c r="J249" s="11" t="str">
        <f>+LEFT(U249,4)</f>
        <v>FG--</v>
      </c>
      <c r="K249" t="s">
        <v>10</v>
      </c>
      <c r="L249">
        <v>1040</v>
      </c>
      <c r="M249" t="s">
        <v>1472</v>
      </c>
      <c r="N249" t="s">
        <v>11</v>
      </c>
      <c r="O249">
        <v>0.65390000000000004</v>
      </c>
      <c r="P249" s="12">
        <f>ROUND(O249*L249,2)</f>
        <v>680.06</v>
      </c>
      <c r="Q249" s="13">
        <f>IF(N249="HKD",7.8,IF(N249="CNY",7.30034,1))</f>
        <v>7.3003400000000003</v>
      </c>
      <c r="R249" s="15">
        <f>+ROUND(O249/Q249,4)</f>
        <v>8.9599999999999999E-2</v>
      </c>
      <c r="S249" s="14">
        <f>ROUND(R249*L249,2)</f>
        <v>93.18</v>
      </c>
      <c r="T249" s="15" t="s">
        <v>349</v>
      </c>
      <c r="U249" t="s">
        <v>64</v>
      </c>
    </row>
    <row r="250" spans="1:21" x14ac:dyDescent="0.2">
      <c r="A250" t="s">
        <v>2566</v>
      </c>
      <c r="B250" s="24">
        <v>45744</v>
      </c>
      <c r="C250" s="24">
        <v>45716</v>
      </c>
      <c r="D250" t="s">
        <v>21</v>
      </c>
      <c r="E250" t="s">
        <v>22</v>
      </c>
      <c r="G250" t="s">
        <v>2999</v>
      </c>
      <c r="H250" t="s">
        <v>3179</v>
      </c>
      <c r="I250" t="s">
        <v>3386</v>
      </c>
      <c r="J250" s="11" t="str">
        <f>+LEFT(U250,4)</f>
        <v>FG--</v>
      </c>
      <c r="K250" t="s">
        <v>10</v>
      </c>
      <c r="L250">
        <v>1050</v>
      </c>
      <c r="M250" t="s">
        <v>1472</v>
      </c>
      <c r="N250" t="s">
        <v>11</v>
      </c>
      <c r="O250">
        <v>0.65839999999999999</v>
      </c>
      <c r="P250" s="12">
        <f>ROUND(O250*L250,2)</f>
        <v>691.32</v>
      </c>
      <c r="Q250" s="13">
        <f>IF(N250="HKD",7.8,IF(N250="CNY",7.30034,1))</f>
        <v>7.3003400000000003</v>
      </c>
      <c r="R250" s="15">
        <f>+ROUND(O250/Q250,4)</f>
        <v>9.0200000000000002E-2</v>
      </c>
      <c r="S250" s="14">
        <f>ROUND(R250*L250,2)</f>
        <v>94.71</v>
      </c>
      <c r="T250" s="15" t="s">
        <v>349</v>
      </c>
      <c r="U250" t="s">
        <v>64</v>
      </c>
    </row>
    <row r="251" spans="1:21" x14ac:dyDescent="0.2">
      <c r="A251" t="s">
        <v>2616</v>
      </c>
      <c r="B251" s="24">
        <v>45733</v>
      </c>
      <c r="C251" s="24">
        <v>45720</v>
      </c>
      <c r="D251" t="s">
        <v>235</v>
      </c>
      <c r="E251" t="s">
        <v>236</v>
      </c>
      <c r="G251" t="s">
        <v>2990</v>
      </c>
      <c r="H251" t="s">
        <v>1348</v>
      </c>
      <c r="I251" t="s">
        <v>1349</v>
      </c>
      <c r="J251" s="11" t="str">
        <f>+LEFT(U251,4)</f>
        <v>SCR-</v>
      </c>
      <c r="K251" t="s">
        <v>10</v>
      </c>
      <c r="L251">
        <v>2000</v>
      </c>
      <c r="M251" t="s">
        <v>1472</v>
      </c>
      <c r="N251" t="s">
        <v>11</v>
      </c>
      <c r="O251">
        <v>0.67030000000000001</v>
      </c>
      <c r="P251" s="12">
        <f>ROUND(O251*L251,2)</f>
        <v>1340.6</v>
      </c>
      <c r="Q251" s="13">
        <f>IF(N251="HKD",7.8,IF(N251="CNY",7.30034,1))</f>
        <v>7.3003400000000003</v>
      </c>
      <c r="R251" s="15">
        <f>+ROUND(O251/Q251,4)</f>
        <v>9.1800000000000007E-2</v>
      </c>
      <c r="S251" s="14">
        <f>ROUND(R251*L251,2)</f>
        <v>183.6</v>
      </c>
      <c r="T251" s="15" t="s">
        <v>349</v>
      </c>
      <c r="U251" t="s">
        <v>166</v>
      </c>
    </row>
    <row r="252" spans="1:21" x14ac:dyDescent="0.2">
      <c r="A252" s="19" t="s">
        <v>171</v>
      </c>
      <c r="B252" s="20">
        <v>45674</v>
      </c>
      <c r="C252" s="20">
        <v>45660</v>
      </c>
      <c r="D252" s="19" t="s">
        <v>169</v>
      </c>
      <c r="E252" s="19" t="s">
        <v>170</v>
      </c>
      <c r="G252" s="19" t="s">
        <v>172</v>
      </c>
      <c r="H252" s="19" t="s">
        <v>167</v>
      </c>
      <c r="I252" s="19" t="s">
        <v>168</v>
      </c>
      <c r="J252" s="11" t="str">
        <f>+LEFT(U252,4)</f>
        <v>BHRE</v>
      </c>
      <c r="K252" s="19" t="s">
        <v>10</v>
      </c>
      <c r="L252" s="19">
        <v>2850</v>
      </c>
      <c r="M252" s="19" t="s">
        <v>1472</v>
      </c>
      <c r="N252" s="19" t="s">
        <v>11</v>
      </c>
      <c r="O252" s="26">
        <v>2.79</v>
      </c>
      <c r="P252" s="12">
        <f>ROUND(O252*L252,2)</f>
        <v>7951.5</v>
      </c>
      <c r="Q252" s="13">
        <f>IF(N252="HKD",7.8,IF(N252="CNY",7.30034,1))</f>
        <v>7.3003400000000003</v>
      </c>
      <c r="R252" s="15">
        <f>+ROUND(O252/Q252,4)</f>
        <v>0.38219999999999998</v>
      </c>
      <c r="S252" s="14">
        <f>ROUND(R252*L252,2)</f>
        <v>1089.27</v>
      </c>
      <c r="T252" s="15" t="s">
        <v>349</v>
      </c>
      <c r="U252" s="19" t="s">
        <v>173</v>
      </c>
    </row>
    <row r="253" spans="1:21" x14ac:dyDescent="0.2">
      <c r="A253" t="s">
        <v>2616</v>
      </c>
      <c r="B253" s="24">
        <v>45744</v>
      </c>
      <c r="C253" s="24">
        <v>45720</v>
      </c>
      <c r="D253" t="s">
        <v>235</v>
      </c>
      <c r="E253" t="s">
        <v>236</v>
      </c>
      <c r="G253" t="s">
        <v>3002</v>
      </c>
      <c r="H253" t="s">
        <v>1348</v>
      </c>
      <c r="I253" t="s">
        <v>1349</v>
      </c>
      <c r="J253" s="11" t="str">
        <f>+LEFT(U253,4)</f>
        <v>SCR-</v>
      </c>
      <c r="K253" t="s">
        <v>10</v>
      </c>
      <c r="L253">
        <v>1600</v>
      </c>
      <c r="M253" t="s">
        <v>1472</v>
      </c>
      <c r="N253" t="s">
        <v>11</v>
      </c>
      <c r="O253">
        <v>0.67030000000000001</v>
      </c>
      <c r="P253" s="12">
        <f>ROUND(O253*L253,2)</f>
        <v>1072.48</v>
      </c>
      <c r="Q253" s="13">
        <f>IF(N253="HKD",7.8,IF(N253="CNY",7.30034,1))</f>
        <v>7.3003400000000003</v>
      </c>
      <c r="R253" s="15">
        <f>+ROUND(O253/Q253,4)</f>
        <v>9.1800000000000007E-2</v>
      </c>
      <c r="S253" s="14">
        <f>ROUND(R253*L253,2)</f>
        <v>146.88</v>
      </c>
      <c r="T253" s="15" t="s">
        <v>349</v>
      </c>
      <c r="U253" t="s">
        <v>166</v>
      </c>
    </row>
    <row r="254" spans="1:21" x14ac:dyDescent="0.2">
      <c r="A254" t="s">
        <v>2639</v>
      </c>
      <c r="B254" s="24">
        <v>45744</v>
      </c>
      <c r="C254" s="24">
        <v>45721</v>
      </c>
      <c r="D254" t="s">
        <v>235</v>
      </c>
      <c r="E254" t="s">
        <v>236</v>
      </c>
      <c r="G254" t="s">
        <v>3021</v>
      </c>
      <c r="H254" t="s">
        <v>1348</v>
      </c>
      <c r="I254" t="s">
        <v>1349</v>
      </c>
      <c r="J254" s="11" t="str">
        <f>+LEFT(U254,4)</f>
        <v>SCR-</v>
      </c>
      <c r="K254" t="s">
        <v>10</v>
      </c>
      <c r="L254">
        <v>1500</v>
      </c>
      <c r="M254" t="s">
        <v>1472</v>
      </c>
      <c r="N254" t="s">
        <v>11</v>
      </c>
      <c r="O254">
        <v>0.67030000000000001</v>
      </c>
      <c r="P254" s="12">
        <f>ROUND(O254*L254,2)</f>
        <v>1005.45</v>
      </c>
      <c r="Q254" s="13">
        <f>IF(N254="HKD",7.8,IF(N254="CNY",7.30034,1))</f>
        <v>7.3003400000000003</v>
      </c>
      <c r="R254" s="15">
        <f>+ROUND(O254/Q254,4)</f>
        <v>9.1800000000000007E-2</v>
      </c>
      <c r="S254" s="14">
        <f>ROUND(R254*L254,2)</f>
        <v>137.69999999999999</v>
      </c>
      <c r="T254" s="15" t="s">
        <v>349</v>
      </c>
      <c r="U254" t="s">
        <v>166</v>
      </c>
    </row>
    <row r="255" spans="1:21" x14ac:dyDescent="0.2">
      <c r="A255" t="s">
        <v>2728</v>
      </c>
      <c r="B255" s="24">
        <v>45744</v>
      </c>
      <c r="C255" s="24">
        <v>45728</v>
      </c>
      <c r="D255" t="s">
        <v>235</v>
      </c>
      <c r="E255" t="s">
        <v>236</v>
      </c>
      <c r="G255" t="s">
        <v>3040</v>
      </c>
      <c r="H255" t="s">
        <v>1348</v>
      </c>
      <c r="I255" t="s">
        <v>1349</v>
      </c>
      <c r="J255" s="11" t="str">
        <f>+LEFT(U255,4)</f>
        <v>SCR-</v>
      </c>
      <c r="K255" t="s">
        <v>10</v>
      </c>
      <c r="L255">
        <v>3000</v>
      </c>
      <c r="M255" t="s">
        <v>1472</v>
      </c>
      <c r="N255" t="s">
        <v>11</v>
      </c>
      <c r="O255">
        <v>0.67030000000000001</v>
      </c>
      <c r="P255" s="12">
        <f>ROUND(O255*L255,2)</f>
        <v>2010.9</v>
      </c>
      <c r="Q255" s="13">
        <f>IF(N255="HKD",7.8,IF(N255="CNY",7.30034,1))</f>
        <v>7.3003400000000003</v>
      </c>
      <c r="R255" s="15">
        <f>+ROUND(O255/Q255,4)</f>
        <v>9.1800000000000007E-2</v>
      </c>
      <c r="S255" s="14">
        <f>ROUND(R255*L255,2)</f>
        <v>275.39999999999998</v>
      </c>
      <c r="T255" s="15" t="s">
        <v>349</v>
      </c>
      <c r="U255" t="s">
        <v>166</v>
      </c>
    </row>
    <row r="256" spans="1:21" x14ac:dyDescent="0.2">
      <c r="A256" s="19" t="s">
        <v>1298</v>
      </c>
      <c r="B256" s="20">
        <v>45660</v>
      </c>
      <c r="C256" s="20">
        <v>45653</v>
      </c>
      <c r="D256" s="19" t="s">
        <v>5</v>
      </c>
      <c r="E256" s="19" t="s">
        <v>6</v>
      </c>
      <c r="G256" s="19" t="s">
        <v>1295</v>
      </c>
      <c r="H256" s="19" t="s">
        <v>1296</v>
      </c>
      <c r="I256" s="19" t="s">
        <v>1297</v>
      </c>
      <c r="J256" s="11" t="str">
        <f>+LEFT(U256,4)</f>
        <v>BOX-</v>
      </c>
      <c r="K256" s="19" t="s">
        <v>10</v>
      </c>
      <c r="L256" s="19">
        <v>2000</v>
      </c>
      <c r="M256" s="19" t="s">
        <v>1472</v>
      </c>
      <c r="N256" s="19" t="s">
        <v>11</v>
      </c>
      <c r="O256" s="26">
        <v>3.08</v>
      </c>
      <c r="P256" s="12">
        <f>ROUND(O256*L256,2)</f>
        <v>6160</v>
      </c>
      <c r="Q256" s="13">
        <f>IF(N256="HKD",7.8,IF(N256="CNY",7.30034,1))</f>
        <v>7.3003400000000003</v>
      </c>
      <c r="R256" s="15">
        <f>+ROUND(O256/Q256,4)</f>
        <v>0.4219</v>
      </c>
      <c r="S256" s="14">
        <f>ROUND(R256*L256,2)</f>
        <v>843.8</v>
      </c>
      <c r="T256" s="15" t="s">
        <v>349</v>
      </c>
      <c r="U256" s="19" t="s">
        <v>1</v>
      </c>
    </row>
    <row r="257" spans="1:21" x14ac:dyDescent="0.2">
      <c r="A257" s="19" t="s">
        <v>1294</v>
      </c>
      <c r="B257" s="20">
        <v>45660</v>
      </c>
      <c r="C257" s="20">
        <v>45653</v>
      </c>
      <c r="D257" s="19" t="s">
        <v>5</v>
      </c>
      <c r="E257" s="19" t="s">
        <v>6</v>
      </c>
      <c r="G257" s="19" t="s">
        <v>1295</v>
      </c>
      <c r="H257" s="19" t="s">
        <v>84</v>
      </c>
      <c r="I257" s="19" t="s">
        <v>85</v>
      </c>
      <c r="J257" s="11" t="str">
        <f>+LEFT(U257,4)</f>
        <v>BOX-</v>
      </c>
      <c r="K257" s="19" t="s">
        <v>10</v>
      </c>
      <c r="L257" s="19">
        <v>1090</v>
      </c>
      <c r="M257" s="19" t="s">
        <v>1472</v>
      </c>
      <c r="N257" s="19" t="s">
        <v>11</v>
      </c>
      <c r="O257" s="26">
        <v>4.8499999999999996</v>
      </c>
      <c r="P257" s="12">
        <f>ROUND(O257*L257,2)</f>
        <v>5286.5</v>
      </c>
      <c r="Q257" s="13">
        <f>IF(N257="HKD",7.8,IF(N257="CNY",7.30034,1))</f>
        <v>7.3003400000000003</v>
      </c>
      <c r="R257" s="15">
        <f>+ROUND(O257/Q257,4)</f>
        <v>0.66439999999999999</v>
      </c>
      <c r="S257" s="14">
        <f>ROUND(R257*L257,2)</f>
        <v>724.2</v>
      </c>
      <c r="T257" s="15" t="s">
        <v>349</v>
      </c>
      <c r="U257" s="19" t="s">
        <v>1</v>
      </c>
    </row>
    <row r="258" spans="1:21" x14ac:dyDescent="0.2">
      <c r="A258" s="19" t="s">
        <v>420</v>
      </c>
      <c r="B258" s="20">
        <v>45670</v>
      </c>
      <c r="C258" s="20">
        <v>45664</v>
      </c>
      <c r="D258" s="19" t="s">
        <v>5</v>
      </c>
      <c r="E258" s="19" t="s">
        <v>6</v>
      </c>
      <c r="G258" s="19" t="s">
        <v>393</v>
      </c>
      <c r="H258" s="19" t="s">
        <v>418</v>
      </c>
      <c r="I258" s="19" t="s">
        <v>419</v>
      </c>
      <c r="J258" s="11" t="str">
        <f>+LEFT(U258,4)</f>
        <v>BOX-</v>
      </c>
      <c r="K258" s="19" t="s">
        <v>10</v>
      </c>
      <c r="L258" s="19">
        <v>2020</v>
      </c>
      <c r="M258" s="19" t="s">
        <v>1472</v>
      </c>
      <c r="N258" s="19" t="s">
        <v>11</v>
      </c>
      <c r="O258" s="26">
        <v>1.94</v>
      </c>
      <c r="P258" s="12">
        <f>ROUND(O258*L258,2)</f>
        <v>3918.8</v>
      </c>
      <c r="Q258" s="13">
        <f>IF(N258="HKD",7.8,IF(N258="CNY",7.30034,1))</f>
        <v>7.3003400000000003</v>
      </c>
      <c r="R258" s="15">
        <f>+ROUND(O258/Q258,4)</f>
        <v>0.26569999999999999</v>
      </c>
      <c r="S258" s="14">
        <f>ROUND(R258*L258,2)</f>
        <v>536.71</v>
      </c>
      <c r="T258" s="15" t="s">
        <v>349</v>
      </c>
      <c r="U258" s="19" t="s">
        <v>1</v>
      </c>
    </row>
    <row r="259" spans="1:21" x14ac:dyDescent="0.2">
      <c r="A259" s="19" t="s">
        <v>417</v>
      </c>
      <c r="B259" s="20">
        <v>45670</v>
      </c>
      <c r="C259" s="20">
        <v>45664</v>
      </c>
      <c r="D259" s="19" t="s">
        <v>5</v>
      </c>
      <c r="E259" s="19" t="s">
        <v>6</v>
      </c>
      <c r="G259" s="19" t="s">
        <v>393</v>
      </c>
      <c r="H259" s="19" t="s">
        <v>415</v>
      </c>
      <c r="I259" s="19" t="s">
        <v>416</v>
      </c>
      <c r="J259" s="11" t="str">
        <f>+LEFT(U259,4)</f>
        <v>BOX-</v>
      </c>
      <c r="K259" s="19" t="s">
        <v>10</v>
      </c>
      <c r="L259" s="19">
        <v>2020</v>
      </c>
      <c r="M259" s="19" t="s">
        <v>1472</v>
      </c>
      <c r="N259" s="19" t="s">
        <v>11</v>
      </c>
      <c r="O259" s="26">
        <v>2.0299999999999998</v>
      </c>
      <c r="P259" s="12">
        <f>ROUND(O259*L259,2)</f>
        <v>4100.6000000000004</v>
      </c>
      <c r="Q259" s="13">
        <f>IF(N259="HKD",7.8,IF(N259="CNY",7.30034,1))</f>
        <v>7.3003400000000003</v>
      </c>
      <c r="R259" s="15">
        <f>+ROUND(O259/Q259,4)</f>
        <v>0.27810000000000001</v>
      </c>
      <c r="S259" s="14">
        <f>ROUND(R259*L259,2)</f>
        <v>561.76</v>
      </c>
      <c r="T259" s="15" t="s">
        <v>349</v>
      </c>
      <c r="U259" s="19" t="s">
        <v>1</v>
      </c>
    </row>
    <row r="260" spans="1:21" x14ac:dyDescent="0.2">
      <c r="A260" s="19" t="s">
        <v>386</v>
      </c>
      <c r="B260" s="20">
        <v>45670</v>
      </c>
      <c r="C260" s="20">
        <v>45663</v>
      </c>
      <c r="D260" s="19" t="s">
        <v>5</v>
      </c>
      <c r="E260" s="19" t="s">
        <v>6</v>
      </c>
      <c r="G260" s="19" t="s">
        <v>383</v>
      </c>
      <c r="H260" s="19" t="s">
        <v>384</v>
      </c>
      <c r="I260" s="19" t="s">
        <v>385</v>
      </c>
      <c r="J260" s="11" t="str">
        <f>+LEFT(U260,4)</f>
        <v>BOX-</v>
      </c>
      <c r="K260" s="19" t="s">
        <v>10</v>
      </c>
      <c r="L260" s="19">
        <v>1010</v>
      </c>
      <c r="M260" s="19" t="s">
        <v>1472</v>
      </c>
      <c r="N260" s="19" t="s">
        <v>11</v>
      </c>
      <c r="O260" s="26">
        <v>2.5</v>
      </c>
      <c r="P260" s="12">
        <f>ROUND(O260*L260,2)</f>
        <v>2525</v>
      </c>
      <c r="Q260" s="13">
        <f>IF(N260="HKD",7.8,IF(N260="CNY",7.30034,1))</f>
        <v>7.3003400000000003</v>
      </c>
      <c r="R260" s="15">
        <f>+ROUND(O260/Q260,4)</f>
        <v>0.34239999999999998</v>
      </c>
      <c r="S260" s="14">
        <f>ROUND(R260*L260,2)</f>
        <v>345.82</v>
      </c>
      <c r="T260" s="15" t="s">
        <v>349</v>
      </c>
      <c r="U260" s="19" t="s">
        <v>1</v>
      </c>
    </row>
    <row r="261" spans="1:21" x14ac:dyDescent="0.2">
      <c r="A261" s="19" t="s">
        <v>411</v>
      </c>
      <c r="B261" s="20">
        <v>45670</v>
      </c>
      <c r="C261" s="20">
        <v>45664</v>
      </c>
      <c r="D261" s="19" t="s">
        <v>5</v>
      </c>
      <c r="E261" s="19" t="s">
        <v>6</v>
      </c>
      <c r="G261" s="19" t="s">
        <v>393</v>
      </c>
      <c r="H261" s="19" t="s">
        <v>409</v>
      </c>
      <c r="I261" s="19" t="s">
        <v>410</v>
      </c>
      <c r="J261" s="11" t="str">
        <f>+LEFT(U261,4)</f>
        <v>BOX-</v>
      </c>
      <c r="K261" s="19" t="s">
        <v>10</v>
      </c>
      <c r="L261" s="19">
        <v>2020</v>
      </c>
      <c r="M261" s="19" t="s">
        <v>1472</v>
      </c>
      <c r="N261" s="19" t="s">
        <v>11</v>
      </c>
      <c r="O261" s="26">
        <v>2.52</v>
      </c>
      <c r="P261" s="12">
        <f>ROUND(O261*L261,2)</f>
        <v>5090.3999999999996</v>
      </c>
      <c r="Q261" s="13">
        <f>IF(N261="HKD",7.8,IF(N261="CNY",7.30034,1))</f>
        <v>7.3003400000000003</v>
      </c>
      <c r="R261" s="15">
        <f>+ROUND(O261/Q261,4)</f>
        <v>0.34520000000000001</v>
      </c>
      <c r="S261" s="14">
        <f>ROUND(R261*L261,2)</f>
        <v>697.3</v>
      </c>
      <c r="T261" s="15" t="s">
        <v>349</v>
      </c>
      <c r="U261" s="19" t="s">
        <v>1</v>
      </c>
    </row>
    <row r="262" spans="1:21" x14ac:dyDescent="0.2">
      <c r="A262" s="19" t="s">
        <v>414</v>
      </c>
      <c r="B262" s="20">
        <v>45670</v>
      </c>
      <c r="C262" s="20">
        <v>45664</v>
      </c>
      <c r="D262" s="19" t="s">
        <v>5</v>
      </c>
      <c r="E262" s="19" t="s">
        <v>6</v>
      </c>
      <c r="G262" s="19" t="s">
        <v>393</v>
      </c>
      <c r="H262" s="19" t="s">
        <v>412</v>
      </c>
      <c r="I262" s="19" t="s">
        <v>413</v>
      </c>
      <c r="J262" s="11" t="str">
        <f>+LEFT(U262,4)</f>
        <v>BOX-</v>
      </c>
      <c r="K262" s="19" t="s">
        <v>10</v>
      </c>
      <c r="L262" s="19">
        <v>2020</v>
      </c>
      <c r="M262" s="19" t="s">
        <v>1472</v>
      </c>
      <c r="N262" s="19" t="s">
        <v>11</v>
      </c>
      <c r="O262" s="26">
        <v>2.6</v>
      </c>
      <c r="P262" s="12">
        <f>ROUND(O262*L262,2)</f>
        <v>5252</v>
      </c>
      <c r="Q262" s="13">
        <f>IF(N262="HKD",7.8,IF(N262="CNY",7.30034,1))</f>
        <v>7.3003400000000003</v>
      </c>
      <c r="R262" s="15">
        <f>+ROUND(O262/Q262,4)</f>
        <v>0.35610000000000003</v>
      </c>
      <c r="S262" s="14">
        <f>ROUND(R262*L262,2)</f>
        <v>719.32</v>
      </c>
      <c r="T262" s="15" t="s">
        <v>349</v>
      </c>
      <c r="U262" s="19" t="s">
        <v>1</v>
      </c>
    </row>
    <row r="263" spans="1:21" x14ac:dyDescent="0.2">
      <c r="A263" s="19" t="s">
        <v>408</v>
      </c>
      <c r="B263" s="20">
        <v>45670</v>
      </c>
      <c r="C263" s="20">
        <v>45664</v>
      </c>
      <c r="D263" s="19" t="s">
        <v>5</v>
      </c>
      <c r="E263" s="19" t="s">
        <v>6</v>
      </c>
      <c r="G263" s="19" t="s">
        <v>393</v>
      </c>
      <c r="H263" s="19" t="s">
        <v>406</v>
      </c>
      <c r="I263" s="19" t="s">
        <v>407</v>
      </c>
      <c r="J263" s="11" t="str">
        <f>+LEFT(U263,4)</f>
        <v>BOX-</v>
      </c>
      <c r="K263" s="19" t="s">
        <v>10</v>
      </c>
      <c r="L263" s="19">
        <v>2020</v>
      </c>
      <c r="M263" s="19" t="s">
        <v>1472</v>
      </c>
      <c r="N263" s="19" t="s">
        <v>11</v>
      </c>
      <c r="O263" s="26">
        <v>2.76</v>
      </c>
      <c r="P263" s="12">
        <f>ROUND(O263*L263,2)</f>
        <v>5575.2</v>
      </c>
      <c r="Q263" s="13">
        <f>IF(N263="HKD",7.8,IF(N263="CNY",7.30034,1))</f>
        <v>7.3003400000000003</v>
      </c>
      <c r="R263" s="15">
        <f>+ROUND(O263/Q263,4)</f>
        <v>0.37809999999999999</v>
      </c>
      <c r="S263" s="14">
        <f>ROUND(R263*L263,2)</f>
        <v>763.76</v>
      </c>
      <c r="T263" s="15" t="s">
        <v>349</v>
      </c>
      <c r="U263" s="19" t="s">
        <v>1</v>
      </c>
    </row>
    <row r="264" spans="1:21" x14ac:dyDescent="0.2">
      <c r="A264" s="19" t="s">
        <v>461</v>
      </c>
      <c r="B264" s="20">
        <v>45670</v>
      </c>
      <c r="C264" s="20">
        <v>45663</v>
      </c>
      <c r="D264" s="19" t="s">
        <v>5</v>
      </c>
      <c r="E264" s="19" t="s">
        <v>6</v>
      </c>
      <c r="G264" s="19" t="s">
        <v>458</v>
      </c>
      <c r="H264" s="19" t="s">
        <v>459</v>
      </c>
      <c r="I264" s="19" t="s">
        <v>460</v>
      </c>
      <c r="J264" s="11" t="str">
        <f>+LEFT(U264,4)</f>
        <v>BOX-</v>
      </c>
      <c r="K264" s="19" t="s">
        <v>10</v>
      </c>
      <c r="L264" s="19">
        <v>2020</v>
      </c>
      <c r="M264" s="19" t="s">
        <v>1472</v>
      </c>
      <c r="N264" s="19" t="s">
        <v>11</v>
      </c>
      <c r="O264" s="26">
        <v>3.05</v>
      </c>
      <c r="P264" s="12">
        <f>ROUND(O264*L264,2)</f>
        <v>6161</v>
      </c>
      <c r="Q264" s="13">
        <f>IF(N264="HKD",7.8,IF(N264="CNY",7.30034,1))</f>
        <v>7.3003400000000003</v>
      </c>
      <c r="R264" s="15">
        <f>+ROUND(O264/Q264,4)</f>
        <v>0.4178</v>
      </c>
      <c r="S264" s="14">
        <f>ROUND(R264*L264,2)</f>
        <v>843.96</v>
      </c>
      <c r="T264" s="15" t="s">
        <v>349</v>
      </c>
      <c r="U264" s="19" t="s">
        <v>1</v>
      </c>
    </row>
    <row r="265" spans="1:21" x14ac:dyDescent="0.2">
      <c r="A265" s="19" t="s">
        <v>382</v>
      </c>
      <c r="B265" s="20">
        <v>45670</v>
      </c>
      <c r="C265" s="20">
        <v>45663</v>
      </c>
      <c r="D265" s="19" t="s">
        <v>5</v>
      </c>
      <c r="E265" s="19" t="s">
        <v>6</v>
      </c>
      <c r="G265" s="19" t="s">
        <v>383</v>
      </c>
      <c r="H265" s="19" t="s">
        <v>380</v>
      </c>
      <c r="I265" s="19" t="s">
        <v>381</v>
      </c>
      <c r="J265" s="11" t="str">
        <f>+LEFT(U265,4)</f>
        <v>BOX-</v>
      </c>
      <c r="K265" s="19" t="s">
        <v>10</v>
      </c>
      <c r="L265" s="19">
        <v>1010</v>
      </c>
      <c r="M265" s="19" t="s">
        <v>1472</v>
      </c>
      <c r="N265" s="19" t="s">
        <v>11</v>
      </c>
      <c r="O265" s="26">
        <v>3.08</v>
      </c>
      <c r="P265" s="12">
        <f>ROUND(O265*L265,2)</f>
        <v>3110.8</v>
      </c>
      <c r="Q265" s="13">
        <f>IF(N265="HKD",7.8,IF(N265="CNY",7.30034,1))</f>
        <v>7.3003400000000003</v>
      </c>
      <c r="R265" s="15">
        <f>+ROUND(O265/Q265,4)</f>
        <v>0.4219</v>
      </c>
      <c r="S265" s="14">
        <f>ROUND(R265*L265,2)</f>
        <v>426.12</v>
      </c>
      <c r="T265" s="15" t="s">
        <v>349</v>
      </c>
      <c r="U265" s="19" t="s">
        <v>1</v>
      </c>
    </row>
    <row r="266" spans="1:21" x14ac:dyDescent="0.2">
      <c r="A266" s="19" t="s">
        <v>405</v>
      </c>
      <c r="B266" s="20">
        <v>45670</v>
      </c>
      <c r="C266" s="20">
        <v>45664</v>
      </c>
      <c r="D266" s="19" t="s">
        <v>5</v>
      </c>
      <c r="E266" s="19" t="s">
        <v>6</v>
      </c>
      <c r="G266" s="19" t="s">
        <v>393</v>
      </c>
      <c r="H266" s="19" t="s">
        <v>403</v>
      </c>
      <c r="I266" s="19" t="s">
        <v>404</v>
      </c>
      <c r="J266" s="11" t="str">
        <f>+LEFT(U266,4)</f>
        <v>BOX-</v>
      </c>
      <c r="K266" s="19" t="s">
        <v>10</v>
      </c>
      <c r="L266" s="19">
        <v>2020</v>
      </c>
      <c r="M266" s="19" t="s">
        <v>1472</v>
      </c>
      <c r="N266" s="19" t="s">
        <v>11</v>
      </c>
      <c r="O266" s="26">
        <v>3.23</v>
      </c>
      <c r="P266" s="12">
        <f>ROUND(O266*L266,2)</f>
        <v>6524.6</v>
      </c>
      <c r="Q266" s="13">
        <f>IF(N266="HKD",7.8,IF(N266="CNY",7.30034,1))</f>
        <v>7.3003400000000003</v>
      </c>
      <c r="R266" s="15">
        <f>+ROUND(O266/Q266,4)</f>
        <v>0.44240000000000002</v>
      </c>
      <c r="S266" s="14">
        <f>ROUND(R266*L266,2)</f>
        <v>893.65</v>
      </c>
      <c r="T266" s="15" t="s">
        <v>349</v>
      </c>
      <c r="U266" s="19" t="s">
        <v>1</v>
      </c>
    </row>
    <row r="267" spans="1:21" x14ac:dyDescent="0.2">
      <c r="A267" s="19" t="s">
        <v>526</v>
      </c>
      <c r="B267" s="20">
        <v>45670</v>
      </c>
      <c r="C267" s="20">
        <v>45663</v>
      </c>
      <c r="D267" s="19" t="s">
        <v>5</v>
      </c>
      <c r="E267" s="19" t="s">
        <v>6</v>
      </c>
      <c r="G267" s="19" t="s">
        <v>527</v>
      </c>
      <c r="H267" s="19" t="s">
        <v>524</v>
      </c>
      <c r="I267" s="19" t="s">
        <v>525</v>
      </c>
      <c r="J267" s="11" t="str">
        <f>+LEFT(U267,4)</f>
        <v>BOX-</v>
      </c>
      <c r="K267" s="19" t="s">
        <v>10</v>
      </c>
      <c r="L267" s="19">
        <v>505</v>
      </c>
      <c r="M267" s="19" t="s">
        <v>1472</v>
      </c>
      <c r="N267" s="19" t="s">
        <v>11</v>
      </c>
      <c r="O267" s="26">
        <v>3.49</v>
      </c>
      <c r="P267" s="12">
        <f>ROUND(O267*L267,2)</f>
        <v>1762.45</v>
      </c>
      <c r="Q267" s="13">
        <f>IF(N267="HKD",7.8,IF(N267="CNY",7.30034,1))</f>
        <v>7.3003400000000003</v>
      </c>
      <c r="R267" s="15">
        <f>+ROUND(O267/Q267,4)</f>
        <v>0.47810000000000002</v>
      </c>
      <c r="S267" s="14">
        <f>ROUND(R267*L267,2)</f>
        <v>241.44</v>
      </c>
      <c r="T267" s="15" t="s">
        <v>349</v>
      </c>
      <c r="U267" s="19" t="s">
        <v>1</v>
      </c>
    </row>
    <row r="268" spans="1:21" x14ac:dyDescent="0.2">
      <c r="A268" s="19" t="s">
        <v>402</v>
      </c>
      <c r="B268" s="20">
        <v>45670</v>
      </c>
      <c r="C268" s="20">
        <v>45664</v>
      </c>
      <c r="D268" s="19" t="s">
        <v>5</v>
      </c>
      <c r="E268" s="19" t="s">
        <v>6</v>
      </c>
      <c r="G268" s="19" t="s">
        <v>393</v>
      </c>
      <c r="H268" s="19" t="s">
        <v>400</v>
      </c>
      <c r="I268" s="19" t="s">
        <v>401</v>
      </c>
      <c r="J268" s="11" t="str">
        <f>+LEFT(U268,4)</f>
        <v>BOX-</v>
      </c>
      <c r="K268" s="19" t="s">
        <v>10</v>
      </c>
      <c r="L268" s="19">
        <v>2020</v>
      </c>
      <c r="M268" s="19" t="s">
        <v>1472</v>
      </c>
      <c r="N268" s="19" t="s">
        <v>11</v>
      </c>
      <c r="O268" s="26">
        <v>3.94</v>
      </c>
      <c r="P268" s="12">
        <f>ROUND(O268*L268,2)</f>
        <v>7958.8</v>
      </c>
      <c r="Q268" s="13">
        <f>IF(N268="HKD",7.8,IF(N268="CNY",7.30034,1))</f>
        <v>7.3003400000000003</v>
      </c>
      <c r="R268" s="15">
        <f>+ROUND(O268/Q268,4)</f>
        <v>0.53969999999999996</v>
      </c>
      <c r="S268" s="14">
        <f>ROUND(R268*L268,2)</f>
        <v>1090.19</v>
      </c>
      <c r="T268" s="15" t="s">
        <v>349</v>
      </c>
      <c r="U268" s="19" t="s">
        <v>1</v>
      </c>
    </row>
    <row r="269" spans="1:21" x14ac:dyDescent="0.2">
      <c r="A269" s="19" t="s">
        <v>423</v>
      </c>
      <c r="B269" s="20">
        <v>45670</v>
      </c>
      <c r="C269" s="20">
        <v>45664</v>
      </c>
      <c r="D269" s="19" t="s">
        <v>5</v>
      </c>
      <c r="E269" s="19" t="s">
        <v>6</v>
      </c>
      <c r="G269" s="19" t="s">
        <v>393</v>
      </c>
      <c r="H269" s="19" t="s">
        <v>421</v>
      </c>
      <c r="I269" s="19" t="s">
        <v>422</v>
      </c>
      <c r="J269" s="11" t="str">
        <f>+LEFT(U269,4)</f>
        <v>BOX-</v>
      </c>
      <c r="K269" s="19" t="s">
        <v>10</v>
      </c>
      <c r="L269" s="19">
        <v>2200</v>
      </c>
      <c r="M269" s="19" t="s">
        <v>1472</v>
      </c>
      <c r="N269" s="19" t="s">
        <v>11</v>
      </c>
      <c r="O269" s="26">
        <v>4.45</v>
      </c>
      <c r="P269" s="12">
        <f>ROUND(O269*L269,2)</f>
        <v>9790</v>
      </c>
      <c r="Q269" s="13">
        <f>IF(N269="HKD",7.8,IF(N269="CNY",7.30034,1))</f>
        <v>7.3003400000000003</v>
      </c>
      <c r="R269" s="15">
        <f>+ROUND(O269/Q269,4)</f>
        <v>0.60960000000000003</v>
      </c>
      <c r="S269" s="14">
        <f>ROUND(R269*L269,2)</f>
        <v>1341.12</v>
      </c>
      <c r="T269" s="15" t="s">
        <v>349</v>
      </c>
      <c r="U269" s="19" t="s">
        <v>1</v>
      </c>
    </row>
    <row r="270" spans="1:21" x14ac:dyDescent="0.2">
      <c r="A270" s="19" t="s">
        <v>429</v>
      </c>
      <c r="B270" s="20">
        <v>45670</v>
      </c>
      <c r="C270" s="20">
        <v>45664</v>
      </c>
      <c r="D270" s="19" t="s">
        <v>5</v>
      </c>
      <c r="E270" s="19" t="s">
        <v>6</v>
      </c>
      <c r="G270" s="19" t="s">
        <v>393</v>
      </c>
      <c r="H270" s="19" t="s">
        <v>427</v>
      </c>
      <c r="I270" s="19" t="s">
        <v>428</v>
      </c>
      <c r="J270" s="11" t="str">
        <f>+LEFT(U270,4)</f>
        <v>BOX-</v>
      </c>
      <c r="K270" s="19" t="s">
        <v>10</v>
      </c>
      <c r="L270" s="19">
        <v>1150</v>
      </c>
      <c r="M270" s="19" t="s">
        <v>1472</v>
      </c>
      <c r="N270" s="19" t="s">
        <v>11</v>
      </c>
      <c r="O270" s="26">
        <v>4.7699999999999996</v>
      </c>
      <c r="P270" s="12">
        <f>ROUND(O270*L270,2)</f>
        <v>5485.5</v>
      </c>
      <c r="Q270" s="13">
        <f>IF(N270="HKD",7.8,IF(N270="CNY",7.30034,1))</f>
        <v>7.3003400000000003</v>
      </c>
      <c r="R270" s="15">
        <f>+ROUND(O270/Q270,4)</f>
        <v>0.65339999999999998</v>
      </c>
      <c r="S270" s="14">
        <f>ROUND(R270*L270,2)</f>
        <v>751.41</v>
      </c>
      <c r="T270" s="15" t="s">
        <v>349</v>
      </c>
      <c r="U270" s="19" t="s">
        <v>1</v>
      </c>
    </row>
    <row r="271" spans="1:21" x14ac:dyDescent="0.2">
      <c r="A271" s="19" t="s">
        <v>476</v>
      </c>
      <c r="B271" s="20">
        <v>45670</v>
      </c>
      <c r="C271" s="20">
        <v>45663</v>
      </c>
      <c r="D271" s="19" t="s">
        <v>5</v>
      </c>
      <c r="E271" s="19" t="s">
        <v>6</v>
      </c>
      <c r="G271" s="19" t="s">
        <v>458</v>
      </c>
      <c r="H271" s="19" t="s">
        <v>474</v>
      </c>
      <c r="I271" s="19" t="s">
        <v>475</v>
      </c>
      <c r="J271" s="11" t="str">
        <f>+LEFT(U271,4)</f>
        <v>BOX-</v>
      </c>
      <c r="K271" s="19" t="s">
        <v>10</v>
      </c>
      <c r="L271" s="19">
        <v>1010</v>
      </c>
      <c r="M271" s="19" t="s">
        <v>1472</v>
      </c>
      <c r="N271" s="19" t="s">
        <v>11</v>
      </c>
      <c r="O271" s="26">
        <v>4.9800000000000004</v>
      </c>
      <c r="P271" s="12">
        <f>ROUND(O271*L271,2)</f>
        <v>5029.8</v>
      </c>
      <c r="Q271" s="13">
        <f>IF(N271="HKD",7.8,IF(N271="CNY",7.30034,1))</f>
        <v>7.3003400000000003</v>
      </c>
      <c r="R271" s="15">
        <f>+ROUND(O271/Q271,4)</f>
        <v>0.68220000000000003</v>
      </c>
      <c r="S271" s="14">
        <f>ROUND(R271*L271,2)</f>
        <v>689.02</v>
      </c>
      <c r="T271" s="15" t="s">
        <v>349</v>
      </c>
      <c r="U271" s="19" t="s">
        <v>1</v>
      </c>
    </row>
    <row r="272" spans="1:21" x14ac:dyDescent="0.2">
      <c r="A272" s="19" t="s">
        <v>473</v>
      </c>
      <c r="B272" s="20">
        <v>45670</v>
      </c>
      <c r="C272" s="20">
        <v>45663</v>
      </c>
      <c r="D272" s="19" t="s">
        <v>5</v>
      </c>
      <c r="E272" s="19" t="s">
        <v>6</v>
      </c>
      <c r="G272" s="19" t="s">
        <v>458</v>
      </c>
      <c r="H272" s="19" t="s">
        <v>471</v>
      </c>
      <c r="I272" s="19" t="s">
        <v>472</v>
      </c>
      <c r="J272" s="11" t="str">
        <f>+LEFT(U272,4)</f>
        <v>BOX-</v>
      </c>
      <c r="K272" s="19" t="s">
        <v>10</v>
      </c>
      <c r="L272" s="19">
        <v>1010</v>
      </c>
      <c r="M272" s="19" t="s">
        <v>1472</v>
      </c>
      <c r="N272" s="19" t="s">
        <v>11</v>
      </c>
      <c r="O272" s="26">
        <v>5.46</v>
      </c>
      <c r="P272" s="12">
        <f>ROUND(O272*L272,2)</f>
        <v>5514.6</v>
      </c>
      <c r="Q272" s="13">
        <f>IF(N272="HKD",7.8,IF(N272="CNY",7.30034,1))</f>
        <v>7.3003400000000003</v>
      </c>
      <c r="R272" s="15">
        <f>+ROUND(O272/Q272,4)</f>
        <v>0.74790000000000001</v>
      </c>
      <c r="S272" s="14">
        <f>ROUND(R272*L272,2)</f>
        <v>755.38</v>
      </c>
      <c r="T272" s="15" t="s">
        <v>349</v>
      </c>
      <c r="U272" s="19" t="s">
        <v>1</v>
      </c>
    </row>
    <row r="273" spans="1:21" x14ac:dyDescent="0.2">
      <c r="A273" s="19" t="s">
        <v>399</v>
      </c>
      <c r="B273" s="20">
        <v>45670</v>
      </c>
      <c r="C273" s="20">
        <v>45664</v>
      </c>
      <c r="D273" s="19" t="s">
        <v>5</v>
      </c>
      <c r="E273" s="19" t="s">
        <v>6</v>
      </c>
      <c r="G273" s="19" t="s">
        <v>393</v>
      </c>
      <c r="H273" s="19" t="s">
        <v>397</v>
      </c>
      <c r="I273" s="19" t="s">
        <v>398</v>
      </c>
      <c r="J273" s="11" t="str">
        <f>+LEFT(U273,4)</f>
        <v>BOX-</v>
      </c>
      <c r="K273" s="19" t="s">
        <v>10</v>
      </c>
      <c r="L273" s="19">
        <v>2020</v>
      </c>
      <c r="M273" s="19" t="s">
        <v>1472</v>
      </c>
      <c r="N273" s="19" t="s">
        <v>11</v>
      </c>
      <c r="O273" s="26">
        <v>5.64</v>
      </c>
      <c r="P273" s="12">
        <f>ROUND(O273*L273,2)</f>
        <v>11392.8</v>
      </c>
      <c r="Q273" s="13">
        <f>IF(N273="HKD",7.8,IF(N273="CNY",7.30034,1))</f>
        <v>7.3003400000000003</v>
      </c>
      <c r="R273" s="15">
        <f>+ROUND(O273/Q273,4)</f>
        <v>0.77259999999999995</v>
      </c>
      <c r="S273" s="14">
        <f>ROUND(R273*L273,2)</f>
        <v>1560.65</v>
      </c>
      <c r="T273" s="15" t="s">
        <v>349</v>
      </c>
      <c r="U273" s="19" t="s">
        <v>1</v>
      </c>
    </row>
    <row r="274" spans="1:21" x14ac:dyDescent="0.2">
      <c r="A274" s="19" t="s">
        <v>396</v>
      </c>
      <c r="B274" s="20">
        <v>45670</v>
      </c>
      <c r="C274" s="20">
        <v>45664</v>
      </c>
      <c r="D274" s="19" t="s">
        <v>5</v>
      </c>
      <c r="E274" s="19" t="s">
        <v>6</v>
      </c>
      <c r="G274" s="19" t="s">
        <v>393</v>
      </c>
      <c r="H274" s="19" t="s">
        <v>394</v>
      </c>
      <c r="I274" s="19" t="s">
        <v>395</v>
      </c>
      <c r="J274" s="11" t="str">
        <f>+LEFT(U274,4)</f>
        <v>BOX-</v>
      </c>
      <c r="K274" s="19" t="s">
        <v>10</v>
      </c>
      <c r="L274" s="19">
        <v>2020</v>
      </c>
      <c r="M274" s="19" t="s">
        <v>1472</v>
      </c>
      <c r="N274" s="19" t="s">
        <v>11</v>
      </c>
      <c r="O274" s="26">
        <v>5.64</v>
      </c>
      <c r="P274" s="12">
        <f>ROUND(O274*L274,2)</f>
        <v>11392.8</v>
      </c>
      <c r="Q274" s="13">
        <f>IF(N274="HKD",7.8,IF(N274="CNY",7.30034,1))</f>
        <v>7.3003400000000003</v>
      </c>
      <c r="R274" s="15">
        <f>+ROUND(O274/Q274,4)</f>
        <v>0.77259999999999995</v>
      </c>
      <c r="S274" s="14">
        <f>ROUND(R274*L274,2)</f>
        <v>1560.65</v>
      </c>
      <c r="T274" s="15" t="s">
        <v>349</v>
      </c>
      <c r="U274" s="19" t="s">
        <v>1</v>
      </c>
    </row>
    <row r="275" spans="1:21" x14ac:dyDescent="0.2">
      <c r="A275" s="19" t="s">
        <v>488</v>
      </c>
      <c r="B275" s="20">
        <v>45670</v>
      </c>
      <c r="C275" s="20">
        <v>45663</v>
      </c>
      <c r="D275" s="19" t="s">
        <v>5</v>
      </c>
      <c r="E275" s="19" t="s">
        <v>6</v>
      </c>
      <c r="G275" s="19" t="s">
        <v>458</v>
      </c>
      <c r="H275" s="19" t="s">
        <v>486</v>
      </c>
      <c r="I275" s="19" t="s">
        <v>487</v>
      </c>
      <c r="J275" s="11" t="str">
        <f>+LEFT(U275,4)</f>
        <v>BOX-</v>
      </c>
      <c r="K275" s="19" t="s">
        <v>10</v>
      </c>
      <c r="L275" s="19">
        <v>1010</v>
      </c>
      <c r="M275" s="19" t="s">
        <v>1472</v>
      </c>
      <c r="N275" s="19" t="s">
        <v>11</v>
      </c>
      <c r="O275" s="26">
        <v>6.27</v>
      </c>
      <c r="P275" s="12">
        <f>ROUND(O275*L275,2)</f>
        <v>6332.7</v>
      </c>
      <c r="Q275" s="13">
        <f>IF(N275="HKD",7.8,IF(N275="CNY",7.30034,1))</f>
        <v>7.3003400000000003</v>
      </c>
      <c r="R275" s="15">
        <f>+ROUND(O275/Q275,4)</f>
        <v>0.8589</v>
      </c>
      <c r="S275" s="14">
        <f>ROUND(R275*L275,2)</f>
        <v>867.49</v>
      </c>
      <c r="T275" s="15" t="s">
        <v>349</v>
      </c>
      <c r="U275" s="19" t="s">
        <v>1</v>
      </c>
    </row>
    <row r="276" spans="1:21" x14ac:dyDescent="0.2">
      <c r="A276" s="19" t="s">
        <v>426</v>
      </c>
      <c r="B276" s="20">
        <v>45670</v>
      </c>
      <c r="C276" s="20">
        <v>45664</v>
      </c>
      <c r="D276" s="19" t="s">
        <v>5</v>
      </c>
      <c r="E276" s="19" t="s">
        <v>6</v>
      </c>
      <c r="G276" s="19" t="s">
        <v>393</v>
      </c>
      <c r="H276" s="19" t="s">
        <v>424</v>
      </c>
      <c r="I276" s="19" t="s">
        <v>425</v>
      </c>
      <c r="J276" s="11" t="str">
        <f>+LEFT(U276,4)</f>
        <v>BOX-</v>
      </c>
      <c r="K276" s="19" t="s">
        <v>10</v>
      </c>
      <c r="L276" s="19">
        <v>2120</v>
      </c>
      <c r="M276" s="19" t="s">
        <v>1472</v>
      </c>
      <c r="N276" s="19" t="s">
        <v>11</v>
      </c>
      <c r="O276" s="26">
        <v>7.13</v>
      </c>
      <c r="P276" s="12">
        <f>ROUND(O276*L276,2)</f>
        <v>15115.6</v>
      </c>
      <c r="Q276" s="13">
        <f>IF(N276="HKD",7.8,IF(N276="CNY",7.30034,1))</f>
        <v>7.3003400000000003</v>
      </c>
      <c r="R276" s="15">
        <f>+ROUND(O276/Q276,4)</f>
        <v>0.97670000000000001</v>
      </c>
      <c r="S276" s="14">
        <f>ROUND(R276*L276,2)</f>
        <v>2070.6</v>
      </c>
      <c r="T276" s="15" t="s">
        <v>349</v>
      </c>
      <c r="U276" s="19" t="s">
        <v>1</v>
      </c>
    </row>
    <row r="277" spans="1:21" x14ac:dyDescent="0.2">
      <c r="A277" s="19" t="s">
        <v>482</v>
      </c>
      <c r="B277" s="20">
        <v>45670</v>
      </c>
      <c r="C277" s="20">
        <v>45663</v>
      </c>
      <c r="D277" s="19" t="s">
        <v>5</v>
      </c>
      <c r="E277" s="19" t="s">
        <v>6</v>
      </c>
      <c r="G277" s="19" t="s">
        <v>458</v>
      </c>
      <c r="H277" s="19" t="s">
        <v>480</v>
      </c>
      <c r="I277" s="19" t="s">
        <v>481</v>
      </c>
      <c r="J277" s="11" t="str">
        <f>+LEFT(U277,4)</f>
        <v>BOX-</v>
      </c>
      <c r="K277" s="19" t="s">
        <v>10</v>
      </c>
      <c r="L277" s="19">
        <v>1010</v>
      </c>
      <c r="M277" s="19" t="s">
        <v>1472</v>
      </c>
      <c r="N277" s="19" t="s">
        <v>11</v>
      </c>
      <c r="O277" s="26">
        <v>7.6</v>
      </c>
      <c r="P277" s="12">
        <f>ROUND(O277*L277,2)</f>
        <v>7676</v>
      </c>
      <c r="Q277" s="13">
        <f>IF(N277="HKD",7.8,IF(N277="CNY",7.30034,1))</f>
        <v>7.3003400000000003</v>
      </c>
      <c r="R277" s="15">
        <f>+ROUND(O277/Q277,4)</f>
        <v>1.0409999999999999</v>
      </c>
      <c r="S277" s="14">
        <f>ROUND(R277*L277,2)</f>
        <v>1051.4100000000001</v>
      </c>
      <c r="T277" s="15" t="s">
        <v>349</v>
      </c>
      <c r="U277" s="19" t="s">
        <v>1</v>
      </c>
    </row>
    <row r="278" spans="1:21" x14ac:dyDescent="0.2">
      <c r="A278" s="19" t="s">
        <v>389</v>
      </c>
      <c r="B278" s="20">
        <v>45670</v>
      </c>
      <c r="C278" s="20">
        <v>45663</v>
      </c>
      <c r="D278" s="19" t="s">
        <v>5</v>
      </c>
      <c r="E278" s="19" t="s">
        <v>6</v>
      </c>
      <c r="G278" s="19" t="s">
        <v>383</v>
      </c>
      <c r="H278" s="19" t="s">
        <v>387</v>
      </c>
      <c r="I278" s="19" t="s">
        <v>388</v>
      </c>
      <c r="J278" s="11" t="str">
        <f>+LEFT(U278,4)</f>
        <v>BOX-</v>
      </c>
      <c r="K278" s="19" t="s">
        <v>10</v>
      </c>
      <c r="L278" s="19">
        <v>1510</v>
      </c>
      <c r="M278" s="19" t="s">
        <v>1472</v>
      </c>
      <c r="N278" s="19" t="s">
        <v>11</v>
      </c>
      <c r="O278" s="26">
        <v>7.75</v>
      </c>
      <c r="P278" s="12">
        <f>ROUND(O278*L278,2)</f>
        <v>11702.5</v>
      </c>
      <c r="Q278" s="13">
        <f>IF(N278="HKD",7.8,IF(N278="CNY",7.30034,1))</f>
        <v>7.3003400000000003</v>
      </c>
      <c r="R278" s="15">
        <f>+ROUND(O278/Q278,4)</f>
        <v>1.0616000000000001</v>
      </c>
      <c r="S278" s="14">
        <f>ROUND(R278*L278,2)</f>
        <v>1603.02</v>
      </c>
      <c r="T278" s="15" t="s">
        <v>349</v>
      </c>
      <c r="U278" s="19" t="s">
        <v>1</v>
      </c>
    </row>
    <row r="279" spans="1:21" x14ac:dyDescent="0.2">
      <c r="A279" s="19" t="s">
        <v>485</v>
      </c>
      <c r="B279" s="20">
        <v>45670</v>
      </c>
      <c r="C279" s="20">
        <v>45663</v>
      </c>
      <c r="D279" s="19" t="s">
        <v>5</v>
      </c>
      <c r="E279" s="19" t="s">
        <v>6</v>
      </c>
      <c r="G279" s="19" t="s">
        <v>458</v>
      </c>
      <c r="H279" s="19" t="s">
        <v>483</v>
      </c>
      <c r="I279" s="19" t="s">
        <v>484</v>
      </c>
      <c r="J279" s="11" t="str">
        <f>+LEFT(U279,4)</f>
        <v>BOX-</v>
      </c>
      <c r="K279" s="19" t="s">
        <v>10</v>
      </c>
      <c r="L279" s="19">
        <v>1010</v>
      </c>
      <c r="M279" s="19" t="s">
        <v>1472</v>
      </c>
      <c r="N279" s="19" t="s">
        <v>11</v>
      </c>
      <c r="O279" s="26">
        <v>7.86</v>
      </c>
      <c r="P279" s="12">
        <f>ROUND(O279*L279,2)</f>
        <v>7938.6</v>
      </c>
      <c r="Q279" s="13">
        <f>IF(N279="HKD",7.8,IF(N279="CNY",7.30034,1))</f>
        <v>7.3003400000000003</v>
      </c>
      <c r="R279" s="15">
        <f>+ROUND(O279/Q279,4)</f>
        <v>1.0767</v>
      </c>
      <c r="S279" s="14">
        <f>ROUND(R279*L279,2)</f>
        <v>1087.47</v>
      </c>
      <c r="T279" s="15" t="s">
        <v>349</v>
      </c>
      <c r="U279" s="19" t="s">
        <v>1</v>
      </c>
    </row>
    <row r="280" spans="1:21" x14ac:dyDescent="0.2">
      <c r="A280" s="19" t="s">
        <v>479</v>
      </c>
      <c r="B280" s="20">
        <v>45670</v>
      </c>
      <c r="C280" s="20">
        <v>45663</v>
      </c>
      <c r="D280" s="19" t="s">
        <v>5</v>
      </c>
      <c r="E280" s="19" t="s">
        <v>6</v>
      </c>
      <c r="G280" s="19" t="s">
        <v>458</v>
      </c>
      <c r="H280" s="19" t="s">
        <v>477</v>
      </c>
      <c r="I280" s="19" t="s">
        <v>478</v>
      </c>
      <c r="J280" s="11" t="str">
        <f>+LEFT(U280,4)</f>
        <v>BOX-</v>
      </c>
      <c r="K280" s="19" t="s">
        <v>10</v>
      </c>
      <c r="L280" s="19">
        <v>1010</v>
      </c>
      <c r="M280" s="19" t="s">
        <v>1472</v>
      </c>
      <c r="N280" s="19" t="s">
        <v>11</v>
      </c>
      <c r="O280" s="26">
        <v>7.87</v>
      </c>
      <c r="P280" s="12">
        <f>ROUND(O280*L280,2)</f>
        <v>7948.7</v>
      </c>
      <c r="Q280" s="13">
        <f>IF(N280="HKD",7.8,IF(N280="CNY",7.30034,1))</f>
        <v>7.3003400000000003</v>
      </c>
      <c r="R280" s="15">
        <f>+ROUND(O280/Q280,4)</f>
        <v>1.0780000000000001</v>
      </c>
      <c r="S280" s="14">
        <f>ROUND(R280*L280,2)</f>
        <v>1088.78</v>
      </c>
      <c r="T280" s="15" t="s">
        <v>349</v>
      </c>
      <c r="U280" s="19" t="s">
        <v>1</v>
      </c>
    </row>
    <row r="281" spans="1:21" x14ac:dyDescent="0.2">
      <c r="A281" s="19" t="s">
        <v>464</v>
      </c>
      <c r="B281" s="20">
        <v>45670</v>
      </c>
      <c r="C281" s="20">
        <v>45663</v>
      </c>
      <c r="D281" s="19" t="s">
        <v>5</v>
      </c>
      <c r="E281" s="19" t="s">
        <v>6</v>
      </c>
      <c r="G281" s="19" t="s">
        <v>458</v>
      </c>
      <c r="H281" s="19" t="s">
        <v>462</v>
      </c>
      <c r="I281" s="19" t="s">
        <v>463</v>
      </c>
      <c r="J281" s="11" t="str">
        <f>+LEFT(U281,4)</f>
        <v>BOX-</v>
      </c>
      <c r="K281" s="19" t="s">
        <v>10</v>
      </c>
      <c r="L281" s="19">
        <v>1010</v>
      </c>
      <c r="M281" s="19" t="s">
        <v>1472</v>
      </c>
      <c r="N281" s="19" t="s">
        <v>11</v>
      </c>
      <c r="O281" s="26">
        <v>8.59</v>
      </c>
      <c r="P281" s="12">
        <f>ROUND(O281*L281,2)</f>
        <v>8675.9</v>
      </c>
      <c r="Q281" s="13">
        <f>IF(N281="HKD",7.8,IF(N281="CNY",7.30034,1))</f>
        <v>7.3003400000000003</v>
      </c>
      <c r="R281" s="15">
        <f>+ROUND(O281/Q281,4)</f>
        <v>1.1767000000000001</v>
      </c>
      <c r="S281" s="14">
        <f>ROUND(R281*L281,2)</f>
        <v>1188.47</v>
      </c>
      <c r="T281" s="15" t="s">
        <v>349</v>
      </c>
      <c r="U281" s="19" t="s">
        <v>1</v>
      </c>
    </row>
    <row r="282" spans="1:21" x14ac:dyDescent="0.2">
      <c r="A282" s="19" t="s">
        <v>392</v>
      </c>
      <c r="B282" s="20">
        <v>45670</v>
      </c>
      <c r="C282" s="20">
        <v>45664</v>
      </c>
      <c r="D282" s="19" t="s">
        <v>5</v>
      </c>
      <c r="E282" s="19" t="s">
        <v>6</v>
      </c>
      <c r="G282" s="19" t="s">
        <v>393</v>
      </c>
      <c r="H282" s="19" t="s">
        <v>390</v>
      </c>
      <c r="I282" s="19" t="s">
        <v>391</v>
      </c>
      <c r="J282" s="11" t="str">
        <f>+LEFT(U282,4)</f>
        <v>BOX-</v>
      </c>
      <c r="K282" s="19" t="s">
        <v>10</v>
      </c>
      <c r="L282" s="19">
        <v>1000</v>
      </c>
      <c r="M282" s="19" t="s">
        <v>1472</v>
      </c>
      <c r="N282" s="19" t="s">
        <v>11</v>
      </c>
      <c r="O282" s="26">
        <v>9.15</v>
      </c>
      <c r="P282" s="12">
        <f>ROUND(O282*L282,2)</f>
        <v>9150</v>
      </c>
      <c r="Q282" s="13">
        <f>IF(N282="HKD",7.8,IF(N282="CNY",7.30034,1))</f>
        <v>7.3003400000000003</v>
      </c>
      <c r="R282" s="15">
        <f>+ROUND(O282/Q282,4)</f>
        <v>1.2534000000000001</v>
      </c>
      <c r="S282" s="14">
        <f>ROUND(R282*L282,2)</f>
        <v>1253.4000000000001</v>
      </c>
      <c r="T282" s="15" t="s">
        <v>349</v>
      </c>
      <c r="U282" s="19" t="s">
        <v>1</v>
      </c>
    </row>
    <row r="283" spans="1:21" x14ac:dyDescent="0.2">
      <c r="A283" s="19" t="s">
        <v>454</v>
      </c>
      <c r="B283" s="20">
        <v>45670</v>
      </c>
      <c r="C283" s="20">
        <v>45663</v>
      </c>
      <c r="D283" s="19" t="s">
        <v>5</v>
      </c>
      <c r="E283" s="19" t="s">
        <v>6</v>
      </c>
      <c r="G283" s="19" t="s">
        <v>450</v>
      </c>
      <c r="H283" s="19" t="s">
        <v>452</v>
      </c>
      <c r="I283" s="19" t="s">
        <v>453</v>
      </c>
      <c r="J283" s="11" t="str">
        <f>+LEFT(U283,4)</f>
        <v>BOX-</v>
      </c>
      <c r="K283" s="19" t="s">
        <v>10</v>
      </c>
      <c r="L283" s="19">
        <v>505</v>
      </c>
      <c r="M283" s="19" t="s">
        <v>1472</v>
      </c>
      <c r="N283" s="19" t="s">
        <v>11</v>
      </c>
      <c r="O283" s="26">
        <v>9.33</v>
      </c>
      <c r="P283" s="12">
        <f>ROUND(O283*L283,2)</f>
        <v>4711.6499999999996</v>
      </c>
      <c r="Q283" s="13">
        <f>IF(N283="HKD",7.8,IF(N283="CNY",7.30034,1))</f>
        <v>7.3003400000000003</v>
      </c>
      <c r="R283" s="15">
        <f>+ROUND(O283/Q283,4)</f>
        <v>1.278</v>
      </c>
      <c r="S283" s="14">
        <f>ROUND(R283*L283,2)</f>
        <v>645.39</v>
      </c>
      <c r="T283" s="15" t="s">
        <v>349</v>
      </c>
      <c r="U283" s="19" t="s">
        <v>1</v>
      </c>
    </row>
    <row r="284" spans="1:21" x14ac:dyDescent="0.2">
      <c r="A284" s="19" t="s">
        <v>467</v>
      </c>
      <c r="B284" s="20">
        <v>45670</v>
      </c>
      <c r="C284" s="20">
        <v>45663</v>
      </c>
      <c r="D284" s="19" t="s">
        <v>5</v>
      </c>
      <c r="E284" s="19" t="s">
        <v>6</v>
      </c>
      <c r="G284" s="19" t="s">
        <v>458</v>
      </c>
      <c r="H284" s="19" t="s">
        <v>465</v>
      </c>
      <c r="I284" s="19" t="s">
        <v>466</v>
      </c>
      <c r="J284" s="11" t="str">
        <f>+LEFT(U284,4)</f>
        <v>BOX-</v>
      </c>
      <c r="K284" s="19" t="s">
        <v>10</v>
      </c>
      <c r="L284" s="19">
        <v>1010</v>
      </c>
      <c r="M284" s="19" t="s">
        <v>1472</v>
      </c>
      <c r="N284" s="19" t="s">
        <v>11</v>
      </c>
      <c r="O284" s="26">
        <v>10.3</v>
      </c>
      <c r="P284" s="12">
        <f>ROUND(O284*L284,2)</f>
        <v>10403</v>
      </c>
      <c r="Q284" s="13">
        <f>IF(N284="HKD",7.8,IF(N284="CNY",7.30034,1))</f>
        <v>7.3003400000000003</v>
      </c>
      <c r="R284" s="15">
        <f>+ROUND(O284/Q284,4)</f>
        <v>1.4109</v>
      </c>
      <c r="S284" s="14">
        <f>ROUND(R284*L284,2)</f>
        <v>1425.01</v>
      </c>
      <c r="T284" s="15" t="s">
        <v>349</v>
      </c>
      <c r="U284" s="19" t="s">
        <v>1</v>
      </c>
    </row>
    <row r="285" spans="1:21" x14ac:dyDescent="0.2">
      <c r="A285" s="19" t="s">
        <v>470</v>
      </c>
      <c r="B285" s="20">
        <v>45670</v>
      </c>
      <c r="C285" s="20">
        <v>45663</v>
      </c>
      <c r="D285" s="19" t="s">
        <v>5</v>
      </c>
      <c r="E285" s="19" t="s">
        <v>6</v>
      </c>
      <c r="G285" s="19" t="s">
        <v>458</v>
      </c>
      <c r="H285" s="19" t="s">
        <v>468</v>
      </c>
      <c r="I285" s="19" t="s">
        <v>469</v>
      </c>
      <c r="J285" s="11" t="str">
        <f>+LEFT(U285,4)</f>
        <v>BOX-</v>
      </c>
      <c r="K285" s="19" t="s">
        <v>10</v>
      </c>
      <c r="L285" s="19">
        <v>505</v>
      </c>
      <c r="M285" s="19" t="s">
        <v>1472</v>
      </c>
      <c r="N285" s="19" t="s">
        <v>11</v>
      </c>
      <c r="O285" s="26">
        <v>12.45</v>
      </c>
      <c r="P285" s="12">
        <f>ROUND(O285*L285,2)</f>
        <v>6287.25</v>
      </c>
      <c r="Q285" s="13">
        <f>IF(N285="HKD",7.8,IF(N285="CNY",7.30034,1))</f>
        <v>7.3003400000000003</v>
      </c>
      <c r="R285" s="15">
        <f>+ROUND(O285/Q285,4)</f>
        <v>1.7054</v>
      </c>
      <c r="S285" s="14">
        <f>ROUND(R285*L285,2)</f>
        <v>861.23</v>
      </c>
      <c r="T285" s="15" t="s">
        <v>349</v>
      </c>
      <c r="U285" s="19" t="s">
        <v>1</v>
      </c>
    </row>
    <row r="286" spans="1:21" x14ac:dyDescent="0.2">
      <c r="A286" s="19" t="s">
        <v>449</v>
      </c>
      <c r="B286" s="20">
        <v>45670</v>
      </c>
      <c r="C286" s="20">
        <v>45663</v>
      </c>
      <c r="D286" s="19" t="s">
        <v>5</v>
      </c>
      <c r="E286" s="19" t="s">
        <v>6</v>
      </c>
      <c r="G286" s="19" t="s">
        <v>450</v>
      </c>
      <c r="H286" s="19" t="s">
        <v>447</v>
      </c>
      <c r="I286" s="19" t="s">
        <v>448</v>
      </c>
      <c r="J286" s="11" t="str">
        <f>+LEFT(U286,4)</f>
        <v>BOX-</v>
      </c>
      <c r="K286" s="19" t="s">
        <v>10</v>
      </c>
      <c r="L286" s="19">
        <v>1010</v>
      </c>
      <c r="M286" s="19" t="s">
        <v>1472</v>
      </c>
      <c r="N286" s="19" t="s">
        <v>11</v>
      </c>
      <c r="O286" s="26">
        <v>15.95</v>
      </c>
      <c r="P286" s="12">
        <f>ROUND(O286*L286,2)</f>
        <v>16109.5</v>
      </c>
      <c r="Q286" s="13">
        <f>IF(N286="HKD",7.8,IF(N286="CNY",7.30034,1))</f>
        <v>7.3003400000000003</v>
      </c>
      <c r="R286" s="15">
        <f>+ROUND(O286/Q286,4)</f>
        <v>2.1848000000000001</v>
      </c>
      <c r="S286" s="14">
        <f>ROUND(R286*L286,2)</f>
        <v>2206.65</v>
      </c>
      <c r="T286" s="15" t="s">
        <v>349</v>
      </c>
      <c r="U286" s="19" t="s">
        <v>1</v>
      </c>
    </row>
    <row r="287" spans="1:21" x14ac:dyDescent="0.2">
      <c r="A287" s="19" t="s">
        <v>286</v>
      </c>
      <c r="B287" s="20">
        <v>45673</v>
      </c>
      <c r="C287" s="20">
        <v>45639</v>
      </c>
      <c r="D287" s="19" t="s">
        <v>280</v>
      </c>
      <c r="E287" s="19" t="s">
        <v>281</v>
      </c>
      <c r="G287" s="19" t="s">
        <v>283</v>
      </c>
      <c r="H287" s="19" t="s">
        <v>284</v>
      </c>
      <c r="I287" s="19" t="s">
        <v>285</v>
      </c>
      <c r="J287" s="11" t="str">
        <f>+LEFT(U287,4)</f>
        <v>BOX-</v>
      </c>
      <c r="K287" s="19" t="s">
        <v>10</v>
      </c>
      <c r="L287" s="19">
        <v>3050</v>
      </c>
      <c r="M287" s="19" t="s">
        <v>1472</v>
      </c>
      <c r="N287" s="19" t="s">
        <v>11</v>
      </c>
      <c r="O287" s="26">
        <v>3.18</v>
      </c>
      <c r="P287" s="12">
        <f>ROUND(O287*L287,2)</f>
        <v>9699</v>
      </c>
      <c r="Q287" s="13">
        <f>IF(N287="HKD",7.8,IF(N287="CNY",7.30034,1))</f>
        <v>7.3003400000000003</v>
      </c>
      <c r="R287" s="15">
        <f>+ROUND(O287/Q287,4)</f>
        <v>0.43559999999999999</v>
      </c>
      <c r="S287" s="14">
        <f>ROUND(R287*L287,2)</f>
        <v>1328.58</v>
      </c>
      <c r="T287" s="15" t="s">
        <v>349</v>
      </c>
      <c r="U287" s="19" t="s">
        <v>1</v>
      </c>
    </row>
    <row r="288" spans="1:21" x14ac:dyDescent="0.2">
      <c r="A288" s="19" t="s">
        <v>282</v>
      </c>
      <c r="B288" s="20">
        <v>45673</v>
      </c>
      <c r="C288" s="20">
        <v>45639</v>
      </c>
      <c r="D288" s="19" t="s">
        <v>280</v>
      </c>
      <c r="E288" s="19" t="s">
        <v>281</v>
      </c>
      <c r="G288" s="19" t="s">
        <v>283</v>
      </c>
      <c r="H288" s="19" t="s">
        <v>278</v>
      </c>
      <c r="I288" s="19" t="s">
        <v>279</v>
      </c>
      <c r="J288" s="11" t="str">
        <f>+LEFT(U288,4)</f>
        <v>BOX-</v>
      </c>
      <c r="K288" s="19" t="s">
        <v>10</v>
      </c>
      <c r="L288" s="19">
        <v>3000</v>
      </c>
      <c r="M288" s="19" t="s">
        <v>1472</v>
      </c>
      <c r="N288" s="19" t="s">
        <v>11</v>
      </c>
      <c r="O288" s="26">
        <v>5</v>
      </c>
      <c r="P288" s="12">
        <f>ROUND(O288*L288,2)</f>
        <v>15000</v>
      </c>
      <c r="Q288" s="13">
        <f>IF(N288="HKD",7.8,IF(N288="CNY",7.30034,1))</f>
        <v>7.3003400000000003</v>
      </c>
      <c r="R288" s="15">
        <f>+ROUND(O288/Q288,4)</f>
        <v>0.68489999999999995</v>
      </c>
      <c r="S288" s="14">
        <f>ROUND(R288*L288,2)</f>
        <v>2054.6999999999998</v>
      </c>
      <c r="T288" s="15" t="s">
        <v>349</v>
      </c>
      <c r="U288" s="19" t="s">
        <v>1</v>
      </c>
    </row>
    <row r="289" spans="1:21" x14ac:dyDescent="0.2">
      <c r="A289" s="19" t="s">
        <v>86</v>
      </c>
      <c r="B289" s="20">
        <v>45678</v>
      </c>
      <c r="C289" s="20">
        <v>45677</v>
      </c>
      <c r="D289" s="19" t="s">
        <v>5</v>
      </c>
      <c r="E289" s="19" t="s">
        <v>6</v>
      </c>
      <c r="G289" s="19" t="s">
        <v>87</v>
      </c>
      <c r="H289" s="19" t="s">
        <v>84</v>
      </c>
      <c r="I289" s="19" t="s">
        <v>85</v>
      </c>
      <c r="J289" s="11" t="str">
        <f>+LEFT(U289,4)</f>
        <v>BOX-</v>
      </c>
      <c r="K289" s="19" t="s">
        <v>10</v>
      </c>
      <c r="L289" s="19">
        <v>910</v>
      </c>
      <c r="M289" s="19" t="s">
        <v>1472</v>
      </c>
      <c r="N289" s="19" t="s">
        <v>11</v>
      </c>
      <c r="O289" s="26">
        <v>5.2</v>
      </c>
      <c r="P289" s="12">
        <f>ROUND(O289*L289,2)</f>
        <v>4732</v>
      </c>
      <c r="Q289" s="13">
        <f>IF(N289="HKD",7.8,IF(N289="CNY",7.30034,1))</f>
        <v>7.3003400000000003</v>
      </c>
      <c r="R289" s="15">
        <f>+ROUND(O289/Q289,4)</f>
        <v>0.71230000000000004</v>
      </c>
      <c r="S289" s="14">
        <f>ROUND(R289*L289,2)</f>
        <v>648.19000000000005</v>
      </c>
      <c r="T289" s="15" t="s">
        <v>349</v>
      </c>
      <c r="U289" s="19" t="s">
        <v>1</v>
      </c>
    </row>
    <row r="290" spans="1:21" x14ac:dyDescent="0.2">
      <c r="A290" s="19" t="s">
        <v>58</v>
      </c>
      <c r="B290" s="20">
        <v>45679</v>
      </c>
      <c r="C290" s="20">
        <v>45677</v>
      </c>
      <c r="D290" s="19" t="s">
        <v>5</v>
      </c>
      <c r="E290" s="19" t="s">
        <v>6</v>
      </c>
      <c r="G290" s="19" t="s">
        <v>40</v>
      </c>
      <c r="H290" s="19" t="s">
        <v>56</v>
      </c>
      <c r="I290" s="19" t="s">
        <v>57</v>
      </c>
      <c r="J290" s="11" t="str">
        <f>+LEFT(U290,4)</f>
        <v>BOX-</v>
      </c>
      <c r="K290" s="19" t="s">
        <v>10</v>
      </c>
      <c r="L290" s="19">
        <v>505</v>
      </c>
      <c r="M290" s="19" t="s">
        <v>1472</v>
      </c>
      <c r="N290" s="19" t="s">
        <v>11</v>
      </c>
      <c r="O290" s="26">
        <v>3.81</v>
      </c>
      <c r="P290" s="12">
        <f>ROUND(O290*L290,2)</f>
        <v>1924.05</v>
      </c>
      <c r="Q290" s="13">
        <f>IF(N290="HKD",7.8,IF(N290="CNY",7.30034,1))</f>
        <v>7.3003400000000003</v>
      </c>
      <c r="R290" s="15">
        <f>+ROUND(O290/Q290,4)</f>
        <v>0.52190000000000003</v>
      </c>
      <c r="S290" s="14">
        <f>ROUND(R290*L290,2)</f>
        <v>263.56</v>
      </c>
      <c r="T290" s="15" t="s">
        <v>349</v>
      </c>
      <c r="U290" s="19" t="s">
        <v>1</v>
      </c>
    </row>
    <row r="291" spans="1:21" x14ac:dyDescent="0.2">
      <c r="A291" s="19" t="s">
        <v>52</v>
      </c>
      <c r="B291" s="20">
        <v>45679</v>
      </c>
      <c r="C291" s="20">
        <v>45677</v>
      </c>
      <c r="D291" s="19" t="s">
        <v>5</v>
      </c>
      <c r="E291" s="19" t="s">
        <v>6</v>
      </c>
      <c r="G291" s="19" t="s">
        <v>40</v>
      </c>
      <c r="H291" s="19" t="s">
        <v>50</v>
      </c>
      <c r="I291" s="19" t="s">
        <v>51</v>
      </c>
      <c r="J291" s="11" t="str">
        <f>+LEFT(U291,4)</f>
        <v>BOX-</v>
      </c>
      <c r="K291" s="19" t="s">
        <v>10</v>
      </c>
      <c r="L291" s="19">
        <v>505</v>
      </c>
      <c r="M291" s="19" t="s">
        <v>1472</v>
      </c>
      <c r="N291" s="19" t="s">
        <v>11</v>
      </c>
      <c r="O291" s="26">
        <v>4.49</v>
      </c>
      <c r="P291" s="12">
        <f>ROUND(O291*L291,2)</f>
        <v>2267.4499999999998</v>
      </c>
      <c r="Q291" s="13">
        <f>IF(N291="HKD",7.8,IF(N291="CNY",7.30034,1))</f>
        <v>7.3003400000000003</v>
      </c>
      <c r="R291" s="15">
        <f>+ROUND(O291/Q291,4)</f>
        <v>0.61499999999999999</v>
      </c>
      <c r="S291" s="14">
        <f>ROUND(R291*L291,2)</f>
        <v>310.58</v>
      </c>
      <c r="T291" s="15" t="s">
        <v>349</v>
      </c>
      <c r="U291" s="19" t="s">
        <v>1</v>
      </c>
    </row>
    <row r="292" spans="1:21" x14ac:dyDescent="0.2">
      <c r="A292" s="19" t="s">
        <v>43</v>
      </c>
      <c r="B292" s="20">
        <v>45679</v>
      </c>
      <c r="C292" s="20">
        <v>45677</v>
      </c>
      <c r="D292" s="19" t="s">
        <v>5</v>
      </c>
      <c r="E292" s="19" t="s">
        <v>6</v>
      </c>
      <c r="G292" s="19" t="s">
        <v>40</v>
      </c>
      <c r="H292" s="19" t="s">
        <v>41</v>
      </c>
      <c r="I292" s="19" t="s">
        <v>42</v>
      </c>
      <c r="J292" s="11" t="str">
        <f>+LEFT(U292,4)</f>
        <v>BOX-</v>
      </c>
      <c r="K292" s="19" t="s">
        <v>10</v>
      </c>
      <c r="L292" s="19">
        <v>500</v>
      </c>
      <c r="M292" s="19" t="s">
        <v>1472</v>
      </c>
      <c r="N292" s="19" t="s">
        <v>11</v>
      </c>
      <c r="O292" s="26">
        <v>4.49</v>
      </c>
      <c r="P292" s="12">
        <f>ROUND(O292*L292,2)</f>
        <v>2245</v>
      </c>
      <c r="Q292" s="13">
        <f>IF(N292="HKD",7.8,IF(N292="CNY",7.30034,1))</f>
        <v>7.3003400000000003</v>
      </c>
      <c r="R292" s="15">
        <f>+ROUND(O292/Q292,4)</f>
        <v>0.61499999999999999</v>
      </c>
      <c r="S292" s="14">
        <f>ROUND(R292*L292,2)</f>
        <v>307.5</v>
      </c>
      <c r="T292" s="15" t="s">
        <v>349</v>
      </c>
      <c r="U292" s="19" t="s">
        <v>1</v>
      </c>
    </row>
    <row r="293" spans="1:21" x14ac:dyDescent="0.2">
      <c r="A293" s="19" t="s">
        <v>39</v>
      </c>
      <c r="B293" s="20">
        <v>45679</v>
      </c>
      <c r="C293" s="20">
        <v>45677</v>
      </c>
      <c r="D293" s="19" t="s">
        <v>5</v>
      </c>
      <c r="E293" s="19" t="s">
        <v>6</v>
      </c>
      <c r="G293" s="19" t="s">
        <v>40</v>
      </c>
      <c r="H293" s="19" t="s">
        <v>37</v>
      </c>
      <c r="I293" s="19" t="s">
        <v>38</v>
      </c>
      <c r="J293" s="11" t="str">
        <f>+LEFT(U293,4)</f>
        <v>BOX-</v>
      </c>
      <c r="K293" s="19" t="s">
        <v>10</v>
      </c>
      <c r="L293" s="19">
        <v>500</v>
      </c>
      <c r="M293" s="19" t="s">
        <v>1472</v>
      </c>
      <c r="N293" s="19" t="s">
        <v>11</v>
      </c>
      <c r="O293" s="26">
        <v>4.49</v>
      </c>
      <c r="P293" s="12">
        <f>ROUND(O293*L293,2)</f>
        <v>2245</v>
      </c>
      <c r="Q293" s="13">
        <f>IF(N293="HKD",7.8,IF(N293="CNY",7.30034,1))</f>
        <v>7.3003400000000003</v>
      </c>
      <c r="R293" s="15">
        <f>+ROUND(O293/Q293,4)</f>
        <v>0.61499999999999999</v>
      </c>
      <c r="S293" s="14">
        <f>ROUND(R293*L293,2)</f>
        <v>307.5</v>
      </c>
      <c r="T293" s="15" t="s">
        <v>349</v>
      </c>
      <c r="U293" s="19" t="s">
        <v>1</v>
      </c>
    </row>
    <row r="294" spans="1:21" x14ac:dyDescent="0.2">
      <c r="A294" s="19" t="s">
        <v>46</v>
      </c>
      <c r="B294" s="20">
        <v>45679</v>
      </c>
      <c r="C294" s="20">
        <v>45677</v>
      </c>
      <c r="D294" s="19" t="s">
        <v>5</v>
      </c>
      <c r="E294" s="19" t="s">
        <v>6</v>
      </c>
      <c r="G294" s="19" t="s">
        <v>40</v>
      </c>
      <c r="H294" s="19" t="s">
        <v>44</v>
      </c>
      <c r="I294" s="19" t="s">
        <v>45</v>
      </c>
      <c r="J294" s="11" t="str">
        <f>+LEFT(U294,4)</f>
        <v>BOX-</v>
      </c>
      <c r="K294" s="19" t="s">
        <v>10</v>
      </c>
      <c r="L294" s="19">
        <v>505</v>
      </c>
      <c r="M294" s="19" t="s">
        <v>1472</v>
      </c>
      <c r="N294" s="19" t="s">
        <v>11</v>
      </c>
      <c r="O294" s="26">
        <v>5.17</v>
      </c>
      <c r="P294" s="12">
        <f>ROUND(O294*L294,2)</f>
        <v>2610.85</v>
      </c>
      <c r="Q294" s="13">
        <f>IF(N294="HKD",7.8,IF(N294="CNY",7.30034,1))</f>
        <v>7.3003400000000003</v>
      </c>
      <c r="R294" s="15">
        <f>+ROUND(O294/Q294,4)</f>
        <v>0.70820000000000005</v>
      </c>
      <c r="S294" s="14">
        <f>ROUND(R294*L294,2)</f>
        <v>357.64</v>
      </c>
      <c r="T294" s="15" t="s">
        <v>349</v>
      </c>
      <c r="U294" s="19" t="s">
        <v>1</v>
      </c>
    </row>
    <row r="295" spans="1:21" x14ac:dyDescent="0.2">
      <c r="A295" s="19" t="s">
        <v>49</v>
      </c>
      <c r="B295" s="20">
        <v>45679</v>
      </c>
      <c r="C295" s="20">
        <v>45677</v>
      </c>
      <c r="D295" s="19" t="s">
        <v>5</v>
      </c>
      <c r="E295" s="19" t="s">
        <v>6</v>
      </c>
      <c r="G295" s="19" t="s">
        <v>40</v>
      </c>
      <c r="H295" s="19" t="s">
        <v>47</v>
      </c>
      <c r="I295" s="19" t="s">
        <v>48</v>
      </c>
      <c r="J295" s="11" t="str">
        <f>+LEFT(U295,4)</f>
        <v>BOX-</v>
      </c>
      <c r="K295" s="19" t="s">
        <v>10</v>
      </c>
      <c r="L295" s="19">
        <v>505</v>
      </c>
      <c r="M295" s="19" t="s">
        <v>1472</v>
      </c>
      <c r="N295" s="19" t="s">
        <v>11</v>
      </c>
      <c r="O295" s="26">
        <v>5.41</v>
      </c>
      <c r="P295" s="12">
        <f>ROUND(O295*L295,2)</f>
        <v>2732.05</v>
      </c>
      <c r="Q295" s="13">
        <f>IF(N295="HKD",7.8,IF(N295="CNY",7.30034,1))</f>
        <v>7.3003400000000003</v>
      </c>
      <c r="R295" s="15">
        <f>+ROUND(O295/Q295,4)</f>
        <v>0.74109999999999998</v>
      </c>
      <c r="S295" s="14">
        <f>ROUND(R295*L295,2)</f>
        <v>374.26</v>
      </c>
      <c r="T295" s="15" t="s">
        <v>349</v>
      </c>
      <c r="U295" s="19" t="s">
        <v>1</v>
      </c>
    </row>
    <row r="296" spans="1:21" x14ac:dyDescent="0.2">
      <c r="A296" s="19" t="s">
        <v>55</v>
      </c>
      <c r="B296" s="20">
        <v>45679</v>
      </c>
      <c r="C296" s="20">
        <v>45677</v>
      </c>
      <c r="D296" s="19" t="s">
        <v>5</v>
      </c>
      <c r="E296" s="19" t="s">
        <v>6</v>
      </c>
      <c r="G296" s="19" t="s">
        <v>40</v>
      </c>
      <c r="H296" s="19" t="s">
        <v>53</v>
      </c>
      <c r="I296" s="19" t="s">
        <v>54</v>
      </c>
      <c r="J296" s="11" t="str">
        <f>+LEFT(U296,4)</f>
        <v>BOX-</v>
      </c>
      <c r="K296" s="19" t="s">
        <v>10</v>
      </c>
      <c r="L296" s="19">
        <v>505</v>
      </c>
      <c r="M296" s="19" t="s">
        <v>1472</v>
      </c>
      <c r="N296" s="19" t="s">
        <v>11</v>
      </c>
      <c r="O296" s="26">
        <v>5.45</v>
      </c>
      <c r="P296" s="12">
        <f>ROUND(O296*L296,2)</f>
        <v>2752.25</v>
      </c>
      <c r="Q296" s="13">
        <f>IF(N296="HKD",7.8,IF(N296="CNY",7.30034,1))</f>
        <v>7.3003400000000003</v>
      </c>
      <c r="R296" s="15">
        <f>+ROUND(O296/Q296,4)</f>
        <v>0.74650000000000005</v>
      </c>
      <c r="S296" s="14">
        <f>ROUND(R296*L296,2)</f>
        <v>376.98</v>
      </c>
      <c r="T296" s="15" t="s">
        <v>349</v>
      </c>
      <c r="U296" s="19" t="s">
        <v>1</v>
      </c>
    </row>
    <row r="297" spans="1:21" x14ac:dyDescent="0.2">
      <c r="A297" t="s">
        <v>2067</v>
      </c>
      <c r="B297" s="24">
        <v>45698</v>
      </c>
      <c r="C297" s="24">
        <v>45677</v>
      </c>
      <c r="D297" t="s">
        <v>5</v>
      </c>
      <c r="E297" t="s">
        <v>6</v>
      </c>
      <c r="G297" t="s">
        <v>2211</v>
      </c>
      <c r="H297" s="19" t="s">
        <v>1774</v>
      </c>
      <c r="I297" s="19" t="s">
        <v>1775</v>
      </c>
      <c r="J297" s="11" t="str">
        <f>+LEFT(U297,4)</f>
        <v>BOX-</v>
      </c>
      <c r="K297" t="s">
        <v>10</v>
      </c>
      <c r="L297" s="19">
        <v>505</v>
      </c>
      <c r="M297" t="s">
        <v>1472</v>
      </c>
      <c r="N297" t="s">
        <v>11</v>
      </c>
      <c r="O297" s="26">
        <v>5.18</v>
      </c>
      <c r="P297" s="12">
        <f>ROUND(O297*L297,2)</f>
        <v>2615.9</v>
      </c>
      <c r="Q297" s="13">
        <f>IF(N297="HKD",7.8,IF(N297="CNY",7.30034,1))</f>
        <v>7.3003400000000003</v>
      </c>
      <c r="R297" s="15">
        <f>+ROUND(O297/Q297,4)</f>
        <v>0.70960000000000001</v>
      </c>
      <c r="S297" s="14">
        <f>ROUND(R297*L297,2)</f>
        <v>358.35</v>
      </c>
      <c r="T297" s="15" t="s">
        <v>349</v>
      </c>
      <c r="U297" t="s">
        <v>1</v>
      </c>
    </row>
    <row r="298" spans="1:21" x14ac:dyDescent="0.2">
      <c r="A298" t="s">
        <v>2073</v>
      </c>
      <c r="B298" s="24">
        <v>45698</v>
      </c>
      <c r="C298" s="24">
        <v>45677</v>
      </c>
      <c r="D298" t="s">
        <v>5</v>
      </c>
      <c r="E298" t="s">
        <v>6</v>
      </c>
      <c r="G298" t="s">
        <v>2211</v>
      </c>
      <c r="H298" s="19" t="s">
        <v>459</v>
      </c>
      <c r="I298" s="19" t="s">
        <v>460</v>
      </c>
      <c r="J298" s="11" t="str">
        <f>+LEFT(U298,4)</f>
        <v>BOX-</v>
      </c>
      <c r="K298" t="s">
        <v>10</v>
      </c>
      <c r="L298" s="19">
        <v>500</v>
      </c>
      <c r="M298" t="s">
        <v>1472</v>
      </c>
      <c r="N298" t="s">
        <v>11</v>
      </c>
      <c r="O298" s="26">
        <v>5.55</v>
      </c>
      <c r="P298" s="12">
        <f>ROUND(O298*L298,2)</f>
        <v>2775</v>
      </c>
      <c r="Q298" s="13">
        <f>IF(N298="HKD",7.8,IF(N298="CNY",7.30034,1))</f>
        <v>7.3003400000000003</v>
      </c>
      <c r="R298" s="15">
        <f>+ROUND(O298/Q298,4)</f>
        <v>0.76019999999999999</v>
      </c>
      <c r="S298" s="14">
        <f>ROUND(R298*L298,2)</f>
        <v>380.1</v>
      </c>
      <c r="T298" s="15" t="s">
        <v>349</v>
      </c>
      <c r="U298" t="s">
        <v>1</v>
      </c>
    </row>
    <row r="299" spans="1:21" x14ac:dyDescent="0.2">
      <c r="A299" t="s">
        <v>2067</v>
      </c>
      <c r="B299" s="24">
        <v>45706</v>
      </c>
      <c r="C299" s="24">
        <v>45677</v>
      </c>
      <c r="D299" t="s">
        <v>5</v>
      </c>
      <c r="E299" t="s">
        <v>6</v>
      </c>
      <c r="G299" t="s">
        <v>2210</v>
      </c>
      <c r="H299" s="19" t="s">
        <v>1774</v>
      </c>
      <c r="I299" s="19" t="s">
        <v>1775</v>
      </c>
      <c r="J299" s="11" t="str">
        <f>+LEFT(U299,4)</f>
        <v>BOX-</v>
      </c>
      <c r="K299" t="s">
        <v>10</v>
      </c>
      <c r="L299" s="19">
        <v>500</v>
      </c>
      <c r="M299" t="s">
        <v>1472</v>
      </c>
      <c r="N299" t="s">
        <v>11</v>
      </c>
      <c r="O299" s="26">
        <v>5.18</v>
      </c>
      <c r="P299" s="12">
        <f>ROUND(O299*L299,2)</f>
        <v>2590</v>
      </c>
      <c r="Q299" s="13">
        <f>IF(N299="HKD",7.8,IF(N299="CNY",7.30034,1))</f>
        <v>7.3003400000000003</v>
      </c>
      <c r="R299" s="15">
        <f>+ROUND(O299/Q299,4)</f>
        <v>0.70960000000000001</v>
      </c>
      <c r="S299" s="14">
        <f>ROUND(R299*L299,2)</f>
        <v>354.8</v>
      </c>
      <c r="T299" s="15" t="s">
        <v>349</v>
      </c>
      <c r="U299" t="s">
        <v>1</v>
      </c>
    </row>
    <row r="300" spans="1:21" x14ac:dyDescent="0.2">
      <c r="A300" t="s">
        <v>1986</v>
      </c>
      <c r="B300" s="24">
        <v>45707</v>
      </c>
      <c r="C300" s="24">
        <v>45706</v>
      </c>
      <c r="D300" t="s">
        <v>5</v>
      </c>
      <c r="E300" t="s">
        <v>6</v>
      </c>
      <c r="G300" t="s">
        <v>2185</v>
      </c>
      <c r="H300" s="19" t="s">
        <v>459</v>
      </c>
      <c r="I300" s="19" t="s">
        <v>460</v>
      </c>
      <c r="J300" s="11" t="str">
        <f>+LEFT(U300,4)</f>
        <v>BOX-</v>
      </c>
      <c r="K300" t="s">
        <v>10</v>
      </c>
      <c r="L300" s="19">
        <v>2020</v>
      </c>
      <c r="M300" t="s">
        <v>1472</v>
      </c>
      <c r="N300" t="s">
        <v>11</v>
      </c>
      <c r="O300" s="26">
        <v>3.05</v>
      </c>
      <c r="P300" s="12">
        <f>ROUND(O300*L300,2)</f>
        <v>6161</v>
      </c>
      <c r="Q300" s="13">
        <f>IF(N300="HKD",7.8,IF(N300="CNY",7.30034,1))</f>
        <v>7.3003400000000003</v>
      </c>
      <c r="R300" s="15">
        <f>+ROUND(O300/Q300,4)</f>
        <v>0.4178</v>
      </c>
      <c r="S300" s="14">
        <f>ROUND(R300*L300,2)</f>
        <v>843.96</v>
      </c>
      <c r="T300" s="15" t="s">
        <v>349</v>
      </c>
      <c r="U300" t="s">
        <v>1</v>
      </c>
    </row>
    <row r="301" spans="1:21" x14ac:dyDescent="0.2">
      <c r="A301" t="s">
        <v>2039</v>
      </c>
      <c r="B301" s="24">
        <v>45707</v>
      </c>
      <c r="C301" s="24">
        <v>45706</v>
      </c>
      <c r="D301" t="s">
        <v>5</v>
      </c>
      <c r="E301" t="s">
        <v>6</v>
      </c>
      <c r="G301" t="s">
        <v>2185</v>
      </c>
      <c r="H301" s="19" t="s">
        <v>1748</v>
      </c>
      <c r="I301" s="19" t="s">
        <v>1749</v>
      </c>
      <c r="J301" s="11" t="str">
        <f>+LEFT(U301,4)</f>
        <v>BOX-</v>
      </c>
      <c r="K301" t="s">
        <v>10</v>
      </c>
      <c r="L301" s="19">
        <v>2020</v>
      </c>
      <c r="M301" t="s">
        <v>1472</v>
      </c>
      <c r="N301" t="s">
        <v>11</v>
      </c>
      <c r="O301" s="26">
        <v>3.87</v>
      </c>
      <c r="P301" s="12">
        <f>ROUND(O301*L301,2)</f>
        <v>7817.4</v>
      </c>
      <c r="Q301" s="13">
        <f>IF(N301="HKD",7.8,IF(N301="CNY",7.30034,1))</f>
        <v>7.3003400000000003</v>
      </c>
      <c r="R301" s="15">
        <f>+ROUND(O301/Q301,4)</f>
        <v>0.53010000000000002</v>
      </c>
      <c r="S301" s="14">
        <f>ROUND(R301*L301,2)</f>
        <v>1070.8</v>
      </c>
      <c r="T301" s="15" t="s">
        <v>349</v>
      </c>
      <c r="U301" t="s">
        <v>1</v>
      </c>
    </row>
    <row r="302" spans="1:21" x14ac:dyDescent="0.2">
      <c r="A302" t="s">
        <v>2057</v>
      </c>
      <c r="B302" s="24">
        <v>45707</v>
      </c>
      <c r="C302" s="24">
        <v>45706</v>
      </c>
      <c r="D302" t="s">
        <v>5</v>
      </c>
      <c r="E302" t="s">
        <v>6</v>
      </c>
      <c r="G302" t="s">
        <v>2205</v>
      </c>
      <c r="H302" s="19" t="s">
        <v>427</v>
      </c>
      <c r="I302" s="19" t="s">
        <v>428</v>
      </c>
      <c r="J302" s="11" t="str">
        <f>+LEFT(U302,4)</f>
        <v>BOX-</v>
      </c>
      <c r="K302" t="s">
        <v>10</v>
      </c>
      <c r="L302" s="19">
        <v>2020</v>
      </c>
      <c r="M302" t="s">
        <v>1472</v>
      </c>
      <c r="N302" t="s">
        <v>11</v>
      </c>
      <c r="O302" s="26">
        <v>4.7699999999999996</v>
      </c>
      <c r="P302" s="12">
        <f>ROUND(O302*L302,2)</f>
        <v>9635.4</v>
      </c>
      <c r="Q302" s="13">
        <f>IF(N302="HKD",7.8,IF(N302="CNY",7.30034,1))</f>
        <v>7.3003400000000003</v>
      </c>
      <c r="R302" s="15">
        <f>+ROUND(O302/Q302,4)</f>
        <v>0.65339999999999998</v>
      </c>
      <c r="S302" s="14">
        <f>ROUND(R302*L302,2)</f>
        <v>1319.87</v>
      </c>
      <c r="T302" s="15" t="s">
        <v>349</v>
      </c>
      <c r="U302" t="s">
        <v>1</v>
      </c>
    </row>
    <row r="303" spans="1:21" x14ac:dyDescent="0.2">
      <c r="A303" t="s">
        <v>2063</v>
      </c>
      <c r="B303" s="24">
        <v>45707</v>
      </c>
      <c r="C303" s="24">
        <v>45706</v>
      </c>
      <c r="D303" t="s">
        <v>5</v>
      </c>
      <c r="E303" t="s">
        <v>6</v>
      </c>
      <c r="G303" t="s">
        <v>2185</v>
      </c>
      <c r="H303" s="19" t="s">
        <v>1770</v>
      </c>
      <c r="I303" s="19" t="s">
        <v>1771</v>
      </c>
      <c r="J303" s="11" t="str">
        <f>+LEFT(U303,4)</f>
        <v>BOX-</v>
      </c>
      <c r="K303" t="s">
        <v>10</v>
      </c>
      <c r="L303" s="19">
        <v>2020</v>
      </c>
      <c r="M303" t="s">
        <v>1472</v>
      </c>
      <c r="N303" t="s">
        <v>11</v>
      </c>
      <c r="O303" s="26">
        <v>5.04</v>
      </c>
      <c r="P303" s="12">
        <f>ROUND(O303*L303,2)</f>
        <v>10180.799999999999</v>
      </c>
      <c r="Q303" s="13">
        <f>IF(N303="HKD",7.8,IF(N303="CNY",7.30034,1))</f>
        <v>7.3003400000000003</v>
      </c>
      <c r="R303" s="15">
        <f>+ROUND(O303/Q303,4)</f>
        <v>0.69040000000000001</v>
      </c>
      <c r="S303" s="14">
        <f>ROUND(R303*L303,2)</f>
        <v>1394.61</v>
      </c>
      <c r="T303" s="15" t="s">
        <v>349</v>
      </c>
      <c r="U303" t="s">
        <v>1</v>
      </c>
    </row>
    <row r="304" spans="1:21" x14ac:dyDescent="0.2">
      <c r="A304" t="s">
        <v>2088</v>
      </c>
      <c r="B304" s="24">
        <v>45707</v>
      </c>
      <c r="C304" s="24">
        <v>45706</v>
      </c>
      <c r="D304" t="s">
        <v>5</v>
      </c>
      <c r="E304" t="s">
        <v>6</v>
      </c>
      <c r="G304" t="s">
        <v>2205</v>
      </c>
      <c r="H304" s="19" t="s">
        <v>390</v>
      </c>
      <c r="I304" s="19" t="s">
        <v>391</v>
      </c>
      <c r="J304" s="11" t="str">
        <f>+LEFT(U304,4)</f>
        <v>BOX-</v>
      </c>
      <c r="K304" t="s">
        <v>10</v>
      </c>
      <c r="L304" s="19">
        <v>1200</v>
      </c>
      <c r="M304" t="s">
        <v>1472</v>
      </c>
      <c r="N304" t="s">
        <v>11</v>
      </c>
      <c r="O304" s="26">
        <v>6.88</v>
      </c>
      <c r="P304" s="12">
        <f>ROUND(O304*L304,2)</f>
        <v>8256</v>
      </c>
      <c r="Q304" s="13">
        <f>IF(N304="HKD",7.8,IF(N304="CNY",7.30034,1))</f>
        <v>7.3003400000000003</v>
      </c>
      <c r="R304" s="15">
        <f>+ROUND(O304/Q304,4)</f>
        <v>0.94240000000000002</v>
      </c>
      <c r="S304" s="14">
        <f>ROUND(R304*L304,2)</f>
        <v>1130.8800000000001</v>
      </c>
      <c r="T304" s="15" t="s">
        <v>349</v>
      </c>
      <c r="U304" t="s">
        <v>1</v>
      </c>
    </row>
    <row r="305" spans="1:21" x14ac:dyDescent="0.2">
      <c r="A305" t="s">
        <v>2089</v>
      </c>
      <c r="B305" s="24">
        <v>45707</v>
      </c>
      <c r="C305" s="24">
        <v>45706</v>
      </c>
      <c r="D305" t="s">
        <v>5</v>
      </c>
      <c r="E305" t="s">
        <v>6</v>
      </c>
      <c r="G305" t="s">
        <v>2205</v>
      </c>
      <c r="H305" s="19" t="s">
        <v>424</v>
      </c>
      <c r="I305" s="19" t="s">
        <v>425</v>
      </c>
      <c r="J305" s="11" t="str">
        <f>+LEFT(U305,4)</f>
        <v>BOX-</v>
      </c>
      <c r="K305" t="s">
        <v>10</v>
      </c>
      <c r="L305" s="19">
        <v>2020</v>
      </c>
      <c r="M305" t="s">
        <v>1472</v>
      </c>
      <c r="N305" t="s">
        <v>11</v>
      </c>
      <c r="O305" s="26">
        <v>7.13</v>
      </c>
      <c r="P305" s="12">
        <f>ROUND(O305*L305,2)</f>
        <v>14402.6</v>
      </c>
      <c r="Q305" s="13">
        <f>IF(N305="HKD",7.8,IF(N305="CNY",7.30034,1))</f>
        <v>7.3003400000000003</v>
      </c>
      <c r="R305" s="15">
        <f>+ROUND(O305/Q305,4)</f>
        <v>0.97670000000000001</v>
      </c>
      <c r="S305" s="14">
        <f>ROUND(R305*L305,2)</f>
        <v>1972.93</v>
      </c>
      <c r="T305" s="15" t="s">
        <v>349</v>
      </c>
      <c r="U305" t="s">
        <v>1</v>
      </c>
    </row>
    <row r="306" spans="1:21" x14ac:dyDescent="0.2">
      <c r="A306" t="s">
        <v>2107</v>
      </c>
      <c r="B306" s="24">
        <v>45707</v>
      </c>
      <c r="C306" s="24">
        <v>45677</v>
      </c>
      <c r="D306" t="s">
        <v>5</v>
      </c>
      <c r="E306" t="s">
        <v>6</v>
      </c>
      <c r="G306" t="s">
        <v>2185</v>
      </c>
      <c r="H306" s="19" t="s">
        <v>1804</v>
      </c>
      <c r="I306" s="19" t="s">
        <v>1805</v>
      </c>
      <c r="J306" s="11" t="str">
        <f>+LEFT(U306,4)</f>
        <v>BOX-</v>
      </c>
      <c r="K306" t="s">
        <v>10</v>
      </c>
      <c r="L306" s="19">
        <v>1010</v>
      </c>
      <c r="M306" t="s">
        <v>1472</v>
      </c>
      <c r="N306" t="s">
        <v>11</v>
      </c>
      <c r="O306" s="26">
        <v>8.2200000000000006</v>
      </c>
      <c r="P306" s="12">
        <f>ROUND(O306*L306,2)</f>
        <v>8302.2000000000007</v>
      </c>
      <c r="Q306" s="13">
        <f>IF(N306="HKD",7.8,IF(N306="CNY",7.30034,1))</f>
        <v>7.3003400000000003</v>
      </c>
      <c r="R306" s="15">
        <f>+ROUND(O306/Q306,4)</f>
        <v>1.1259999999999999</v>
      </c>
      <c r="S306" s="14">
        <f>ROUND(R306*L306,2)</f>
        <v>1137.26</v>
      </c>
      <c r="T306" s="15" t="s">
        <v>349</v>
      </c>
      <c r="U306" t="s">
        <v>1</v>
      </c>
    </row>
    <row r="307" spans="1:21" x14ac:dyDescent="0.2">
      <c r="A307" t="s">
        <v>2108</v>
      </c>
      <c r="B307" s="24">
        <v>45707</v>
      </c>
      <c r="C307" s="24">
        <v>45677</v>
      </c>
      <c r="D307" t="s">
        <v>5</v>
      </c>
      <c r="E307" t="s">
        <v>6</v>
      </c>
      <c r="G307" t="s">
        <v>2185</v>
      </c>
      <c r="H307" s="19" t="s">
        <v>1804</v>
      </c>
      <c r="I307" s="19" t="s">
        <v>1805</v>
      </c>
      <c r="J307" s="11" t="str">
        <f>+LEFT(U307,4)</f>
        <v>BOX-</v>
      </c>
      <c r="K307" t="s">
        <v>10</v>
      </c>
      <c r="L307" s="19">
        <v>1010</v>
      </c>
      <c r="M307" t="s">
        <v>1472</v>
      </c>
      <c r="N307" t="s">
        <v>11</v>
      </c>
      <c r="O307" s="26">
        <v>8.2200000000000006</v>
      </c>
      <c r="P307" s="12">
        <f>ROUND(O307*L307,2)</f>
        <v>8302.2000000000007</v>
      </c>
      <c r="Q307" s="13">
        <f>IF(N307="HKD",7.8,IF(N307="CNY",7.30034,1))</f>
        <v>7.3003400000000003</v>
      </c>
      <c r="R307" s="15">
        <f>+ROUND(O307/Q307,4)</f>
        <v>1.1259999999999999</v>
      </c>
      <c r="S307" s="14">
        <f>ROUND(R307*L307,2)</f>
        <v>1137.26</v>
      </c>
      <c r="T307" s="15" t="s">
        <v>349</v>
      </c>
      <c r="U307" t="s">
        <v>1</v>
      </c>
    </row>
    <row r="308" spans="1:21" x14ac:dyDescent="0.2">
      <c r="A308" t="s">
        <v>2118</v>
      </c>
      <c r="B308" s="24">
        <v>45707</v>
      </c>
      <c r="C308" s="24">
        <v>45706</v>
      </c>
      <c r="D308" t="s">
        <v>5</v>
      </c>
      <c r="E308" t="s">
        <v>6</v>
      </c>
      <c r="G308" t="s">
        <v>2185</v>
      </c>
      <c r="H308" s="19" t="s">
        <v>1816</v>
      </c>
      <c r="I308" s="19" t="s">
        <v>1817</v>
      </c>
      <c r="J308" s="11" t="str">
        <f>+LEFT(U308,4)</f>
        <v>BOX-</v>
      </c>
      <c r="K308" t="s">
        <v>10</v>
      </c>
      <c r="L308" s="19">
        <v>1010</v>
      </c>
      <c r="M308" t="s">
        <v>1472</v>
      </c>
      <c r="N308" t="s">
        <v>11</v>
      </c>
      <c r="O308" s="26">
        <v>12.85</v>
      </c>
      <c r="P308" s="12">
        <f>ROUND(O308*L308,2)</f>
        <v>12978.5</v>
      </c>
      <c r="Q308" s="13">
        <f>IF(N308="HKD",7.8,IF(N308="CNY",7.30034,1))</f>
        <v>7.3003400000000003</v>
      </c>
      <c r="R308" s="15">
        <f>+ROUND(O308/Q308,4)</f>
        <v>1.7602</v>
      </c>
      <c r="S308" s="14">
        <f>ROUND(R308*L308,2)</f>
        <v>1777.8</v>
      </c>
      <c r="T308" s="15" t="s">
        <v>349</v>
      </c>
      <c r="U308" t="s">
        <v>1</v>
      </c>
    </row>
    <row r="309" spans="1:21" x14ac:dyDescent="0.2">
      <c r="A309" t="s">
        <v>2119</v>
      </c>
      <c r="B309" s="24">
        <v>45707</v>
      </c>
      <c r="C309" s="24">
        <v>45706</v>
      </c>
      <c r="D309" t="s">
        <v>5</v>
      </c>
      <c r="E309" t="s">
        <v>6</v>
      </c>
      <c r="G309" t="s">
        <v>2185</v>
      </c>
      <c r="H309" s="19" t="s">
        <v>1804</v>
      </c>
      <c r="I309" s="19" t="s">
        <v>1805</v>
      </c>
      <c r="J309" s="11" t="str">
        <f>+LEFT(U309,4)</f>
        <v>BOX-</v>
      </c>
      <c r="K309" t="s">
        <v>10</v>
      </c>
      <c r="L309" s="19">
        <v>1010</v>
      </c>
      <c r="M309" t="s">
        <v>1472</v>
      </c>
      <c r="N309" t="s">
        <v>11</v>
      </c>
      <c r="O309" s="26">
        <v>12.95</v>
      </c>
      <c r="P309" s="12">
        <f>ROUND(O309*L309,2)</f>
        <v>13079.5</v>
      </c>
      <c r="Q309" s="13">
        <f>IF(N309="HKD",7.8,IF(N309="CNY",7.30034,1))</f>
        <v>7.3003400000000003</v>
      </c>
      <c r="R309" s="15">
        <f>+ROUND(O309/Q309,4)</f>
        <v>1.7739</v>
      </c>
      <c r="S309" s="14">
        <f>ROUND(R309*L309,2)</f>
        <v>1791.64</v>
      </c>
      <c r="T309" s="15" t="s">
        <v>349</v>
      </c>
      <c r="U309" t="s">
        <v>1</v>
      </c>
    </row>
    <row r="310" spans="1:21" x14ac:dyDescent="0.2">
      <c r="A310" t="s">
        <v>2116</v>
      </c>
      <c r="B310" s="24">
        <v>45713</v>
      </c>
      <c r="C310" s="24">
        <v>45709</v>
      </c>
      <c r="D310" t="s">
        <v>5</v>
      </c>
      <c r="E310" t="s">
        <v>6</v>
      </c>
      <c r="G310" t="s">
        <v>2232</v>
      </c>
      <c r="H310" s="19" t="s">
        <v>1812</v>
      </c>
      <c r="I310" s="19" t="s">
        <v>1813</v>
      </c>
      <c r="J310" s="11" t="str">
        <f>+LEFT(U310,4)</f>
        <v>BOX-</v>
      </c>
      <c r="K310" t="s">
        <v>10</v>
      </c>
      <c r="L310" s="19">
        <v>505</v>
      </c>
      <c r="M310" t="s">
        <v>1472</v>
      </c>
      <c r="N310" t="s">
        <v>11</v>
      </c>
      <c r="O310" s="26">
        <v>12.21</v>
      </c>
      <c r="P310" s="12">
        <f>ROUND(O310*L310,2)</f>
        <v>6166.05</v>
      </c>
      <c r="Q310" s="13">
        <f>IF(N310="HKD",7.8,IF(N310="CNY",7.30034,1))</f>
        <v>7.3003400000000003</v>
      </c>
      <c r="R310" s="15">
        <f>+ROUND(O310/Q310,4)</f>
        <v>1.6725000000000001</v>
      </c>
      <c r="S310" s="14">
        <f>ROUND(R310*L310,2)</f>
        <v>844.61</v>
      </c>
      <c r="T310" s="15" t="s">
        <v>349</v>
      </c>
      <c r="U310" t="s">
        <v>1</v>
      </c>
    </row>
    <row r="311" spans="1:21" x14ac:dyDescent="0.2">
      <c r="A311" t="s">
        <v>2066</v>
      </c>
      <c r="B311" s="24">
        <v>45714</v>
      </c>
      <c r="C311" s="24">
        <v>45713</v>
      </c>
      <c r="D311" t="s">
        <v>5</v>
      </c>
      <c r="E311" t="s">
        <v>6</v>
      </c>
      <c r="G311" t="s">
        <v>2209</v>
      </c>
      <c r="H311" s="19" t="s">
        <v>1772</v>
      </c>
      <c r="I311" s="19" t="s">
        <v>1773</v>
      </c>
      <c r="J311" s="11" t="str">
        <f>+LEFT(U311,4)</f>
        <v>BOX-</v>
      </c>
      <c r="K311" t="s">
        <v>10</v>
      </c>
      <c r="L311" s="19">
        <v>505</v>
      </c>
      <c r="M311" t="s">
        <v>1472</v>
      </c>
      <c r="N311" t="s">
        <v>11</v>
      </c>
      <c r="O311" s="26">
        <v>5.17</v>
      </c>
      <c r="P311" s="12">
        <f>ROUND(O311*L311,2)</f>
        <v>2610.85</v>
      </c>
      <c r="Q311" s="13">
        <f>IF(N311="HKD",7.8,IF(N311="CNY",7.30034,1))</f>
        <v>7.3003400000000003</v>
      </c>
      <c r="R311" s="15">
        <f>+ROUND(O311/Q311,4)</f>
        <v>0.70820000000000005</v>
      </c>
      <c r="S311" s="14">
        <f>ROUND(R311*L311,2)</f>
        <v>357.64</v>
      </c>
      <c r="T311" s="15" t="s">
        <v>349</v>
      </c>
      <c r="U311" t="s">
        <v>1</v>
      </c>
    </row>
    <row r="312" spans="1:21" x14ac:dyDescent="0.2">
      <c r="A312" t="s">
        <v>2010</v>
      </c>
      <c r="B312" s="24">
        <v>45715</v>
      </c>
      <c r="C312" s="24">
        <v>45714</v>
      </c>
      <c r="D312" t="s">
        <v>5</v>
      </c>
      <c r="E312" t="s">
        <v>6</v>
      </c>
      <c r="G312" t="s">
        <v>2190</v>
      </c>
      <c r="H312" s="19" t="s">
        <v>1724</v>
      </c>
      <c r="I312" s="19" t="s">
        <v>1725</v>
      </c>
      <c r="J312" s="11" t="str">
        <f>+LEFT(U312,4)</f>
        <v>BOX-</v>
      </c>
      <c r="K312" t="s">
        <v>10</v>
      </c>
      <c r="L312" s="19">
        <v>1500</v>
      </c>
      <c r="M312" t="s">
        <v>1472</v>
      </c>
      <c r="N312" t="s">
        <v>11</v>
      </c>
      <c r="O312" s="26">
        <v>3.16</v>
      </c>
      <c r="P312" s="12">
        <f>ROUND(O312*L312,2)</f>
        <v>4740</v>
      </c>
      <c r="Q312" s="13">
        <f>IF(N312="HKD",7.8,IF(N312="CNY",7.30034,1))</f>
        <v>7.3003400000000003</v>
      </c>
      <c r="R312" s="15">
        <f>+ROUND(O312/Q312,4)</f>
        <v>0.43290000000000001</v>
      </c>
      <c r="S312" s="14">
        <f>ROUND(R312*L312,2)</f>
        <v>649.35</v>
      </c>
      <c r="T312" s="15" t="s">
        <v>349</v>
      </c>
      <c r="U312" t="s">
        <v>1</v>
      </c>
    </row>
    <row r="313" spans="1:21" x14ac:dyDescent="0.2">
      <c r="A313" t="s">
        <v>2469</v>
      </c>
      <c r="B313" s="24">
        <v>45719</v>
      </c>
      <c r="C313" s="24">
        <v>45707</v>
      </c>
      <c r="D313" t="s">
        <v>28</v>
      </c>
      <c r="E313" t="s">
        <v>29</v>
      </c>
      <c r="G313" t="s">
        <v>2874</v>
      </c>
      <c r="H313" t="s">
        <v>1141</v>
      </c>
      <c r="I313" t="s">
        <v>1142</v>
      </c>
      <c r="J313" s="11" t="str">
        <f>+LEFT(U313,4)</f>
        <v>FG--</v>
      </c>
      <c r="K313" t="s">
        <v>10</v>
      </c>
      <c r="L313">
        <v>520</v>
      </c>
      <c r="M313" t="s">
        <v>1472</v>
      </c>
      <c r="N313" t="s">
        <v>11</v>
      </c>
      <c r="O313">
        <v>0.67430000000000001</v>
      </c>
      <c r="P313" s="12">
        <f>ROUND(O313*L313,2)</f>
        <v>350.64</v>
      </c>
      <c r="Q313" s="13">
        <f>IF(N313="HKD",7.8,IF(N313="CNY",7.30034,1))</f>
        <v>7.3003400000000003</v>
      </c>
      <c r="R313" s="15">
        <f>+ROUND(O313/Q313,4)</f>
        <v>9.2399999999999996E-2</v>
      </c>
      <c r="S313" s="14">
        <f>ROUND(R313*L313,2)</f>
        <v>48.05</v>
      </c>
      <c r="T313" s="15" t="s">
        <v>349</v>
      </c>
      <c r="U313" t="s">
        <v>64</v>
      </c>
    </row>
    <row r="314" spans="1:21" x14ac:dyDescent="0.2">
      <c r="A314" t="s">
        <v>2614</v>
      </c>
      <c r="B314" s="24">
        <v>45741</v>
      </c>
      <c r="C314" s="24">
        <v>45720</v>
      </c>
      <c r="D314" t="s">
        <v>28</v>
      </c>
      <c r="E314" t="s">
        <v>29</v>
      </c>
      <c r="G314" t="s">
        <v>2937</v>
      </c>
      <c r="H314" t="s">
        <v>3202</v>
      </c>
      <c r="I314" t="s">
        <v>3409</v>
      </c>
      <c r="J314" s="11" t="str">
        <f>+LEFT(U314,4)</f>
        <v>BRKT</v>
      </c>
      <c r="K314" t="s">
        <v>10</v>
      </c>
      <c r="L314">
        <v>1030</v>
      </c>
      <c r="M314" t="s">
        <v>1472</v>
      </c>
      <c r="N314" t="s">
        <v>11</v>
      </c>
      <c r="O314">
        <v>0.68369999999999997</v>
      </c>
      <c r="P314" s="12">
        <f>ROUND(O314*L314,2)</f>
        <v>704.21</v>
      </c>
      <c r="Q314" s="13">
        <f>IF(N314="HKD",7.8,IF(N314="CNY",7.30034,1))</f>
        <v>7.3003400000000003</v>
      </c>
      <c r="R314" s="15">
        <f>+ROUND(O314/Q314,4)</f>
        <v>9.3700000000000006E-2</v>
      </c>
      <c r="S314" s="14">
        <f>ROUND(R314*L314,2)</f>
        <v>96.51</v>
      </c>
      <c r="T314" s="15" t="s">
        <v>349</v>
      </c>
      <c r="U314" t="s">
        <v>442</v>
      </c>
    </row>
    <row r="315" spans="1:21" x14ac:dyDescent="0.2">
      <c r="A315" t="s">
        <v>2615</v>
      </c>
      <c r="B315" s="24">
        <v>45741</v>
      </c>
      <c r="C315" s="24">
        <v>45720</v>
      </c>
      <c r="D315" t="s">
        <v>28</v>
      </c>
      <c r="E315" t="s">
        <v>29</v>
      </c>
      <c r="G315" t="s">
        <v>2937</v>
      </c>
      <c r="H315" t="s">
        <v>3203</v>
      </c>
      <c r="I315" t="s">
        <v>3410</v>
      </c>
      <c r="J315" s="11" t="str">
        <f>+LEFT(U315,4)</f>
        <v>BRKT</v>
      </c>
      <c r="K315" t="s">
        <v>10</v>
      </c>
      <c r="L315">
        <v>1550</v>
      </c>
      <c r="M315" t="s">
        <v>1472</v>
      </c>
      <c r="N315" t="s">
        <v>11</v>
      </c>
      <c r="O315">
        <v>0.68369999999999997</v>
      </c>
      <c r="P315" s="12">
        <f>ROUND(O315*L315,2)</f>
        <v>1059.74</v>
      </c>
      <c r="Q315" s="13">
        <f>IF(N315="HKD",7.8,IF(N315="CNY",7.30034,1))</f>
        <v>7.3003400000000003</v>
      </c>
      <c r="R315" s="15">
        <f>+ROUND(O315/Q315,4)</f>
        <v>9.3700000000000006E-2</v>
      </c>
      <c r="S315" s="14">
        <f>ROUND(R315*L315,2)</f>
        <v>145.24</v>
      </c>
      <c r="T315" s="15" t="s">
        <v>349</v>
      </c>
      <c r="U315" t="s">
        <v>442</v>
      </c>
    </row>
    <row r="316" spans="1:21" x14ac:dyDescent="0.2">
      <c r="A316" t="s">
        <v>2636</v>
      </c>
      <c r="B316" s="24">
        <v>45741</v>
      </c>
      <c r="C316" s="24">
        <v>45721</v>
      </c>
      <c r="D316" t="s">
        <v>28</v>
      </c>
      <c r="E316" t="s">
        <v>29</v>
      </c>
      <c r="G316" t="s">
        <v>2937</v>
      </c>
      <c r="H316" t="s">
        <v>3203</v>
      </c>
      <c r="I316" t="s">
        <v>3410</v>
      </c>
      <c r="J316" s="11" t="str">
        <f>+LEFT(U316,4)</f>
        <v>BRKT</v>
      </c>
      <c r="K316" t="s">
        <v>10</v>
      </c>
      <c r="L316">
        <v>500</v>
      </c>
      <c r="M316" t="s">
        <v>1472</v>
      </c>
      <c r="N316" t="s">
        <v>11</v>
      </c>
      <c r="O316">
        <v>0.68369999999999997</v>
      </c>
      <c r="P316" s="12">
        <f>ROUND(O316*L316,2)</f>
        <v>341.85</v>
      </c>
      <c r="Q316" s="13">
        <f>IF(N316="HKD",7.8,IF(N316="CNY",7.30034,1))</f>
        <v>7.3003400000000003</v>
      </c>
      <c r="R316" s="15">
        <f>+ROUND(O316/Q316,4)</f>
        <v>9.3700000000000006E-2</v>
      </c>
      <c r="S316" s="14">
        <f>ROUND(R316*L316,2)</f>
        <v>46.85</v>
      </c>
      <c r="T316" s="15" t="s">
        <v>349</v>
      </c>
      <c r="U316" t="s">
        <v>442</v>
      </c>
    </row>
    <row r="317" spans="1:21" x14ac:dyDescent="0.2">
      <c r="A317" t="s">
        <v>2663</v>
      </c>
      <c r="B317" s="24">
        <v>45741</v>
      </c>
      <c r="C317" s="24">
        <v>45723</v>
      </c>
      <c r="D317" t="s">
        <v>28</v>
      </c>
      <c r="E317" t="s">
        <v>29</v>
      </c>
      <c r="G317" t="s">
        <v>2937</v>
      </c>
      <c r="H317" t="s">
        <v>3202</v>
      </c>
      <c r="I317" t="s">
        <v>3409</v>
      </c>
      <c r="J317" s="11" t="str">
        <f>+LEFT(U317,4)</f>
        <v>BRKT</v>
      </c>
      <c r="K317" t="s">
        <v>10</v>
      </c>
      <c r="L317">
        <v>500</v>
      </c>
      <c r="M317" t="s">
        <v>1472</v>
      </c>
      <c r="N317" t="s">
        <v>11</v>
      </c>
      <c r="O317">
        <v>0.68369999999999997</v>
      </c>
      <c r="P317" s="12">
        <f>ROUND(O317*L317,2)</f>
        <v>341.85</v>
      </c>
      <c r="Q317" s="13">
        <f>IF(N317="HKD",7.8,IF(N317="CNY",7.30034,1))</f>
        <v>7.3003400000000003</v>
      </c>
      <c r="R317" s="15">
        <f>+ROUND(O317/Q317,4)</f>
        <v>9.3700000000000006E-2</v>
      </c>
      <c r="S317" s="14">
        <f>ROUND(R317*L317,2)</f>
        <v>46.85</v>
      </c>
      <c r="T317" s="15" t="s">
        <v>349</v>
      </c>
      <c r="U317" t="s">
        <v>442</v>
      </c>
    </row>
    <row r="318" spans="1:21" x14ac:dyDescent="0.2">
      <c r="A318" t="s">
        <v>2567</v>
      </c>
      <c r="B318" s="24">
        <v>45744</v>
      </c>
      <c r="C318" s="24">
        <v>45716</v>
      </c>
      <c r="D318" t="s">
        <v>21</v>
      </c>
      <c r="E318" t="s">
        <v>22</v>
      </c>
      <c r="G318" t="s">
        <v>2999</v>
      </c>
      <c r="H318" t="s">
        <v>3180</v>
      </c>
      <c r="I318" t="s">
        <v>3387</v>
      </c>
      <c r="J318" s="11" t="str">
        <f>+LEFT(U318,4)</f>
        <v>BRKT</v>
      </c>
      <c r="K318" t="s">
        <v>10</v>
      </c>
      <c r="L318">
        <v>750</v>
      </c>
      <c r="M318" t="s">
        <v>1472</v>
      </c>
      <c r="N318" t="s">
        <v>11</v>
      </c>
      <c r="O318">
        <v>0.68969999999999998</v>
      </c>
      <c r="P318" s="12">
        <f>ROUND(O318*L318,2)</f>
        <v>517.28</v>
      </c>
      <c r="Q318" s="13">
        <f>IF(N318="HKD",7.8,IF(N318="CNY",7.30034,1))</f>
        <v>7.3003400000000003</v>
      </c>
      <c r="R318" s="15">
        <f>+ROUND(O318/Q318,4)</f>
        <v>9.4500000000000001E-2</v>
      </c>
      <c r="S318" s="14">
        <f>ROUND(R318*L318,2)</f>
        <v>70.88</v>
      </c>
      <c r="T318" s="15" t="s">
        <v>349</v>
      </c>
      <c r="U318" t="s">
        <v>442</v>
      </c>
    </row>
    <row r="319" spans="1:21" x14ac:dyDescent="0.2">
      <c r="A319" t="s">
        <v>2542</v>
      </c>
      <c r="B319" s="24">
        <v>45733</v>
      </c>
      <c r="C319" s="24">
        <v>45714</v>
      </c>
      <c r="D319" t="s">
        <v>651</v>
      </c>
      <c r="E319" t="s">
        <v>652</v>
      </c>
      <c r="G319" t="s">
        <v>2931</v>
      </c>
      <c r="H319" t="s">
        <v>716</v>
      </c>
      <c r="I319" t="s">
        <v>717</v>
      </c>
      <c r="J319" s="11" t="str">
        <f>+LEFT(U319,4)</f>
        <v>KNOB</v>
      </c>
      <c r="K319" t="s">
        <v>10</v>
      </c>
      <c r="L319">
        <v>1030</v>
      </c>
      <c r="M319" t="s">
        <v>1472</v>
      </c>
      <c r="N319" t="s">
        <v>11</v>
      </c>
      <c r="O319">
        <v>0.7</v>
      </c>
      <c r="P319" s="12">
        <f>ROUND(O319*L319,2)</f>
        <v>721</v>
      </c>
      <c r="Q319" s="13">
        <f>IF(N319="HKD",7.8,IF(N319="CNY",7.30034,1))</f>
        <v>7.3003400000000003</v>
      </c>
      <c r="R319" s="15">
        <f>+ROUND(O319/Q319,4)</f>
        <v>9.5899999999999999E-2</v>
      </c>
      <c r="S319" s="14">
        <f>ROUND(R319*L319,2)</f>
        <v>98.78</v>
      </c>
      <c r="T319" s="15" t="s">
        <v>349</v>
      </c>
      <c r="U319" t="s">
        <v>32</v>
      </c>
    </row>
    <row r="320" spans="1:21" x14ac:dyDescent="0.2">
      <c r="A320" t="s">
        <v>2638</v>
      </c>
      <c r="B320" s="24">
        <v>45741</v>
      </c>
      <c r="C320" s="24">
        <v>45721</v>
      </c>
      <c r="D320" t="s">
        <v>2247</v>
      </c>
      <c r="E320" t="s">
        <v>2248</v>
      </c>
      <c r="G320" t="s">
        <v>3020</v>
      </c>
      <c r="H320" t="s">
        <v>1635</v>
      </c>
      <c r="I320" t="s">
        <v>1636</v>
      </c>
      <c r="J320" s="11" t="str">
        <f>+LEFT(U320,4)</f>
        <v>KNOB</v>
      </c>
      <c r="K320" t="s">
        <v>10</v>
      </c>
      <c r="L320">
        <v>500</v>
      </c>
      <c r="M320" t="s">
        <v>1472</v>
      </c>
      <c r="N320" t="s">
        <v>11</v>
      </c>
      <c r="O320">
        <v>0.70320000000000005</v>
      </c>
      <c r="P320" s="12">
        <f>ROUND(O320*L320,2)</f>
        <v>351.6</v>
      </c>
      <c r="Q320" s="13">
        <f>IF(N320="HKD",7.8,IF(N320="CNY",7.30034,1))</f>
        <v>7.3003400000000003</v>
      </c>
      <c r="R320" s="15">
        <f>+ROUND(O320/Q320,4)</f>
        <v>9.6299999999999997E-2</v>
      </c>
      <c r="S320" s="14">
        <f>ROUND(R320*L320,2)</f>
        <v>48.15</v>
      </c>
      <c r="T320" s="15" t="s">
        <v>349</v>
      </c>
      <c r="U320" t="s">
        <v>32</v>
      </c>
    </row>
    <row r="321" spans="1:21" x14ac:dyDescent="0.2">
      <c r="A321" t="s">
        <v>2613</v>
      </c>
      <c r="B321" s="24">
        <v>45733</v>
      </c>
      <c r="C321" s="24">
        <v>45720</v>
      </c>
      <c r="D321" t="s">
        <v>28</v>
      </c>
      <c r="E321" t="s">
        <v>29</v>
      </c>
      <c r="G321" t="s">
        <v>2936</v>
      </c>
      <c r="H321" t="s">
        <v>3201</v>
      </c>
      <c r="I321" t="s">
        <v>3408</v>
      </c>
      <c r="J321" s="11" t="str">
        <f>+LEFT(U321,4)</f>
        <v>BRKT</v>
      </c>
      <c r="K321" t="s">
        <v>10</v>
      </c>
      <c r="L321">
        <v>1030</v>
      </c>
      <c r="M321" t="s">
        <v>1472</v>
      </c>
      <c r="N321" t="s">
        <v>11</v>
      </c>
      <c r="O321">
        <v>0.71870000000000001</v>
      </c>
      <c r="P321" s="12">
        <f>ROUND(O321*L321,2)</f>
        <v>740.26</v>
      </c>
      <c r="Q321" s="13">
        <f>IF(N321="HKD",7.8,IF(N321="CNY",7.30034,1))</f>
        <v>7.3003400000000003</v>
      </c>
      <c r="R321" s="15">
        <f>+ROUND(O321/Q321,4)</f>
        <v>9.8400000000000001E-2</v>
      </c>
      <c r="S321" s="14">
        <f>ROUND(R321*L321,2)</f>
        <v>101.35</v>
      </c>
      <c r="T321" s="15" t="s">
        <v>349</v>
      </c>
      <c r="U321" t="s">
        <v>442</v>
      </c>
    </row>
    <row r="322" spans="1:21" x14ac:dyDescent="0.2">
      <c r="A322" t="s">
        <v>2662</v>
      </c>
      <c r="B322" s="24">
        <v>45733</v>
      </c>
      <c r="C322" s="24">
        <v>45723</v>
      </c>
      <c r="D322" t="s">
        <v>28</v>
      </c>
      <c r="E322" t="s">
        <v>29</v>
      </c>
      <c r="G322" t="s">
        <v>2936</v>
      </c>
      <c r="H322" t="s">
        <v>3201</v>
      </c>
      <c r="I322" t="s">
        <v>3408</v>
      </c>
      <c r="J322" s="11" t="str">
        <f>+LEFT(U322,4)</f>
        <v>BRKT</v>
      </c>
      <c r="K322" t="s">
        <v>10</v>
      </c>
      <c r="L322">
        <v>610</v>
      </c>
      <c r="M322" t="s">
        <v>1472</v>
      </c>
      <c r="N322" t="s">
        <v>11</v>
      </c>
      <c r="O322">
        <v>0.71870000000000001</v>
      </c>
      <c r="P322" s="12">
        <f>ROUND(O322*L322,2)</f>
        <v>438.41</v>
      </c>
      <c r="Q322" s="13">
        <f>IF(N322="HKD",7.8,IF(N322="CNY",7.30034,1))</f>
        <v>7.3003400000000003</v>
      </c>
      <c r="R322" s="15">
        <f>+ROUND(O322/Q322,4)</f>
        <v>9.8400000000000001E-2</v>
      </c>
      <c r="S322" s="14">
        <f>ROUND(R322*L322,2)</f>
        <v>60.02</v>
      </c>
      <c r="T322" s="15" t="s">
        <v>349</v>
      </c>
      <c r="U322" t="s">
        <v>442</v>
      </c>
    </row>
    <row r="323" spans="1:21" x14ac:dyDescent="0.2">
      <c r="A323" t="s">
        <v>2716</v>
      </c>
      <c r="B323" s="24">
        <v>45741</v>
      </c>
      <c r="C323" s="24">
        <v>45728</v>
      </c>
      <c r="D323" t="s">
        <v>651</v>
      </c>
      <c r="E323" t="s">
        <v>652</v>
      </c>
      <c r="G323" t="s">
        <v>3038</v>
      </c>
      <c r="H323" t="s">
        <v>3237</v>
      </c>
      <c r="I323" t="s">
        <v>3444</v>
      </c>
      <c r="J323" s="11" t="str">
        <f>+LEFT(U323,4)</f>
        <v>FG--</v>
      </c>
      <c r="K323" t="s">
        <v>10</v>
      </c>
      <c r="L323">
        <v>2030</v>
      </c>
      <c r="M323" t="s">
        <v>1472</v>
      </c>
      <c r="N323" t="s">
        <v>11</v>
      </c>
      <c r="O323">
        <v>0.77500000000000002</v>
      </c>
      <c r="P323" s="12">
        <f>ROUND(O323*L323,2)</f>
        <v>1573.25</v>
      </c>
      <c r="Q323" s="13">
        <f>IF(N323="HKD",7.8,IF(N323="CNY",7.30034,1))</f>
        <v>7.3003400000000003</v>
      </c>
      <c r="R323" s="15">
        <f>+ROUND(O323/Q323,4)</f>
        <v>0.1062</v>
      </c>
      <c r="S323" s="14">
        <f>ROUND(R323*L323,2)</f>
        <v>215.59</v>
      </c>
      <c r="T323" s="15" t="s">
        <v>349</v>
      </c>
      <c r="U323" t="s">
        <v>64</v>
      </c>
    </row>
    <row r="324" spans="1:21" x14ac:dyDescent="0.2">
      <c r="A324" t="s">
        <v>2531</v>
      </c>
      <c r="B324" s="24">
        <v>45729</v>
      </c>
      <c r="C324" s="24">
        <v>45713</v>
      </c>
      <c r="D324" t="s">
        <v>372</v>
      </c>
      <c r="E324" t="s">
        <v>373</v>
      </c>
      <c r="G324" t="s">
        <v>2926</v>
      </c>
      <c r="H324" t="s">
        <v>1029</v>
      </c>
      <c r="I324" t="s">
        <v>1030</v>
      </c>
      <c r="J324" s="11" t="str">
        <f>+LEFT(U324,4)</f>
        <v>LHDL</v>
      </c>
      <c r="K324" t="s">
        <v>98</v>
      </c>
      <c r="L324">
        <v>1800</v>
      </c>
      <c r="M324" t="s">
        <v>1472</v>
      </c>
      <c r="N324" t="s">
        <v>11</v>
      </c>
      <c r="O324">
        <v>0.78120000000000001</v>
      </c>
      <c r="P324" s="12">
        <f>ROUND(O324*L324,2)</f>
        <v>1406.16</v>
      </c>
      <c r="Q324" s="13">
        <f>IF(N324="HKD",7.8,IF(N324="CNY",7.30034,1))</f>
        <v>7.3003400000000003</v>
      </c>
      <c r="R324" s="15">
        <f>+ROUND(O324/Q324,4)</f>
        <v>0.107</v>
      </c>
      <c r="S324" s="14">
        <f>ROUND(R324*L324,2)</f>
        <v>192.6</v>
      </c>
      <c r="T324" s="15" t="s">
        <v>349</v>
      </c>
      <c r="U324" t="s">
        <v>125</v>
      </c>
    </row>
    <row r="325" spans="1:21" x14ac:dyDescent="0.2">
      <c r="A325" t="s">
        <v>2349</v>
      </c>
      <c r="B325" s="24">
        <v>45720</v>
      </c>
      <c r="C325" s="24">
        <v>45680</v>
      </c>
      <c r="D325" t="s">
        <v>121</v>
      </c>
      <c r="E325" t="s">
        <v>122</v>
      </c>
      <c r="G325" t="s">
        <v>2845</v>
      </c>
      <c r="H325" t="s">
        <v>1548</v>
      </c>
      <c r="I325" t="s">
        <v>1549</v>
      </c>
      <c r="J325" s="11" t="s">
        <v>1527</v>
      </c>
      <c r="K325" t="s">
        <v>10</v>
      </c>
      <c r="L325">
        <v>3050</v>
      </c>
      <c r="M325" t="s">
        <v>1472</v>
      </c>
      <c r="N325" t="s">
        <v>11</v>
      </c>
      <c r="O325">
        <v>0.8</v>
      </c>
      <c r="P325" s="12">
        <f>ROUND(O325*L325,2)</f>
        <v>2440</v>
      </c>
      <c r="Q325" s="13">
        <f>IF(N325="HKD",7.8,IF(N325="CNY",7.30034,1))</f>
        <v>7.3003400000000003</v>
      </c>
      <c r="R325" s="15">
        <f>+ROUND(O325/Q325,4)</f>
        <v>0.1096</v>
      </c>
      <c r="S325" s="14">
        <f>ROUND(R325*L325,2)</f>
        <v>334.28</v>
      </c>
      <c r="T325" s="15" t="s">
        <v>349</v>
      </c>
      <c r="U325" t="s">
        <v>36</v>
      </c>
    </row>
    <row r="326" spans="1:21" x14ac:dyDescent="0.2">
      <c r="A326" t="s">
        <v>2350</v>
      </c>
      <c r="B326" s="24">
        <v>45720</v>
      </c>
      <c r="C326" s="24">
        <v>45680</v>
      </c>
      <c r="D326" t="s">
        <v>121</v>
      </c>
      <c r="E326" t="s">
        <v>122</v>
      </c>
      <c r="G326" t="s">
        <v>2845</v>
      </c>
      <c r="H326" t="s">
        <v>1550</v>
      </c>
      <c r="I326" t="s">
        <v>1533</v>
      </c>
      <c r="J326" s="11" t="s">
        <v>1527</v>
      </c>
      <c r="K326" t="s">
        <v>10</v>
      </c>
      <c r="L326">
        <v>2900</v>
      </c>
      <c r="M326" t="s">
        <v>1472</v>
      </c>
      <c r="N326" t="s">
        <v>11</v>
      </c>
      <c r="O326">
        <v>0.8</v>
      </c>
      <c r="P326" s="12">
        <f>ROUND(O326*L326,2)</f>
        <v>2320</v>
      </c>
      <c r="Q326" s="13">
        <f>IF(N326="HKD",7.8,IF(N326="CNY",7.30034,1))</f>
        <v>7.3003400000000003</v>
      </c>
      <c r="R326" s="15">
        <f>+ROUND(O326/Q326,4)</f>
        <v>0.1096</v>
      </c>
      <c r="S326" s="14">
        <f>ROUND(R326*L326,2)</f>
        <v>317.83999999999997</v>
      </c>
      <c r="T326" s="15" t="s">
        <v>349</v>
      </c>
      <c r="U326" t="s">
        <v>36</v>
      </c>
    </row>
    <row r="327" spans="1:21" x14ac:dyDescent="0.2">
      <c r="A327" t="s">
        <v>2370</v>
      </c>
      <c r="B327" s="24">
        <v>45727</v>
      </c>
      <c r="C327" s="24">
        <v>45695</v>
      </c>
      <c r="D327" t="s">
        <v>121</v>
      </c>
      <c r="E327" t="s">
        <v>122</v>
      </c>
      <c r="G327" t="s">
        <v>2908</v>
      </c>
      <c r="H327" t="s">
        <v>1306</v>
      </c>
      <c r="I327" t="s">
        <v>1307</v>
      </c>
      <c r="J327" s="11" t="s">
        <v>1527</v>
      </c>
      <c r="K327" t="s">
        <v>10</v>
      </c>
      <c r="L327">
        <v>6000</v>
      </c>
      <c r="M327" t="s">
        <v>1472</v>
      </c>
      <c r="N327" t="s">
        <v>11</v>
      </c>
      <c r="O327">
        <v>0.8</v>
      </c>
      <c r="P327" s="12">
        <f>ROUND(O327*L327,2)</f>
        <v>4800</v>
      </c>
      <c r="Q327" s="13">
        <f>IF(N327="HKD",7.8,IF(N327="CNY",7.30034,1))</f>
        <v>7.3003400000000003</v>
      </c>
      <c r="R327" s="15">
        <f>+ROUND(O327/Q327,4)</f>
        <v>0.1096</v>
      </c>
      <c r="S327" s="14">
        <f>ROUND(R327*L327,2)</f>
        <v>657.6</v>
      </c>
      <c r="T327" s="15" t="s">
        <v>349</v>
      </c>
      <c r="U327" t="s">
        <v>36</v>
      </c>
    </row>
    <row r="328" spans="1:21" x14ac:dyDescent="0.2">
      <c r="A328" t="s">
        <v>2371</v>
      </c>
      <c r="B328" s="24">
        <v>45727</v>
      </c>
      <c r="C328" s="24">
        <v>45695</v>
      </c>
      <c r="D328" t="s">
        <v>121</v>
      </c>
      <c r="E328" t="s">
        <v>122</v>
      </c>
      <c r="G328" t="s">
        <v>2908</v>
      </c>
      <c r="H328" t="s">
        <v>1548</v>
      </c>
      <c r="I328" t="s">
        <v>1549</v>
      </c>
      <c r="J328" s="11" t="s">
        <v>1527</v>
      </c>
      <c r="K328" t="s">
        <v>10</v>
      </c>
      <c r="L328">
        <v>2100</v>
      </c>
      <c r="M328" t="s">
        <v>1472</v>
      </c>
      <c r="N328" t="s">
        <v>11</v>
      </c>
      <c r="O328">
        <v>0.8</v>
      </c>
      <c r="P328" s="12">
        <f>ROUND(O328*L328,2)</f>
        <v>1680</v>
      </c>
      <c r="Q328" s="13">
        <f>IF(N328="HKD",7.8,IF(N328="CNY",7.30034,1))</f>
        <v>7.3003400000000003</v>
      </c>
      <c r="R328" s="15">
        <f>+ROUND(O328/Q328,4)</f>
        <v>0.1096</v>
      </c>
      <c r="S328" s="14">
        <f>ROUND(R328*L328,2)</f>
        <v>230.16</v>
      </c>
      <c r="T328" s="15" t="s">
        <v>349</v>
      </c>
      <c r="U328" t="s">
        <v>36</v>
      </c>
    </row>
    <row r="329" spans="1:21" x14ac:dyDescent="0.2">
      <c r="A329" t="s">
        <v>2372</v>
      </c>
      <c r="B329" s="24">
        <v>45727</v>
      </c>
      <c r="C329" s="24">
        <v>45695</v>
      </c>
      <c r="D329" t="s">
        <v>121</v>
      </c>
      <c r="E329" t="s">
        <v>122</v>
      </c>
      <c r="G329" t="s">
        <v>2908</v>
      </c>
      <c r="H329" t="s">
        <v>1550</v>
      </c>
      <c r="I329" t="s">
        <v>1533</v>
      </c>
      <c r="J329" s="11" t="s">
        <v>1527</v>
      </c>
      <c r="K329" t="s">
        <v>10</v>
      </c>
      <c r="L329">
        <v>4050</v>
      </c>
      <c r="M329" t="s">
        <v>1472</v>
      </c>
      <c r="N329" t="s">
        <v>11</v>
      </c>
      <c r="O329">
        <v>0.8</v>
      </c>
      <c r="P329" s="12">
        <f>ROUND(O329*L329,2)</f>
        <v>3240</v>
      </c>
      <c r="Q329" s="13">
        <f>IF(N329="HKD",7.8,IF(N329="CNY",7.30034,1))</f>
        <v>7.3003400000000003</v>
      </c>
      <c r="R329" s="15">
        <f>+ROUND(O329/Q329,4)</f>
        <v>0.1096</v>
      </c>
      <c r="S329" s="14">
        <f>ROUND(R329*L329,2)</f>
        <v>443.88</v>
      </c>
      <c r="T329" s="15" t="s">
        <v>349</v>
      </c>
      <c r="U329" t="s">
        <v>36</v>
      </c>
    </row>
    <row r="330" spans="1:21" x14ac:dyDescent="0.2">
      <c r="A330" t="s">
        <v>2574</v>
      </c>
      <c r="B330" s="24">
        <v>45727</v>
      </c>
      <c r="C330" s="24">
        <v>45716</v>
      </c>
      <c r="D330" t="s">
        <v>121</v>
      </c>
      <c r="E330" t="s">
        <v>122</v>
      </c>
      <c r="G330" t="s">
        <v>2908</v>
      </c>
      <c r="H330" t="s">
        <v>1306</v>
      </c>
      <c r="I330" t="s">
        <v>1307</v>
      </c>
      <c r="J330" s="11" t="s">
        <v>1527</v>
      </c>
      <c r="K330" t="s">
        <v>10</v>
      </c>
      <c r="L330">
        <v>500</v>
      </c>
      <c r="M330" t="s">
        <v>1472</v>
      </c>
      <c r="N330" t="s">
        <v>11</v>
      </c>
      <c r="O330">
        <v>0.8</v>
      </c>
      <c r="P330" s="12">
        <f>ROUND(O330*L330,2)</f>
        <v>400</v>
      </c>
      <c r="Q330" s="13">
        <f>IF(N330="HKD",7.8,IF(N330="CNY",7.30034,1))</f>
        <v>7.3003400000000003</v>
      </c>
      <c r="R330" s="15">
        <f>+ROUND(O330/Q330,4)</f>
        <v>0.1096</v>
      </c>
      <c r="S330" s="14">
        <f>ROUND(R330*L330,2)</f>
        <v>54.8</v>
      </c>
      <c r="T330" s="15" t="s">
        <v>349</v>
      </c>
      <c r="U330" t="s">
        <v>36</v>
      </c>
    </row>
    <row r="331" spans="1:21" x14ac:dyDescent="0.2">
      <c r="A331" t="s">
        <v>648</v>
      </c>
      <c r="B331" s="24">
        <v>45723</v>
      </c>
      <c r="C331" s="24">
        <v>45643</v>
      </c>
      <c r="D331" t="s">
        <v>169</v>
      </c>
      <c r="E331" t="s">
        <v>170</v>
      </c>
      <c r="G331" t="s">
        <v>2863</v>
      </c>
      <c r="H331" t="s">
        <v>646</v>
      </c>
      <c r="I331" t="s">
        <v>647</v>
      </c>
      <c r="J331" s="11" t="str">
        <f>+LEFT(U331,4)</f>
        <v>PRIM</v>
      </c>
      <c r="K331" t="s">
        <v>10</v>
      </c>
      <c r="L331">
        <v>-1200</v>
      </c>
      <c r="M331" t="s">
        <v>1472</v>
      </c>
      <c r="N331" t="s">
        <v>11</v>
      </c>
      <c r="O331">
        <v>0.82</v>
      </c>
      <c r="P331" s="12">
        <f>ROUND(O331*L331,2)</f>
        <v>-984</v>
      </c>
      <c r="Q331" s="13">
        <f>IF(N331="HKD",7.8,IF(N331="CNY",7.30034,1))</f>
        <v>7.3003400000000003</v>
      </c>
      <c r="R331" s="15">
        <f>+ROUND(O331/Q331,4)</f>
        <v>0.1123</v>
      </c>
      <c r="S331" s="14">
        <f>ROUND(R331*L331,2)</f>
        <v>-134.76</v>
      </c>
      <c r="T331" s="15" t="s">
        <v>349</v>
      </c>
      <c r="U331" t="s">
        <v>181</v>
      </c>
    </row>
    <row r="332" spans="1:21" x14ac:dyDescent="0.2">
      <c r="A332" t="s">
        <v>648</v>
      </c>
      <c r="B332" s="24">
        <v>45726</v>
      </c>
      <c r="C332" s="24">
        <v>45643</v>
      </c>
      <c r="D332" t="s">
        <v>169</v>
      </c>
      <c r="E332" t="s">
        <v>170</v>
      </c>
      <c r="G332" t="s">
        <v>2862</v>
      </c>
      <c r="H332" t="s">
        <v>646</v>
      </c>
      <c r="I332" t="s">
        <v>647</v>
      </c>
      <c r="J332" s="11" t="str">
        <f>+LEFT(U332,4)</f>
        <v>PRIM</v>
      </c>
      <c r="K332" t="s">
        <v>10</v>
      </c>
      <c r="L332">
        <v>1200</v>
      </c>
      <c r="M332" t="s">
        <v>1472</v>
      </c>
      <c r="N332" t="s">
        <v>11</v>
      </c>
      <c r="O332">
        <v>0.82</v>
      </c>
      <c r="P332" s="12">
        <f>ROUND(O332*L332,2)</f>
        <v>984</v>
      </c>
      <c r="Q332" s="13">
        <f>IF(N332="HKD",7.8,IF(N332="CNY",7.30034,1))</f>
        <v>7.3003400000000003</v>
      </c>
      <c r="R332" s="15">
        <f>+ROUND(O332/Q332,4)</f>
        <v>0.1123</v>
      </c>
      <c r="S332" s="14">
        <f>ROUND(R332*L332,2)</f>
        <v>134.76</v>
      </c>
      <c r="T332" s="15" t="s">
        <v>349</v>
      </c>
      <c r="U332" t="s">
        <v>181</v>
      </c>
    </row>
    <row r="333" spans="1:21" x14ac:dyDescent="0.2">
      <c r="A333" t="s">
        <v>2717</v>
      </c>
      <c r="B333" s="24">
        <v>45741</v>
      </c>
      <c r="C333" s="24">
        <v>45728</v>
      </c>
      <c r="D333" t="s">
        <v>651</v>
      </c>
      <c r="E333" t="s">
        <v>652</v>
      </c>
      <c r="G333" t="s">
        <v>3038</v>
      </c>
      <c r="H333" t="s">
        <v>3238</v>
      </c>
      <c r="I333" t="s">
        <v>3445</v>
      </c>
      <c r="J333" s="11" t="str">
        <f>+LEFT(U333,4)</f>
        <v>FG--</v>
      </c>
      <c r="K333" t="s">
        <v>10</v>
      </c>
      <c r="L333">
        <v>3100</v>
      </c>
      <c r="M333" t="s">
        <v>1472</v>
      </c>
      <c r="N333" t="s">
        <v>11</v>
      </c>
      <c r="O333">
        <v>0.82320000000000004</v>
      </c>
      <c r="P333" s="12">
        <f>ROUND(O333*L333,2)</f>
        <v>2551.92</v>
      </c>
      <c r="Q333" s="13">
        <f>IF(N333="HKD",7.8,IF(N333="CNY",7.30034,1))</f>
        <v>7.3003400000000003</v>
      </c>
      <c r="R333" s="15">
        <f>+ROUND(O333/Q333,4)</f>
        <v>0.1128</v>
      </c>
      <c r="S333" s="14">
        <f>ROUND(R333*L333,2)</f>
        <v>349.68</v>
      </c>
      <c r="T333" s="15" t="s">
        <v>349</v>
      </c>
      <c r="U333" t="s">
        <v>64</v>
      </c>
    </row>
    <row r="334" spans="1:21" x14ac:dyDescent="0.2">
      <c r="A334" t="s">
        <v>2304</v>
      </c>
      <c r="B334" s="24">
        <v>45727</v>
      </c>
      <c r="C334" s="24">
        <v>45660</v>
      </c>
      <c r="D334" t="s">
        <v>252</v>
      </c>
      <c r="E334" t="s">
        <v>253</v>
      </c>
      <c r="G334" t="s">
        <v>2872</v>
      </c>
      <c r="H334" t="s">
        <v>3068</v>
      </c>
      <c r="I334" t="s">
        <v>3285</v>
      </c>
      <c r="J334" s="10" t="s">
        <v>1527</v>
      </c>
      <c r="K334" t="s">
        <v>10</v>
      </c>
      <c r="L334">
        <v>6010</v>
      </c>
      <c r="M334" t="s">
        <v>1472</v>
      </c>
      <c r="N334" t="s">
        <v>11</v>
      </c>
      <c r="O334">
        <v>0.873</v>
      </c>
      <c r="P334" s="12">
        <f>ROUND(O334*L334,2)</f>
        <v>5246.73</v>
      </c>
      <c r="Q334" s="13">
        <f>IF(N334="HKD",7.8,IF(N334="CNY",7.30034,1))</f>
        <v>7.3003400000000003</v>
      </c>
      <c r="R334" s="15">
        <f>+ROUND(O334/Q334,4)</f>
        <v>0.1196</v>
      </c>
      <c r="S334" s="14">
        <f>ROUND(R334*L334,2)</f>
        <v>718.8</v>
      </c>
      <c r="T334" s="15" t="s">
        <v>349</v>
      </c>
      <c r="U334" t="s">
        <v>36</v>
      </c>
    </row>
    <row r="335" spans="1:21" x14ac:dyDescent="0.2">
      <c r="A335" t="s">
        <v>2617</v>
      </c>
      <c r="B335" s="24">
        <v>45742</v>
      </c>
      <c r="C335" s="24">
        <v>45720</v>
      </c>
      <c r="D335" t="s">
        <v>252</v>
      </c>
      <c r="E335" t="s">
        <v>253</v>
      </c>
      <c r="G335" t="s">
        <v>2915</v>
      </c>
      <c r="H335" t="s">
        <v>3068</v>
      </c>
      <c r="I335" t="s">
        <v>3285</v>
      </c>
      <c r="J335" s="10" t="s">
        <v>1527</v>
      </c>
      <c r="K335" t="s">
        <v>10</v>
      </c>
      <c r="L335">
        <v>8200</v>
      </c>
      <c r="M335" t="s">
        <v>1472</v>
      </c>
      <c r="N335" t="s">
        <v>11</v>
      </c>
      <c r="O335">
        <v>0.873</v>
      </c>
      <c r="P335" s="12">
        <f>ROUND(O335*L335,2)</f>
        <v>7158.6</v>
      </c>
      <c r="Q335" s="13">
        <f>IF(N335="HKD",7.8,IF(N335="CNY",7.30034,1))</f>
        <v>7.3003400000000003</v>
      </c>
      <c r="R335" s="15">
        <f>+ROUND(O335/Q335,4)</f>
        <v>0.1196</v>
      </c>
      <c r="S335" s="14">
        <f>ROUND(R335*L335,2)</f>
        <v>980.72</v>
      </c>
      <c r="T335" s="15" t="s">
        <v>349</v>
      </c>
      <c r="U335" t="s">
        <v>36</v>
      </c>
    </row>
    <row r="336" spans="1:21" x14ac:dyDescent="0.2">
      <c r="A336" t="s">
        <v>2698</v>
      </c>
      <c r="B336" s="24">
        <v>45741</v>
      </c>
      <c r="C336" s="24">
        <v>45728</v>
      </c>
      <c r="D336" t="s">
        <v>709</v>
      </c>
      <c r="E336" t="s">
        <v>710</v>
      </c>
      <c r="G336" t="s">
        <v>2930</v>
      </c>
      <c r="H336" t="s">
        <v>1641</v>
      </c>
      <c r="I336" t="s">
        <v>1642</v>
      </c>
      <c r="J336" s="11" t="str">
        <f>+LEFT(U336,4)</f>
        <v>KNOB</v>
      </c>
      <c r="K336" t="s">
        <v>10</v>
      </c>
      <c r="L336">
        <v>4100</v>
      </c>
      <c r="M336" t="s">
        <v>1472</v>
      </c>
      <c r="N336" t="s">
        <v>11</v>
      </c>
      <c r="O336">
        <v>0.87629999999999997</v>
      </c>
      <c r="P336" s="12">
        <f>ROUND(O336*L336,2)</f>
        <v>3592.83</v>
      </c>
      <c r="Q336" s="13">
        <f>IF(N336="HKD",7.8,IF(N336="CNY",7.30034,1))</f>
        <v>7.3003400000000003</v>
      </c>
      <c r="R336" s="15">
        <f>+ROUND(O336/Q336,4)</f>
        <v>0.12</v>
      </c>
      <c r="S336" s="14">
        <f>ROUND(R336*L336,2)</f>
        <v>492</v>
      </c>
      <c r="T336" s="15" t="s">
        <v>349</v>
      </c>
      <c r="U336" t="s">
        <v>32</v>
      </c>
    </row>
    <row r="337" spans="1:21" x14ac:dyDescent="0.2">
      <c r="A337" t="s">
        <v>2363</v>
      </c>
      <c r="B337" s="24">
        <v>45727</v>
      </c>
      <c r="C337" s="24">
        <v>45680</v>
      </c>
      <c r="D337" t="s">
        <v>252</v>
      </c>
      <c r="E337" t="s">
        <v>253</v>
      </c>
      <c r="G337" t="s">
        <v>2872</v>
      </c>
      <c r="H337" t="s">
        <v>1026</v>
      </c>
      <c r="I337" t="s">
        <v>1027</v>
      </c>
      <c r="J337" s="11" t="s">
        <v>1527</v>
      </c>
      <c r="K337" t="s">
        <v>10</v>
      </c>
      <c r="L337">
        <v>1050</v>
      </c>
      <c r="M337" t="s">
        <v>1472</v>
      </c>
      <c r="N337" t="s">
        <v>11</v>
      </c>
      <c r="O337">
        <v>0.9</v>
      </c>
      <c r="P337" s="12">
        <f>ROUND(O337*L337,2)</f>
        <v>945</v>
      </c>
      <c r="Q337" s="13">
        <f>IF(N337="HKD",7.8,IF(N337="CNY",7.30034,1))</f>
        <v>7.3003400000000003</v>
      </c>
      <c r="R337" s="15">
        <f>+ROUND(O337/Q337,4)</f>
        <v>0.12330000000000001</v>
      </c>
      <c r="S337" s="14">
        <f>ROUND(R337*L337,2)</f>
        <v>129.47</v>
      </c>
      <c r="T337" s="15" t="s">
        <v>349</v>
      </c>
      <c r="U337" t="s">
        <v>36</v>
      </c>
    </row>
    <row r="338" spans="1:21" x14ac:dyDescent="0.2">
      <c r="A338" t="s">
        <v>2386</v>
      </c>
      <c r="B338" s="24">
        <v>45727</v>
      </c>
      <c r="C338" s="24">
        <v>45695</v>
      </c>
      <c r="D338" t="s">
        <v>252</v>
      </c>
      <c r="E338" t="s">
        <v>253</v>
      </c>
      <c r="G338" t="s">
        <v>2872</v>
      </c>
      <c r="H338" t="s">
        <v>688</v>
      </c>
      <c r="I338" t="s">
        <v>689</v>
      </c>
      <c r="J338" s="11" t="s">
        <v>1527</v>
      </c>
      <c r="K338" t="s">
        <v>10</v>
      </c>
      <c r="L338">
        <v>1050</v>
      </c>
      <c r="M338" t="s">
        <v>1472</v>
      </c>
      <c r="N338" t="s">
        <v>11</v>
      </c>
      <c r="O338">
        <v>0.9</v>
      </c>
      <c r="P338" s="12">
        <f>ROUND(O338*L338,2)</f>
        <v>945</v>
      </c>
      <c r="Q338" s="13">
        <f>IF(N338="HKD",7.8,IF(N338="CNY",7.30034,1))</f>
        <v>7.3003400000000003</v>
      </c>
      <c r="R338" s="15">
        <f>+ROUND(O338/Q338,4)</f>
        <v>0.12330000000000001</v>
      </c>
      <c r="S338" s="14">
        <f>ROUND(R338*L338,2)</f>
        <v>129.47</v>
      </c>
      <c r="T338" s="15" t="s">
        <v>349</v>
      </c>
      <c r="U338" t="s">
        <v>36</v>
      </c>
    </row>
    <row r="339" spans="1:21" x14ac:dyDescent="0.2">
      <c r="A339" t="s">
        <v>2412</v>
      </c>
      <c r="B339" s="24">
        <v>45737</v>
      </c>
      <c r="C339" s="24">
        <v>45702</v>
      </c>
      <c r="D339" t="s">
        <v>372</v>
      </c>
      <c r="E339" t="s">
        <v>373</v>
      </c>
      <c r="G339" t="s">
        <v>2927</v>
      </c>
      <c r="H339" t="s">
        <v>3103</v>
      </c>
      <c r="I339" t="s">
        <v>3318</v>
      </c>
      <c r="J339" s="11" t="str">
        <f>+LEFT(U339,4)</f>
        <v>SHDL</v>
      </c>
      <c r="K339" t="s">
        <v>98</v>
      </c>
      <c r="L339">
        <v>1940</v>
      </c>
      <c r="M339" t="s">
        <v>1472</v>
      </c>
      <c r="N339" t="s">
        <v>11</v>
      </c>
      <c r="O339">
        <v>0.92230000000000001</v>
      </c>
      <c r="P339" s="12">
        <f>ROUND(O339*L339,2)</f>
        <v>1789.26</v>
      </c>
      <c r="Q339" s="13">
        <f>IF(N339="HKD",7.8,IF(N339="CNY",7.30034,1))</f>
        <v>7.3003400000000003</v>
      </c>
      <c r="R339" s="15">
        <f>+ROUND(O339/Q339,4)</f>
        <v>0.1263</v>
      </c>
      <c r="S339" s="14">
        <f>ROUND(R339*L339,2)</f>
        <v>245.02</v>
      </c>
      <c r="T339" s="15" t="s">
        <v>349</v>
      </c>
      <c r="U339" t="s">
        <v>722</v>
      </c>
    </row>
    <row r="340" spans="1:21" x14ac:dyDescent="0.2">
      <c r="A340" t="s">
        <v>2511</v>
      </c>
      <c r="B340" s="24">
        <v>45719</v>
      </c>
      <c r="C340" s="24">
        <v>45713</v>
      </c>
      <c r="D340" t="s">
        <v>169</v>
      </c>
      <c r="E340" t="s">
        <v>170</v>
      </c>
      <c r="G340" t="s">
        <v>2921</v>
      </c>
      <c r="H340" t="s">
        <v>3154</v>
      </c>
      <c r="I340" t="s">
        <v>3364</v>
      </c>
      <c r="J340" s="11" t="str">
        <f>+LEFT(U340,4)</f>
        <v>STKR</v>
      </c>
      <c r="K340" t="s">
        <v>10</v>
      </c>
      <c r="L340">
        <v>1010</v>
      </c>
      <c r="M340" t="s">
        <v>1472</v>
      </c>
      <c r="N340" t="s">
        <v>11</v>
      </c>
      <c r="O340">
        <v>0.96</v>
      </c>
      <c r="P340" s="12">
        <f>ROUND(O340*L340,2)</f>
        <v>969.6</v>
      </c>
      <c r="Q340" s="13">
        <f>IF(N340="HKD",7.8,IF(N340="CNY",7.30034,1))</f>
        <v>7.3003400000000003</v>
      </c>
      <c r="R340" s="15">
        <f>+ROUND(O340/Q340,4)</f>
        <v>0.13150000000000001</v>
      </c>
      <c r="S340" s="14">
        <f>ROUND(R340*L340,2)</f>
        <v>132.82</v>
      </c>
      <c r="T340" s="15" t="s">
        <v>349</v>
      </c>
      <c r="U340" t="s">
        <v>18</v>
      </c>
    </row>
    <row r="341" spans="1:21" x14ac:dyDescent="0.2">
      <c r="A341" t="s">
        <v>2428</v>
      </c>
      <c r="B341" s="24">
        <v>45726</v>
      </c>
      <c r="C341" s="24">
        <v>45702</v>
      </c>
      <c r="D341" t="s">
        <v>295</v>
      </c>
      <c r="E341" t="s">
        <v>296</v>
      </c>
      <c r="G341" t="s">
        <v>2932</v>
      </c>
      <c r="H341" t="s">
        <v>3117</v>
      </c>
      <c r="I341" t="s">
        <v>307</v>
      </c>
      <c r="J341" s="11" t="str">
        <f>+LEFT(U341,4)</f>
        <v>LHDL</v>
      </c>
      <c r="K341" t="s">
        <v>10</v>
      </c>
      <c r="L341">
        <v>1040</v>
      </c>
      <c r="M341" t="s">
        <v>1472</v>
      </c>
      <c r="N341" t="s">
        <v>11</v>
      </c>
      <c r="O341">
        <v>0.98939999999999995</v>
      </c>
      <c r="P341" s="12">
        <f>ROUND(O341*L341,2)</f>
        <v>1028.98</v>
      </c>
      <c r="Q341" s="13">
        <f>IF(N341="HKD",7.8,IF(N341="CNY",7.30034,1))</f>
        <v>7.3003400000000003</v>
      </c>
      <c r="R341" s="15">
        <f>+ROUND(O341/Q341,4)</f>
        <v>0.13550000000000001</v>
      </c>
      <c r="S341" s="14">
        <f>ROUND(R341*L341,2)</f>
        <v>140.91999999999999</v>
      </c>
      <c r="T341" s="15" t="s">
        <v>349</v>
      </c>
      <c r="U341" t="s">
        <v>125</v>
      </c>
    </row>
    <row r="342" spans="1:21" x14ac:dyDescent="0.2">
      <c r="A342" t="s">
        <v>2413</v>
      </c>
      <c r="B342" s="24">
        <v>45733</v>
      </c>
      <c r="C342" s="24">
        <v>45702</v>
      </c>
      <c r="D342" t="s">
        <v>372</v>
      </c>
      <c r="E342" t="s">
        <v>373</v>
      </c>
      <c r="G342" t="s">
        <v>2928</v>
      </c>
      <c r="H342" t="s">
        <v>3104</v>
      </c>
      <c r="I342" t="s">
        <v>3319</v>
      </c>
      <c r="J342" s="11" t="str">
        <f>+LEFT(U342,4)</f>
        <v>FG--</v>
      </c>
      <c r="K342" t="s">
        <v>98</v>
      </c>
      <c r="L342">
        <v>1030</v>
      </c>
      <c r="M342" t="s">
        <v>1472</v>
      </c>
      <c r="N342" t="s">
        <v>11</v>
      </c>
      <c r="O342">
        <v>0.99399999999999999</v>
      </c>
      <c r="P342" s="12">
        <f>ROUND(O342*L342,2)</f>
        <v>1023.82</v>
      </c>
      <c r="Q342" s="13">
        <f>IF(N342="HKD",7.8,IF(N342="CNY",7.30034,1))</f>
        <v>7.3003400000000003</v>
      </c>
      <c r="R342" s="15">
        <f>+ROUND(O342/Q342,4)</f>
        <v>0.13619999999999999</v>
      </c>
      <c r="S342" s="14">
        <f>ROUND(R342*L342,2)</f>
        <v>140.29</v>
      </c>
      <c r="T342" s="15" t="s">
        <v>349</v>
      </c>
      <c r="U342" t="s">
        <v>64</v>
      </c>
    </row>
    <row r="343" spans="1:21" x14ac:dyDescent="0.2">
      <c r="A343" s="19" t="s">
        <v>1440</v>
      </c>
      <c r="B343" s="20">
        <v>45659</v>
      </c>
      <c r="C343" s="20">
        <v>45629</v>
      </c>
      <c r="D343" s="19" t="s">
        <v>21</v>
      </c>
      <c r="E343" s="19" t="s">
        <v>22</v>
      </c>
      <c r="G343" s="19" t="s">
        <v>1431</v>
      </c>
      <c r="H343" s="19" t="s">
        <v>801</v>
      </c>
      <c r="I343" s="19" t="s">
        <v>802</v>
      </c>
      <c r="J343" s="11" t="str">
        <f>+LEFT(U343,4)</f>
        <v>BRKT</v>
      </c>
      <c r="K343" s="19" t="s">
        <v>10</v>
      </c>
      <c r="L343" s="19">
        <v>2600</v>
      </c>
      <c r="M343" s="19" t="s">
        <v>1472</v>
      </c>
      <c r="N343" s="19" t="s">
        <v>11</v>
      </c>
      <c r="O343" s="26">
        <v>0.56430000000000002</v>
      </c>
      <c r="P343" s="12">
        <f>ROUND(O343*L343,2)</f>
        <v>1467.18</v>
      </c>
      <c r="Q343" s="13">
        <f>IF(N343="HKD",7.8,IF(N343="CNY",7.30034,1))</f>
        <v>7.3003400000000003</v>
      </c>
      <c r="R343" s="15">
        <f>+ROUND(O343/Q343,4)</f>
        <v>7.7299999999999994E-2</v>
      </c>
      <c r="S343" s="14">
        <f>ROUND(R343*L343,2)</f>
        <v>200.98</v>
      </c>
      <c r="T343" s="15" t="s">
        <v>349</v>
      </c>
      <c r="U343" s="19" t="s">
        <v>442</v>
      </c>
    </row>
    <row r="344" spans="1:21" x14ac:dyDescent="0.2">
      <c r="A344" s="19" t="s">
        <v>1450</v>
      </c>
      <c r="B344" s="20">
        <v>45659</v>
      </c>
      <c r="C344" s="20">
        <v>45609</v>
      </c>
      <c r="D344" s="19" t="s">
        <v>21</v>
      </c>
      <c r="E344" s="19" t="s">
        <v>22</v>
      </c>
      <c r="G344" s="19" t="s">
        <v>1431</v>
      </c>
      <c r="H344" s="19" t="s">
        <v>1448</v>
      </c>
      <c r="I344" s="19" t="s">
        <v>1449</v>
      </c>
      <c r="J344" s="11" t="str">
        <f>+LEFT(U344,4)</f>
        <v>BRKT</v>
      </c>
      <c r="K344" s="19" t="s">
        <v>10</v>
      </c>
      <c r="L344" s="19">
        <v>1030</v>
      </c>
      <c r="M344" s="19" t="s">
        <v>1472</v>
      </c>
      <c r="N344" s="19" t="s">
        <v>11</v>
      </c>
      <c r="O344" s="26">
        <v>0.57969999999999999</v>
      </c>
      <c r="P344" s="12">
        <f>ROUND(O344*L344,2)</f>
        <v>597.09</v>
      </c>
      <c r="Q344" s="13">
        <f>IF(N344="HKD",7.8,IF(N344="CNY",7.30034,1))</f>
        <v>7.3003400000000003</v>
      </c>
      <c r="R344" s="15">
        <f>+ROUND(O344/Q344,4)</f>
        <v>7.9399999999999998E-2</v>
      </c>
      <c r="S344" s="14">
        <f>ROUND(R344*L344,2)</f>
        <v>81.78</v>
      </c>
      <c r="T344" s="15" t="s">
        <v>349</v>
      </c>
      <c r="U344" s="19" t="s">
        <v>442</v>
      </c>
    </row>
    <row r="345" spans="1:21" x14ac:dyDescent="0.2">
      <c r="A345" s="19" t="s">
        <v>1444</v>
      </c>
      <c r="B345" s="20">
        <v>45659</v>
      </c>
      <c r="C345" s="20">
        <v>45609</v>
      </c>
      <c r="D345" s="19" t="s">
        <v>21</v>
      </c>
      <c r="E345" s="19" t="s">
        <v>22</v>
      </c>
      <c r="G345" s="19" t="s">
        <v>1431</v>
      </c>
      <c r="H345" s="19" t="s">
        <v>1441</v>
      </c>
      <c r="I345" s="19" t="s">
        <v>1442</v>
      </c>
      <c r="J345" s="11" t="str">
        <f>+LEFT(U345,4)</f>
        <v>BRKT</v>
      </c>
      <c r="K345" s="19" t="s">
        <v>10</v>
      </c>
      <c r="L345" s="19">
        <v>520</v>
      </c>
      <c r="M345" s="19" t="s">
        <v>1472</v>
      </c>
      <c r="N345" s="19" t="s">
        <v>11</v>
      </c>
      <c r="O345" s="26">
        <v>0.60340000000000005</v>
      </c>
      <c r="P345" s="12">
        <f>ROUND(O345*L345,2)</f>
        <v>313.77</v>
      </c>
      <c r="Q345" s="13">
        <f>IF(N345="HKD",7.8,IF(N345="CNY",7.30034,1))</f>
        <v>7.3003400000000003</v>
      </c>
      <c r="R345" s="15">
        <f>+ROUND(O345/Q345,4)</f>
        <v>8.2699999999999996E-2</v>
      </c>
      <c r="S345" s="14">
        <f>ROUND(R345*L345,2)</f>
        <v>43</v>
      </c>
      <c r="T345" s="15" t="s">
        <v>349</v>
      </c>
      <c r="U345" s="19" t="s">
        <v>442</v>
      </c>
    </row>
    <row r="346" spans="1:21" x14ac:dyDescent="0.2">
      <c r="A346" s="19" t="s">
        <v>1443</v>
      </c>
      <c r="B346" s="20">
        <v>45659</v>
      </c>
      <c r="C346" s="20">
        <v>45629</v>
      </c>
      <c r="D346" s="19" t="s">
        <v>21</v>
      </c>
      <c r="E346" s="19" t="s">
        <v>22</v>
      </c>
      <c r="G346" s="19" t="s">
        <v>1431</v>
      </c>
      <c r="H346" s="19" t="s">
        <v>1441</v>
      </c>
      <c r="I346" s="19" t="s">
        <v>1442</v>
      </c>
      <c r="J346" s="11" t="str">
        <f>+LEFT(U346,4)</f>
        <v>BRKT</v>
      </c>
      <c r="K346" s="19" t="s">
        <v>10</v>
      </c>
      <c r="L346" s="19">
        <v>1030</v>
      </c>
      <c r="M346" s="19" t="s">
        <v>1472</v>
      </c>
      <c r="N346" s="19" t="s">
        <v>11</v>
      </c>
      <c r="O346" s="26">
        <v>0.60340000000000005</v>
      </c>
      <c r="P346" s="12">
        <f>ROUND(O346*L346,2)</f>
        <v>621.5</v>
      </c>
      <c r="Q346" s="13">
        <f>IF(N346="HKD",7.8,IF(N346="CNY",7.30034,1))</f>
        <v>7.3003400000000003</v>
      </c>
      <c r="R346" s="15">
        <f>+ROUND(O346/Q346,4)</f>
        <v>8.2699999999999996E-2</v>
      </c>
      <c r="S346" s="14">
        <f>ROUND(R346*L346,2)</f>
        <v>85.18</v>
      </c>
      <c r="T346" s="15" t="s">
        <v>349</v>
      </c>
      <c r="U346" s="19" t="s">
        <v>442</v>
      </c>
    </row>
    <row r="347" spans="1:21" x14ac:dyDescent="0.2">
      <c r="A347" s="19" t="s">
        <v>1447</v>
      </c>
      <c r="B347" s="20">
        <v>45659</v>
      </c>
      <c r="C347" s="20">
        <v>45609</v>
      </c>
      <c r="D347" s="19" t="s">
        <v>21</v>
      </c>
      <c r="E347" s="19" t="s">
        <v>22</v>
      </c>
      <c r="G347" s="19" t="s">
        <v>1431</v>
      </c>
      <c r="H347" s="19" t="s">
        <v>1445</v>
      </c>
      <c r="I347" s="19" t="s">
        <v>1446</v>
      </c>
      <c r="J347" s="11" t="str">
        <f>+LEFT(U347,4)</f>
        <v>BRKT</v>
      </c>
      <c r="K347" s="19" t="s">
        <v>10</v>
      </c>
      <c r="L347" s="19">
        <v>520</v>
      </c>
      <c r="M347" s="19" t="s">
        <v>1472</v>
      </c>
      <c r="N347" s="19" t="s">
        <v>11</v>
      </c>
      <c r="O347" s="26">
        <v>0.62309999999999999</v>
      </c>
      <c r="P347" s="12">
        <f>ROUND(O347*L347,2)</f>
        <v>324.01</v>
      </c>
      <c r="Q347" s="13">
        <f>IF(N347="HKD",7.8,IF(N347="CNY",7.30034,1))</f>
        <v>7.3003400000000003</v>
      </c>
      <c r="R347" s="15">
        <f>+ROUND(O347/Q347,4)</f>
        <v>8.5400000000000004E-2</v>
      </c>
      <c r="S347" s="14">
        <f>ROUND(R347*L347,2)</f>
        <v>44.41</v>
      </c>
      <c r="T347" s="15" t="s">
        <v>349</v>
      </c>
      <c r="U347" s="19" t="s">
        <v>442</v>
      </c>
    </row>
    <row r="348" spans="1:21" x14ac:dyDescent="0.2">
      <c r="A348" s="19" t="s">
        <v>1151</v>
      </c>
      <c r="B348" s="20">
        <v>45663</v>
      </c>
      <c r="C348" s="20">
        <v>45639</v>
      </c>
      <c r="D348" s="19" t="s">
        <v>28</v>
      </c>
      <c r="E348" s="19" t="s">
        <v>29</v>
      </c>
      <c r="G348" s="19" t="s">
        <v>1144</v>
      </c>
      <c r="H348" s="19" t="s">
        <v>1149</v>
      </c>
      <c r="I348" s="19" t="s">
        <v>1150</v>
      </c>
      <c r="J348" s="11" t="str">
        <f>+LEFT(U348,4)</f>
        <v>BRKT</v>
      </c>
      <c r="K348" s="19" t="s">
        <v>10</v>
      </c>
      <c r="L348" s="19">
        <v>3000</v>
      </c>
      <c r="M348" s="19" t="s">
        <v>1472</v>
      </c>
      <c r="N348" s="19" t="s">
        <v>11</v>
      </c>
      <c r="O348" s="26">
        <v>0.57750000000000001</v>
      </c>
      <c r="P348" s="12">
        <f>ROUND(O348*L348,2)</f>
        <v>1732.5</v>
      </c>
      <c r="Q348" s="13">
        <f>IF(N348="HKD",7.8,IF(N348="CNY",7.30034,1))</f>
        <v>7.3003400000000003</v>
      </c>
      <c r="R348" s="15">
        <f>+ROUND(O348/Q348,4)</f>
        <v>7.9100000000000004E-2</v>
      </c>
      <c r="S348" s="14">
        <f>ROUND(R348*L348,2)</f>
        <v>237.3</v>
      </c>
      <c r="T348" s="15" t="s">
        <v>349</v>
      </c>
      <c r="U348" s="19" t="s">
        <v>442</v>
      </c>
    </row>
    <row r="349" spans="1:21" x14ac:dyDescent="0.2">
      <c r="A349" s="19" t="s">
        <v>1172</v>
      </c>
      <c r="B349" s="20">
        <v>45663</v>
      </c>
      <c r="C349" s="20">
        <v>45615</v>
      </c>
      <c r="D349" s="19" t="s">
        <v>28</v>
      </c>
      <c r="E349" s="19" t="s">
        <v>29</v>
      </c>
      <c r="G349" s="19" t="s">
        <v>1173</v>
      </c>
      <c r="H349" s="19" t="s">
        <v>1170</v>
      </c>
      <c r="I349" s="19" t="s">
        <v>1171</v>
      </c>
      <c r="J349" s="11" t="str">
        <f>+LEFT(U349,4)</f>
        <v>BRKT</v>
      </c>
      <c r="K349" s="19" t="s">
        <v>10</v>
      </c>
      <c r="L349" s="19">
        <v>16500</v>
      </c>
      <c r="M349" s="19" t="s">
        <v>1472</v>
      </c>
      <c r="N349" s="19" t="s">
        <v>11</v>
      </c>
      <c r="O349" s="26">
        <v>0.5877</v>
      </c>
      <c r="P349" s="12">
        <f>ROUND(O349*L349,2)</f>
        <v>9697.0499999999993</v>
      </c>
      <c r="Q349" s="13">
        <f>IF(N349="HKD",7.8,IF(N349="CNY",7.30034,1))</f>
        <v>7.3003400000000003</v>
      </c>
      <c r="R349" s="15">
        <f>+ROUND(O349/Q349,4)</f>
        <v>8.0500000000000002E-2</v>
      </c>
      <c r="S349" s="14">
        <f>ROUND(R349*L349,2)</f>
        <v>1328.25</v>
      </c>
      <c r="T349" s="15" t="s">
        <v>349</v>
      </c>
      <c r="U349" s="19" t="s">
        <v>442</v>
      </c>
    </row>
    <row r="350" spans="1:21" x14ac:dyDescent="0.2">
      <c r="A350" s="19" t="s">
        <v>1174</v>
      </c>
      <c r="B350" s="20">
        <v>45663</v>
      </c>
      <c r="C350" s="20">
        <v>45646</v>
      </c>
      <c r="D350" s="19" t="s">
        <v>28</v>
      </c>
      <c r="E350" s="19" t="s">
        <v>29</v>
      </c>
      <c r="G350" s="19" t="s">
        <v>1173</v>
      </c>
      <c r="H350" s="19" t="s">
        <v>1170</v>
      </c>
      <c r="I350" s="19" t="s">
        <v>1171</v>
      </c>
      <c r="J350" s="11" t="str">
        <f>+LEFT(U350,4)</f>
        <v>BRKT</v>
      </c>
      <c r="K350" s="19" t="s">
        <v>10</v>
      </c>
      <c r="L350" s="19">
        <v>3650</v>
      </c>
      <c r="M350" s="19" t="s">
        <v>1472</v>
      </c>
      <c r="N350" s="19" t="s">
        <v>11</v>
      </c>
      <c r="O350" s="26">
        <v>0.59379999999999999</v>
      </c>
      <c r="P350" s="12">
        <f>ROUND(O350*L350,2)</f>
        <v>2167.37</v>
      </c>
      <c r="Q350" s="13">
        <f>IF(N350="HKD",7.8,IF(N350="CNY",7.30034,1))</f>
        <v>7.3003400000000003</v>
      </c>
      <c r="R350" s="15">
        <f>+ROUND(O350/Q350,4)</f>
        <v>8.1299999999999997E-2</v>
      </c>
      <c r="S350" s="14">
        <f>ROUND(R350*L350,2)</f>
        <v>296.75</v>
      </c>
      <c r="T350" s="15" t="s">
        <v>349</v>
      </c>
      <c r="U350" s="19" t="s">
        <v>442</v>
      </c>
    </row>
    <row r="351" spans="1:21" x14ac:dyDescent="0.2">
      <c r="A351" s="19" t="s">
        <v>1148</v>
      </c>
      <c r="B351" s="20">
        <v>45663</v>
      </c>
      <c r="C351" s="20">
        <v>45639</v>
      </c>
      <c r="D351" s="19" t="s">
        <v>28</v>
      </c>
      <c r="E351" s="19" t="s">
        <v>29</v>
      </c>
      <c r="G351" s="19" t="s">
        <v>1144</v>
      </c>
      <c r="H351" s="19" t="s">
        <v>1145</v>
      </c>
      <c r="I351" s="19" t="s">
        <v>1146</v>
      </c>
      <c r="J351" s="11" t="str">
        <f>+LEFT(U351,4)</f>
        <v>BRKT</v>
      </c>
      <c r="K351" s="19" t="s">
        <v>10</v>
      </c>
      <c r="L351" s="19">
        <v>2550</v>
      </c>
      <c r="M351" s="19" t="s">
        <v>1472</v>
      </c>
      <c r="N351" s="19" t="s">
        <v>11</v>
      </c>
      <c r="O351" s="26">
        <v>0.59809999999999997</v>
      </c>
      <c r="P351" s="12">
        <f>ROUND(O351*L351,2)</f>
        <v>1525.16</v>
      </c>
      <c r="Q351" s="13">
        <f>IF(N351="HKD",7.8,IF(N351="CNY",7.30034,1))</f>
        <v>7.3003400000000003</v>
      </c>
      <c r="R351" s="15">
        <f>+ROUND(O351/Q351,4)</f>
        <v>8.1900000000000001E-2</v>
      </c>
      <c r="S351" s="14">
        <f>ROUND(R351*L351,2)</f>
        <v>208.85</v>
      </c>
      <c r="T351" s="15" t="s">
        <v>349</v>
      </c>
      <c r="U351" s="19" t="s">
        <v>442</v>
      </c>
    </row>
    <row r="352" spans="1:21" x14ac:dyDescent="0.2">
      <c r="A352" s="19" t="s">
        <v>1147</v>
      </c>
      <c r="B352" s="20">
        <v>45663</v>
      </c>
      <c r="C352" s="20">
        <v>45653</v>
      </c>
      <c r="D352" s="19" t="s">
        <v>28</v>
      </c>
      <c r="E352" s="19" t="s">
        <v>29</v>
      </c>
      <c r="G352" s="19" t="s">
        <v>1144</v>
      </c>
      <c r="H352" s="19" t="s">
        <v>1145</v>
      </c>
      <c r="I352" s="19" t="s">
        <v>1146</v>
      </c>
      <c r="J352" s="11" t="str">
        <f>+LEFT(U352,4)</f>
        <v>BRKT</v>
      </c>
      <c r="K352" s="19" t="s">
        <v>10</v>
      </c>
      <c r="L352" s="19">
        <v>100</v>
      </c>
      <c r="M352" s="19" t="s">
        <v>1472</v>
      </c>
      <c r="N352" s="19" t="s">
        <v>11</v>
      </c>
      <c r="O352" s="26">
        <v>0.61029999999999995</v>
      </c>
      <c r="P352" s="12">
        <f>ROUND(O352*L352,2)</f>
        <v>61.03</v>
      </c>
      <c r="Q352" s="13">
        <f>IF(N352="HKD",7.8,IF(N352="CNY",7.30034,1))</f>
        <v>7.3003400000000003</v>
      </c>
      <c r="R352" s="15">
        <f>+ROUND(O352/Q352,4)</f>
        <v>8.3599999999999994E-2</v>
      </c>
      <c r="S352" s="14">
        <f>ROUND(R352*L352,2)</f>
        <v>8.36</v>
      </c>
      <c r="T352" s="15" t="s">
        <v>349</v>
      </c>
      <c r="U352" s="19" t="s">
        <v>442</v>
      </c>
    </row>
    <row r="353" spans="1:21" x14ac:dyDescent="0.2">
      <c r="A353" s="19" t="s">
        <v>1154</v>
      </c>
      <c r="B353" s="20">
        <v>45663</v>
      </c>
      <c r="C353" s="20">
        <v>45609</v>
      </c>
      <c r="D353" s="19" t="s">
        <v>28</v>
      </c>
      <c r="E353" s="19" t="s">
        <v>29</v>
      </c>
      <c r="G353" s="19" t="s">
        <v>1144</v>
      </c>
      <c r="H353" s="19" t="s">
        <v>1152</v>
      </c>
      <c r="I353" s="19" t="s">
        <v>1153</v>
      </c>
      <c r="J353" s="11" t="str">
        <f>+LEFT(U353,4)</f>
        <v>BRKT</v>
      </c>
      <c r="K353" s="19" t="s">
        <v>10</v>
      </c>
      <c r="L353" s="19">
        <v>1040</v>
      </c>
      <c r="M353" s="19" t="s">
        <v>1472</v>
      </c>
      <c r="N353" s="19" t="s">
        <v>11</v>
      </c>
      <c r="O353" s="26">
        <v>0.6522</v>
      </c>
      <c r="P353" s="12">
        <f>ROUND(O353*L353,2)</f>
        <v>678.29</v>
      </c>
      <c r="Q353" s="13">
        <f>IF(N353="HKD",7.8,IF(N353="CNY",7.30034,1))</f>
        <v>7.3003400000000003</v>
      </c>
      <c r="R353" s="15">
        <f>+ROUND(O353/Q353,4)</f>
        <v>8.9300000000000004E-2</v>
      </c>
      <c r="S353" s="14">
        <f>ROUND(R353*L353,2)</f>
        <v>92.87</v>
      </c>
      <c r="T353" s="15" t="s">
        <v>349</v>
      </c>
      <c r="U353" s="19" t="s">
        <v>442</v>
      </c>
    </row>
    <row r="354" spans="1:21" x14ac:dyDescent="0.2">
      <c r="A354" s="19" t="s">
        <v>826</v>
      </c>
      <c r="B354" s="20">
        <v>45666</v>
      </c>
      <c r="C354" s="20">
        <v>45660</v>
      </c>
      <c r="D354" s="19" t="s">
        <v>21</v>
      </c>
      <c r="E354" s="19" t="s">
        <v>22</v>
      </c>
      <c r="G354" s="19" t="s">
        <v>827</v>
      </c>
      <c r="H354" s="19" t="s">
        <v>824</v>
      </c>
      <c r="I354" s="19" t="s">
        <v>825</v>
      </c>
      <c r="J354" s="11" t="str">
        <f>+LEFT(U354,4)</f>
        <v>BRKT</v>
      </c>
      <c r="K354" s="19" t="s">
        <v>10</v>
      </c>
      <c r="L354" s="19">
        <v>1500</v>
      </c>
      <c r="M354" s="19" t="s">
        <v>1472</v>
      </c>
      <c r="N354" s="19" t="s">
        <v>11</v>
      </c>
      <c r="O354" s="26">
        <v>0.17269999999999999</v>
      </c>
      <c r="P354" s="12">
        <f>ROUND(O354*L354,2)</f>
        <v>259.05</v>
      </c>
      <c r="Q354" s="13">
        <f>IF(N354="HKD",7.8,IF(N354="CNY",7.30034,1))</f>
        <v>7.3003400000000003</v>
      </c>
      <c r="R354" s="15">
        <f>+ROUND(O354/Q354,4)</f>
        <v>2.3699999999999999E-2</v>
      </c>
      <c r="S354" s="14">
        <f>ROUND(R354*L354,2)</f>
        <v>35.549999999999997</v>
      </c>
      <c r="T354" s="15" t="s">
        <v>349</v>
      </c>
      <c r="U354" s="19" t="s">
        <v>442</v>
      </c>
    </row>
    <row r="355" spans="1:21" x14ac:dyDescent="0.2">
      <c r="A355" s="19" t="s">
        <v>803</v>
      </c>
      <c r="B355" s="20">
        <v>45666</v>
      </c>
      <c r="C355" s="20">
        <v>45653</v>
      </c>
      <c r="D355" s="19" t="s">
        <v>21</v>
      </c>
      <c r="E355" s="19" t="s">
        <v>22</v>
      </c>
      <c r="G355" s="19" t="s">
        <v>796</v>
      </c>
      <c r="H355" s="19" t="s">
        <v>801</v>
      </c>
      <c r="I355" s="19" t="s">
        <v>802</v>
      </c>
      <c r="J355" s="11" t="str">
        <f>+LEFT(U355,4)</f>
        <v>BRKT</v>
      </c>
      <c r="K355" s="19" t="s">
        <v>10</v>
      </c>
      <c r="L355" s="19">
        <v>970</v>
      </c>
      <c r="M355" s="19" t="s">
        <v>1472</v>
      </c>
      <c r="N355" s="19" t="s">
        <v>11</v>
      </c>
      <c r="O355" s="26">
        <v>0.57579999999999998</v>
      </c>
      <c r="P355" s="12">
        <f>ROUND(O355*L355,2)</f>
        <v>558.53</v>
      </c>
      <c r="Q355" s="13">
        <f>IF(N355="HKD",7.8,IF(N355="CNY",7.30034,1))</f>
        <v>7.3003400000000003</v>
      </c>
      <c r="R355" s="15">
        <f>+ROUND(O355/Q355,4)</f>
        <v>7.8899999999999998E-2</v>
      </c>
      <c r="S355" s="14">
        <f>ROUND(R355*L355,2)</f>
        <v>76.53</v>
      </c>
      <c r="T355" s="15" t="s">
        <v>349</v>
      </c>
      <c r="U355" s="19" t="s">
        <v>442</v>
      </c>
    </row>
    <row r="356" spans="1:21" x14ac:dyDescent="0.2">
      <c r="A356" s="19" t="s">
        <v>820</v>
      </c>
      <c r="B356" s="20">
        <v>45666</v>
      </c>
      <c r="C356" s="20">
        <v>45609</v>
      </c>
      <c r="D356" s="19" t="s">
        <v>21</v>
      </c>
      <c r="E356" s="19" t="s">
        <v>22</v>
      </c>
      <c r="G356" s="19" t="s">
        <v>796</v>
      </c>
      <c r="H356" s="19" t="s">
        <v>814</v>
      </c>
      <c r="I356" s="19" t="s">
        <v>815</v>
      </c>
      <c r="J356" s="11" t="str">
        <f>+LEFT(U356,4)</f>
        <v>BRKT</v>
      </c>
      <c r="K356" s="19" t="s">
        <v>10</v>
      </c>
      <c r="L356" s="19">
        <v>520</v>
      </c>
      <c r="M356" s="19" t="s">
        <v>1472</v>
      </c>
      <c r="N356" s="19" t="s">
        <v>11</v>
      </c>
      <c r="O356" s="26">
        <v>0.60570000000000002</v>
      </c>
      <c r="P356" s="12">
        <f>ROUND(O356*L356,2)</f>
        <v>314.95999999999998</v>
      </c>
      <c r="Q356" s="13">
        <f>IF(N356="HKD",7.8,IF(N356="CNY",7.30034,1))</f>
        <v>7.3003400000000003</v>
      </c>
      <c r="R356" s="15">
        <f>+ROUND(O356/Q356,4)</f>
        <v>8.3000000000000004E-2</v>
      </c>
      <c r="S356" s="14">
        <f>ROUND(R356*L356,2)</f>
        <v>43.16</v>
      </c>
      <c r="T356" s="15" t="s">
        <v>349</v>
      </c>
      <c r="U356" s="19" t="s">
        <v>442</v>
      </c>
    </row>
    <row r="357" spans="1:21" x14ac:dyDescent="0.2">
      <c r="A357" s="19" t="s">
        <v>816</v>
      </c>
      <c r="B357" s="20">
        <v>45666</v>
      </c>
      <c r="C357" s="20">
        <v>45650</v>
      </c>
      <c r="D357" s="19" t="s">
        <v>21</v>
      </c>
      <c r="E357" s="19" t="s">
        <v>22</v>
      </c>
      <c r="G357" s="19" t="s">
        <v>796</v>
      </c>
      <c r="H357" s="19" t="s">
        <v>814</v>
      </c>
      <c r="I357" s="19" t="s">
        <v>815</v>
      </c>
      <c r="J357" s="11" t="str">
        <f>+LEFT(U357,4)</f>
        <v>BRKT</v>
      </c>
      <c r="K357" s="19" t="s">
        <v>10</v>
      </c>
      <c r="L357" s="19">
        <v>510</v>
      </c>
      <c r="M357" s="19" t="s">
        <v>1472</v>
      </c>
      <c r="N357" s="19" t="s">
        <v>11</v>
      </c>
      <c r="O357" s="26">
        <v>0.60570000000000002</v>
      </c>
      <c r="P357" s="12">
        <f>ROUND(O357*L357,2)</f>
        <v>308.91000000000003</v>
      </c>
      <c r="Q357" s="13">
        <f>IF(N357="HKD",7.8,IF(N357="CNY",7.30034,1))</f>
        <v>7.3003400000000003</v>
      </c>
      <c r="R357" s="15">
        <f>+ROUND(O357/Q357,4)</f>
        <v>8.3000000000000004E-2</v>
      </c>
      <c r="S357" s="14">
        <f>ROUND(R357*L357,2)</f>
        <v>42.33</v>
      </c>
      <c r="T357" s="15" t="s">
        <v>349</v>
      </c>
      <c r="U357" s="19" t="s">
        <v>442</v>
      </c>
    </row>
    <row r="358" spans="1:21" x14ac:dyDescent="0.2">
      <c r="A358" s="19" t="s">
        <v>813</v>
      </c>
      <c r="B358" s="20">
        <v>45666</v>
      </c>
      <c r="C358" s="20">
        <v>45609</v>
      </c>
      <c r="D358" s="19" t="s">
        <v>21</v>
      </c>
      <c r="E358" s="19" t="s">
        <v>22</v>
      </c>
      <c r="G358" s="19" t="s">
        <v>796</v>
      </c>
      <c r="H358" s="19" t="s">
        <v>811</v>
      </c>
      <c r="I358" s="19" t="s">
        <v>812</v>
      </c>
      <c r="J358" s="11" t="str">
        <f>+LEFT(U358,4)</f>
        <v>BRKT</v>
      </c>
      <c r="K358" s="19" t="s">
        <v>10</v>
      </c>
      <c r="L358" s="19">
        <v>1030</v>
      </c>
      <c r="M358" s="19" t="s">
        <v>1472</v>
      </c>
      <c r="N358" s="19" t="s">
        <v>11</v>
      </c>
      <c r="O358" s="26">
        <v>0.66110000000000002</v>
      </c>
      <c r="P358" s="12">
        <f>ROUND(O358*L358,2)</f>
        <v>680.93</v>
      </c>
      <c r="Q358" s="13">
        <f>IF(N358="HKD",7.8,IF(N358="CNY",7.30034,1))</f>
        <v>7.3003400000000003</v>
      </c>
      <c r="R358" s="15">
        <f>+ROUND(O358/Q358,4)</f>
        <v>9.06E-2</v>
      </c>
      <c r="S358" s="14">
        <f>ROUND(R358*L358,2)</f>
        <v>93.32</v>
      </c>
      <c r="T358" s="15" t="s">
        <v>349</v>
      </c>
      <c r="U358" s="19" t="s">
        <v>442</v>
      </c>
    </row>
    <row r="359" spans="1:21" x14ac:dyDescent="0.2">
      <c r="A359" s="19" t="s">
        <v>441</v>
      </c>
      <c r="B359" s="20">
        <v>45670</v>
      </c>
      <c r="C359" s="20">
        <v>45660</v>
      </c>
      <c r="D359" s="19" t="s">
        <v>128</v>
      </c>
      <c r="E359" s="19" t="s">
        <v>129</v>
      </c>
      <c r="G359" s="19" t="s">
        <v>437</v>
      </c>
      <c r="H359" s="19" t="s">
        <v>439</v>
      </c>
      <c r="I359" s="19" t="s">
        <v>440</v>
      </c>
      <c r="J359" s="11" t="str">
        <f>+LEFT(U359,4)</f>
        <v>BRKT</v>
      </c>
      <c r="K359" s="19" t="s">
        <v>10</v>
      </c>
      <c r="L359" s="19">
        <v>520</v>
      </c>
      <c r="M359" s="19" t="s">
        <v>1472</v>
      </c>
      <c r="N359" s="19" t="s">
        <v>11</v>
      </c>
      <c r="O359" s="26">
        <v>0.53990000000000005</v>
      </c>
      <c r="P359" s="12">
        <f>ROUND(O359*L359,2)</f>
        <v>280.75</v>
      </c>
      <c r="Q359" s="13">
        <f>IF(N359="HKD",7.8,IF(N359="CNY",7.30034,1))</f>
        <v>7.3003400000000003</v>
      </c>
      <c r="R359" s="15">
        <f>+ROUND(O359/Q359,4)</f>
        <v>7.3999999999999996E-2</v>
      </c>
      <c r="S359" s="14">
        <f>ROUND(R359*L359,2)</f>
        <v>38.479999999999997</v>
      </c>
      <c r="T359" s="15" t="s">
        <v>349</v>
      </c>
      <c r="U359" s="19" t="s">
        <v>442</v>
      </c>
    </row>
    <row r="360" spans="1:21" x14ac:dyDescent="0.2">
      <c r="A360" t="s">
        <v>1897</v>
      </c>
      <c r="B360" s="24">
        <v>45712</v>
      </c>
      <c r="C360" s="24">
        <v>45671</v>
      </c>
      <c r="D360" t="s">
        <v>28</v>
      </c>
      <c r="E360" t="s">
        <v>29</v>
      </c>
      <c r="G360" t="s">
        <v>2151</v>
      </c>
      <c r="H360" s="19" t="s">
        <v>1170</v>
      </c>
      <c r="I360" s="19" t="s">
        <v>1171</v>
      </c>
      <c r="J360" s="11" t="str">
        <f>+LEFT(U360,4)</f>
        <v>BRKT</v>
      </c>
      <c r="K360" t="s">
        <v>10</v>
      </c>
      <c r="L360" s="19">
        <v>8500</v>
      </c>
      <c r="M360" t="s">
        <v>1472</v>
      </c>
      <c r="N360" t="s">
        <v>11</v>
      </c>
      <c r="O360" s="26">
        <v>0.5877</v>
      </c>
      <c r="P360" s="12">
        <f>ROUND(O360*L360,2)</f>
        <v>4995.45</v>
      </c>
      <c r="Q360" s="13">
        <f>IF(N360="HKD",7.8,IF(N360="CNY",7.30034,1))</f>
        <v>7.3003400000000003</v>
      </c>
      <c r="R360" s="15">
        <f>+ROUND(O360/Q360,4)</f>
        <v>8.0500000000000002E-2</v>
      </c>
      <c r="S360" s="14">
        <f>ROUND(R360*L360,2)</f>
        <v>684.25</v>
      </c>
      <c r="T360" s="15" t="s">
        <v>349</v>
      </c>
      <c r="U360" t="s">
        <v>442</v>
      </c>
    </row>
    <row r="361" spans="1:21" x14ac:dyDescent="0.2">
      <c r="A361" t="s">
        <v>1898</v>
      </c>
      <c r="B361" s="24">
        <v>45712</v>
      </c>
      <c r="C361" s="24">
        <v>45670</v>
      </c>
      <c r="D361" t="s">
        <v>28</v>
      </c>
      <c r="E361" t="s">
        <v>29</v>
      </c>
      <c r="G361" t="s">
        <v>2151</v>
      </c>
      <c r="H361" s="19" t="s">
        <v>1170</v>
      </c>
      <c r="I361" s="19" t="s">
        <v>1171</v>
      </c>
      <c r="J361" s="11" t="str">
        <f>+LEFT(U361,4)</f>
        <v>BRKT</v>
      </c>
      <c r="K361" t="s">
        <v>10</v>
      </c>
      <c r="L361" s="19">
        <v>2000</v>
      </c>
      <c r="M361" t="s">
        <v>1472</v>
      </c>
      <c r="N361" t="s">
        <v>11</v>
      </c>
      <c r="O361" s="26">
        <v>0.59379999999999999</v>
      </c>
      <c r="P361" s="12">
        <f>ROUND(O361*L361,2)</f>
        <v>1187.5999999999999</v>
      </c>
      <c r="Q361" s="13">
        <f>IF(N361="HKD",7.8,IF(N361="CNY",7.30034,1))</f>
        <v>7.3003400000000003</v>
      </c>
      <c r="R361" s="15">
        <f>+ROUND(O361/Q361,4)</f>
        <v>8.1299999999999997E-2</v>
      </c>
      <c r="S361" s="14">
        <f>ROUND(R361*L361,2)</f>
        <v>162.6</v>
      </c>
      <c r="T361" s="15" t="s">
        <v>349</v>
      </c>
      <c r="U361" t="s">
        <v>442</v>
      </c>
    </row>
    <row r="362" spans="1:21" x14ac:dyDescent="0.2">
      <c r="A362" t="s">
        <v>1899</v>
      </c>
      <c r="B362" s="24">
        <v>45712</v>
      </c>
      <c r="C362" s="24">
        <v>45695</v>
      </c>
      <c r="D362" t="s">
        <v>28</v>
      </c>
      <c r="E362" t="s">
        <v>29</v>
      </c>
      <c r="G362" t="s">
        <v>2151</v>
      </c>
      <c r="H362" s="19" t="s">
        <v>1170</v>
      </c>
      <c r="I362" s="19" t="s">
        <v>1171</v>
      </c>
      <c r="J362" s="11" t="str">
        <f>+LEFT(U362,4)</f>
        <v>BRKT</v>
      </c>
      <c r="K362" t="s">
        <v>10</v>
      </c>
      <c r="L362" s="19">
        <v>4000</v>
      </c>
      <c r="M362" t="s">
        <v>1472</v>
      </c>
      <c r="N362" t="s">
        <v>11</v>
      </c>
      <c r="O362" s="26">
        <v>0.59379999999999999</v>
      </c>
      <c r="P362" s="12">
        <f>ROUND(O362*L362,2)</f>
        <v>2375.1999999999998</v>
      </c>
      <c r="Q362" s="13">
        <f>IF(N362="HKD",7.8,IF(N362="CNY",7.30034,1))</f>
        <v>7.3003400000000003</v>
      </c>
      <c r="R362" s="15">
        <f>+ROUND(O362/Q362,4)</f>
        <v>8.1299999999999997E-2</v>
      </c>
      <c r="S362" s="14">
        <f>ROUND(R362*L362,2)</f>
        <v>325.2</v>
      </c>
      <c r="T362" s="15" t="s">
        <v>349</v>
      </c>
      <c r="U362" t="s">
        <v>442</v>
      </c>
    </row>
    <row r="363" spans="1:21" x14ac:dyDescent="0.2">
      <c r="A363" t="s">
        <v>1901</v>
      </c>
      <c r="B363" s="24">
        <v>45712</v>
      </c>
      <c r="C363" s="24">
        <v>45670</v>
      </c>
      <c r="D363" t="s">
        <v>21</v>
      </c>
      <c r="E363" t="s">
        <v>22</v>
      </c>
      <c r="G363" t="s">
        <v>2161</v>
      </c>
      <c r="H363" s="19" t="s">
        <v>1631</v>
      </c>
      <c r="I363" s="19" t="s">
        <v>1632</v>
      </c>
      <c r="J363" s="11" t="str">
        <f>+LEFT(U363,4)</f>
        <v>BRKT</v>
      </c>
      <c r="K363" t="s">
        <v>10</v>
      </c>
      <c r="L363" s="19">
        <v>1050</v>
      </c>
      <c r="M363" t="s">
        <v>1472</v>
      </c>
      <c r="N363" t="s">
        <v>11</v>
      </c>
      <c r="O363" s="26">
        <v>0.63419999999999999</v>
      </c>
      <c r="P363" s="12">
        <f>ROUND(O363*L363,2)</f>
        <v>665.91</v>
      </c>
      <c r="Q363" s="13">
        <f>IF(N363="HKD",7.8,IF(N363="CNY",7.30034,1))</f>
        <v>7.3003400000000003</v>
      </c>
      <c r="R363" s="15">
        <f>+ROUND(O363/Q363,4)</f>
        <v>8.6900000000000005E-2</v>
      </c>
      <c r="S363" s="14">
        <f>ROUND(R363*L363,2)</f>
        <v>91.25</v>
      </c>
      <c r="T363" s="15" t="s">
        <v>349</v>
      </c>
      <c r="U363" t="s">
        <v>442</v>
      </c>
    </row>
    <row r="364" spans="1:21" x14ac:dyDescent="0.2">
      <c r="A364" t="s">
        <v>1903</v>
      </c>
      <c r="B364" s="24">
        <v>45712</v>
      </c>
      <c r="C364" s="24">
        <v>45695</v>
      </c>
      <c r="D364" t="s">
        <v>28</v>
      </c>
      <c r="E364" t="s">
        <v>29</v>
      </c>
      <c r="G364" t="s">
        <v>2158</v>
      </c>
      <c r="H364" s="19" t="s">
        <v>1152</v>
      </c>
      <c r="I364" s="19" t="s">
        <v>1153</v>
      </c>
      <c r="J364" s="11" t="str">
        <f>+LEFT(U364,4)</f>
        <v>BRKT</v>
      </c>
      <c r="K364" t="s">
        <v>10</v>
      </c>
      <c r="L364" s="19">
        <v>1850</v>
      </c>
      <c r="M364" t="s">
        <v>1472</v>
      </c>
      <c r="N364" t="s">
        <v>11</v>
      </c>
      <c r="O364" s="26">
        <v>0.6522</v>
      </c>
      <c r="P364" s="12">
        <f>ROUND(O364*L364,2)</f>
        <v>1206.57</v>
      </c>
      <c r="Q364" s="13">
        <f>IF(N364="HKD",7.8,IF(N364="CNY",7.30034,1))</f>
        <v>7.3003400000000003</v>
      </c>
      <c r="R364" s="15">
        <f>+ROUND(O364/Q364,4)</f>
        <v>8.9300000000000004E-2</v>
      </c>
      <c r="S364" s="14">
        <f>ROUND(R364*L364,2)</f>
        <v>165.21</v>
      </c>
      <c r="T364" s="15" t="s">
        <v>349</v>
      </c>
      <c r="U364" t="s">
        <v>442</v>
      </c>
    </row>
    <row r="365" spans="1:21" x14ac:dyDescent="0.2">
      <c r="A365" t="s">
        <v>1912</v>
      </c>
      <c r="B365" s="24">
        <v>45723</v>
      </c>
      <c r="C365" s="24">
        <v>45671</v>
      </c>
      <c r="D365" t="s">
        <v>128</v>
      </c>
      <c r="E365" t="s">
        <v>129</v>
      </c>
      <c r="G365" t="s">
        <v>2867</v>
      </c>
      <c r="H365" t="s">
        <v>443</v>
      </c>
      <c r="I365" t="s">
        <v>444</v>
      </c>
      <c r="J365" s="11" t="str">
        <f>+LEFT(U365,4)</f>
        <v>FG--</v>
      </c>
      <c r="K365" t="s">
        <v>10</v>
      </c>
      <c r="L365">
        <v>3000</v>
      </c>
      <c r="M365" t="s">
        <v>1472</v>
      </c>
      <c r="N365" t="s">
        <v>11</v>
      </c>
      <c r="O365">
        <v>1.0021</v>
      </c>
      <c r="P365" s="12">
        <f>ROUND(O365*L365,2)</f>
        <v>3006.3</v>
      </c>
      <c r="Q365" s="13">
        <f>IF(N365="HKD",7.8,IF(N365="CNY",7.30034,1))</f>
        <v>7.3003400000000003</v>
      </c>
      <c r="R365" s="15">
        <f>+ROUND(O365/Q365,4)</f>
        <v>0.13730000000000001</v>
      </c>
      <c r="S365" s="14">
        <f>ROUND(R365*L365,2)</f>
        <v>411.9</v>
      </c>
      <c r="T365" s="15" t="s">
        <v>349</v>
      </c>
      <c r="U365" t="s">
        <v>64</v>
      </c>
    </row>
    <row r="366" spans="1:21" x14ac:dyDescent="0.2">
      <c r="A366" t="s">
        <v>1912</v>
      </c>
      <c r="B366" s="24">
        <v>45727</v>
      </c>
      <c r="C366" s="24">
        <v>45671</v>
      </c>
      <c r="D366" t="s">
        <v>128</v>
      </c>
      <c r="E366" t="s">
        <v>129</v>
      </c>
      <c r="G366" t="s">
        <v>2840</v>
      </c>
      <c r="H366" t="s">
        <v>443</v>
      </c>
      <c r="I366" t="s">
        <v>444</v>
      </c>
      <c r="J366" s="11" t="str">
        <f>+LEFT(U366,4)</f>
        <v>FG--</v>
      </c>
      <c r="K366" t="s">
        <v>10</v>
      </c>
      <c r="L366">
        <v>1300</v>
      </c>
      <c r="M366" t="s">
        <v>1472</v>
      </c>
      <c r="N366" t="s">
        <v>11</v>
      </c>
      <c r="O366">
        <v>1.0021</v>
      </c>
      <c r="P366" s="12">
        <f>ROUND(O366*L366,2)</f>
        <v>1302.73</v>
      </c>
      <c r="Q366" s="13">
        <f>IF(N366="HKD",7.8,IF(N366="CNY",7.30034,1))</f>
        <v>7.3003400000000003</v>
      </c>
      <c r="R366" s="15">
        <f>+ROUND(O366/Q366,4)</f>
        <v>0.13730000000000001</v>
      </c>
      <c r="S366" s="14">
        <f>ROUND(R366*L366,2)</f>
        <v>178.49</v>
      </c>
      <c r="T366" s="15" t="s">
        <v>349</v>
      </c>
      <c r="U366" t="s">
        <v>64</v>
      </c>
    </row>
    <row r="367" spans="1:21" x14ac:dyDescent="0.2">
      <c r="A367" t="s">
        <v>1912</v>
      </c>
      <c r="B367" s="24">
        <v>45730</v>
      </c>
      <c r="C367" s="24">
        <v>45671</v>
      </c>
      <c r="D367" t="s">
        <v>128</v>
      </c>
      <c r="E367" t="s">
        <v>129</v>
      </c>
      <c r="G367" t="s">
        <v>2842</v>
      </c>
      <c r="H367" t="s">
        <v>443</v>
      </c>
      <c r="I367" t="s">
        <v>444</v>
      </c>
      <c r="J367" s="11" t="str">
        <f>+LEFT(U367,4)</f>
        <v>FG--</v>
      </c>
      <c r="K367" t="s">
        <v>10</v>
      </c>
      <c r="L367">
        <v>5000</v>
      </c>
      <c r="M367" t="s">
        <v>1472</v>
      </c>
      <c r="N367" t="s">
        <v>11</v>
      </c>
      <c r="O367">
        <v>1.0021</v>
      </c>
      <c r="P367" s="12">
        <f>ROUND(O367*L367,2)</f>
        <v>5010.5</v>
      </c>
      <c r="Q367" s="13">
        <f>IF(N367="HKD",7.8,IF(N367="CNY",7.30034,1))</f>
        <v>7.3003400000000003</v>
      </c>
      <c r="R367" s="15">
        <f>+ROUND(O367/Q367,4)</f>
        <v>0.13730000000000001</v>
      </c>
      <c r="S367" s="14">
        <f>ROUND(R367*L367,2)</f>
        <v>686.5</v>
      </c>
      <c r="T367" s="15" t="s">
        <v>349</v>
      </c>
      <c r="U367" t="s">
        <v>64</v>
      </c>
    </row>
    <row r="368" spans="1:21" x14ac:dyDescent="0.2">
      <c r="A368" t="s">
        <v>2374</v>
      </c>
      <c r="B368" s="24">
        <v>45730</v>
      </c>
      <c r="C368" s="24">
        <v>45695</v>
      </c>
      <c r="D368" t="s">
        <v>128</v>
      </c>
      <c r="E368" t="s">
        <v>129</v>
      </c>
      <c r="G368" t="s">
        <v>2842</v>
      </c>
      <c r="H368" t="s">
        <v>443</v>
      </c>
      <c r="I368" t="s">
        <v>444</v>
      </c>
      <c r="J368" s="11" t="str">
        <f>+LEFT(U368,4)</f>
        <v>FG--</v>
      </c>
      <c r="K368" t="s">
        <v>10</v>
      </c>
      <c r="L368">
        <v>1000</v>
      </c>
      <c r="M368" t="s">
        <v>1472</v>
      </c>
      <c r="N368" t="s">
        <v>11</v>
      </c>
      <c r="O368">
        <v>1.0021</v>
      </c>
      <c r="P368" s="12">
        <f>ROUND(O368*L368,2)</f>
        <v>1002.1</v>
      </c>
      <c r="Q368" s="13">
        <f>IF(N368="HKD",7.8,IF(N368="CNY",7.30034,1))</f>
        <v>7.3003400000000003</v>
      </c>
      <c r="R368" s="15">
        <f>+ROUND(O368/Q368,4)</f>
        <v>0.13730000000000001</v>
      </c>
      <c r="S368" s="14">
        <f>ROUND(R368*L368,2)</f>
        <v>137.30000000000001</v>
      </c>
      <c r="T368" s="15" t="s">
        <v>349</v>
      </c>
      <c r="U368" t="s">
        <v>64</v>
      </c>
    </row>
    <row r="369" spans="1:21" x14ac:dyDescent="0.2">
      <c r="A369" t="s">
        <v>2374</v>
      </c>
      <c r="B369" s="24">
        <v>45733</v>
      </c>
      <c r="C369" s="24">
        <v>45695</v>
      </c>
      <c r="D369" t="s">
        <v>128</v>
      </c>
      <c r="E369" t="s">
        <v>129</v>
      </c>
      <c r="G369" t="s">
        <v>2910</v>
      </c>
      <c r="H369" t="s">
        <v>443</v>
      </c>
      <c r="I369" t="s">
        <v>444</v>
      </c>
      <c r="J369" s="11" t="str">
        <f>+LEFT(U369,4)</f>
        <v>FG--</v>
      </c>
      <c r="K369" t="s">
        <v>10</v>
      </c>
      <c r="L369">
        <v>3000</v>
      </c>
      <c r="M369" t="s">
        <v>1472</v>
      </c>
      <c r="N369" t="s">
        <v>11</v>
      </c>
      <c r="O369">
        <v>1.0021</v>
      </c>
      <c r="P369" s="12">
        <f>ROUND(O369*L369,2)</f>
        <v>3006.3</v>
      </c>
      <c r="Q369" s="13">
        <f>IF(N369="HKD",7.8,IF(N369="CNY",7.30034,1))</f>
        <v>7.3003400000000003</v>
      </c>
      <c r="R369" s="15">
        <f>+ROUND(O369/Q369,4)</f>
        <v>0.13730000000000001</v>
      </c>
      <c r="S369" s="14">
        <f>ROUND(R369*L369,2)</f>
        <v>411.9</v>
      </c>
      <c r="T369" s="15" t="s">
        <v>349</v>
      </c>
      <c r="U369" t="s">
        <v>64</v>
      </c>
    </row>
    <row r="370" spans="1:21" x14ac:dyDescent="0.2">
      <c r="A370" t="s">
        <v>2374</v>
      </c>
      <c r="B370" s="24">
        <v>45737</v>
      </c>
      <c r="C370" s="24">
        <v>45695</v>
      </c>
      <c r="D370" t="s">
        <v>128</v>
      </c>
      <c r="E370" t="s">
        <v>129</v>
      </c>
      <c r="G370" t="s">
        <v>2909</v>
      </c>
      <c r="H370" t="s">
        <v>443</v>
      </c>
      <c r="I370" t="s">
        <v>444</v>
      </c>
      <c r="J370" s="11" t="str">
        <f>+LEFT(U370,4)</f>
        <v>FG--</v>
      </c>
      <c r="K370" t="s">
        <v>10</v>
      </c>
      <c r="L370">
        <v>1000</v>
      </c>
      <c r="M370" t="s">
        <v>1472</v>
      </c>
      <c r="N370" t="s">
        <v>11</v>
      </c>
      <c r="O370">
        <v>1.0021</v>
      </c>
      <c r="P370" s="12">
        <f>ROUND(O370*L370,2)</f>
        <v>1002.1</v>
      </c>
      <c r="Q370" s="13">
        <f>IF(N370="HKD",7.8,IF(N370="CNY",7.30034,1))</f>
        <v>7.3003400000000003</v>
      </c>
      <c r="R370" s="15">
        <f>+ROUND(O370/Q370,4)</f>
        <v>0.13730000000000001</v>
      </c>
      <c r="S370" s="14">
        <f>ROUND(R370*L370,2)</f>
        <v>137.30000000000001</v>
      </c>
      <c r="T370" s="15" t="s">
        <v>349</v>
      </c>
      <c r="U370" t="s">
        <v>64</v>
      </c>
    </row>
    <row r="371" spans="1:21" x14ac:dyDescent="0.2">
      <c r="A371" t="s">
        <v>2441</v>
      </c>
      <c r="B371" s="24">
        <v>45741</v>
      </c>
      <c r="C371" s="24">
        <v>45702</v>
      </c>
      <c r="D371" t="s">
        <v>128</v>
      </c>
      <c r="E371" t="s">
        <v>129</v>
      </c>
      <c r="G371" t="s">
        <v>2938</v>
      </c>
      <c r="H371" t="s">
        <v>443</v>
      </c>
      <c r="I371" t="s">
        <v>444</v>
      </c>
      <c r="J371" s="11" t="str">
        <f>+LEFT(U371,4)</f>
        <v>FG--</v>
      </c>
      <c r="K371" t="s">
        <v>10</v>
      </c>
      <c r="L371">
        <v>6000</v>
      </c>
      <c r="M371" t="s">
        <v>1472</v>
      </c>
      <c r="N371" t="s">
        <v>11</v>
      </c>
      <c r="O371">
        <v>1.0021</v>
      </c>
      <c r="P371" s="12">
        <f>ROUND(O371*L371,2)</f>
        <v>6012.6</v>
      </c>
      <c r="Q371" s="13">
        <f>IF(N371="HKD",7.8,IF(N371="CNY",7.30034,1))</f>
        <v>7.3003400000000003</v>
      </c>
      <c r="R371" s="15">
        <f>+ROUND(O371/Q371,4)</f>
        <v>0.13730000000000001</v>
      </c>
      <c r="S371" s="14">
        <f>ROUND(R371*L371,2)</f>
        <v>823.8</v>
      </c>
      <c r="T371" s="15" t="s">
        <v>349</v>
      </c>
      <c r="U371" t="s">
        <v>64</v>
      </c>
    </row>
    <row r="372" spans="1:21" x14ac:dyDescent="0.2">
      <c r="A372" t="s">
        <v>2429</v>
      </c>
      <c r="B372" s="24">
        <v>45726</v>
      </c>
      <c r="C372" s="24">
        <v>45702</v>
      </c>
      <c r="D372" t="s">
        <v>295</v>
      </c>
      <c r="E372" t="s">
        <v>296</v>
      </c>
      <c r="G372" t="s">
        <v>2932</v>
      </c>
      <c r="H372" t="s">
        <v>3118</v>
      </c>
      <c r="I372" t="s">
        <v>303</v>
      </c>
      <c r="J372" s="11" t="str">
        <f>+LEFT(U372,4)</f>
        <v>LHDL</v>
      </c>
      <c r="K372" t="s">
        <v>10</v>
      </c>
      <c r="L372">
        <v>1040</v>
      </c>
      <c r="M372" t="s">
        <v>1472</v>
      </c>
      <c r="N372" t="s">
        <v>11</v>
      </c>
      <c r="O372">
        <v>1.0419</v>
      </c>
      <c r="P372" s="12">
        <f>ROUND(O372*L372,2)</f>
        <v>1083.58</v>
      </c>
      <c r="Q372" s="13">
        <f>IF(N372="HKD",7.8,IF(N372="CNY",7.30034,1))</f>
        <v>7.3003400000000003</v>
      </c>
      <c r="R372" s="15">
        <f>+ROUND(O372/Q372,4)</f>
        <v>0.14269999999999999</v>
      </c>
      <c r="S372" s="14">
        <f>ROUND(R372*L372,2)</f>
        <v>148.41</v>
      </c>
      <c r="T372" s="15" t="s">
        <v>349</v>
      </c>
      <c r="U372" t="s">
        <v>125</v>
      </c>
    </row>
    <row r="373" spans="1:21" x14ac:dyDescent="0.2">
      <c r="A373" t="s">
        <v>2430</v>
      </c>
      <c r="B373" s="24">
        <v>45726</v>
      </c>
      <c r="C373" s="24">
        <v>45702</v>
      </c>
      <c r="D373" t="s">
        <v>295</v>
      </c>
      <c r="E373" t="s">
        <v>296</v>
      </c>
      <c r="G373" t="s">
        <v>2933</v>
      </c>
      <c r="H373" t="s">
        <v>3119</v>
      </c>
      <c r="I373" t="s">
        <v>300</v>
      </c>
      <c r="J373" s="11" t="str">
        <f>+LEFT(U373,4)</f>
        <v>LHDL</v>
      </c>
      <c r="K373" t="s">
        <v>10</v>
      </c>
      <c r="L373">
        <v>1040</v>
      </c>
      <c r="M373" t="s">
        <v>1472</v>
      </c>
      <c r="N373" t="s">
        <v>11</v>
      </c>
      <c r="O373">
        <v>1.0419</v>
      </c>
      <c r="P373" s="12">
        <f>ROUND(O373*L373,2)</f>
        <v>1083.58</v>
      </c>
      <c r="Q373" s="13">
        <f>IF(N373="HKD",7.8,IF(N373="CNY",7.30034,1))</f>
        <v>7.3003400000000003</v>
      </c>
      <c r="R373" s="15">
        <f>+ROUND(O373/Q373,4)</f>
        <v>0.14269999999999999</v>
      </c>
      <c r="S373" s="14">
        <f>ROUND(R373*L373,2)</f>
        <v>148.41</v>
      </c>
      <c r="T373" s="15" t="s">
        <v>349</v>
      </c>
      <c r="U373" t="s">
        <v>125</v>
      </c>
    </row>
    <row r="374" spans="1:21" x14ac:dyDescent="0.2">
      <c r="A374" t="s">
        <v>2431</v>
      </c>
      <c r="B374" s="24">
        <v>45726</v>
      </c>
      <c r="C374" s="24">
        <v>45702</v>
      </c>
      <c r="D374" t="s">
        <v>295</v>
      </c>
      <c r="E374" t="s">
        <v>296</v>
      </c>
      <c r="G374" t="s">
        <v>2933</v>
      </c>
      <c r="H374" t="s">
        <v>3120</v>
      </c>
      <c r="I374" t="s">
        <v>294</v>
      </c>
      <c r="J374" s="11" t="str">
        <f>+LEFT(U374,4)</f>
        <v>LHDL</v>
      </c>
      <c r="K374" t="s">
        <v>10</v>
      </c>
      <c r="L374">
        <v>1020</v>
      </c>
      <c r="M374" t="s">
        <v>1472</v>
      </c>
      <c r="N374" t="s">
        <v>11</v>
      </c>
      <c r="O374">
        <v>1.0419</v>
      </c>
      <c r="P374" s="12">
        <f>ROUND(O374*L374,2)</f>
        <v>1062.74</v>
      </c>
      <c r="Q374" s="13">
        <f>IF(N374="HKD",7.8,IF(N374="CNY",7.30034,1))</f>
        <v>7.3003400000000003</v>
      </c>
      <c r="R374" s="15">
        <f>+ROUND(O374/Q374,4)</f>
        <v>0.14269999999999999</v>
      </c>
      <c r="S374" s="14">
        <f>ROUND(R374*L374,2)</f>
        <v>145.55000000000001</v>
      </c>
      <c r="T374" s="15" t="s">
        <v>349</v>
      </c>
      <c r="U374" t="s">
        <v>125</v>
      </c>
    </row>
    <row r="375" spans="1:21" x14ac:dyDescent="0.2">
      <c r="A375" t="s">
        <v>2432</v>
      </c>
      <c r="B375" s="24">
        <v>45726</v>
      </c>
      <c r="C375" s="24">
        <v>45702</v>
      </c>
      <c r="D375" t="s">
        <v>295</v>
      </c>
      <c r="E375" t="s">
        <v>296</v>
      </c>
      <c r="G375" t="s">
        <v>2933</v>
      </c>
      <c r="H375" t="s">
        <v>3121</v>
      </c>
      <c r="I375" t="s">
        <v>3331</v>
      </c>
      <c r="J375" s="11" t="str">
        <f>+LEFT(U375,4)</f>
        <v>LHDL</v>
      </c>
      <c r="K375" t="s">
        <v>10</v>
      </c>
      <c r="L375">
        <v>1040</v>
      </c>
      <c r="M375" t="s">
        <v>1472</v>
      </c>
      <c r="N375" t="s">
        <v>11</v>
      </c>
      <c r="O375">
        <v>1.0419</v>
      </c>
      <c r="P375" s="12">
        <f>ROUND(O375*L375,2)</f>
        <v>1083.58</v>
      </c>
      <c r="Q375" s="13">
        <f>IF(N375="HKD",7.8,IF(N375="CNY",7.30034,1))</f>
        <v>7.3003400000000003</v>
      </c>
      <c r="R375" s="15">
        <f>+ROUND(O375/Q375,4)</f>
        <v>0.14269999999999999</v>
      </c>
      <c r="S375" s="14">
        <f>ROUND(R375*L375,2)</f>
        <v>148.41</v>
      </c>
      <c r="T375" s="15" t="s">
        <v>349</v>
      </c>
      <c r="U375" t="s">
        <v>125</v>
      </c>
    </row>
    <row r="376" spans="1:21" x14ac:dyDescent="0.2">
      <c r="A376" t="s">
        <v>2643</v>
      </c>
      <c r="B376" s="24">
        <v>45743</v>
      </c>
      <c r="C376" s="24">
        <v>45721</v>
      </c>
      <c r="D376" t="s">
        <v>709</v>
      </c>
      <c r="E376" t="s">
        <v>710</v>
      </c>
      <c r="G376" t="s">
        <v>2998</v>
      </c>
      <c r="H376" t="s">
        <v>738</v>
      </c>
      <c r="I376" t="s">
        <v>739</v>
      </c>
      <c r="J376" s="11" t="str">
        <f>+LEFT(U376,4)</f>
        <v>KNOB</v>
      </c>
      <c r="K376" t="s">
        <v>10</v>
      </c>
      <c r="L376">
        <v>1000</v>
      </c>
      <c r="M376" t="s">
        <v>1472</v>
      </c>
      <c r="N376" t="s">
        <v>11</v>
      </c>
      <c r="O376">
        <v>1.0463</v>
      </c>
      <c r="P376" s="12">
        <f>ROUND(O376*L376,2)</f>
        <v>1046.3</v>
      </c>
      <c r="Q376" s="13">
        <f>IF(N376="HKD",7.8,IF(N376="CNY",7.30034,1))</f>
        <v>7.3003400000000003</v>
      </c>
      <c r="R376" s="15">
        <f>+ROUND(O376/Q376,4)</f>
        <v>0.14330000000000001</v>
      </c>
      <c r="S376" s="14">
        <f>ROUND(R376*L376,2)</f>
        <v>143.30000000000001</v>
      </c>
      <c r="T376" s="15" t="s">
        <v>349</v>
      </c>
      <c r="U376" t="s">
        <v>32</v>
      </c>
    </row>
    <row r="377" spans="1:21" x14ac:dyDescent="0.2">
      <c r="A377" t="s">
        <v>2696</v>
      </c>
      <c r="B377" s="24">
        <v>45741</v>
      </c>
      <c r="C377" s="24">
        <v>45728</v>
      </c>
      <c r="D377" t="s">
        <v>709</v>
      </c>
      <c r="E377" t="s">
        <v>710</v>
      </c>
      <c r="G377" t="s">
        <v>2930</v>
      </c>
      <c r="H377" t="s">
        <v>1647</v>
      </c>
      <c r="I377" t="s">
        <v>1648</v>
      </c>
      <c r="J377" s="11" t="str">
        <f>+LEFT(U377,4)</f>
        <v>KNOB</v>
      </c>
      <c r="K377" t="s">
        <v>10</v>
      </c>
      <c r="L377">
        <v>1010</v>
      </c>
      <c r="M377" t="s">
        <v>1472</v>
      </c>
      <c r="N377" t="s">
        <v>11</v>
      </c>
      <c r="O377">
        <v>1.0902000000000001</v>
      </c>
      <c r="P377" s="12">
        <f>ROUND(O377*L377,2)</f>
        <v>1101.0999999999999</v>
      </c>
      <c r="Q377" s="13">
        <f>IF(N377="HKD",7.8,IF(N377="CNY",7.30034,1))</f>
        <v>7.3003400000000003</v>
      </c>
      <c r="R377" s="15">
        <f>+ROUND(O377/Q377,4)</f>
        <v>0.14929999999999999</v>
      </c>
      <c r="S377" s="14">
        <f>ROUND(R377*L377,2)</f>
        <v>150.79</v>
      </c>
      <c r="T377" s="15" t="s">
        <v>349</v>
      </c>
      <c r="U377" t="s">
        <v>32</v>
      </c>
    </row>
    <row r="378" spans="1:21" x14ac:dyDescent="0.2">
      <c r="A378" s="19" t="s">
        <v>1239</v>
      </c>
      <c r="B378" s="20">
        <v>45663</v>
      </c>
      <c r="C378" s="20">
        <v>45638</v>
      </c>
      <c r="D378" s="19" t="s">
        <v>311</v>
      </c>
      <c r="E378" s="19" t="s">
        <v>312</v>
      </c>
      <c r="G378" s="19" t="s">
        <v>1236</v>
      </c>
      <c r="H378" s="19" t="s">
        <v>1237</v>
      </c>
      <c r="I378" s="19" t="s">
        <v>1238</v>
      </c>
      <c r="J378" s="11" t="str">
        <f>+LEFT(U378,4)</f>
        <v>EXM-</v>
      </c>
      <c r="K378" s="19" t="s">
        <v>10</v>
      </c>
      <c r="L378" s="19">
        <v>25</v>
      </c>
      <c r="M378" s="19" t="s">
        <v>186</v>
      </c>
      <c r="N378" s="19" t="s">
        <v>11</v>
      </c>
      <c r="O378" s="26">
        <v>90.177000000000007</v>
      </c>
      <c r="P378" s="12">
        <f>ROUND(O378*L378,2)</f>
        <v>2254.4299999999998</v>
      </c>
      <c r="Q378" s="13">
        <f>IF(N378="HKD",7.8,IF(N378="CNY",7.30034,1))</f>
        <v>7.3003400000000003</v>
      </c>
      <c r="R378" s="15">
        <f>+ROUND(O378/Q378,4)</f>
        <v>12.352399999999999</v>
      </c>
      <c r="S378" s="14">
        <f>ROUND(R378*L378,2)</f>
        <v>308.81</v>
      </c>
      <c r="T378" s="15" t="s">
        <v>349</v>
      </c>
      <c r="U378" s="19" t="s">
        <v>315</v>
      </c>
    </row>
    <row r="379" spans="1:21" x14ac:dyDescent="0.2">
      <c r="A379" s="19" t="s">
        <v>1235</v>
      </c>
      <c r="B379" s="20">
        <v>45663</v>
      </c>
      <c r="C379" s="20">
        <v>45638</v>
      </c>
      <c r="D379" s="19" t="s">
        <v>311</v>
      </c>
      <c r="E379" s="19" t="s">
        <v>312</v>
      </c>
      <c r="G379" s="19" t="s">
        <v>1236</v>
      </c>
      <c r="H379" s="19" t="s">
        <v>316</v>
      </c>
      <c r="I379" s="19" t="s">
        <v>317</v>
      </c>
      <c r="J379" s="11" t="str">
        <f>+LEFT(U379,4)</f>
        <v>EXM-</v>
      </c>
      <c r="K379" s="19" t="s">
        <v>10</v>
      </c>
      <c r="L379" s="19">
        <v>25</v>
      </c>
      <c r="M379" s="19" t="s">
        <v>186</v>
      </c>
      <c r="N379" s="19" t="s">
        <v>11</v>
      </c>
      <c r="O379" s="26">
        <v>117.3451</v>
      </c>
      <c r="P379" s="12">
        <f>ROUND(O379*L379,2)</f>
        <v>2933.63</v>
      </c>
      <c r="Q379" s="13">
        <f>IF(N379="HKD",7.8,IF(N379="CNY",7.30034,1))</f>
        <v>7.3003400000000003</v>
      </c>
      <c r="R379" s="15">
        <f>+ROUND(O379/Q379,4)</f>
        <v>16.073899999999998</v>
      </c>
      <c r="S379" s="14">
        <f>ROUND(R379*L379,2)</f>
        <v>401.85</v>
      </c>
      <c r="T379" s="15" t="s">
        <v>349</v>
      </c>
      <c r="U379" s="19" t="s">
        <v>315</v>
      </c>
    </row>
    <row r="380" spans="1:21" x14ac:dyDescent="0.2">
      <c r="A380" s="19" t="s">
        <v>1242</v>
      </c>
      <c r="B380" s="20">
        <v>45663</v>
      </c>
      <c r="C380" s="20">
        <v>45638</v>
      </c>
      <c r="D380" s="19" t="s">
        <v>311</v>
      </c>
      <c r="E380" s="19" t="s">
        <v>312</v>
      </c>
      <c r="G380" s="19" t="s">
        <v>1236</v>
      </c>
      <c r="H380" s="19" t="s">
        <v>1240</v>
      </c>
      <c r="I380" s="19" t="s">
        <v>1241</v>
      </c>
      <c r="J380" s="11" t="str">
        <f>+LEFT(U380,4)</f>
        <v>EXM-</v>
      </c>
      <c r="K380" s="19" t="s">
        <v>10</v>
      </c>
      <c r="L380" s="19">
        <v>50</v>
      </c>
      <c r="M380" s="19" t="s">
        <v>186</v>
      </c>
      <c r="N380" s="19" t="s">
        <v>11</v>
      </c>
      <c r="O380" s="26">
        <v>118.6726</v>
      </c>
      <c r="P380" s="12">
        <f>ROUND(O380*L380,2)</f>
        <v>5933.63</v>
      </c>
      <c r="Q380" s="13">
        <f>IF(N380="HKD",7.8,IF(N380="CNY",7.30034,1))</f>
        <v>7.3003400000000003</v>
      </c>
      <c r="R380" s="15">
        <f>+ROUND(O380/Q380,4)</f>
        <v>16.255800000000001</v>
      </c>
      <c r="S380" s="14">
        <f>ROUND(R380*L380,2)</f>
        <v>812.79</v>
      </c>
      <c r="T380" s="15" t="s">
        <v>349</v>
      </c>
      <c r="U380" s="19" t="s">
        <v>315</v>
      </c>
    </row>
    <row r="381" spans="1:21" x14ac:dyDescent="0.2">
      <c r="A381" s="19" t="s">
        <v>336</v>
      </c>
      <c r="B381" s="20">
        <v>45672</v>
      </c>
      <c r="C381" s="20">
        <v>45657</v>
      </c>
      <c r="D381" s="19" t="s">
        <v>311</v>
      </c>
      <c r="E381" s="19" t="s">
        <v>312</v>
      </c>
      <c r="G381" s="19" t="s">
        <v>326</v>
      </c>
      <c r="H381" s="19" t="s">
        <v>334</v>
      </c>
      <c r="I381" s="19" t="s">
        <v>335</v>
      </c>
      <c r="J381" s="11" t="str">
        <f>+LEFT(U381,4)</f>
        <v>EXM-</v>
      </c>
      <c r="K381" s="19" t="s">
        <v>10</v>
      </c>
      <c r="L381" s="19">
        <v>75</v>
      </c>
      <c r="M381" s="19" t="s">
        <v>186</v>
      </c>
      <c r="N381" s="19" t="s">
        <v>11</v>
      </c>
      <c r="O381" s="26">
        <v>70.353999999999999</v>
      </c>
      <c r="P381" s="12">
        <f>ROUND(O381*L381,2)</f>
        <v>5276.55</v>
      </c>
      <c r="Q381" s="13">
        <f>IF(N381="HKD",7.8,IF(N381="CNY",7.30034,1))</f>
        <v>7.3003400000000003</v>
      </c>
      <c r="R381" s="15">
        <f>+ROUND(O381/Q381,4)</f>
        <v>9.6371000000000002</v>
      </c>
      <c r="S381" s="14">
        <f>ROUND(R381*L381,2)</f>
        <v>722.78</v>
      </c>
      <c r="T381" s="15" t="s">
        <v>349</v>
      </c>
      <c r="U381" s="19" t="s">
        <v>315</v>
      </c>
    </row>
    <row r="382" spans="1:21" x14ac:dyDescent="0.2">
      <c r="A382" s="19" t="s">
        <v>339</v>
      </c>
      <c r="B382" s="20">
        <v>45672</v>
      </c>
      <c r="C382" s="20">
        <v>45657</v>
      </c>
      <c r="D382" s="19" t="s">
        <v>311</v>
      </c>
      <c r="E382" s="19" t="s">
        <v>312</v>
      </c>
      <c r="G382" s="19" t="s">
        <v>326</v>
      </c>
      <c r="H382" s="19" t="s">
        <v>337</v>
      </c>
      <c r="I382" s="19" t="s">
        <v>338</v>
      </c>
      <c r="J382" s="11" t="str">
        <f>+LEFT(U382,4)</f>
        <v>EXM-</v>
      </c>
      <c r="K382" s="19" t="s">
        <v>10</v>
      </c>
      <c r="L382" s="19">
        <v>75</v>
      </c>
      <c r="M382" s="19" t="s">
        <v>186</v>
      </c>
      <c r="N382" s="19" t="s">
        <v>11</v>
      </c>
      <c r="O382" s="26">
        <v>71.769900000000007</v>
      </c>
      <c r="P382" s="12">
        <f>ROUND(O382*L382,2)</f>
        <v>5382.74</v>
      </c>
      <c r="Q382" s="13">
        <f>IF(N382="HKD",7.8,IF(N382="CNY",7.30034,1))</f>
        <v>7.3003400000000003</v>
      </c>
      <c r="R382" s="15">
        <f>+ROUND(O382/Q382,4)</f>
        <v>9.8309999999999995</v>
      </c>
      <c r="S382" s="14">
        <f>ROUND(R382*L382,2)</f>
        <v>737.33</v>
      </c>
      <c r="T382" s="15" t="s">
        <v>349</v>
      </c>
      <c r="U382" s="19" t="s">
        <v>315</v>
      </c>
    </row>
    <row r="383" spans="1:21" x14ac:dyDescent="0.2">
      <c r="A383" s="19" t="s">
        <v>313</v>
      </c>
      <c r="B383" s="20">
        <v>45672</v>
      </c>
      <c r="C383" s="20">
        <v>45664</v>
      </c>
      <c r="D383" s="19" t="s">
        <v>311</v>
      </c>
      <c r="E383" s="19" t="s">
        <v>312</v>
      </c>
      <c r="G383" s="19" t="s">
        <v>314</v>
      </c>
      <c r="H383" s="19" t="s">
        <v>309</v>
      </c>
      <c r="I383" s="19" t="s">
        <v>310</v>
      </c>
      <c r="J383" s="11" t="str">
        <f>+LEFT(U383,4)</f>
        <v>EXM-</v>
      </c>
      <c r="K383" s="19" t="s">
        <v>10</v>
      </c>
      <c r="L383" s="19">
        <v>25</v>
      </c>
      <c r="M383" s="19" t="s">
        <v>186</v>
      </c>
      <c r="N383" s="19" t="s">
        <v>11</v>
      </c>
      <c r="O383" s="26">
        <v>102.0354</v>
      </c>
      <c r="P383" s="12">
        <f>ROUND(O383*L383,2)</f>
        <v>2550.89</v>
      </c>
      <c r="Q383" s="13">
        <f>IF(N383="HKD",7.8,IF(N383="CNY",7.30034,1))</f>
        <v>7.3003400000000003</v>
      </c>
      <c r="R383" s="15">
        <f>+ROUND(O383/Q383,4)</f>
        <v>13.976800000000001</v>
      </c>
      <c r="S383" s="14">
        <f>ROUND(R383*L383,2)</f>
        <v>349.42</v>
      </c>
      <c r="T383" s="15" t="s">
        <v>349</v>
      </c>
      <c r="U383" s="19" t="s">
        <v>315</v>
      </c>
    </row>
    <row r="384" spans="1:21" x14ac:dyDescent="0.2">
      <c r="A384" s="19" t="s">
        <v>322</v>
      </c>
      <c r="B384" s="20">
        <v>45672</v>
      </c>
      <c r="C384" s="20">
        <v>45657</v>
      </c>
      <c r="D384" s="19" t="s">
        <v>311</v>
      </c>
      <c r="E384" s="19" t="s">
        <v>312</v>
      </c>
      <c r="G384" s="19" t="s">
        <v>319</v>
      </c>
      <c r="H384" s="19" t="s">
        <v>320</v>
      </c>
      <c r="I384" s="19" t="s">
        <v>321</v>
      </c>
      <c r="J384" s="11" t="str">
        <f>+LEFT(U384,4)</f>
        <v>EXM-</v>
      </c>
      <c r="K384" s="19" t="s">
        <v>10</v>
      </c>
      <c r="L384" s="19">
        <v>125</v>
      </c>
      <c r="M384" s="19" t="s">
        <v>186</v>
      </c>
      <c r="N384" s="19" t="s">
        <v>11</v>
      </c>
      <c r="O384" s="26">
        <v>110.6195</v>
      </c>
      <c r="P384" s="12">
        <f>ROUND(O384*L384,2)</f>
        <v>13827.44</v>
      </c>
      <c r="Q384" s="13">
        <f>IF(N384="HKD",7.8,IF(N384="CNY",7.30034,1))</f>
        <v>7.3003400000000003</v>
      </c>
      <c r="R384" s="15">
        <f>+ROUND(O384/Q384,4)</f>
        <v>15.152699999999999</v>
      </c>
      <c r="S384" s="14">
        <f>ROUND(R384*L384,2)</f>
        <v>1894.09</v>
      </c>
      <c r="T384" s="15" t="s">
        <v>349</v>
      </c>
      <c r="U384" s="19" t="s">
        <v>315</v>
      </c>
    </row>
    <row r="385" spans="1:21" x14ac:dyDescent="0.2">
      <c r="A385" s="19" t="s">
        <v>318</v>
      </c>
      <c r="B385" s="20">
        <v>45672</v>
      </c>
      <c r="C385" s="20">
        <v>45657</v>
      </c>
      <c r="D385" s="19" t="s">
        <v>311</v>
      </c>
      <c r="E385" s="19" t="s">
        <v>312</v>
      </c>
      <c r="G385" s="19" t="s">
        <v>319</v>
      </c>
      <c r="H385" s="19" t="s">
        <v>316</v>
      </c>
      <c r="I385" s="19" t="s">
        <v>317</v>
      </c>
      <c r="J385" s="11" t="str">
        <f>+LEFT(U385,4)</f>
        <v>EXM-</v>
      </c>
      <c r="K385" s="19" t="s">
        <v>10</v>
      </c>
      <c r="L385" s="19">
        <v>25</v>
      </c>
      <c r="M385" s="19" t="s">
        <v>186</v>
      </c>
      <c r="N385" s="19" t="s">
        <v>11</v>
      </c>
      <c r="O385" s="26">
        <v>117.3451</v>
      </c>
      <c r="P385" s="12">
        <f>ROUND(O385*L385,2)</f>
        <v>2933.63</v>
      </c>
      <c r="Q385" s="13">
        <f>IF(N385="HKD",7.8,IF(N385="CNY",7.30034,1))</f>
        <v>7.3003400000000003</v>
      </c>
      <c r="R385" s="15">
        <f>+ROUND(O385/Q385,4)</f>
        <v>16.073899999999998</v>
      </c>
      <c r="S385" s="14">
        <f>ROUND(R385*L385,2)</f>
        <v>401.85</v>
      </c>
      <c r="T385" s="15" t="s">
        <v>349</v>
      </c>
      <c r="U385" s="19" t="s">
        <v>315</v>
      </c>
    </row>
    <row r="386" spans="1:21" x14ac:dyDescent="0.2">
      <c r="A386" t="s">
        <v>2131</v>
      </c>
      <c r="B386" s="24">
        <v>45701</v>
      </c>
      <c r="C386" s="24">
        <v>45630</v>
      </c>
      <c r="D386" t="s">
        <v>311</v>
      </c>
      <c r="E386" t="s">
        <v>312</v>
      </c>
      <c r="G386" t="s">
        <v>2241</v>
      </c>
      <c r="H386" s="19" t="s">
        <v>1825</v>
      </c>
      <c r="I386" s="19" t="s">
        <v>1826</v>
      </c>
      <c r="J386" s="11" t="str">
        <f>+LEFT(U386,4)</f>
        <v>EXM-</v>
      </c>
      <c r="K386" t="s">
        <v>10</v>
      </c>
      <c r="L386" s="19">
        <v>50</v>
      </c>
      <c r="M386" t="s">
        <v>186</v>
      </c>
      <c r="N386" t="s">
        <v>11</v>
      </c>
      <c r="O386" s="26">
        <v>108.3186</v>
      </c>
      <c r="P386" s="12">
        <f>ROUND(O386*L386,2)</f>
        <v>5415.93</v>
      </c>
      <c r="Q386" s="13">
        <f>IF(N386="HKD",7.8,IF(N386="CNY",7.30034,1))</f>
        <v>7.3003400000000003</v>
      </c>
      <c r="R386" s="15">
        <f>+ROUND(O386/Q386,4)</f>
        <v>14.8375</v>
      </c>
      <c r="S386" s="14">
        <f>ROUND(R386*L386,2)</f>
        <v>741.88</v>
      </c>
      <c r="T386" s="15" t="s">
        <v>349</v>
      </c>
      <c r="U386" t="s">
        <v>315</v>
      </c>
    </row>
    <row r="387" spans="1:21" x14ac:dyDescent="0.2">
      <c r="A387" t="s">
        <v>2132</v>
      </c>
      <c r="B387" s="24">
        <v>45701</v>
      </c>
      <c r="C387" s="24">
        <v>45657</v>
      </c>
      <c r="D387" t="s">
        <v>311</v>
      </c>
      <c r="E387" t="s">
        <v>312</v>
      </c>
      <c r="G387" t="s">
        <v>2242</v>
      </c>
      <c r="H387" s="19" t="s">
        <v>1825</v>
      </c>
      <c r="I387" s="19" t="s">
        <v>1826</v>
      </c>
      <c r="J387" s="11" t="str">
        <f>+LEFT(U387,4)</f>
        <v>EXM-</v>
      </c>
      <c r="K387" t="s">
        <v>10</v>
      </c>
      <c r="L387" s="19">
        <v>25</v>
      </c>
      <c r="M387" t="s">
        <v>186</v>
      </c>
      <c r="N387" t="s">
        <v>11</v>
      </c>
      <c r="O387" s="26">
        <v>108.3186</v>
      </c>
      <c r="P387" s="12">
        <f>ROUND(O387*L387,2)</f>
        <v>2707.97</v>
      </c>
      <c r="Q387" s="13">
        <f>IF(N387="HKD",7.8,IF(N387="CNY",7.30034,1))</f>
        <v>7.3003400000000003</v>
      </c>
      <c r="R387" s="15">
        <f>+ROUND(O387/Q387,4)</f>
        <v>14.8375</v>
      </c>
      <c r="S387" s="14">
        <f>ROUND(R387*L387,2)</f>
        <v>370.94</v>
      </c>
      <c r="T387" s="15" t="s">
        <v>349</v>
      </c>
      <c r="U387" t="s">
        <v>315</v>
      </c>
    </row>
    <row r="388" spans="1:21" x14ac:dyDescent="0.2">
      <c r="A388" t="s">
        <v>2133</v>
      </c>
      <c r="B388" s="24">
        <v>45701</v>
      </c>
      <c r="C388" s="24">
        <v>45672</v>
      </c>
      <c r="D388" t="s">
        <v>311</v>
      </c>
      <c r="E388" t="s">
        <v>312</v>
      </c>
      <c r="G388" t="s">
        <v>2243</v>
      </c>
      <c r="H388" s="19" t="s">
        <v>1825</v>
      </c>
      <c r="I388" s="19" t="s">
        <v>1826</v>
      </c>
      <c r="J388" s="11" t="str">
        <f>+LEFT(U388,4)</f>
        <v>EXM-</v>
      </c>
      <c r="K388" t="s">
        <v>10</v>
      </c>
      <c r="L388" s="19">
        <v>25</v>
      </c>
      <c r="M388" t="s">
        <v>186</v>
      </c>
      <c r="N388" t="s">
        <v>11</v>
      </c>
      <c r="O388" s="26">
        <v>108.3186</v>
      </c>
      <c r="P388" s="12">
        <f>ROUND(O388*L388,2)</f>
        <v>2707.97</v>
      </c>
      <c r="Q388" s="13">
        <f>IF(N388="HKD",7.8,IF(N388="CNY",7.30034,1))</f>
        <v>7.3003400000000003</v>
      </c>
      <c r="R388" s="15">
        <f>+ROUND(O388/Q388,4)</f>
        <v>14.8375</v>
      </c>
      <c r="S388" s="14">
        <f>ROUND(R388*L388,2)</f>
        <v>370.94</v>
      </c>
      <c r="T388" s="15" t="s">
        <v>349</v>
      </c>
      <c r="U388" t="s">
        <v>315</v>
      </c>
    </row>
    <row r="389" spans="1:21" x14ac:dyDescent="0.2">
      <c r="A389" t="s">
        <v>2134</v>
      </c>
      <c r="B389" s="24">
        <v>45701</v>
      </c>
      <c r="C389" s="24">
        <v>45672</v>
      </c>
      <c r="D389" t="s">
        <v>311</v>
      </c>
      <c r="E389" t="s">
        <v>312</v>
      </c>
      <c r="G389" t="s">
        <v>2243</v>
      </c>
      <c r="H389" s="19" t="s">
        <v>1827</v>
      </c>
      <c r="I389" s="19" t="s">
        <v>1828</v>
      </c>
      <c r="J389" s="11" t="str">
        <f>+LEFT(U389,4)</f>
        <v>EXM-</v>
      </c>
      <c r="K389" t="s">
        <v>10</v>
      </c>
      <c r="L389" s="19">
        <v>25</v>
      </c>
      <c r="M389" t="s">
        <v>186</v>
      </c>
      <c r="N389" t="s">
        <v>11</v>
      </c>
      <c r="O389" s="26">
        <v>110.6195</v>
      </c>
      <c r="P389" s="12">
        <f>ROUND(O389*L389,2)</f>
        <v>2765.49</v>
      </c>
      <c r="Q389" s="13">
        <f>IF(N389="HKD",7.8,IF(N389="CNY",7.30034,1))</f>
        <v>7.3003400000000003</v>
      </c>
      <c r="R389" s="15">
        <f>+ROUND(O389/Q389,4)</f>
        <v>15.152699999999999</v>
      </c>
      <c r="S389" s="14">
        <f>ROUND(R389*L389,2)</f>
        <v>378.82</v>
      </c>
      <c r="T389" s="15" t="s">
        <v>349</v>
      </c>
      <c r="U389" t="s">
        <v>315</v>
      </c>
    </row>
    <row r="390" spans="1:21" x14ac:dyDescent="0.2">
      <c r="A390" t="s">
        <v>2135</v>
      </c>
      <c r="B390" s="24">
        <v>45701</v>
      </c>
      <c r="C390" s="24">
        <v>45672</v>
      </c>
      <c r="D390" t="s">
        <v>311</v>
      </c>
      <c r="E390" t="s">
        <v>312</v>
      </c>
      <c r="G390" t="s">
        <v>2243</v>
      </c>
      <c r="H390" s="19" t="s">
        <v>320</v>
      </c>
      <c r="I390" s="19" t="s">
        <v>321</v>
      </c>
      <c r="J390" s="11" t="str">
        <f>+LEFT(U390,4)</f>
        <v>EXM-</v>
      </c>
      <c r="K390" t="s">
        <v>10</v>
      </c>
      <c r="L390" s="19">
        <v>25</v>
      </c>
      <c r="M390" t="s">
        <v>186</v>
      </c>
      <c r="N390" t="s">
        <v>11</v>
      </c>
      <c r="O390" s="26">
        <v>110.6195</v>
      </c>
      <c r="P390" s="12">
        <f>ROUND(O390*L390,2)</f>
        <v>2765.49</v>
      </c>
      <c r="Q390" s="13">
        <f>IF(N390="HKD",7.8,IF(N390="CNY",7.30034,1))</f>
        <v>7.3003400000000003</v>
      </c>
      <c r="R390" s="15">
        <f>+ROUND(O390/Q390,4)</f>
        <v>15.152699999999999</v>
      </c>
      <c r="S390" s="14">
        <f>ROUND(R390*L390,2)</f>
        <v>378.82</v>
      </c>
      <c r="T390" s="15" t="s">
        <v>349</v>
      </c>
      <c r="U390" t="s">
        <v>315</v>
      </c>
    </row>
    <row r="391" spans="1:21" x14ac:dyDescent="0.2">
      <c r="A391" t="s">
        <v>2126</v>
      </c>
      <c r="B391" s="24">
        <v>45712</v>
      </c>
      <c r="C391" s="24">
        <v>45698</v>
      </c>
      <c r="D391" t="s">
        <v>2265</v>
      </c>
      <c r="E391" t="s">
        <v>312</v>
      </c>
      <c r="G391" t="s">
        <v>2238</v>
      </c>
      <c r="H391" s="19" t="s">
        <v>1823</v>
      </c>
      <c r="I391" s="19" t="s">
        <v>1824</v>
      </c>
      <c r="J391" s="11" t="str">
        <f>+LEFT(U391,4)</f>
        <v>EXM-</v>
      </c>
      <c r="K391" t="s">
        <v>10</v>
      </c>
      <c r="L391" s="19">
        <v>25</v>
      </c>
      <c r="M391" t="s">
        <v>186</v>
      </c>
      <c r="N391" t="s">
        <v>11</v>
      </c>
      <c r="O391" s="26">
        <v>90.796499999999995</v>
      </c>
      <c r="P391" s="12">
        <f>ROUND(O391*L391,2)</f>
        <v>2269.91</v>
      </c>
      <c r="Q391" s="13">
        <f>IF(N391="HKD",7.8,IF(N391="CNY",7.30034,1))</f>
        <v>7.3003400000000003</v>
      </c>
      <c r="R391" s="15">
        <f>+ROUND(O391/Q391,4)</f>
        <v>12.4373</v>
      </c>
      <c r="S391" s="14">
        <f>ROUND(R391*L391,2)</f>
        <v>310.93</v>
      </c>
      <c r="T391" s="15" t="s">
        <v>349</v>
      </c>
      <c r="U391" t="s">
        <v>315</v>
      </c>
    </row>
    <row r="392" spans="1:21" x14ac:dyDescent="0.2">
      <c r="A392" t="s">
        <v>2136</v>
      </c>
      <c r="B392" s="24">
        <v>45712</v>
      </c>
      <c r="C392" s="24">
        <v>45678</v>
      </c>
      <c r="D392" t="s">
        <v>311</v>
      </c>
      <c r="E392" t="s">
        <v>312</v>
      </c>
      <c r="G392" t="s">
        <v>2244</v>
      </c>
      <c r="H392" s="19" t="s">
        <v>316</v>
      </c>
      <c r="I392" s="19" t="s">
        <v>317</v>
      </c>
      <c r="J392" s="11" t="str">
        <f>+LEFT(U392,4)</f>
        <v>EXM-</v>
      </c>
      <c r="K392" t="s">
        <v>10</v>
      </c>
      <c r="L392" s="19">
        <v>75</v>
      </c>
      <c r="M392" t="s">
        <v>186</v>
      </c>
      <c r="N392" t="s">
        <v>11</v>
      </c>
      <c r="O392" s="26">
        <v>117.3451</v>
      </c>
      <c r="P392" s="12">
        <f>ROUND(O392*L392,2)</f>
        <v>8800.8799999999992</v>
      </c>
      <c r="Q392" s="13">
        <f>IF(N392="HKD",7.8,IF(N392="CNY",7.30034,1))</f>
        <v>7.3003400000000003</v>
      </c>
      <c r="R392" s="15">
        <f>+ROUND(O392/Q392,4)</f>
        <v>16.073899999999998</v>
      </c>
      <c r="S392" s="14">
        <f>ROUND(R392*L392,2)</f>
        <v>1205.54</v>
      </c>
      <c r="T392" s="15" t="s">
        <v>349</v>
      </c>
      <c r="U392" t="s">
        <v>315</v>
      </c>
    </row>
    <row r="393" spans="1:21" x14ac:dyDescent="0.2">
      <c r="A393" t="s">
        <v>2594</v>
      </c>
      <c r="B393" s="24">
        <v>45742</v>
      </c>
      <c r="C393" s="24">
        <v>45716</v>
      </c>
      <c r="D393" t="s">
        <v>2817</v>
      </c>
      <c r="E393" t="s">
        <v>2818</v>
      </c>
      <c r="G393" t="s">
        <v>3007</v>
      </c>
      <c r="H393" t="s">
        <v>3148</v>
      </c>
      <c r="I393" t="s">
        <v>3358</v>
      </c>
      <c r="J393" s="11" t="str">
        <f>+LEFT(U393,4)</f>
        <v>HDL-</v>
      </c>
      <c r="K393" t="s">
        <v>10</v>
      </c>
      <c r="L393">
        <v>343</v>
      </c>
      <c r="M393" t="s">
        <v>1472</v>
      </c>
      <c r="N393" t="s">
        <v>2246</v>
      </c>
      <c r="O393">
        <v>1.1100000000000001</v>
      </c>
      <c r="P393" s="12">
        <f>ROUND(O393*L393,2)</f>
        <v>380.73</v>
      </c>
      <c r="Q393" s="13">
        <f>IF(N393="HKD",7.8,IF(N393="CNY",7.30034,1))</f>
        <v>1</v>
      </c>
      <c r="R393" s="15">
        <f>+ROUND(O393/Q393,4)</f>
        <v>1.1100000000000001</v>
      </c>
      <c r="S393" s="14">
        <f>ROUND(R393*L393,2)</f>
        <v>380.73</v>
      </c>
      <c r="T393" s="15" t="s">
        <v>349</v>
      </c>
      <c r="U393" t="s">
        <v>228</v>
      </c>
    </row>
    <row r="394" spans="1:21" x14ac:dyDescent="0.2">
      <c r="A394" t="s">
        <v>2596</v>
      </c>
      <c r="B394" s="24">
        <v>45742</v>
      </c>
      <c r="C394" s="24">
        <v>45716</v>
      </c>
      <c r="D394" t="s">
        <v>2817</v>
      </c>
      <c r="E394" t="s">
        <v>2818</v>
      </c>
      <c r="G394" t="s">
        <v>3007</v>
      </c>
      <c r="H394" t="s">
        <v>1798</v>
      </c>
      <c r="I394" t="s">
        <v>1799</v>
      </c>
      <c r="J394" s="11" t="str">
        <f>+LEFT(U394,4)</f>
        <v>HDL-</v>
      </c>
      <c r="K394" t="s">
        <v>10</v>
      </c>
      <c r="L394">
        <v>376</v>
      </c>
      <c r="M394" t="s">
        <v>1472</v>
      </c>
      <c r="N394" t="s">
        <v>2246</v>
      </c>
      <c r="O394">
        <v>1.1100000000000001</v>
      </c>
      <c r="P394" s="12">
        <f>ROUND(O394*L394,2)</f>
        <v>417.36</v>
      </c>
      <c r="Q394" s="13">
        <f>IF(N394="HKD",7.8,IF(N394="CNY",7.30034,1))</f>
        <v>1</v>
      </c>
      <c r="R394" s="15">
        <f>+ROUND(O394/Q394,4)</f>
        <v>1.1100000000000001</v>
      </c>
      <c r="S394" s="14">
        <f>ROUND(R394*L394,2)</f>
        <v>417.36</v>
      </c>
      <c r="T394" s="15" t="s">
        <v>349</v>
      </c>
      <c r="U394" t="s">
        <v>228</v>
      </c>
    </row>
    <row r="395" spans="1:21" x14ac:dyDescent="0.2">
      <c r="A395" t="s">
        <v>2598</v>
      </c>
      <c r="B395" s="24">
        <v>45742</v>
      </c>
      <c r="C395" s="24">
        <v>45716</v>
      </c>
      <c r="D395" t="s">
        <v>2817</v>
      </c>
      <c r="E395" t="s">
        <v>2818</v>
      </c>
      <c r="G395" t="s">
        <v>3007</v>
      </c>
      <c r="H395" t="s">
        <v>1800</v>
      </c>
      <c r="I395" t="s">
        <v>1801</v>
      </c>
      <c r="J395" s="11" t="str">
        <f>+LEFT(U395,4)</f>
        <v>HDL-</v>
      </c>
      <c r="K395" t="s">
        <v>10</v>
      </c>
      <c r="L395">
        <v>7287</v>
      </c>
      <c r="M395" t="s">
        <v>1472</v>
      </c>
      <c r="N395" t="s">
        <v>2246</v>
      </c>
      <c r="O395">
        <v>1.1100000000000001</v>
      </c>
      <c r="P395" s="12">
        <f>ROUND(O395*L395,2)</f>
        <v>8088.57</v>
      </c>
      <c r="Q395" s="13">
        <f>IF(N395="HKD",7.8,IF(N395="CNY",7.30034,1))</f>
        <v>1</v>
      </c>
      <c r="R395" s="15">
        <f>+ROUND(O395/Q395,4)</f>
        <v>1.1100000000000001</v>
      </c>
      <c r="S395" s="14">
        <f>ROUND(R395*L395,2)</f>
        <v>8088.57</v>
      </c>
      <c r="T395" s="15" t="s">
        <v>349</v>
      </c>
      <c r="U395" t="s">
        <v>228</v>
      </c>
    </row>
    <row r="396" spans="1:21" x14ac:dyDescent="0.2">
      <c r="A396" t="s">
        <v>2600</v>
      </c>
      <c r="B396" s="24">
        <v>45742</v>
      </c>
      <c r="C396" s="24">
        <v>45716</v>
      </c>
      <c r="D396" t="s">
        <v>2817</v>
      </c>
      <c r="E396" t="s">
        <v>2818</v>
      </c>
      <c r="G396" t="s">
        <v>3007</v>
      </c>
      <c r="H396" t="s">
        <v>3192</v>
      </c>
      <c r="I396" t="s">
        <v>3399</v>
      </c>
      <c r="J396" s="11" t="str">
        <f>+LEFT(U396,4)</f>
        <v>HDL-</v>
      </c>
      <c r="K396" t="s">
        <v>10</v>
      </c>
      <c r="L396">
        <v>243</v>
      </c>
      <c r="M396" t="s">
        <v>1472</v>
      </c>
      <c r="N396" t="s">
        <v>2246</v>
      </c>
      <c r="O396">
        <v>1.1100000000000001</v>
      </c>
      <c r="P396" s="12">
        <f>ROUND(O396*L396,2)</f>
        <v>269.73</v>
      </c>
      <c r="Q396" s="13">
        <f>IF(N396="HKD",7.8,IF(N396="CNY",7.30034,1))</f>
        <v>1</v>
      </c>
      <c r="R396" s="15">
        <f>+ROUND(O396/Q396,4)</f>
        <v>1.1100000000000001</v>
      </c>
      <c r="S396" s="14">
        <f>ROUND(R396*L396,2)</f>
        <v>269.73</v>
      </c>
      <c r="T396" s="15" t="s">
        <v>349</v>
      </c>
      <c r="U396" t="s">
        <v>228</v>
      </c>
    </row>
    <row r="397" spans="1:21" x14ac:dyDescent="0.2">
      <c r="A397" t="s">
        <v>2411</v>
      </c>
      <c r="B397" s="24">
        <v>45729</v>
      </c>
      <c r="C397" s="24">
        <v>45702</v>
      </c>
      <c r="D397" t="s">
        <v>372</v>
      </c>
      <c r="E397" t="s">
        <v>373</v>
      </c>
      <c r="G397" t="s">
        <v>2926</v>
      </c>
      <c r="H397" t="s">
        <v>1033</v>
      </c>
      <c r="I397" t="s">
        <v>1034</v>
      </c>
      <c r="J397" s="11" t="str">
        <f>+LEFT(U397,4)</f>
        <v>HDL-</v>
      </c>
      <c r="K397" t="s">
        <v>98</v>
      </c>
      <c r="L397">
        <v>950</v>
      </c>
      <c r="M397" t="s">
        <v>1472</v>
      </c>
      <c r="N397" t="s">
        <v>11</v>
      </c>
      <c r="O397">
        <v>1.1168</v>
      </c>
      <c r="P397" s="12">
        <f>ROUND(O397*L397,2)</f>
        <v>1060.96</v>
      </c>
      <c r="Q397" s="13">
        <f>IF(N397="HKD",7.8,IF(N397="CNY",7.30034,1))</f>
        <v>7.3003400000000003</v>
      </c>
      <c r="R397" s="15">
        <f>+ROUND(O397/Q397,4)</f>
        <v>0.153</v>
      </c>
      <c r="S397" s="14">
        <f>ROUND(R397*L397,2)</f>
        <v>145.35</v>
      </c>
      <c r="T397" s="15" t="s">
        <v>349</v>
      </c>
      <c r="U397" t="s">
        <v>228</v>
      </c>
    </row>
    <row r="398" spans="1:21" x14ac:dyDescent="0.2">
      <c r="A398" s="19" t="s">
        <v>1434</v>
      </c>
      <c r="B398" s="20">
        <v>45659</v>
      </c>
      <c r="C398" s="20">
        <v>45609</v>
      </c>
      <c r="D398" s="19" t="s">
        <v>21</v>
      </c>
      <c r="E398" s="19" t="s">
        <v>22</v>
      </c>
      <c r="G398" s="19" t="s">
        <v>1435</v>
      </c>
      <c r="H398" s="19" t="s">
        <v>1432</v>
      </c>
      <c r="I398" s="19" t="s">
        <v>1433</v>
      </c>
      <c r="J398" s="11" t="str">
        <f>+LEFT(U398,4)</f>
        <v>FG--</v>
      </c>
      <c r="K398" s="19" t="s">
        <v>10</v>
      </c>
      <c r="L398" s="19">
        <v>1020</v>
      </c>
      <c r="M398" s="19" t="s">
        <v>1472</v>
      </c>
      <c r="N398" s="19" t="s">
        <v>11</v>
      </c>
      <c r="O398" s="26">
        <v>0.65390000000000004</v>
      </c>
      <c r="P398" s="12">
        <f>ROUND(O398*L398,2)</f>
        <v>666.98</v>
      </c>
      <c r="Q398" s="13">
        <f>IF(N398="HKD",7.8,IF(N398="CNY",7.30034,1))</f>
        <v>7.3003400000000003</v>
      </c>
      <c r="R398" s="15">
        <f>+ROUND(O398/Q398,4)</f>
        <v>8.9599999999999999E-2</v>
      </c>
      <c r="S398" s="14">
        <f>ROUND(R398*L398,2)</f>
        <v>91.39</v>
      </c>
      <c r="T398" s="15" t="s">
        <v>349</v>
      </c>
      <c r="U398" s="19" t="s">
        <v>64</v>
      </c>
    </row>
    <row r="399" spans="1:21" x14ac:dyDescent="0.2">
      <c r="A399" s="19" t="s">
        <v>1439</v>
      </c>
      <c r="B399" s="20">
        <v>45659</v>
      </c>
      <c r="C399" s="20">
        <v>45609</v>
      </c>
      <c r="D399" s="19" t="s">
        <v>21</v>
      </c>
      <c r="E399" s="19" t="s">
        <v>22</v>
      </c>
      <c r="G399" s="19" t="s">
        <v>1431</v>
      </c>
      <c r="H399" s="19" t="s">
        <v>1437</v>
      </c>
      <c r="I399" s="19" t="s">
        <v>1438</v>
      </c>
      <c r="J399" s="11" t="str">
        <f>+LEFT(U399,4)</f>
        <v>FG--</v>
      </c>
      <c r="K399" s="19" t="s">
        <v>10</v>
      </c>
      <c r="L399" s="19">
        <v>1030</v>
      </c>
      <c r="M399" s="19" t="s">
        <v>1472</v>
      </c>
      <c r="N399" s="19" t="s">
        <v>11</v>
      </c>
      <c r="O399" s="26">
        <v>0.65839999999999999</v>
      </c>
      <c r="P399" s="12">
        <f>ROUND(O399*L399,2)</f>
        <v>678.15</v>
      </c>
      <c r="Q399" s="13">
        <f>IF(N399="HKD",7.8,IF(N399="CNY",7.30034,1))</f>
        <v>7.3003400000000003</v>
      </c>
      <c r="R399" s="15">
        <f>+ROUND(O399/Q399,4)</f>
        <v>9.0200000000000002E-2</v>
      </c>
      <c r="S399" s="14">
        <f>ROUND(R399*L399,2)</f>
        <v>92.91</v>
      </c>
      <c r="T399" s="15" t="s">
        <v>349</v>
      </c>
      <c r="U399" s="19" t="s">
        <v>64</v>
      </c>
    </row>
    <row r="400" spans="1:21" x14ac:dyDescent="0.2">
      <c r="A400" s="19" t="s">
        <v>1430</v>
      </c>
      <c r="B400" s="20">
        <v>45659</v>
      </c>
      <c r="C400" s="20">
        <v>45609</v>
      </c>
      <c r="D400" s="19" t="s">
        <v>21</v>
      </c>
      <c r="E400" s="19" t="s">
        <v>22</v>
      </c>
      <c r="G400" s="19" t="s">
        <v>1431</v>
      </c>
      <c r="H400" s="19" t="s">
        <v>1428</v>
      </c>
      <c r="I400" s="19" t="s">
        <v>1429</v>
      </c>
      <c r="J400" s="11" t="str">
        <f>+LEFT(U400,4)</f>
        <v>FG--</v>
      </c>
      <c r="K400" s="19" t="s">
        <v>10</v>
      </c>
      <c r="L400" s="19">
        <v>530</v>
      </c>
      <c r="M400" s="19" t="s">
        <v>1472</v>
      </c>
      <c r="N400" s="19" t="s">
        <v>11</v>
      </c>
      <c r="O400" s="26">
        <v>0.65839999999999999</v>
      </c>
      <c r="P400" s="12">
        <f>ROUND(O400*L400,2)</f>
        <v>348.95</v>
      </c>
      <c r="Q400" s="13">
        <f>IF(N400="HKD",7.8,IF(N400="CNY",7.30034,1))</f>
        <v>7.3003400000000003</v>
      </c>
      <c r="R400" s="15">
        <f>+ROUND(O400/Q400,4)</f>
        <v>9.0200000000000002E-2</v>
      </c>
      <c r="S400" s="14">
        <f>ROUND(R400*L400,2)</f>
        <v>47.81</v>
      </c>
      <c r="T400" s="15" t="s">
        <v>349</v>
      </c>
      <c r="U400" s="19" t="s">
        <v>64</v>
      </c>
    </row>
    <row r="401" spans="1:21" x14ac:dyDescent="0.2">
      <c r="A401" s="19" t="s">
        <v>1436</v>
      </c>
      <c r="B401" s="20">
        <v>45659</v>
      </c>
      <c r="C401" s="20">
        <v>45617</v>
      </c>
      <c r="D401" s="19" t="s">
        <v>21</v>
      </c>
      <c r="E401" s="19" t="s">
        <v>22</v>
      </c>
      <c r="G401" s="19" t="s">
        <v>1435</v>
      </c>
      <c r="H401" s="19" t="s">
        <v>1428</v>
      </c>
      <c r="I401" s="19" t="s">
        <v>1429</v>
      </c>
      <c r="J401" s="11" t="str">
        <f>+LEFT(U401,4)</f>
        <v>FG--</v>
      </c>
      <c r="K401" s="19" t="s">
        <v>10</v>
      </c>
      <c r="L401" s="19">
        <v>1020</v>
      </c>
      <c r="M401" s="19" t="s">
        <v>1472</v>
      </c>
      <c r="N401" s="19" t="s">
        <v>11</v>
      </c>
      <c r="O401" s="26">
        <v>0.65839999999999999</v>
      </c>
      <c r="P401" s="12">
        <f>ROUND(O401*L401,2)</f>
        <v>671.57</v>
      </c>
      <c r="Q401" s="13">
        <f>IF(N401="HKD",7.8,IF(N401="CNY",7.30034,1))</f>
        <v>7.3003400000000003</v>
      </c>
      <c r="R401" s="15">
        <f>+ROUND(O401/Q401,4)</f>
        <v>9.0200000000000002E-2</v>
      </c>
      <c r="S401" s="14">
        <f>ROUND(R401*L401,2)</f>
        <v>92</v>
      </c>
      <c r="T401" s="15" t="s">
        <v>349</v>
      </c>
      <c r="U401" s="19" t="s">
        <v>64</v>
      </c>
    </row>
    <row r="402" spans="1:21" x14ac:dyDescent="0.2">
      <c r="A402" s="19" t="s">
        <v>1379</v>
      </c>
      <c r="B402" s="20">
        <v>45659</v>
      </c>
      <c r="C402" s="20">
        <v>45629</v>
      </c>
      <c r="D402" s="19" t="s">
        <v>128</v>
      </c>
      <c r="E402" s="19" t="s">
        <v>129</v>
      </c>
      <c r="G402" s="19" t="s">
        <v>1377</v>
      </c>
      <c r="H402" s="19" t="s">
        <v>443</v>
      </c>
      <c r="I402" s="19" t="s">
        <v>444</v>
      </c>
      <c r="J402" s="11" t="str">
        <f>+LEFT(U402,4)</f>
        <v>FG--</v>
      </c>
      <c r="K402" s="19" t="s">
        <v>10</v>
      </c>
      <c r="L402" s="19">
        <v>11000</v>
      </c>
      <c r="M402" s="19" t="s">
        <v>1472</v>
      </c>
      <c r="N402" s="19" t="s">
        <v>11</v>
      </c>
      <c r="O402" s="26">
        <v>1.0021</v>
      </c>
      <c r="P402" s="12">
        <f>ROUND(O402*L402,2)</f>
        <v>11023.1</v>
      </c>
      <c r="Q402" s="13">
        <f>IF(N402="HKD",7.8,IF(N402="CNY",7.30034,1))</f>
        <v>7.3003400000000003</v>
      </c>
      <c r="R402" s="15">
        <f>+ROUND(O402/Q402,4)</f>
        <v>0.13730000000000001</v>
      </c>
      <c r="S402" s="14">
        <f>ROUND(R402*L402,2)</f>
        <v>1510.3</v>
      </c>
      <c r="T402" s="15" t="s">
        <v>349</v>
      </c>
      <c r="U402" s="19" t="s">
        <v>64</v>
      </c>
    </row>
    <row r="403" spans="1:21" x14ac:dyDescent="0.2">
      <c r="A403" s="19" t="s">
        <v>1143</v>
      </c>
      <c r="B403" s="20">
        <v>45663</v>
      </c>
      <c r="C403" s="20">
        <v>45646</v>
      </c>
      <c r="D403" s="19" t="s">
        <v>28</v>
      </c>
      <c r="E403" s="19" t="s">
        <v>29</v>
      </c>
      <c r="G403" s="19" t="s">
        <v>1144</v>
      </c>
      <c r="H403" s="19" t="s">
        <v>1141</v>
      </c>
      <c r="I403" s="19" t="s">
        <v>1142</v>
      </c>
      <c r="J403" s="11" t="str">
        <f>+LEFT(U403,4)</f>
        <v>FG--</v>
      </c>
      <c r="K403" s="19" t="s">
        <v>10</v>
      </c>
      <c r="L403" s="19">
        <v>530</v>
      </c>
      <c r="M403" s="19" t="s">
        <v>1472</v>
      </c>
      <c r="N403" s="19" t="s">
        <v>11</v>
      </c>
      <c r="O403" s="26">
        <v>0.67430000000000001</v>
      </c>
      <c r="P403" s="12">
        <f>ROUND(O403*L403,2)</f>
        <v>357.38</v>
      </c>
      <c r="Q403" s="13">
        <f>IF(N403="HKD",7.8,IF(N403="CNY",7.30034,1))</f>
        <v>7.3003400000000003</v>
      </c>
      <c r="R403" s="15">
        <f>+ROUND(O403/Q403,4)</f>
        <v>9.2399999999999996E-2</v>
      </c>
      <c r="S403" s="14">
        <f>ROUND(R403*L403,2)</f>
        <v>48.97</v>
      </c>
      <c r="T403" s="15" t="s">
        <v>349</v>
      </c>
      <c r="U403" s="19" t="s">
        <v>64</v>
      </c>
    </row>
    <row r="404" spans="1:21" x14ac:dyDescent="0.2">
      <c r="A404" s="19" t="s">
        <v>1042</v>
      </c>
      <c r="B404" s="20">
        <v>45663</v>
      </c>
      <c r="C404" s="20">
        <v>45617</v>
      </c>
      <c r="D404" s="19" t="s">
        <v>372</v>
      </c>
      <c r="E404" s="19" t="s">
        <v>373</v>
      </c>
      <c r="G404" s="19" t="s">
        <v>1036</v>
      </c>
      <c r="H404" s="19" t="s">
        <v>1040</v>
      </c>
      <c r="I404" s="19" t="s">
        <v>1041</v>
      </c>
      <c r="J404" s="11" t="str">
        <f>+LEFT(U404,4)</f>
        <v>FG--</v>
      </c>
      <c r="K404" s="19" t="s">
        <v>98</v>
      </c>
      <c r="L404" s="19">
        <v>5250</v>
      </c>
      <c r="M404" s="19" t="s">
        <v>1472</v>
      </c>
      <c r="N404" s="19" t="s">
        <v>11</v>
      </c>
      <c r="O404" s="26">
        <v>0.96460000000000001</v>
      </c>
      <c r="P404" s="12">
        <f>ROUND(O404*L404,2)</f>
        <v>5064.1499999999996</v>
      </c>
      <c r="Q404" s="13">
        <f>IF(N404="HKD",7.8,IF(N404="CNY",7.30034,1))</f>
        <v>7.3003400000000003</v>
      </c>
      <c r="R404" s="15">
        <f>+ROUND(O404/Q404,4)</f>
        <v>0.1321</v>
      </c>
      <c r="S404" s="14">
        <f>ROUND(R404*L404,2)</f>
        <v>693.53</v>
      </c>
      <c r="T404" s="15" t="s">
        <v>349</v>
      </c>
      <c r="U404" s="19" t="s">
        <v>64</v>
      </c>
    </row>
    <row r="405" spans="1:21" x14ac:dyDescent="0.2">
      <c r="A405" s="19" t="s">
        <v>1039</v>
      </c>
      <c r="B405" s="20">
        <v>45663</v>
      </c>
      <c r="C405" s="20">
        <v>45639</v>
      </c>
      <c r="D405" s="19" t="s">
        <v>372</v>
      </c>
      <c r="E405" s="19" t="s">
        <v>373</v>
      </c>
      <c r="G405" s="19" t="s">
        <v>1036</v>
      </c>
      <c r="H405" s="19" t="s">
        <v>1037</v>
      </c>
      <c r="I405" s="19" t="s">
        <v>1038</v>
      </c>
      <c r="J405" s="11" t="str">
        <f>+LEFT(U405,4)</f>
        <v>FG--</v>
      </c>
      <c r="K405" s="19" t="s">
        <v>98</v>
      </c>
      <c r="L405" s="19">
        <v>3050</v>
      </c>
      <c r="M405" s="19" t="s">
        <v>1472</v>
      </c>
      <c r="N405" s="19" t="s">
        <v>11</v>
      </c>
      <c r="O405" s="26">
        <v>0.97450000000000003</v>
      </c>
      <c r="P405" s="12">
        <f>ROUND(O405*L405,2)</f>
        <v>2972.23</v>
      </c>
      <c r="Q405" s="13">
        <f>IF(N405="HKD",7.8,IF(N405="CNY",7.30034,1))</f>
        <v>7.3003400000000003</v>
      </c>
      <c r="R405" s="15">
        <f>+ROUND(O405/Q405,4)</f>
        <v>0.13350000000000001</v>
      </c>
      <c r="S405" s="14">
        <f>ROUND(R405*L405,2)</f>
        <v>407.18</v>
      </c>
      <c r="T405" s="15" t="s">
        <v>349</v>
      </c>
      <c r="U405" s="19" t="s">
        <v>64</v>
      </c>
    </row>
    <row r="406" spans="1:21" x14ac:dyDescent="0.2">
      <c r="A406" s="19" t="s">
        <v>1045</v>
      </c>
      <c r="B406" s="20">
        <v>45663</v>
      </c>
      <c r="C406" s="20">
        <v>45609</v>
      </c>
      <c r="D406" s="19" t="s">
        <v>372</v>
      </c>
      <c r="E406" s="19" t="s">
        <v>373</v>
      </c>
      <c r="G406" s="19" t="s">
        <v>1036</v>
      </c>
      <c r="H406" s="19" t="s">
        <v>1043</v>
      </c>
      <c r="I406" s="19" t="s">
        <v>1044</v>
      </c>
      <c r="J406" s="11" t="str">
        <f>+LEFT(U406,4)</f>
        <v>FG--</v>
      </c>
      <c r="K406" s="19" t="s">
        <v>98</v>
      </c>
      <c r="L406" s="19">
        <v>530</v>
      </c>
      <c r="M406" s="19" t="s">
        <v>1472</v>
      </c>
      <c r="N406" s="19" t="s">
        <v>11</v>
      </c>
      <c r="O406" s="26">
        <v>0.99439999999999995</v>
      </c>
      <c r="P406" s="12">
        <f>ROUND(O406*L406,2)</f>
        <v>527.03</v>
      </c>
      <c r="Q406" s="13">
        <f>IF(N406="HKD",7.8,IF(N406="CNY",7.30034,1))</f>
        <v>7.3003400000000003</v>
      </c>
      <c r="R406" s="15">
        <f>+ROUND(O406/Q406,4)</f>
        <v>0.13619999999999999</v>
      </c>
      <c r="S406" s="14">
        <f>ROUND(R406*L406,2)</f>
        <v>72.19</v>
      </c>
      <c r="T406" s="15" t="s">
        <v>349</v>
      </c>
      <c r="U406" s="19" t="s">
        <v>64</v>
      </c>
    </row>
    <row r="407" spans="1:21" x14ac:dyDescent="0.2">
      <c r="A407" s="19" t="s">
        <v>1169</v>
      </c>
      <c r="B407" s="20">
        <v>45663</v>
      </c>
      <c r="C407" s="20">
        <v>45629</v>
      </c>
      <c r="D407" s="19" t="s">
        <v>28</v>
      </c>
      <c r="E407" s="19" t="s">
        <v>29</v>
      </c>
      <c r="G407" s="19" t="s">
        <v>1161</v>
      </c>
      <c r="H407" s="19" t="s">
        <v>1167</v>
      </c>
      <c r="I407" s="19" t="s">
        <v>1168</v>
      </c>
      <c r="J407" s="11" t="str">
        <f>+LEFT(U407,4)</f>
        <v>FG--</v>
      </c>
      <c r="K407" s="19" t="s">
        <v>10</v>
      </c>
      <c r="L407" s="19">
        <v>2000</v>
      </c>
      <c r="M407" s="19" t="s">
        <v>1472</v>
      </c>
      <c r="N407" s="19" t="s">
        <v>11</v>
      </c>
      <c r="O407" s="26">
        <v>1.2692000000000001</v>
      </c>
      <c r="P407" s="12">
        <f>ROUND(O407*L407,2)</f>
        <v>2538.4</v>
      </c>
      <c r="Q407" s="13">
        <f>IF(N407="HKD",7.8,IF(N407="CNY",7.30034,1))</f>
        <v>7.3003400000000003</v>
      </c>
      <c r="R407" s="15">
        <f>+ROUND(O407/Q407,4)</f>
        <v>0.1739</v>
      </c>
      <c r="S407" s="14">
        <f>ROUND(R407*L407,2)</f>
        <v>347.8</v>
      </c>
      <c r="T407" s="15" t="s">
        <v>349</v>
      </c>
      <c r="U407" s="19" t="s">
        <v>64</v>
      </c>
    </row>
    <row r="408" spans="1:21" x14ac:dyDescent="0.2">
      <c r="A408" s="19" t="s">
        <v>1166</v>
      </c>
      <c r="B408" s="20">
        <v>45663</v>
      </c>
      <c r="C408" s="20">
        <v>45629</v>
      </c>
      <c r="D408" s="19" t="s">
        <v>28</v>
      </c>
      <c r="E408" s="19" t="s">
        <v>29</v>
      </c>
      <c r="G408" s="19" t="s">
        <v>1161</v>
      </c>
      <c r="H408" s="19" t="s">
        <v>1162</v>
      </c>
      <c r="I408" s="19" t="s">
        <v>1163</v>
      </c>
      <c r="J408" s="11" t="str">
        <f>+LEFT(U408,4)</f>
        <v>FG--</v>
      </c>
      <c r="K408" s="19" t="s">
        <v>10</v>
      </c>
      <c r="L408" s="19">
        <v>1000</v>
      </c>
      <c r="M408" s="19" t="s">
        <v>1472</v>
      </c>
      <c r="N408" s="19" t="s">
        <v>11</v>
      </c>
      <c r="O408" s="26">
        <v>1.3815999999999999</v>
      </c>
      <c r="P408" s="12">
        <f>ROUND(O408*L408,2)</f>
        <v>1381.6</v>
      </c>
      <c r="Q408" s="13">
        <f>IF(N408="HKD",7.8,IF(N408="CNY",7.30034,1))</f>
        <v>7.3003400000000003</v>
      </c>
      <c r="R408" s="15">
        <f>+ROUND(O408/Q408,4)</f>
        <v>0.1893</v>
      </c>
      <c r="S408" s="14">
        <f>ROUND(R408*L408,2)</f>
        <v>189.3</v>
      </c>
      <c r="T408" s="15" t="s">
        <v>349</v>
      </c>
      <c r="U408" s="19" t="s">
        <v>64</v>
      </c>
    </row>
    <row r="409" spans="1:21" x14ac:dyDescent="0.2">
      <c r="A409" s="19" t="s">
        <v>1165</v>
      </c>
      <c r="B409" s="20">
        <v>45663</v>
      </c>
      <c r="C409" s="20">
        <v>45629</v>
      </c>
      <c r="D409" s="19" t="s">
        <v>28</v>
      </c>
      <c r="E409" s="19" t="s">
        <v>29</v>
      </c>
      <c r="G409" s="19" t="s">
        <v>1161</v>
      </c>
      <c r="H409" s="19" t="s">
        <v>1158</v>
      </c>
      <c r="I409" s="19" t="s">
        <v>1159</v>
      </c>
      <c r="J409" s="11" t="str">
        <f>+LEFT(U409,4)</f>
        <v>FG--</v>
      </c>
      <c r="K409" s="19" t="s">
        <v>10</v>
      </c>
      <c r="L409" s="19">
        <v>1040</v>
      </c>
      <c r="M409" s="19" t="s">
        <v>1472</v>
      </c>
      <c r="N409" s="19" t="s">
        <v>11</v>
      </c>
      <c r="O409" s="26">
        <v>1.3815999999999999</v>
      </c>
      <c r="P409" s="12">
        <f>ROUND(O409*L409,2)</f>
        <v>1436.86</v>
      </c>
      <c r="Q409" s="13">
        <f>IF(N409="HKD",7.8,IF(N409="CNY",7.30034,1))</f>
        <v>7.3003400000000003</v>
      </c>
      <c r="R409" s="15">
        <f>+ROUND(O409/Q409,4)</f>
        <v>0.1893</v>
      </c>
      <c r="S409" s="14">
        <f>ROUND(R409*L409,2)</f>
        <v>196.87</v>
      </c>
      <c r="T409" s="15" t="s">
        <v>349</v>
      </c>
      <c r="U409" s="19" t="s">
        <v>64</v>
      </c>
    </row>
    <row r="410" spans="1:21" x14ac:dyDescent="0.2">
      <c r="A410" s="19" t="s">
        <v>1164</v>
      </c>
      <c r="B410" s="20">
        <v>45663</v>
      </c>
      <c r="C410" s="20">
        <v>45646</v>
      </c>
      <c r="D410" s="19" t="s">
        <v>28</v>
      </c>
      <c r="E410" s="19" t="s">
        <v>29</v>
      </c>
      <c r="G410" s="19" t="s">
        <v>1161</v>
      </c>
      <c r="H410" s="19" t="s">
        <v>1162</v>
      </c>
      <c r="I410" s="19" t="s">
        <v>1163</v>
      </c>
      <c r="J410" s="11" t="str">
        <f>+LEFT(U410,4)</f>
        <v>FG--</v>
      </c>
      <c r="K410" s="19" t="s">
        <v>10</v>
      </c>
      <c r="L410" s="19">
        <v>1050</v>
      </c>
      <c r="M410" s="19" t="s">
        <v>1472</v>
      </c>
      <c r="N410" s="19" t="s">
        <v>11</v>
      </c>
      <c r="O410" s="26">
        <v>1.3815999999999999</v>
      </c>
      <c r="P410" s="12">
        <f>ROUND(O410*L410,2)</f>
        <v>1450.68</v>
      </c>
      <c r="Q410" s="13">
        <f>IF(N410="HKD",7.8,IF(N410="CNY",7.30034,1))</f>
        <v>7.3003400000000003</v>
      </c>
      <c r="R410" s="15">
        <f>+ROUND(O410/Q410,4)</f>
        <v>0.1893</v>
      </c>
      <c r="S410" s="14">
        <f>ROUND(R410*L410,2)</f>
        <v>198.77</v>
      </c>
      <c r="T410" s="15" t="s">
        <v>349</v>
      </c>
      <c r="U410" s="19" t="s">
        <v>64</v>
      </c>
    </row>
    <row r="411" spans="1:21" x14ac:dyDescent="0.2">
      <c r="A411" s="19" t="s">
        <v>1160</v>
      </c>
      <c r="B411" s="20">
        <v>45663</v>
      </c>
      <c r="C411" s="20">
        <v>45646</v>
      </c>
      <c r="D411" s="19" t="s">
        <v>28</v>
      </c>
      <c r="E411" s="19" t="s">
        <v>29</v>
      </c>
      <c r="G411" s="19" t="s">
        <v>1161</v>
      </c>
      <c r="H411" s="19" t="s">
        <v>1158</v>
      </c>
      <c r="I411" s="19" t="s">
        <v>1159</v>
      </c>
      <c r="J411" s="11" t="str">
        <f>+LEFT(U411,4)</f>
        <v>FG--</v>
      </c>
      <c r="K411" s="19" t="s">
        <v>10</v>
      </c>
      <c r="L411" s="19">
        <v>1050</v>
      </c>
      <c r="M411" s="19" t="s">
        <v>1472</v>
      </c>
      <c r="N411" s="19" t="s">
        <v>11</v>
      </c>
      <c r="O411" s="26">
        <v>1.3815999999999999</v>
      </c>
      <c r="P411" s="12">
        <f>ROUND(O411*L411,2)</f>
        <v>1450.68</v>
      </c>
      <c r="Q411" s="13">
        <f>IF(N411="HKD",7.8,IF(N411="CNY",7.30034,1))</f>
        <v>7.3003400000000003</v>
      </c>
      <c r="R411" s="15">
        <f>+ROUND(O411/Q411,4)</f>
        <v>0.1893</v>
      </c>
      <c r="S411" s="14">
        <f>ROUND(R411*L411,2)</f>
        <v>198.77</v>
      </c>
      <c r="T411" s="15" t="s">
        <v>349</v>
      </c>
      <c r="U411" s="19" t="s">
        <v>64</v>
      </c>
    </row>
    <row r="412" spans="1:21" x14ac:dyDescent="0.2">
      <c r="A412" s="19" t="s">
        <v>927</v>
      </c>
      <c r="B412" s="20">
        <v>45665</v>
      </c>
      <c r="C412" s="20">
        <v>45660</v>
      </c>
      <c r="D412" s="19" t="s">
        <v>925</v>
      </c>
      <c r="E412" s="19" t="s">
        <v>926</v>
      </c>
      <c r="G412" s="19" t="s">
        <v>451</v>
      </c>
      <c r="H412" s="19" t="s">
        <v>923</v>
      </c>
      <c r="I412" s="19" t="s">
        <v>924</v>
      </c>
      <c r="J412" s="11" t="str">
        <f>+LEFT(U412,4)</f>
        <v>FG--</v>
      </c>
      <c r="K412" s="19" t="s">
        <v>10</v>
      </c>
      <c r="L412" s="19">
        <v>530</v>
      </c>
      <c r="M412" s="19" t="s">
        <v>1472</v>
      </c>
      <c r="N412" s="19" t="s">
        <v>11</v>
      </c>
      <c r="O412" s="26">
        <v>0.30170000000000002</v>
      </c>
      <c r="P412" s="12">
        <f>ROUND(O412*L412,2)</f>
        <v>159.9</v>
      </c>
      <c r="Q412" s="13">
        <f>IF(N412="HKD",7.8,IF(N412="CNY",7.30034,1))</f>
        <v>7.3003400000000003</v>
      </c>
      <c r="R412" s="15">
        <f>+ROUND(O412/Q412,4)</f>
        <v>4.1300000000000003E-2</v>
      </c>
      <c r="S412" s="14">
        <f>ROUND(R412*L412,2)</f>
        <v>21.89</v>
      </c>
      <c r="T412" s="15" t="s">
        <v>349</v>
      </c>
      <c r="U412" s="19" t="s">
        <v>64</v>
      </c>
    </row>
    <row r="413" spans="1:21" x14ac:dyDescent="0.2">
      <c r="A413" s="19" t="s">
        <v>797</v>
      </c>
      <c r="B413" s="20">
        <v>45666</v>
      </c>
      <c r="C413" s="20">
        <v>45609</v>
      </c>
      <c r="D413" s="19" t="s">
        <v>21</v>
      </c>
      <c r="E413" s="19" t="s">
        <v>22</v>
      </c>
      <c r="G413" s="19" t="s">
        <v>796</v>
      </c>
      <c r="H413" s="19" t="s">
        <v>793</v>
      </c>
      <c r="I413" s="19" t="s">
        <v>794</v>
      </c>
      <c r="J413" s="11" t="str">
        <f>+LEFT(U413,4)</f>
        <v>FG--</v>
      </c>
      <c r="K413" s="19" t="s">
        <v>10</v>
      </c>
      <c r="L413" s="19">
        <v>500</v>
      </c>
      <c r="M413" s="19" t="s">
        <v>1472</v>
      </c>
      <c r="N413" s="19" t="s">
        <v>11</v>
      </c>
      <c r="O413" s="26">
        <v>0.62919999999999998</v>
      </c>
      <c r="P413" s="12">
        <f>ROUND(O413*L413,2)</f>
        <v>314.60000000000002</v>
      </c>
      <c r="Q413" s="13">
        <f>IF(N413="HKD",7.8,IF(N413="CNY",7.30034,1))</f>
        <v>7.3003400000000003</v>
      </c>
      <c r="R413" s="15">
        <f>+ROUND(O413/Q413,4)</f>
        <v>8.6199999999999999E-2</v>
      </c>
      <c r="S413" s="14">
        <f>ROUND(R413*L413,2)</f>
        <v>43.1</v>
      </c>
      <c r="T413" s="15" t="s">
        <v>349</v>
      </c>
      <c r="U413" s="19" t="s">
        <v>64</v>
      </c>
    </row>
    <row r="414" spans="1:21" x14ac:dyDescent="0.2">
      <c r="A414" s="19" t="s">
        <v>795</v>
      </c>
      <c r="B414" s="20">
        <v>45666</v>
      </c>
      <c r="C414" s="20">
        <v>45650</v>
      </c>
      <c r="D414" s="19" t="s">
        <v>21</v>
      </c>
      <c r="E414" s="19" t="s">
        <v>22</v>
      </c>
      <c r="G414" s="19" t="s">
        <v>796</v>
      </c>
      <c r="H414" s="19" t="s">
        <v>793</v>
      </c>
      <c r="I414" s="19" t="s">
        <v>794</v>
      </c>
      <c r="J414" s="11" t="str">
        <f>+LEFT(U414,4)</f>
        <v>FG--</v>
      </c>
      <c r="K414" s="19" t="s">
        <v>10</v>
      </c>
      <c r="L414" s="19">
        <v>520</v>
      </c>
      <c r="M414" s="19" t="s">
        <v>1472</v>
      </c>
      <c r="N414" s="19" t="s">
        <v>11</v>
      </c>
      <c r="O414" s="26">
        <v>0.62919999999999998</v>
      </c>
      <c r="P414" s="12">
        <f>ROUND(O414*L414,2)</f>
        <v>327.18</v>
      </c>
      <c r="Q414" s="13">
        <f>IF(N414="HKD",7.8,IF(N414="CNY",7.30034,1))</f>
        <v>7.3003400000000003</v>
      </c>
      <c r="R414" s="15">
        <f>+ROUND(O414/Q414,4)</f>
        <v>8.6199999999999999E-2</v>
      </c>
      <c r="S414" s="14">
        <f>ROUND(R414*L414,2)</f>
        <v>44.82</v>
      </c>
      <c r="T414" s="15" t="s">
        <v>349</v>
      </c>
      <c r="U414" s="19" t="s">
        <v>64</v>
      </c>
    </row>
    <row r="415" spans="1:21" x14ac:dyDescent="0.2">
      <c r="A415" s="19" t="s">
        <v>800</v>
      </c>
      <c r="B415" s="20">
        <v>45666</v>
      </c>
      <c r="C415" s="20">
        <v>45609</v>
      </c>
      <c r="D415" s="19" t="s">
        <v>21</v>
      </c>
      <c r="E415" s="19" t="s">
        <v>22</v>
      </c>
      <c r="G415" s="19" t="s">
        <v>796</v>
      </c>
      <c r="H415" s="19" t="s">
        <v>798</v>
      </c>
      <c r="I415" s="19" t="s">
        <v>799</v>
      </c>
      <c r="J415" s="11" t="str">
        <f>+LEFT(U415,4)</f>
        <v>FG--</v>
      </c>
      <c r="K415" s="19" t="s">
        <v>10</v>
      </c>
      <c r="L415" s="19">
        <v>1040</v>
      </c>
      <c r="M415" s="19" t="s">
        <v>1472</v>
      </c>
      <c r="N415" s="19" t="s">
        <v>11</v>
      </c>
      <c r="O415" s="26">
        <v>0.65839999999999999</v>
      </c>
      <c r="P415" s="12">
        <f>ROUND(O415*L415,2)</f>
        <v>684.74</v>
      </c>
      <c r="Q415" s="13">
        <f>IF(N415="HKD",7.8,IF(N415="CNY",7.30034,1))</f>
        <v>7.3003400000000003</v>
      </c>
      <c r="R415" s="15">
        <f>+ROUND(O415/Q415,4)</f>
        <v>9.0200000000000002E-2</v>
      </c>
      <c r="S415" s="14">
        <f>ROUND(R415*L415,2)</f>
        <v>93.81</v>
      </c>
      <c r="T415" s="15" t="s">
        <v>349</v>
      </c>
      <c r="U415" s="19" t="s">
        <v>64</v>
      </c>
    </row>
    <row r="416" spans="1:21" x14ac:dyDescent="0.2">
      <c r="A416" s="19" t="s">
        <v>445</v>
      </c>
      <c r="B416" s="20">
        <v>45670</v>
      </c>
      <c r="C416" s="20">
        <v>45646</v>
      </c>
      <c r="D416" s="19" t="s">
        <v>128</v>
      </c>
      <c r="E416" s="19" t="s">
        <v>129</v>
      </c>
      <c r="G416" s="19" t="s">
        <v>437</v>
      </c>
      <c r="H416" s="19" t="s">
        <v>443</v>
      </c>
      <c r="I416" s="19" t="s">
        <v>444</v>
      </c>
      <c r="J416" s="11" t="str">
        <f>+LEFT(U416,4)</f>
        <v>FG--</v>
      </c>
      <c r="K416" s="19" t="s">
        <v>10</v>
      </c>
      <c r="L416" s="19">
        <v>7100</v>
      </c>
      <c r="M416" s="19" t="s">
        <v>1472</v>
      </c>
      <c r="N416" s="19" t="s">
        <v>11</v>
      </c>
      <c r="O416" s="26">
        <v>1.0021</v>
      </c>
      <c r="P416" s="12">
        <f>ROUND(O416*L416,2)</f>
        <v>7114.91</v>
      </c>
      <c r="Q416" s="13">
        <f>IF(N416="HKD",7.8,IF(N416="CNY",7.30034,1))</f>
        <v>7.3003400000000003</v>
      </c>
      <c r="R416" s="15">
        <f>+ROUND(O416/Q416,4)</f>
        <v>0.13730000000000001</v>
      </c>
      <c r="S416" s="14">
        <f>ROUND(R416*L416,2)</f>
        <v>974.83</v>
      </c>
      <c r="T416" s="15" t="s">
        <v>349</v>
      </c>
      <c r="U416" s="19" t="s">
        <v>64</v>
      </c>
    </row>
    <row r="417" spans="1:21" x14ac:dyDescent="0.2">
      <c r="A417" s="19" t="s">
        <v>62</v>
      </c>
      <c r="B417" s="20">
        <v>45679</v>
      </c>
      <c r="C417" s="20">
        <v>45653</v>
      </c>
      <c r="D417" s="19" t="s">
        <v>61</v>
      </c>
      <c r="E417" s="19" t="s">
        <v>61</v>
      </c>
      <c r="G417" s="19" t="s">
        <v>63</v>
      </c>
      <c r="H417" s="19" t="s">
        <v>59</v>
      </c>
      <c r="I417" s="19" t="s">
        <v>60</v>
      </c>
      <c r="J417" s="11" t="str">
        <f>+LEFT(U417,4)</f>
        <v>FG--</v>
      </c>
      <c r="K417" s="19" t="s">
        <v>10</v>
      </c>
      <c r="L417" s="19">
        <v>1600</v>
      </c>
      <c r="M417" s="19" t="s">
        <v>1472</v>
      </c>
      <c r="N417" s="19" t="s">
        <v>11</v>
      </c>
      <c r="O417" s="26">
        <v>1.3002</v>
      </c>
      <c r="P417" s="12">
        <f>ROUND(O417*L417,2)</f>
        <v>2080.3200000000002</v>
      </c>
      <c r="Q417" s="13">
        <f>IF(N417="HKD",7.8,IF(N417="CNY",7.30034,1))</f>
        <v>7.3003400000000003</v>
      </c>
      <c r="R417" s="15">
        <f>+ROUND(O417/Q417,4)</f>
        <v>0.17810000000000001</v>
      </c>
      <c r="S417" s="14">
        <f>ROUND(R417*L417,2)</f>
        <v>284.95999999999998</v>
      </c>
      <c r="T417" s="15" t="s">
        <v>349</v>
      </c>
      <c r="U417" s="19" t="s">
        <v>64</v>
      </c>
    </row>
    <row r="418" spans="1:21" x14ac:dyDescent="0.2">
      <c r="A418" t="s">
        <v>1893</v>
      </c>
      <c r="B418" s="24">
        <v>45712</v>
      </c>
      <c r="C418" s="24">
        <v>45695</v>
      </c>
      <c r="D418" t="s">
        <v>28</v>
      </c>
      <c r="E418" t="s">
        <v>29</v>
      </c>
      <c r="G418" t="s">
        <v>2158</v>
      </c>
      <c r="H418" s="19" t="s">
        <v>1629</v>
      </c>
      <c r="I418" s="19" t="s">
        <v>1630</v>
      </c>
      <c r="J418" s="11" t="str">
        <f>+LEFT(U418,4)</f>
        <v>FG--</v>
      </c>
      <c r="K418" t="s">
        <v>10</v>
      </c>
      <c r="L418" s="19">
        <v>2000</v>
      </c>
      <c r="M418" t="s">
        <v>1472</v>
      </c>
      <c r="N418" t="s">
        <v>11</v>
      </c>
      <c r="O418" s="26">
        <v>0.47620000000000001</v>
      </c>
      <c r="P418" s="12">
        <f>ROUND(O418*L418,2)</f>
        <v>952.4</v>
      </c>
      <c r="Q418" s="13">
        <f>IF(N418="HKD",7.8,IF(N418="CNY",7.30034,1))</f>
        <v>7.3003400000000003</v>
      </c>
      <c r="R418" s="15">
        <f>+ROUND(O418/Q418,4)</f>
        <v>6.5199999999999994E-2</v>
      </c>
      <c r="S418" s="14">
        <f>ROUND(R418*L418,2)</f>
        <v>130.4</v>
      </c>
      <c r="T418" s="15" t="s">
        <v>349</v>
      </c>
      <c r="U418" t="s">
        <v>64</v>
      </c>
    </row>
    <row r="419" spans="1:21" x14ac:dyDescent="0.2">
      <c r="A419" t="s">
        <v>1911</v>
      </c>
      <c r="B419" s="24">
        <v>45712</v>
      </c>
      <c r="C419" s="24">
        <v>45698</v>
      </c>
      <c r="D419" t="s">
        <v>28</v>
      </c>
      <c r="E419" t="s">
        <v>29</v>
      </c>
      <c r="G419" t="s">
        <v>2158</v>
      </c>
      <c r="H419" s="19" t="s">
        <v>1643</v>
      </c>
      <c r="I419" s="19" t="s">
        <v>1644</v>
      </c>
      <c r="J419" s="11" t="str">
        <f>+LEFT(U419,4)</f>
        <v>FG--</v>
      </c>
      <c r="K419" t="s">
        <v>10</v>
      </c>
      <c r="L419" s="19">
        <v>1350</v>
      </c>
      <c r="M419" t="s">
        <v>1472</v>
      </c>
      <c r="N419" t="s">
        <v>11</v>
      </c>
      <c r="O419" s="26">
        <v>0.97430000000000005</v>
      </c>
      <c r="P419" s="12">
        <f>ROUND(O419*L419,2)</f>
        <v>1315.31</v>
      </c>
      <c r="Q419" s="13">
        <f>IF(N419="HKD",7.8,IF(N419="CNY",7.30034,1))</f>
        <v>7.3003400000000003</v>
      </c>
      <c r="R419" s="15">
        <f>+ROUND(O419/Q419,4)</f>
        <v>0.13350000000000001</v>
      </c>
      <c r="S419" s="14">
        <f>ROUND(R419*L419,2)</f>
        <v>180.23</v>
      </c>
      <c r="T419" s="15" t="s">
        <v>349</v>
      </c>
      <c r="U419" t="s">
        <v>64</v>
      </c>
    </row>
    <row r="420" spans="1:21" x14ac:dyDescent="0.2">
      <c r="A420" t="s">
        <v>1918</v>
      </c>
      <c r="B420" s="24">
        <v>45712</v>
      </c>
      <c r="C420" s="24">
        <v>45670</v>
      </c>
      <c r="D420" t="s">
        <v>28</v>
      </c>
      <c r="E420" t="s">
        <v>29</v>
      </c>
      <c r="G420" t="s">
        <v>2158</v>
      </c>
      <c r="H420" s="19" t="s">
        <v>1167</v>
      </c>
      <c r="I420" s="19" t="s">
        <v>1168</v>
      </c>
      <c r="J420" s="11" t="str">
        <f>+LEFT(U420,4)</f>
        <v>FG--</v>
      </c>
      <c r="K420" t="s">
        <v>10</v>
      </c>
      <c r="L420" s="19">
        <v>2010</v>
      </c>
      <c r="M420" t="s">
        <v>1472</v>
      </c>
      <c r="N420" t="s">
        <v>11</v>
      </c>
      <c r="O420" s="26">
        <v>1.2692000000000001</v>
      </c>
      <c r="P420" s="12">
        <f>ROUND(O420*L420,2)</f>
        <v>2551.09</v>
      </c>
      <c r="Q420" s="13">
        <f>IF(N420="HKD",7.8,IF(N420="CNY",7.30034,1))</f>
        <v>7.3003400000000003</v>
      </c>
      <c r="R420" s="15">
        <f>+ROUND(O420/Q420,4)</f>
        <v>0.1739</v>
      </c>
      <c r="S420" s="14">
        <f>ROUND(R420*L420,2)</f>
        <v>349.54</v>
      </c>
      <c r="T420" s="15" t="s">
        <v>349</v>
      </c>
      <c r="U420" t="s">
        <v>64</v>
      </c>
    </row>
    <row r="421" spans="1:21" x14ac:dyDescent="0.2">
      <c r="A421" t="s">
        <v>1926</v>
      </c>
      <c r="B421" s="24">
        <v>45712</v>
      </c>
      <c r="C421" s="24">
        <v>45671</v>
      </c>
      <c r="D421" t="s">
        <v>28</v>
      </c>
      <c r="E421" t="s">
        <v>29</v>
      </c>
      <c r="G421" t="s">
        <v>2158</v>
      </c>
      <c r="H421" s="19" t="s">
        <v>1158</v>
      </c>
      <c r="I421" s="19" t="s">
        <v>1159</v>
      </c>
      <c r="J421" s="11" t="str">
        <f>+LEFT(U421,4)</f>
        <v>FG--</v>
      </c>
      <c r="K421" t="s">
        <v>10</v>
      </c>
      <c r="L421" s="19">
        <v>3100</v>
      </c>
      <c r="M421" t="s">
        <v>1472</v>
      </c>
      <c r="N421" t="s">
        <v>11</v>
      </c>
      <c r="O421" s="26">
        <v>1.3540000000000001</v>
      </c>
      <c r="P421" s="12">
        <f>ROUND(O421*L421,2)</f>
        <v>4197.3999999999996</v>
      </c>
      <c r="Q421" s="13">
        <f>IF(N421="HKD",7.8,IF(N421="CNY",7.30034,1))</f>
        <v>7.3003400000000003</v>
      </c>
      <c r="R421" s="15">
        <f>+ROUND(O421/Q421,4)</f>
        <v>0.1855</v>
      </c>
      <c r="S421" s="14">
        <f>ROUND(R421*L421,2)</f>
        <v>575.04999999999995</v>
      </c>
      <c r="T421" s="15" t="s">
        <v>349</v>
      </c>
      <c r="U421" t="s">
        <v>64</v>
      </c>
    </row>
    <row r="422" spans="1:21" x14ac:dyDescent="0.2">
      <c r="A422" t="s">
        <v>1912</v>
      </c>
      <c r="B422" s="24">
        <v>45714</v>
      </c>
      <c r="C422" s="24">
        <v>45671</v>
      </c>
      <c r="D422" t="s">
        <v>128</v>
      </c>
      <c r="E422" t="s">
        <v>129</v>
      </c>
      <c r="G422" t="s">
        <v>2167</v>
      </c>
      <c r="H422" s="19" t="s">
        <v>443</v>
      </c>
      <c r="I422" s="19" t="s">
        <v>444</v>
      </c>
      <c r="J422" s="11" t="str">
        <f>+LEFT(U422,4)</f>
        <v>FG--</v>
      </c>
      <c r="K422" t="s">
        <v>10</v>
      </c>
      <c r="L422" s="19">
        <v>1000</v>
      </c>
      <c r="M422" t="s">
        <v>1472</v>
      </c>
      <c r="N422" t="s">
        <v>11</v>
      </c>
      <c r="O422" s="26">
        <v>1.0021</v>
      </c>
      <c r="P422" s="12">
        <f>ROUND(O422*L422,2)</f>
        <v>1002.1</v>
      </c>
      <c r="Q422" s="13">
        <f>IF(N422="HKD",7.8,IF(N422="CNY",7.30034,1))</f>
        <v>7.3003400000000003</v>
      </c>
      <c r="R422" s="15">
        <f>+ROUND(O422/Q422,4)</f>
        <v>0.13730000000000001</v>
      </c>
      <c r="S422" s="14">
        <f>ROUND(R422*L422,2)</f>
        <v>137.30000000000001</v>
      </c>
      <c r="T422" s="15" t="s">
        <v>349</v>
      </c>
      <c r="U422" t="s">
        <v>64</v>
      </c>
    </row>
    <row r="423" spans="1:21" x14ac:dyDescent="0.2">
      <c r="A423" t="s">
        <v>1913</v>
      </c>
      <c r="B423" s="24">
        <v>45714</v>
      </c>
      <c r="C423" s="24">
        <v>45670</v>
      </c>
      <c r="D423" t="s">
        <v>128</v>
      </c>
      <c r="E423" t="s">
        <v>129</v>
      </c>
      <c r="G423" t="s">
        <v>2167</v>
      </c>
      <c r="H423" s="19" t="s">
        <v>443</v>
      </c>
      <c r="I423" s="19" t="s">
        <v>444</v>
      </c>
      <c r="J423" s="11" t="str">
        <f>+LEFT(U423,4)</f>
        <v>FG--</v>
      </c>
      <c r="K423" t="s">
        <v>10</v>
      </c>
      <c r="L423" s="19">
        <v>4020</v>
      </c>
      <c r="M423" t="s">
        <v>1472</v>
      </c>
      <c r="N423" t="s">
        <v>11</v>
      </c>
      <c r="O423" s="26">
        <v>1.0124</v>
      </c>
      <c r="P423" s="12">
        <f>ROUND(O423*L423,2)</f>
        <v>4069.85</v>
      </c>
      <c r="Q423" s="13">
        <f>IF(N423="HKD",7.8,IF(N423="CNY",7.30034,1))</f>
        <v>7.3003400000000003</v>
      </c>
      <c r="R423" s="15">
        <f>+ROUND(O423/Q423,4)</f>
        <v>0.13869999999999999</v>
      </c>
      <c r="S423" s="14">
        <f>ROUND(R423*L423,2)</f>
        <v>557.57000000000005</v>
      </c>
      <c r="T423" s="15" t="s">
        <v>349</v>
      </c>
      <c r="U423" t="s">
        <v>64</v>
      </c>
    </row>
    <row r="424" spans="1:21" x14ac:dyDescent="0.2">
      <c r="A424" t="s">
        <v>1906</v>
      </c>
      <c r="B424" s="24">
        <v>45716</v>
      </c>
      <c r="C424" s="24">
        <v>45715</v>
      </c>
      <c r="D424" t="s">
        <v>128</v>
      </c>
      <c r="E424" t="s">
        <v>129</v>
      </c>
      <c r="G424" t="s">
        <v>2164</v>
      </c>
      <c r="H424" s="19" t="s">
        <v>1639</v>
      </c>
      <c r="I424" s="19" t="s">
        <v>1640</v>
      </c>
      <c r="J424" s="11" t="str">
        <f>+LEFT(U424,4)</f>
        <v>FG--</v>
      </c>
      <c r="K424" t="s">
        <v>10</v>
      </c>
      <c r="L424" s="19">
        <v>50</v>
      </c>
      <c r="M424" t="s">
        <v>1472</v>
      </c>
      <c r="N424" t="s">
        <v>11</v>
      </c>
      <c r="O424" s="26">
        <v>0.71950000000000003</v>
      </c>
      <c r="P424" s="12">
        <f>ROUND(O424*L424,2)</f>
        <v>35.979999999999997</v>
      </c>
      <c r="Q424" s="13">
        <f>IF(N424="HKD",7.8,IF(N424="CNY",7.30034,1))</f>
        <v>7.3003400000000003</v>
      </c>
      <c r="R424" s="15">
        <f>+ROUND(O424/Q424,4)</f>
        <v>9.8599999999999993E-2</v>
      </c>
      <c r="S424" s="14">
        <f>ROUND(R424*L424,2)</f>
        <v>4.93</v>
      </c>
      <c r="T424" s="15" t="s">
        <v>349</v>
      </c>
      <c r="U424" t="s">
        <v>64</v>
      </c>
    </row>
    <row r="425" spans="1:21" x14ac:dyDescent="0.2">
      <c r="A425" t="s">
        <v>2394</v>
      </c>
      <c r="B425" s="24">
        <v>45735</v>
      </c>
      <c r="C425" s="24">
        <v>45695</v>
      </c>
      <c r="D425" t="s">
        <v>169</v>
      </c>
      <c r="E425" t="s">
        <v>170</v>
      </c>
      <c r="G425" t="s">
        <v>2920</v>
      </c>
      <c r="H425" t="s">
        <v>3095</v>
      </c>
      <c r="I425" t="s">
        <v>3310</v>
      </c>
      <c r="J425" s="11" t="str">
        <f>+LEFT(U425,4)</f>
        <v>U&amp;C-</v>
      </c>
      <c r="K425" t="s">
        <v>10</v>
      </c>
      <c r="L425">
        <v>1010</v>
      </c>
      <c r="M425" t="s">
        <v>1472</v>
      </c>
      <c r="N425" t="s">
        <v>11</v>
      </c>
      <c r="O425">
        <v>1.1200000000000001</v>
      </c>
      <c r="P425" s="12">
        <f>ROUND(O425*L425,2)</f>
        <v>1131.2</v>
      </c>
      <c r="Q425" s="13">
        <f>IF(N425="HKD",7.8,IF(N425="CNY",7.30034,1))</f>
        <v>7.3003400000000003</v>
      </c>
      <c r="R425" s="15">
        <f>+ROUND(O425/Q425,4)</f>
        <v>0.15340000000000001</v>
      </c>
      <c r="S425" s="14">
        <f>ROUND(R425*L425,2)</f>
        <v>154.93</v>
      </c>
      <c r="T425" s="15" t="s">
        <v>349</v>
      </c>
      <c r="U425" t="s">
        <v>177</v>
      </c>
    </row>
    <row r="426" spans="1:21" x14ac:dyDescent="0.2">
      <c r="A426" t="s">
        <v>2333</v>
      </c>
      <c r="B426" s="24">
        <v>45719</v>
      </c>
      <c r="C426" s="24">
        <v>45671</v>
      </c>
      <c r="D426" t="s">
        <v>169</v>
      </c>
      <c r="E426" t="s">
        <v>170</v>
      </c>
      <c r="G426" t="s">
        <v>2889</v>
      </c>
      <c r="H426" t="s">
        <v>3086</v>
      </c>
      <c r="I426" t="s">
        <v>3302</v>
      </c>
      <c r="J426" s="11" t="str">
        <f>+LEFT(U426,4)</f>
        <v>BHRE</v>
      </c>
      <c r="K426" t="s">
        <v>10</v>
      </c>
      <c r="L426">
        <v>2000</v>
      </c>
      <c r="M426" t="s">
        <v>1472</v>
      </c>
      <c r="N426" t="s">
        <v>11</v>
      </c>
      <c r="O426">
        <v>1.22</v>
      </c>
      <c r="P426" s="12">
        <f>ROUND(O426*L426,2)</f>
        <v>2440</v>
      </c>
      <c r="Q426" s="13">
        <f>IF(N426="HKD",7.8,IF(N426="CNY",7.30034,1))</f>
        <v>7.3003400000000003</v>
      </c>
      <c r="R426" s="15">
        <f>+ROUND(O426/Q426,4)</f>
        <v>0.1671</v>
      </c>
      <c r="S426" s="14">
        <f>ROUND(R426*L426,2)</f>
        <v>334.2</v>
      </c>
      <c r="T426" s="15" t="s">
        <v>349</v>
      </c>
      <c r="U426" t="s">
        <v>173</v>
      </c>
    </row>
    <row r="427" spans="1:21" x14ac:dyDescent="0.2">
      <c r="A427" t="s">
        <v>2334</v>
      </c>
      <c r="B427" s="24">
        <v>45719</v>
      </c>
      <c r="C427" s="24">
        <v>45671</v>
      </c>
      <c r="D427" t="s">
        <v>169</v>
      </c>
      <c r="E427" t="s">
        <v>170</v>
      </c>
      <c r="G427" t="s">
        <v>2889</v>
      </c>
      <c r="H427" t="s">
        <v>3086</v>
      </c>
      <c r="I427" t="s">
        <v>3302</v>
      </c>
      <c r="J427" s="11" t="str">
        <f>+LEFT(U427,4)</f>
        <v>BHRE</v>
      </c>
      <c r="K427" t="s">
        <v>10</v>
      </c>
      <c r="L427">
        <v>50</v>
      </c>
      <c r="M427" t="s">
        <v>1472</v>
      </c>
      <c r="N427" t="s">
        <v>11</v>
      </c>
      <c r="O427">
        <v>1.22</v>
      </c>
      <c r="P427" s="12">
        <f>ROUND(O427*L427,2)</f>
        <v>61</v>
      </c>
      <c r="Q427" s="13">
        <f>IF(N427="HKD",7.8,IF(N427="CNY",7.30034,1))</f>
        <v>7.3003400000000003</v>
      </c>
      <c r="R427" s="15">
        <f>+ROUND(O427/Q427,4)</f>
        <v>0.1671</v>
      </c>
      <c r="S427" s="14">
        <f>ROUND(R427*L427,2)</f>
        <v>8.36</v>
      </c>
      <c r="T427" s="15" t="s">
        <v>349</v>
      </c>
      <c r="U427" t="s">
        <v>173</v>
      </c>
    </row>
    <row r="428" spans="1:21" x14ac:dyDescent="0.2">
      <c r="A428" t="s">
        <v>2333</v>
      </c>
      <c r="B428" s="24">
        <v>45721</v>
      </c>
      <c r="C428" s="24">
        <v>45671</v>
      </c>
      <c r="D428" t="s">
        <v>169</v>
      </c>
      <c r="E428" t="s">
        <v>170</v>
      </c>
      <c r="G428" t="s">
        <v>2888</v>
      </c>
      <c r="H428" t="s">
        <v>3086</v>
      </c>
      <c r="I428" t="s">
        <v>3302</v>
      </c>
      <c r="J428" s="11" t="str">
        <f>+LEFT(U428,4)</f>
        <v>BHRE</v>
      </c>
      <c r="K428" t="s">
        <v>10</v>
      </c>
      <c r="L428">
        <v>7100</v>
      </c>
      <c r="M428" t="s">
        <v>1472</v>
      </c>
      <c r="N428" t="s">
        <v>11</v>
      </c>
      <c r="O428">
        <v>1.22</v>
      </c>
      <c r="P428" s="12">
        <f>ROUND(O428*L428,2)</f>
        <v>8662</v>
      </c>
      <c r="Q428" s="13">
        <f>IF(N428="HKD",7.8,IF(N428="CNY",7.30034,1))</f>
        <v>7.3003400000000003</v>
      </c>
      <c r="R428" s="15">
        <f>+ROUND(O428/Q428,4)</f>
        <v>0.1671</v>
      </c>
      <c r="S428" s="14">
        <f>ROUND(R428*L428,2)</f>
        <v>1186.4100000000001</v>
      </c>
      <c r="T428" s="15" t="s">
        <v>349</v>
      </c>
      <c r="U428" t="s">
        <v>173</v>
      </c>
    </row>
    <row r="429" spans="1:21" x14ac:dyDescent="0.2">
      <c r="A429" t="s">
        <v>2456</v>
      </c>
      <c r="B429" s="24">
        <v>45723</v>
      </c>
      <c r="C429" s="24">
        <v>45706</v>
      </c>
      <c r="D429" t="s">
        <v>61</v>
      </c>
      <c r="E429" t="s">
        <v>61</v>
      </c>
      <c r="G429" t="s">
        <v>2943</v>
      </c>
      <c r="H429" t="s">
        <v>221</v>
      </c>
      <c r="I429" t="s">
        <v>222</v>
      </c>
      <c r="J429" s="11" t="str">
        <f>+LEFT(U429,4)</f>
        <v>KNOB</v>
      </c>
      <c r="K429" t="s">
        <v>10</v>
      </c>
      <c r="L429">
        <v>2700</v>
      </c>
      <c r="M429" t="s">
        <v>1472</v>
      </c>
      <c r="N429" t="s">
        <v>11</v>
      </c>
      <c r="O429">
        <v>1.2455000000000001</v>
      </c>
      <c r="P429" s="12">
        <f>ROUND(O429*L429,2)</f>
        <v>3362.85</v>
      </c>
      <c r="Q429" s="13">
        <f>IF(N429="HKD",7.8,IF(N429="CNY",7.30034,1))</f>
        <v>7.3003400000000003</v>
      </c>
      <c r="R429" s="15">
        <f>+ROUND(O429/Q429,4)</f>
        <v>0.1706</v>
      </c>
      <c r="S429" s="14">
        <f>ROUND(R429*L429,2)</f>
        <v>460.62</v>
      </c>
      <c r="T429" s="15" t="s">
        <v>349</v>
      </c>
      <c r="U429" t="s">
        <v>32</v>
      </c>
    </row>
    <row r="430" spans="1:21" x14ac:dyDescent="0.2">
      <c r="A430" t="s">
        <v>2563</v>
      </c>
      <c r="B430" s="24">
        <v>45743</v>
      </c>
      <c r="C430" s="24">
        <v>45716</v>
      </c>
      <c r="D430" t="s">
        <v>709</v>
      </c>
      <c r="E430" t="s">
        <v>710</v>
      </c>
      <c r="G430" t="s">
        <v>2998</v>
      </c>
      <c r="H430" t="s">
        <v>3177</v>
      </c>
      <c r="I430" t="s">
        <v>3384</v>
      </c>
      <c r="J430" s="11" t="str">
        <f>+LEFT(U430,4)</f>
        <v>KNOB</v>
      </c>
      <c r="K430" t="s">
        <v>10</v>
      </c>
      <c r="L430">
        <v>1010</v>
      </c>
      <c r="M430" t="s">
        <v>1472</v>
      </c>
      <c r="N430" t="s">
        <v>11</v>
      </c>
      <c r="O430">
        <v>1.2481</v>
      </c>
      <c r="P430" s="12">
        <f>ROUND(O430*L430,2)</f>
        <v>1260.58</v>
      </c>
      <c r="Q430" s="13">
        <f>IF(N430="HKD",7.8,IF(N430="CNY",7.30034,1))</f>
        <v>7.3003400000000003</v>
      </c>
      <c r="R430" s="15">
        <f>+ROUND(O430/Q430,4)</f>
        <v>0.17100000000000001</v>
      </c>
      <c r="S430" s="14">
        <f>ROUND(R430*L430,2)</f>
        <v>172.71</v>
      </c>
      <c r="T430" s="15" t="s">
        <v>349</v>
      </c>
      <c r="U430" t="s">
        <v>32</v>
      </c>
    </row>
    <row r="431" spans="1:21" x14ac:dyDescent="0.2">
      <c r="A431" t="s">
        <v>2440</v>
      </c>
      <c r="B431" s="24">
        <v>45741</v>
      </c>
      <c r="C431" s="24">
        <v>45702</v>
      </c>
      <c r="D431" t="s">
        <v>28</v>
      </c>
      <c r="E431" t="s">
        <v>29</v>
      </c>
      <c r="G431" t="s">
        <v>2937</v>
      </c>
      <c r="H431" t="s">
        <v>1167</v>
      </c>
      <c r="I431" t="s">
        <v>1168</v>
      </c>
      <c r="J431" s="11" t="str">
        <f>+LEFT(U431,4)</f>
        <v>FG--</v>
      </c>
      <c r="K431" t="s">
        <v>10</v>
      </c>
      <c r="L431">
        <v>2050</v>
      </c>
      <c r="M431" t="s">
        <v>1472</v>
      </c>
      <c r="N431" t="s">
        <v>11</v>
      </c>
      <c r="O431">
        <v>1.2692000000000001</v>
      </c>
      <c r="P431" s="12">
        <f>ROUND(O431*L431,2)</f>
        <v>2601.86</v>
      </c>
      <c r="Q431" s="13">
        <f>IF(N431="HKD",7.8,IF(N431="CNY",7.30034,1))</f>
        <v>7.3003400000000003</v>
      </c>
      <c r="R431" s="15">
        <f>+ROUND(O431/Q431,4)</f>
        <v>0.1739</v>
      </c>
      <c r="S431" s="14">
        <f>ROUND(R431*L431,2)</f>
        <v>356.5</v>
      </c>
      <c r="T431" s="15" t="s">
        <v>349</v>
      </c>
      <c r="U431" t="s">
        <v>64</v>
      </c>
    </row>
    <row r="432" spans="1:21" x14ac:dyDescent="0.2">
      <c r="A432" t="s">
        <v>2387</v>
      </c>
      <c r="B432" s="24">
        <v>45742</v>
      </c>
      <c r="C432" s="24">
        <v>45695</v>
      </c>
      <c r="D432" t="s">
        <v>252</v>
      </c>
      <c r="E432" t="s">
        <v>253</v>
      </c>
      <c r="G432" t="s">
        <v>2915</v>
      </c>
      <c r="H432" t="s">
        <v>1022</v>
      </c>
      <c r="I432" t="s">
        <v>1023</v>
      </c>
      <c r="J432" s="11" t="s">
        <v>1527</v>
      </c>
      <c r="K432" t="s">
        <v>10</v>
      </c>
      <c r="L432">
        <v>3050</v>
      </c>
      <c r="M432" t="s">
        <v>1472</v>
      </c>
      <c r="N432" t="s">
        <v>11</v>
      </c>
      <c r="O432">
        <v>1.2838000000000001</v>
      </c>
      <c r="P432" s="12">
        <f>ROUND(O432*L432,2)</f>
        <v>3915.59</v>
      </c>
      <c r="Q432" s="13">
        <f>IF(N432="HKD",7.8,IF(N432="CNY",7.30034,1))</f>
        <v>7.3003400000000003</v>
      </c>
      <c r="R432" s="15">
        <f>+ROUND(O432/Q432,4)</f>
        <v>0.1759</v>
      </c>
      <c r="S432" s="14">
        <f>ROUND(R432*L432,2)</f>
        <v>536.5</v>
      </c>
      <c r="T432" s="15" t="s">
        <v>349</v>
      </c>
      <c r="U432" t="s">
        <v>36</v>
      </c>
    </row>
    <row r="433" spans="1:21" x14ac:dyDescent="0.2">
      <c r="A433" t="s">
        <v>2480</v>
      </c>
      <c r="B433" s="24">
        <v>45719</v>
      </c>
      <c r="C433" s="24">
        <v>45709</v>
      </c>
      <c r="D433" t="s">
        <v>169</v>
      </c>
      <c r="E433" t="s">
        <v>170</v>
      </c>
      <c r="G433" t="s">
        <v>2894</v>
      </c>
      <c r="H433" t="s">
        <v>1655</v>
      </c>
      <c r="I433" t="s">
        <v>1656</v>
      </c>
      <c r="J433" s="11" t="str">
        <f>+LEFT(U433,4)</f>
        <v>PRIM</v>
      </c>
      <c r="K433" t="s">
        <v>10</v>
      </c>
      <c r="L433">
        <v>1100</v>
      </c>
      <c r="M433" t="s">
        <v>1472</v>
      </c>
      <c r="N433" t="s">
        <v>11</v>
      </c>
      <c r="O433">
        <v>1.29</v>
      </c>
      <c r="P433" s="12">
        <f>ROUND(O433*L433,2)</f>
        <v>1419</v>
      </c>
      <c r="Q433" s="13">
        <f>IF(N433="HKD",7.8,IF(N433="CNY",7.30034,1))</f>
        <v>7.3003400000000003</v>
      </c>
      <c r="R433" s="15">
        <f>+ROUND(O433/Q433,4)</f>
        <v>0.1767</v>
      </c>
      <c r="S433" s="14">
        <f>ROUND(R433*L433,2)</f>
        <v>194.37</v>
      </c>
      <c r="T433" s="15" t="s">
        <v>349</v>
      </c>
      <c r="U433" t="s">
        <v>181</v>
      </c>
    </row>
    <row r="434" spans="1:21" x14ac:dyDescent="0.2">
      <c r="A434" t="s">
        <v>2593</v>
      </c>
      <c r="B434" s="24">
        <v>45742</v>
      </c>
      <c r="C434" s="24">
        <v>45716</v>
      </c>
      <c r="D434" t="s">
        <v>2817</v>
      </c>
      <c r="E434" t="s">
        <v>2818</v>
      </c>
      <c r="G434" t="s">
        <v>3007</v>
      </c>
      <c r="H434" t="s">
        <v>3147</v>
      </c>
      <c r="I434" t="s">
        <v>3357</v>
      </c>
      <c r="J434" s="11" t="str">
        <f>+LEFT(U434,4)</f>
        <v>HDL-</v>
      </c>
      <c r="K434" t="s">
        <v>10</v>
      </c>
      <c r="L434">
        <v>4283</v>
      </c>
      <c r="M434" t="s">
        <v>1472</v>
      </c>
      <c r="N434" t="s">
        <v>2246</v>
      </c>
      <c r="O434">
        <v>1.3</v>
      </c>
      <c r="P434" s="12">
        <f>ROUND(O434*L434,2)</f>
        <v>5567.9</v>
      </c>
      <c r="Q434" s="13">
        <f>IF(N434="HKD",7.8,IF(N434="CNY",7.30034,1))</f>
        <v>1</v>
      </c>
      <c r="R434" s="15">
        <f>+ROUND(O434/Q434,4)</f>
        <v>1.3</v>
      </c>
      <c r="S434" s="14">
        <f>ROUND(R434*L434,2)</f>
        <v>5567.9</v>
      </c>
      <c r="T434" s="15" t="s">
        <v>349</v>
      </c>
      <c r="U434" t="s">
        <v>228</v>
      </c>
    </row>
    <row r="435" spans="1:21" x14ac:dyDescent="0.2">
      <c r="A435" t="s">
        <v>2595</v>
      </c>
      <c r="B435" s="24">
        <v>45742</v>
      </c>
      <c r="C435" s="24">
        <v>45716</v>
      </c>
      <c r="D435" t="s">
        <v>2817</v>
      </c>
      <c r="E435" t="s">
        <v>2818</v>
      </c>
      <c r="G435" t="s">
        <v>3007</v>
      </c>
      <c r="H435" t="s">
        <v>3149</v>
      </c>
      <c r="I435" t="s">
        <v>3359</v>
      </c>
      <c r="J435" s="11" t="str">
        <f>+LEFT(U435,4)</f>
        <v>HDL-</v>
      </c>
      <c r="K435" t="s">
        <v>10</v>
      </c>
      <c r="L435">
        <v>4439</v>
      </c>
      <c r="M435" t="s">
        <v>1472</v>
      </c>
      <c r="N435" t="s">
        <v>2246</v>
      </c>
      <c r="O435">
        <v>1.3</v>
      </c>
      <c r="P435" s="12">
        <f>ROUND(O435*L435,2)</f>
        <v>5770.7</v>
      </c>
      <c r="Q435" s="13">
        <f>IF(N435="HKD",7.8,IF(N435="CNY",7.30034,1))</f>
        <v>1</v>
      </c>
      <c r="R435" s="15">
        <f>+ROUND(O435/Q435,4)</f>
        <v>1.3</v>
      </c>
      <c r="S435" s="14">
        <f>ROUND(R435*L435,2)</f>
        <v>5770.7</v>
      </c>
      <c r="T435" s="15" t="s">
        <v>349</v>
      </c>
      <c r="U435" t="s">
        <v>228</v>
      </c>
    </row>
    <row r="436" spans="1:21" x14ac:dyDescent="0.2">
      <c r="A436" t="s">
        <v>2597</v>
      </c>
      <c r="B436" s="24">
        <v>45742</v>
      </c>
      <c r="C436" s="24">
        <v>45716</v>
      </c>
      <c r="D436" t="s">
        <v>2817</v>
      </c>
      <c r="E436" t="s">
        <v>2818</v>
      </c>
      <c r="G436" t="s">
        <v>3007</v>
      </c>
      <c r="H436" t="s">
        <v>3150</v>
      </c>
      <c r="I436" t="s">
        <v>3360</v>
      </c>
      <c r="J436" s="11" t="str">
        <f>+LEFT(U436,4)</f>
        <v>HDL-</v>
      </c>
      <c r="K436" t="s">
        <v>10</v>
      </c>
      <c r="L436">
        <v>4556</v>
      </c>
      <c r="M436" t="s">
        <v>1472</v>
      </c>
      <c r="N436" t="s">
        <v>2246</v>
      </c>
      <c r="O436">
        <v>1.3</v>
      </c>
      <c r="P436" s="12">
        <f>ROUND(O436*L436,2)</f>
        <v>5922.8</v>
      </c>
      <c r="Q436" s="13">
        <f>IF(N436="HKD",7.8,IF(N436="CNY",7.30034,1))</f>
        <v>1</v>
      </c>
      <c r="R436" s="15">
        <f>+ROUND(O436/Q436,4)</f>
        <v>1.3</v>
      </c>
      <c r="S436" s="14">
        <f>ROUND(R436*L436,2)</f>
        <v>5922.8</v>
      </c>
      <c r="T436" s="15" t="s">
        <v>349</v>
      </c>
      <c r="U436" t="s">
        <v>228</v>
      </c>
    </row>
    <row r="437" spans="1:21" x14ac:dyDescent="0.2">
      <c r="A437" t="s">
        <v>2599</v>
      </c>
      <c r="B437" s="24">
        <v>45742</v>
      </c>
      <c r="C437" s="24">
        <v>45716</v>
      </c>
      <c r="D437" t="s">
        <v>2817</v>
      </c>
      <c r="E437" t="s">
        <v>2818</v>
      </c>
      <c r="G437" t="s">
        <v>3007</v>
      </c>
      <c r="H437" t="s">
        <v>3151</v>
      </c>
      <c r="I437" t="s">
        <v>3361</v>
      </c>
      <c r="J437" s="11" t="str">
        <f>+LEFT(U437,4)</f>
        <v>HDL-</v>
      </c>
      <c r="K437" t="s">
        <v>10</v>
      </c>
      <c r="L437">
        <v>4289</v>
      </c>
      <c r="M437" t="s">
        <v>1472</v>
      </c>
      <c r="N437" t="s">
        <v>2246</v>
      </c>
      <c r="O437">
        <v>1.3</v>
      </c>
      <c r="P437" s="12">
        <f>ROUND(O437*L437,2)</f>
        <v>5575.7</v>
      </c>
      <c r="Q437" s="13">
        <f>IF(N437="HKD",7.8,IF(N437="CNY",7.30034,1))</f>
        <v>1</v>
      </c>
      <c r="R437" s="15">
        <f>+ROUND(O437/Q437,4)</f>
        <v>1.3</v>
      </c>
      <c r="S437" s="14">
        <f>ROUND(R437*L437,2)</f>
        <v>5575.7</v>
      </c>
      <c r="T437" s="15" t="s">
        <v>349</v>
      </c>
      <c r="U437" t="s">
        <v>228</v>
      </c>
    </row>
    <row r="438" spans="1:21" x14ac:dyDescent="0.2">
      <c r="A438" t="s">
        <v>2360</v>
      </c>
      <c r="B438" s="24">
        <v>45727</v>
      </c>
      <c r="C438" s="24">
        <v>45680</v>
      </c>
      <c r="D438" t="s">
        <v>252</v>
      </c>
      <c r="E438" t="s">
        <v>253</v>
      </c>
      <c r="G438" t="s">
        <v>2872</v>
      </c>
      <c r="H438" t="s">
        <v>685</v>
      </c>
      <c r="I438" t="s">
        <v>686</v>
      </c>
      <c r="J438" s="11" t="s">
        <v>1527</v>
      </c>
      <c r="K438" t="s">
        <v>10</v>
      </c>
      <c r="L438">
        <v>1300</v>
      </c>
      <c r="M438" t="s">
        <v>1472</v>
      </c>
      <c r="N438" t="s">
        <v>11</v>
      </c>
      <c r="O438">
        <v>1.31</v>
      </c>
      <c r="P438" s="12">
        <f>ROUND(O438*L438,2)</f>
        <v>1703</v>
      </c>
      <c r="Q438" s="13">
        <f>IF(N438="HKD",7.8,IF(N438="CNY",7.30034,1))</f>
        <v>7.3003400000000003</v>
      </c>
      <c r="R438" s="15">
        <f>+ROUND(O438/Q438,4)</f>
        <v>0.1794</v>
      </c>
      <c r="S438" s="14">
        <f>ROUND(R438*L438,2)</f>
        <v>233.22</v>
      </c>
      <c r="T438" s="15" t="s">
        <v>349</v>
      </c>
      <c r="U438" t="s">
        <v>36</v>
      </c>
    </row>
    <row r="439" spans="1:21" x14ac:dyDescent="0.2">
      <c r="A439" t="s">
        <v>2361</v>
      </c>
      <c r="B439" s="24">
        <v>45727</v>
      </c>
      <c r="C439" s="24">
        <v>45680</v>
      </c>
      <c r="D439" t="s">
        <v>252</v>
      </c>
      <c r="E439" t="s">
        <v>253</v>
      </c>
      <c r="G439" t="s">
        <v>2872</v>
      </c>
      <c r="H439" t="s">
        <v>1530</v>
      </c>
      <c r="I439" t="s">
        <v>1531</v>
      </c>
      <c r="J439" s="11" t="s">
        <v>1527</v>
      </c>
      <c r="K439" t="s">
        <v>10</v>
      </c>
      <c r="L439">
        <v>3000</v>
      </c>
      <c r="M439" t="s">
        <v>1472</v>
      </c>
      <c r="N439" t="s">
        <v>11</v>
      </c>
      <c r="O439">
        <v>1.3524</v>
      </c>
      <c r="P439" s="12">
        <f>ROUND(O439*L439,2)</f>
        <v>4057.2</v>
      </c>
      <c r="Q439" s="13">
        <f>IF(N439="HKD",7.8,IF(N439="CNY",7.30034,1))</f>
        <v>7.3003400000000003</v>
      </c>
      <c r="R439" s="15">
        <f>+ROUND(O439/Q439,4)</f>
        <v>0.18529999999999999</v>
      </c>
      <c r="S439" s="14">
        <f>ROUND(R439*L439,2)</f>
        <v>555.9</v>
      </c>
      <c r="T439" s="15" t="s">
        <v>349</v>
      </c>
      <c r="U439" t="s">
        <v>36</v>
      </c>
    </row>
    <row r="440" spans="1:21" x14ac:dyDescent="0.2">
      <c r="A440" t="s">
        <v>2362</v>
      </c>
      <c r="B440" s="24">
        <v>45727</v>
      </c>
      <c r="C440" s="24">
        <v>45680</v>
      </c>
      <c r="D440" t="s">
        <v>252</v>
      </c>
      <c r="E440" t="s">
        <v>253</v>
      </c>
      <c r="G440" t="s">
        <v>2872</v>
      </c>
      <c r="H440" t="s">
        <v>678</v>
      </c>
      <c r="I440" t="s">
        <v>679</v>
      </c>
      <c r="J440" s="11" t="s">
        <v>1527</v>
      </c>
      <c r="K440" t="s">
        <v>10</v>
      </c>
      <c r="L440">
        <v>2000</v>
      </c>
      <c r="M440" t="s">
        <v>1472</v>
      </c>
      <c r="N440" t="s">
        <v>11</v>
      </c>
      <c r="O440">
        <v>1.3524</v>
      </c>
      <c r="P440" s="12">
        <f>ROUND(O440*L440,2)</f>
        <v>2704.8</v>
      </c>
      <c r="Q440" s="13">
        <f>IF(N440="HKD",7.8,IF(N440="CNY",7.30034,1))</f>
        <v>7.3003400000000003</v>
      </c>
      <c r="R440" s="15">
        <f>+ROUND(O440/Q440,4)</f>
        <v>0.18529999999999999</v>
      </c>
      <c r="S440" s="14">
        <f>ROUND(R440*L440,2)</f>
        <v>370.6</v>
      </c>
      <c r="T440" s="15" t="s">
        <v>349</v>
      </c>
      <c r="U440" t="s">
        <v>36</v>
      </c>
    </row>
    <row r="441" spans="1:21" x14ac:dyDescent="0.2">
      <c r="A441" t="s">
        <v>2388</v>
      </c>
      <c r="B441" s="24">
        <v>45742</v>
      </c>
      <c r="C441" s="24">
        <v>45695</v>
      </c>
      <c r="D441" t="s">
        <v>252</v>
      </c>
      <c r="E441" t="s">
        <v>253</v>
      </c>
      <c r="G441" t="s">
        <v>2915</v>
      </c>
      <c r="H441" t="s">
        <v>682</v>
      </c>
      <c r="I441" t="s">
        <v>683</v>
      </c>
      <c r="J441" s="11" t="s">
        <v>1527</v>
      </c>
      <c r="K441" t="s">
        <v>10</v>
      </c>
      <c r="L441">
        <v>4900</v>
      </c>
      <c r="M441" t="s">
        <v>1472</v>
      </c>
      <c r="N441" t="s">
        <v>11</v>
      </c>
      <c r="O441">
        <v>1.3524</v>
      </c>
      <c r="P441" s="12">
        <f>ROUND(O441*L441,2)</f>
        <v>6626.76</v>
      </c>
      <c r="Q441" s="13">
        <f>IF(N441="HKD",7.8,IF(N441="CNY",7.30034,1))</f>
        <v>7.3003400000000003</v>
      </c>
      <c r="R441" s="15">
        <f>+ROUND(O441/Q441,4)</f>
        <v>0.18529999999999999</v>
      </c>
      <c r="S441" s="14">
        <f>ROUND(R441*L441,2)</f>
        <v>907.97</v>
      </c>
      <c r="T441" s="15" t="s">
        <v>349</v>
      </c>
      <c r="U441" t="s">
        <v>36</v>
      </c>
    </row>
    <row r="442" spans="1:21" x14ac:dyDescent="0.2">
      <c r="A442" t="s">
        <v>2328</v>
      </c>
      <c r="B442" s="24">
        <v>45719</v>
      </c>
      <c r="C442" s="24">
        <v>45671</v>
      </c>
      <c r="D442" t="s">
        <v>28</v>
      </c>
      <c r="E442" t="s">
        <v>29</v>
      </c>
      <c r="G442" t="s">
        <v>2874</v>
      </c>
      <c r="H442" t="s">
        <v>1162</v>
      </c>
      <c r="I442" t="s">
        <v>1163</v>
      </c>
      <c r="J442" s="11" t="str">
        <f>+LEFT(U442,4)</f>
        <v>FG--</v>
      </c>
      <c r="K442" t="s">
        <v>10</v>
      </c>
      <c r="L442">
        <v>3100</v>
      </c>
      <c r="M442" t="s">
        <v>1472</v>
      </c>
      <c r="N442" t="s">
        <v>11</v>
      </c>
      <c r="O442">
        <v>1.3540000000000001</v>
      </c>
      <c r="P442" s="12">
        <f>ROUND(O442*L442,2)</f>
        <v>4197.3999999999996</v>
      </c>
      <c r="Q442" s="13">
        <f>IF(N442="HKD",7.8,IF(N442="CNY",7.30034,1))</f>
        <v>7.3003400000000003</v>
      </c>
      <c r="R442" s="15">
        <f>+ROUND(O442/Q442,4)</f>
        <v>0.1855</v>
      </c>
      <c r="S442" s="14">
        <f>ROUND(R442*L442,2)</f>
        <v>575.04999999999995</v>
      </c>
      <c r="T442" s="15" t="s">
        <v>349</v>
      </c>
      <c r="U442" t="s">
        <v>64</v>
      </c>
    </row>
    <row r="443" spans="1:21" x14ac:dyDescent="0.2">
      <c r="A443" s="19" t="s">
        <v>1404</v>
      </c>
      <c r="B443" s="20">
        <v>45659</v>
      </c>
      <c r="C443" s="20">
        <v>45639</v>
      </c>
      <c r="D443" s="19" t="s">
        <v>569</v>
      </c>
      <c r="E443" s="19" t="s">
        <v>570</v>
      </c>
      <c r="G443" s="19" t="s">
        <v>1403</v>
      </c>
      <c r="H443" s="19" t="s">
        <v>256</v>
      </c>
      <c r="I443" s="19" t="s">
        <v>257</v>
      </c>
      <c r="J443" s="11" t="str">
        <f>+LEFT(U443,4)</f>
        <v>GLID</v>
      </c>
      <c r="K443" s="19" t="s">
        <v>10</v>
      </c>
      <c r="L443" s="19">
        <v>2250</v>
      </c>
      <c r="M443" s="19" t="s">
        <v>1472</v>
      </c>
      <c r="N443" s="19" t="s">
        <v>11</v>
      </c>
      <c r="O443" s="26">
        <v>8.7024000000000008</v>
      </c>
      <c r="P443" s="12">
        <f>ROUND(O443*L443,2)</f>
        <v>19580.400000000001</v>
      </c>
      <c r="Q443" s="13">
        <f>IF(N443="HKD",7.8,IF(N443="CNY",7.30034,1))</f>
        <v>7.3003400000000003</v>
      </c>
      <c r="R443" s="15">
        <f>+ROUND(O443/Q443,4)</f>
        <v>1.1920999999999999</v>
      </c>
      <c r="S443" s="14">
        <f>ROUND(R443*L443,2)</f>
        <v>2682.23</v>
      </c>
      <c r="T443" s="15" t="s">
        <v>349</v>
      </c>
      <c r="U443" s="19" t="s">
        <v>78</v>
      </c>
    </row>
    <row r="444" spans="1:21" x14ac:dyDescent="0.2">
      <c r="A444" s="19" t="s">
        <v>777</v>
      </c>
      <c r="B444" s="20">
        <v>45659</v>
      </c>
      <c r="C444" s="20">
        <v>45644</v>
      </c>
      <c r="D444" s="19" t="s">
        <v>569</v>
      </c>
      <c r="E444" s="19" t="s">
        <v>570</v>
      </c>
      <c r="G444" s="19" t="s">
        <v>1418</v>
      </c>
      <c r="H444" s="19" t="s">
        <v>775</v>
      </c>
      <c r="I444" s="19" t="s">
        <v>776</v>
      </c>
      <c r="J444" s="11" t="str">
        <f>+LEFT(U444,4)</f>
        <v>GLID</v>
      </c>
      <c r="K444" s="19" t="s">
        <v>10</v>
      </c>
      <c r="L444" s="19">
        <v>960</v>
      </c>
      <c r="M444" s="19" t="s">
        <v>1472</v>
      </c>
      <c r="N444" s="19" t="s">
        <v>11</v>
      </c>
      <c r="O444" s="26">
        <v>13.818</v>
      </c>
      <c r="P444" s="12">
        <f>ROUND(O444*L444,2)</f>
        <v>13265.28</v>
      </c>
      <c r="Q444" s="13">
        <f>IF(N444="HKD",7.8,IF(N444="CNY",7.30034,1))</f>
        <v>7.3003400000000003</v>
      </c>
      <c r="R444" s="15">
        <f>+ROUND(O444/Q444,4)</f>
        <v>1.8928</v>
      </c>
      <c r="S444" s="14">
        <f>ROUND(R444*L444,2)</f>
        <v>1817.09</v>
      </c>
      <c r="T444" s="15" t="s">
        <v>349</v>
      </c>
      <c r="U444" s="19" t="s">
        <v>78</v>
      </c>
    </row>
    <row r="445" spans="1:21" x14ac:dyDescent="0.2">
      <c r="A445" s="19" t="s">
        <v>1311</v>
      </c>
      <c r="B445" s="20">
        <v>45660</v>
      </c>
      <c r="C445" s="20">
        <v>45629</v>
      </c>
      <c r="D445" s="19" t="s">
        <v>149</v>
      </c>
      <c r="E445" s="19" t="s">
        <v>150</v>
      </c>
      <c r="G445" s="19" t="s">
        <v>1312</v>
      </c>
      <c r="H445" s="19" t="s">
        <v>1309</v>
      </c>
      <c r="I445" s="19" t="s">
        <v>1310</v>
      </c>
      <c r="J445" s="11" t="str">
        <f>+LEFT(U445,4)</f>
        <v>GLID</v>
      </c>
      <c r="K445" s="19" t="s">
        <v>10</v>
      </c>
      <c r="L445" s="19">
        <v>1020</v>
      </c>
      <c r="M445" s="19" t="s">
        <v>1472</v>
      </c>
      <c r="N445" s="19" t="s">
        <v>11</v>
      </c>
      <c r="O445" s="26">
        <v>6.1177000000000001</v>
      </c>
      <c r="P445" s="12">
        <f>ROUND(O445*L445,2)</f>
        <v>6240.05</v>
      </c>
      <c r="Q445" s="13">
        <f>IF(N445="HKD",7.8,IF(N445="CNY",7.30034,1))</f>
        <v>7.3003400000000003</v>
      </c>
      <c r="R445" s="15">
        <f>+ROUND(O445/Q445,4)</f>
        <v>0.83799999999999997</v>
      </c>
      <c r="S445" s="14">
        <f>ROUND(R445*L445,2)</f>
        <v>854.76</v>
      </c>
      <c r="T445" s="15" t="s">
        <v>349</v>
      </c>
      <c r="U445" s="19" t="s">
        <v>78</v>
      </c>
    </row>
    <row r="446" spans="1:21" x14ac:dyDescent="0.2">
      <c r="A446" s="19" t="s">
        <v>1318</v>
      </c>
      <c r="B446" s="20">
        <v>45660</v>
      </c>
      <c r="C446" s="20">
        <v>45597</v>
      </c>
      <c r="D446" s="19" t="s">
        <v>1316</v>
      </c>
      <c r="E446" s="19" t="s">
        <v>1317</v>
      </c>
      <c r="G446" s="19" t="s">
        <v>1319</v>
      </c>
      <c r="H446" s="19" t="s">
        <v>1314</v>
      </c>
      <c r="I446" s="19" t="s">
        <v>1315</v>
      </c>
      <c r="J446" s="11" t="str">
        <f>+LEFT(U446,4)</f>
        <v>GLID</v>
      </c>
      <c r="K446" s="19" t="s">
        <v>10</v>
      </c>
      <c r="L446" s="19">
        <v>4200</v>
      </c>
      <c r="M446" s="19" t="s">
        <v>1472</v>
      </c>
      <c r="N446" s="19" t="s">
        <v>11</v>
      </c>
      <c r="O446" s="26">
        <v>6.6017999999999999</v>
      </c>
      <c r="P446" s="12">
        <f>ROUND(O446*L446,2)</f>
        <v>27727.56</v>
      </c>
      <c r="Q446" s="13">
        <f>IF(N446="HKD",7.8,IF(N446="CNY",7.30034,1))</f>
        <v>7.3003400000000003</v>
      </c>
      <c r="R446" s="15">
        <f>+ROUND(O446/Q446,4)</f>
        <v>0.90429999999999999</v>
      </c>
      <c r="S446" s="14">
        <f>ROUND(R446*L446,2)</f>
        <v>3798.06</v>
      </c>
      <c r="T446" s="15" t="s">
        <v>349</v>
      </c>
      <c r="U446" s="19" t="s">
        <v>78</v>
      </c>
    </row>
    <row r="447" spans="1:21" x14ac:dyDescent="0.2">
      <c r="A447" s="19" t="s">
        <v>862</v>
      </c>
      <c r="B447" s="20">
        <v>45660</v>
      </c>
      <c r="C447" s="20">
        <v>45638</v>
      </c>
      <c r="D447" s="19" t="s">
        <v>287</v>
      </c>
      <c r="E447" s="19" t="s">
        <v>288</v>
      </c>
      <c r="G447" s="19" t="s">
        <v>1286</v>
      </c>
      <c r="H447" s="19" t="s">
        <v>860</v>
      </c>
      <c r="I447" s="19" t="s">
        <v>861</v>
      </c>
      <c r="J447" s="11" t="str">
        <f>+LEFT(U447,4)</f>
        <v>GLID</v>
      </c>
      <c r="K447" s="19" t="s">
        <v>10</v>
      </c>
      <c r="L447" s="19">
        <v>1985</v>
      </c>
      <c r="M447" s="19" t="s">
        <v>1472</v>
      </c>
      <c r="N447" s="19" t="s">
        <v>11</v>
      </c>
      <c r="O447" s="26">
        <v>7.2716000000000003</v>
      </c>
      <c r="P447" s="12">
        <f>ROUND(O447*L447,2)</f>
        <v>14434.13</v>
      </c>
      <c r="Q447" s="13">
        <f>IF(N447="HKD",7.8,IF(N447="CNY",7.30034,1))</f>
        <v>7.3003400000000003</v>
      </c>
      <c r="R447" s="15">
        <f>+ROUND(O447/Q447,4)</f>
        <v>0.99609999999999999</v>
      </c>
      <c r="S447" s="14">
        <f>ROUND(R447*L447,2)</f>
        <v>1977.26</v>
      </c>
      <c r="T447" s="15" t="s">
        <v>349</v>
      </c>
      <c r="U447" s="19" t="s">
        <v>78</v>
      </c>
    </row>
    <row r="448" spans="1:21" x14ac:dyDescent="0.2">
      <c r="A448" s="19" t="s">
        <v>847</v>
      </c>
      <c r="B448" s="20">
        <v>45660</v>
      </c>
      <c r="C448" s="20">
        <v>45638</v>
      </c>
      <c r="D448" s="19" t="s">
        <v>287</v>
      </c>
      <c r="E448" s="19" t="s">
        <v>288</v>
      </c>
      <c r="G448" s="19" t="s">
        <v>1286</v>
      </c>
      <c r="H448" s="19" t="s">
        <v>845</v>
      </c>
      <c r="I448" s="19" t="s">
        <v>846</v>
      </c>
      <c r="J448" s="11" t="str">
        <f>+LEFT(U448,4)</f>
        <v>GLID</v>
      </c>
      <c r="K448" s="19" t="s">
        <v>10</v>
      </c>
      <c r="L448" s="19">
        <v>1435</v>
      </c>
      <c r="M448" s="19" t="s">
        <v>1472</v>
      </c>
      <c r="N448" s="19" t="s">
        <v>11</v>
      </c>
      <c r="O448" s="26">
        <v>8.6631999999999998</v>
      </c>
      <c r="P448" s="12">
        <f>ROUND(O448*L448,2)</f>
        <v>12431.69</v>
      </c>
      <c r="Q448" s="13">
        <f>IF(N448="HKD",7.8,IF(N448="CNY",7.30034,1))</f>
        <v>7.3003400000000003</v>
      </c>
      <c r="R448" s="15">
        <f>+ROUND(O448/Q448,4)</f>
        <v>1.1867000000000001</v>
      </c>
      <c r="S448" s="14">
        <f>ROUND(R448*L448,2)</f>
        <v>1702.91</v>
      </c>
      <c r="T448" s="15" t="s">
        <v>349</v>
      </c>
      <c r="U448" s="19" t="s">
        <v>78</v>
      </c>
    </row>
    <row r="449" spans="1:21" x14ac:dyDescent="0.2">
      <c r="A449" s="19" t="s">
        <v>840</v>
      </c>
      <c r="B449" s="20">
        <v>45660</v>
      </c>
      <c r="C449" s="20">
        <v>45638</v>
      </c>
      <c r="D449" s="19" t="s">
        <v>287</v>
      </c>
      <c r="E449" s="19" t="s">
        <v>288</v>
      </c>
      <c r="G449" s="19" t="s">
        <v>1286</v>
      </c>
      <c r="H449" s="19" t="s">
        <v>838</v>
      </c>
      <c r="I449" s="19" t="s">
        <v>839</v>
      </c>
      <c r="J449" s="11" t="str">
        <f>+LEFT(U449,4)</f>
        <v>GLID</v>
      </c>
      <c r="K449" s="19" t="s">
        <v>10</v>
      </c>
      <c r="L449" s="19">
        <v>2800</v>
      </c>
      <c r="M449" s="19" t="s">
        <v>1472</v>
      </c>
      <c r="N449" s="19" t="s">
        <v>11</v>
      </c>
      <c r="O449" s="26">
        <v>9.31</v>
      </c>
      <c r="P449" s="12">
        <f>ROUND(O449*L449,2)</f>
        <v>26068</v>
      </c>
      <c r="Q449" s="13">
        <f>IF(N449="HKD",7.8,IF(N449="CNY",7.30034,1))</f>
        <v>7.3003400000000003</v>
      </c>
      <c r="R449" s="15">
        <f>+ROUND(O449/Q449,4)</f>
        <v>1.2753000000000001</v>
      </c>
      <c r="S449" s="14">
        <f>ROUND(R449*L449,2)</f>
        <v>3570.84</v>
      </c>
      <c r="T449" s="15" t="s">
        <v>349</v>
      </c>
      <c r="U449" s="19" t="s">
        <v>78</v>
      </c>
    </row>
    <row r="450" spans="1:21" x14ac:dyDescent="0.2">
      <c r="A450" s="19" t="s">
        <v>1291</v>
      </c>
      <c r="B450" s="20">
        <v>45660</v>
      </c>
      <c r="C450" s="20">
        <v>45639</v>
      </c>
      <c r="D450" s="19" t="s">
        <v>252</v>
      </c>
      <c r="E450" s="19" t="s">
        <v>253</v>
      </c>
      <c r="G450" s="19" t="s">
        <v>1290</v>
      </c>
      <c r="H450" s="19" t="s">
        <v>250</v>
      </c>
      <c r="I450" s="19" t="s">
        <v>251</v>
      </c>
      <c r="J450" s="11" t="str">
        <f>+LEFT(U450,4)</f>
        <v>GLID</v>
      </c>
      <c r="K450" s="19" t="s">
        <v>10</v>
      </c>
      <c r="L450" s="19">
        <v>4010</v>
      </c>
      <c r="M450" s="19" t="s">
        <v>1472</v>
      </c>
      <c r="N450" s="19" t="s">
        <v>11</v>
      </c>
      <c r="O450" s="26">
        <v>10.7476</v>
      </c>
      <c r="P450" s="12">
        <f>ROUND(O450*L450,2)</f>
        <v>43097.88</v>
      </c>
      <c r="Q450" s="13">
        <f>IF(N450="HKD",7.8,IF(N450="CNY",7.30034,1))</f>
        <v>7.3003400000000003</v>
      </c>
      <c r="R450" s="15">
        <f>+ROUND(O450/Q450,4)</f>
        <v>1.4722</v>
      </c>
      <c r="S450" s="14">
        <f>ROUND(R450*L450,2)</f>
        <v>5903.52</v>
      </c>
      <c r="T450" s="15" t="s">
        <v>349</v>
      </c>
      <c r="U450" s="19" t="s">
        <v>78</v>
      </c>
    </row>
    <row r="451" spans="1:21" x14ac:dyDescent="0.2">
      <c r="A451" s="19" t="s">
        <v>1289</v>
      </c>
      <c r="B451" s="20">
        <v>45660</v>
      </c>
      <c r="C451" s="20">
        <v>45639</v>
      </c>
      <c r="D451" s="19" t="s">
        <v>252</v>
      </c>
      <c r="E451" s="19" t="s">
        <v>253</v>
      </c>
      <c r="G451" s="19" t="s">
        <v>1290</v>
      </c>
      <c r="H451" s="19" t="s">
        <v>775</v>
      </c>
      <c r="I451" s="19" t="s">
        <v>776</v>
      </c>
      <c r="J451" s="11" t="str">
        <f>+LEFT(U451,4)</f>
        <v>GLID</v>
      </c>
      <c r="K451" s="19" t="s">
        <v>10</v>
      </c>
      <c r="L451" s="19">
        <v>1910</v>
      </c>
      <c r="M451" s="19" t="s">
        <v>1472</v>
      </c>
      <c r="N451" s="19" t="s">
        <v>11</v>
      </c>
      <c r="O451" s="26">
        <v>13.6808</v>
      </c>
      <c r="P451" s="12">
        <f>ROUND(O451*L451,2)</f>
        <v>26130.33</v>
      </c>
      <c r="Q451" s="13">
        <f>IF(N451="HKD",7.8,IF(N451="CNY",7.30034,1))</f>
        <v>7.3003400000000003</v>
      </c>
      <c r="R451" s="15">
        <f>+ROUND(O451/Q451,4)</f>
        <v>1.8740000000000001</v>
      </c>
      <c r="S451" s="14">
        <f>ROUND(R451*L451,2)</f>
        <v>3579.34</v>
      </c>
      <c r="T451" s="15" t="s">
        <v>349</v>
      </c>
      <c r="U451" s="19" t="s">
        <v>78</v>
      </c>
    </row>
    <row r="452" spans="1:21" x14ac:dyDescent="0.2">
      <c r="A452" s="19" t="s">
        <v>1189</v>
      </c>
      <c r="B452" s="20">
        <v>45663</v>
      </c>
      <c r="C452" s="20">
        <v>45643</v>
      </c>
      <c r="D452" s="19" t="s">
        <v>149</v>
      </c>
      <c r="E452" s="19" t="s">
        <v>150</v>
      </c>
      <c r="G452" s="19" t="s">
        <v>1182</v>
      </c>
      <c r="H452" s="19" t="s">
        <v>1187</v>
      </c>
      <c r="I452" s="19" t="s">
        <v>1188</v>
      </c>
      <c r="J452" s="11" t="str">
        <f>+LEFT(U452,4)</f>
        <v>GLID</v>
      </c>
      <c r="K452" s="19" t="s">
        <v>10</v>
      </c>
      <c r="L452" s="19">
        <v>1220</v>
      </c>
      <c r="M452" s="19" t="s">
        <v>1472</v>
      </c>
      <c r="N452" s="19" t="s">
        <v>11</v>
      </c>
      <c r="O452" s="26">
        <v>2.5366</v>
      </c>
      <c r="P452" s="12">
        <f>ROUND(O452*L452,2)</f>
        <v>3094.65</v>
      </c>
      <c r="Q452" s="13">
        <f>IF(N452="HKD",7.8,IF(N452="CNY",7.30034,1))</f>
        <v>7.3003400000000003</v>
      </c>
      <c r="R452" s="15">
        <f>+ROUND(O452/Q452,4)</f>
        <v>0.34749999999999998</v>
      </c>
      <c r="S452" s="14">
        <f>ROUND(R452*L452,2)</f>
        <v>423.95</v>
      </c>
      <c r="T452" s="15" t="s">
        <v>349</v>
      </c>
      <c r="U452" s="19" t="s">
        <v>78</v>
      </c>
    </row>
    <row r="453" spans="1:21" x14ac:dyDescent="0.2">
      <c r="A453" s="19" t="s">
        <v>1185</v>
      </c>
      <c r="B453" s="20">
        <v>45663</v>
      </c>
      <c r="C453" s="20">
        <v>45609</v>
      </c>
      <c r="D453" s="19" t="s">
        <v>149</v>
      </c>
      <c r="E453" s="19" t="s">
        <v>150</v>
      </c>
      <c r="G453" s="19" t="s">
        <v>1182</v>
      </c>
      <c r="H453" s="19" t="s">
        <v>1183</v>
      </c>
      <c r="I453" s="19" t="s">
        <v>1184</v>
      </c>
      <c r="J453" s="11" t="str">
        <f>+LEFT(U453,4)</f>
        <v>GLID</v>
      </c>
      <c r="K453" s="19" t="s">
        <v>10</v>
      </c>
      <c r="L453" s="19">
        <v>1000</v>
      </c>
      <c r="M453" s="19" t="s">
        <v>1472</v>
      </c>
      <c r="N453" s="19" t="s">
        <v>11</v>
      </c>
      <c r="O453" s="26">
        <v>3.1461000000000001</v>
      </c>
      <c r="P453" s="12">
        <f>ROUND(O453*L453,2)</f>
        <v>3146.1</v>
      </c>
      <c r="Q453" s="13">
        <f>IF(N453="HKD",7.8,IF(N453="CNY",7.30034,1))</f>
        <v>7.3003400000000003</v>
      </c>
      <c r="R453" s="15">
        <f>+ROUND(O453/Q453,4)</f>
        <v>0.43099999999999999</v>
      </c>
      <c r="S453" s="14">
        <f>ROUND(R453*L453,2)</f>
        <v>431</v>
      </c>
      <c r="T453" s="15" t="s">
        <v>349</v>
      </c>
      <c r="U453" s="19" t="s">
        <v>78</v>
      </c>
    </row>
    <row r="454" spans="1:21" x14ac:dyDescent="0.2">
      <c r="A454" s="19" t="s">
        <v>1186</v>
      </c>
      <c r="B454" s="20">
        <v>45663</v>
      </c>
      <c r="C454" s="20">
        <v>45643</v>
      </c>
      <c r="D454" s="19" t="s">
        <v>149</v>
      </c>
      <c r="E454" s="19" t="s">
        <v>150</v>
      </c>
      <c r="G454" s="19" t="s">
        <v>1182</v>
      </c>
      <c r="H454" s="19" t="s">
        <v>1183</v>
      </c>
      <c r="I454" s="19" t="s">
        <v>1184</v>
      </c>
      <c r="J454" s="11" t="str">
        <f>+LEFT(U454,4)</f>
        <v>GLID</v>
      </c>
      <c r="K454" s="19" t="s">
        <v>10</v>
      </c>
      <c r="L454" s="19">
        <v>1730</v>
      </c>
      <c r="M454" s="19" t="s">
        <v>1472</v>
      </c>
      <c r="N454" s="19" t="s">
        <v>11</v>
      </c>
      <c r="O454" s="26">
        <v>3.1461000000000001</v>
      </c>
      <c r="P454" s="12">
        <f>ROUND(O454*L454,2)</f>
        <v>5442.75</v>
      </c>
      <c r="Q454" s="13">
        <f>IF(N454="HKD",7.8,IF(N454="CNY",7.30034,1))</f>
        <v>7.3003400000000003</v>
      </c>
      <c r="R454" s="15">
        <f>+ROUND(O454/Q454,4)</f>
        <v>0.43099999999999999</v>
      </c>
      <c r="S454" s="14">
        <f>ROUND(R454*L454,2)</f>
        <v>745.63</v>
      </c>
      <c r="T454" s="15" t="s">
        <v>349</v>
      </c>
      <c r="U454" s="19" t="s">
        <v>78</v>
      </c>
    </row>
    <row r="455" spans="1:21" x14ac:dyDescent="0.2">
      <c r="A455" s="19" t="s">
        <v>1181</v>
      </c>
      <c r="B455" s="20">
        <v>45663</v>
      </c>
      <c r="C455" s="20">
        <v>45643</v>
      </c>
      <c r="D455" s="19" t="s">
        <v>149</v>
      </c>
      <c r="E455" s="19" t="s">
        <v>150</v>
      </c>
      <c r="G455" s="19" t="s">
        <v>1182</v>
      </c>
      <c r="H455" s="19" t="s">
        <v>1179</v>
      </c>
      <c r="I455" s="19" t="s">
        <v>1180</v>
      </c>
      <c r="J455" s="11" t="str">
        <f>+LEFT(U455,4)</f>
        <v>GLID</v>
      </c>
      <c r="K455" s="19" t="s">
        <v>10</v>
      </c>
      <c r="L455" s="19">
        <v>1200</v>
      </c>
      <c r="M455" s="19" t="s">
        <v>1472</v>
      </c>
      <c r="N455" s="19" t="s">
        <v>11</v>
      </c>
      <c r="O455" s="26">
        <v>3.6753999999999998</v>
      </c>
      <c r="P455" s="12">
        <f>ROUND(O455*L455,2)</f>
        <v>4410.4799999999996</v>
      </c>
      <c r="Q455" s="13">
        <f>IF(N455="HKD",7.8,IF(N455="CNY",7.30034,1))</f>
        <v>7.3003400000000003</v>
      </c>
      <c r="R455" s="15">
        <f>+ROUND(O455/Q455,4)</f>
        <v>0.50349999999999995</v>
      </c>
      <c r="S455" s="14">
        <f>ROUND(R455*L455,2)</f>
        <v>604.20000000000005</v>
      </c>
      <c r="T455" s="15" t="s">
        <v>349</v>
      </c>
      <c r="U455" s="19" t="s">
        <v>78</v>
      </c>
    </row>
    <row r="456" spans="1:21" x14ac:dyDescent="0.2">
      <c r="A456" s="19" t="s">
        <v>1192</v>
      </c>
      <c r="B456" s="20">
        <v>45663</v>
      </c>
      <c r="C456" s="20">
        <v>45639</v>
      </c>
      <c r="D456" s="19" t="s">
        <v>149</v>
      </c>
      <c r="E456" s="19" t="s">
        <v>150</v>
      </c>
      <c r="G456" s="19" t="s">
        <v>1182</v>
      </c>
      <c r="H456" s="19" t="s">
        <v>1190</v>
      </c>
      <c r="I456" s="19" t="s">
        <v>1191</v>
      </c>
      <c r="J456" s="11" t="str">
        <f>+LEFT(U456,4)</f>
        <v>GLID</v>
      </c>
      <c r="K456" s="19" t="s">
        <v>10</v>
      </c>
      <c r="L456" s="19">
        <v>2530</v>
      </c>
      <c r="M456" s="19" t="s">
        <v>1472</v>
      </c>
      <c r="N456" s="19" t="s">
        <v>11</v>
      </c>
      <c r="O456" s="26">
        <v>4.3726000000000003</v>
      </c>
      <c r="P456" s="12">
        <f>ROUND(O456*L456,2)</f>
        <v>11062.68</v>
      </c>
      <c r="Q456" s="13">
        <f>IF(N456="HKD",7.8,IF(N456="CNY",7.30034,1))</f>
        <v>7.3003400000000003</v>
      </c>
      <c r="R456" s="15">
        <f>+ROUND(O456/Q456,4)</f>
        <v>0.59899999999999998</v>
      </c>
      <c r="S456" s="14">
        <f>ROUND(R456*L456,2)</f>
        <v>1515.47</v>
      </c>
      <c r="T456" s="15" t="s">
        <v>349</v>
      </c>
      <c r="U456" s="19" t="s">
        <v>78</v>
      </c>
    </row>
    <row r="457" spans="1:21" x14ac:dyDescent="0.2">
      <c r="A457" s="19" t="s">
        <v>1195</v>
      </c>
      <c r="B457" s="20">
        <v>45663</v>
      </c>
      <c r="C457" s="20">
        <v>45629</v>
      </c>
      <c r="D457" s="19" t="s">
        <v>149</v>
      </c>
      <c r="E457" s="19" t="s">
        <v>150</v>
      </c>
      <c r="G457" s="19" t="s">
        <v>1182</v>
      </c>
      <c r="H457" s="19" t="s">
        <v>1193</v>
      </c>
      <c r="I457" s="19" t="s">
        <v>1194</v>
      </c>
      <c r="J457" s="11" t="str">
        <f>+LEFT(U457,4)</f>
        <v>GLID</v>
      </c>
      <c r="K457" s="19" t="s">
        <v>10</v>
      </c>
      <c r="L457" s="19">
        <v>1040</v>
      </c>
      <c r="M457" s="19" t="s">
        <v>1472</v>
      </c>
      <c r="N457" s="19" t="s">
        <v>11</v>
      </c>
      <c r="O457" s="26">
        <v>4.4463999999999997</v>
      </c>
      <c r="P457" s="12">
        <f>ROUND(O457*L457,2)</f>
        <v>4624.26</v>
      </c>
      <c r="Q457" s="13">
        <f>IF(N457="HKD",7.8,IF(N457="CNY",7.30034,1))</f>
        <v>7.3003400000000003</v>
      </c>
      <c r="R457" s="15">
        <f>+ROUND(O457/Q457,4)</f>
        <v>0.60909999999999997</v>
      </c>
      <c r="S457" s="14">
        <f>ROUND(R457*L457,2)</f>
        <v>633.46</v>
      </c>
      <c r="T457" s="15" t="s">
        <v>349</v>
      </c>
      <c r="U457" s="19" t="s">
        <v>78</v>
      </c>
    </row>
    <row r="458" spans="1:21" x14ac:dyDescent="0.2">
      <c r="A458" s="19" t="s">
        <v>792</v>
      </c>
      <c r="B458" s="20">
        <v>45663</v>
      </c>
      <c r="C458" s="20">
        <v>45629</v>
      </c>
      <c r="D458" s="19" t="s">
        <v>149</v>
      </c>
      <c r="E458" s="19" t="s">
        <v>150</v>
      </c>
      <c r="G458" s="19" t="s">
        <v>1182</v>
      </c>
      <c r="H458" s="19" t="s">
        <v>790</v>
      </c>
      <c r="I458" s="19" t="s">
        <v>791</v>
      </c>
      <c r="J458" s="11" t="str">
        <f>+LEFT(U458,4)</f>
        <v>GLID</v>
      </c>
      <c r="K458" s="19" t="s">
        <v>10</v>
      </c>
      <c r="L458" s="19">
        <v>980</v>
      </c>
      <c r="M458" s="19" t="s">
        <v>1472</v>
      </c>
      <c r="N458" s="19" t="s">
        <v>11</v>
      </c>
      <c r="O458" s="26">
        <v>5.1580000000000004</v>
      </c>
      <c r="P458" s="12">
        <f>ROUND(O458*L458,2)</f>
        <v>5054.84</v>
      </c>
      <c r="Q458" s="13">
        <f>IF(N458="HKD",7.8,IF(N458="CNY",7.30034,1))</f>
        <v>7.3003400000000003</v>
      </c>
      <c r="R458" s="15">
        <f>+ROUND(O458/Q458,4)</f>
        <v>0.70650000000000002</v>
      </c>
      <c r="S458" s="14">
        <f>ROUND(R458*L458,2)</f>
        <v>692.37</v>
      </c>
      <c r="T458" s="15" t="s">
        <v>349</v>
      </c>
      <c r="U458" s="19" t="s">
        <v>78</v>
      </c>
    </row>
    <row r="459" spans="1:21" x14ac:dyDescent="0.2">
      <c r="A459" s="19" t="s">
        <v>853</v>
      </c>
      <c r="B459" s="20">
        <v>45663</v>
      </c>
      <c r="C459" s="20">
        <v>45638</v>
      </c>
      <c r="D459" s="19" t="s">
        <v>287</v>
      </c>
      <c r="E459" s="19" t="s">
        <v>288</v>
      </c>
      <c r="G459" s="19" t="s">
        <v>1275</v>
      </c>
      <c r="H459" s="19" t="s">
        <v>851</v>
      </c>
      <c r="I459" s="19" t="s">
        <v>852</v>
      </c>
      <c r="J459" s="11" t="str">
        <f>+LEFT(U459,4)</f>
        <v>GLID</v>
      </c>
      <c r="K459" s="19" t="s">
        <v>10</v>
      </c>
      <c r="L459" s="19">
        <v>3920</v>
      </c>
      <c r="M459" s="19" t="s">
        <v>1472</v>
      </c>
      <c r="N459" s="19" t="s">
        <v>11</v>
      </c>
      <c r="O459" s="26">
        <v>7.9870000000000001</v>
      </c>
      <c r="P459" s="12">
        <f>ROUND(O459*L459,2)</f>
        <v>31309.040000000001</v>
      </c>
      <c r="Q459" s="13">
        <f>IF(N459="HKD",7.8,IF(N459="CNY",7.30034,1))</f>
        <v>7.3003400000000003</v>
      </c>
      <c r="R459" s="15">
        <f>+ROUND(O459/Q459,4)</f>
        <v>1.0941000000000001</v>
      </c>
      <c r="S459" s="14">
        <f>ROUND(R459*L459,2)</f>
        <v>4288.87</v>
      </c>
      <c r="T459" s="15" t="s">
        <v>349</v>
      </c>
      <c r="U459" s="19" t="s">
        <v>78</v>
      </c>
    </row>
    <row r="460" spans="1:21" x14ac:dyDescent="0.2">
      <c r="A460" s="19" t="s">
        <v>844</v>
      </c>
      <c r="B460" s="20">
        <v>45663</v>
      </c>
      <c r="C460" s="20">
        <v>45638</v>
      </c>
      <c r="D460" s="19" t="s">
        <v>287</v>
      </c>
      <c r="E460" s="19" t="s">
        <v>288</v>
      </c>
      <c r="G460" s="19" t="s">
        <v>1275</v>
      </c>
      <c r="H460" s="19" t="s">
        <v>842</v>
      </c>
      <c r="I460" s="19" t="s">
        <v>843</v>
      </c>
      <c r="J460" s="11" t="str">
        <f>+LEFT(U460,4)</f>
        <v>GLID</v>
      </c>
      <c r="K460" s="19" t="s">
        <v>10</v>
      </c>
      <c r="L460" s="19">
        <v>1400</v>
      </c>
      <c r="M460" s="19" t="s">
        <v>1472</v>
      </c>
      <c r="N460" s="19" t="s">
        <v>11</v>
      </c>
      <c r="O460" s="26">
        <v>9.31</v>
      </c>
      <c r="P460" s="12">
        <f>ROUND(O460*L460,2)</f>
        <v>13034</v>
      </c>
      <c r="Q460" s="13">
        <f>IF(N460="HKD",7.8,IF(N460="CNY",7.30034,1))</f>
        <v>7.3003400000000003</v>
      </c>
      <c r="R460" s="15">
        <f>+ROUND(O460/Q460,4)</f>
        <v>1.2753000000000001</v>
      </c>
      <c r="S460" s="14">
        <f>ROUND(R460*L460,2)</f>
        <v>1785.42</v>
      </c>
      <c r="T460" s="15" t="s">
        <v>349</v>
      </c>
      <c r="U460" s="19" t="s">
        <v>78</v>
      </c>
    </row>
    <row r="461" spans="1:21" x14ac:dyDescent="0.2">
      <c r="A461" s="19" t="s">
        <v>856</v>
      </c>
      <c r="B461" s="20">
        <v>45664</v>
      </c>
      <c r="C461" s="20">
        <v>45638</v>
      </c>
      <c r="D461" s="19" t="s">
        <v>287</v>
      </c>
      <c r="E461" s="19" t="s">
        <v>288</v>
      </c>
      <c r="G461" s="19" t="s">
        <v>988</v>
      </c>
      <c r="H461" s="19" t="s">
        <v>854</v>
      </c>
      <c r="I461" s="19" t="s">
        <v>855</v>
      </c>
      <c r="J461" s="11" t="str">
        <f>+LEFT(U461,4)</f>
        <v>GLID</v>
      </c>
      <c r="K461" s="19" t="s">
        <v>10</v>
      </c>
      <c r="L461" s="19">
        <v>4060</v>
      </c>
      <c r="M461" s="19" t="s">
        <v>1472</v>
      </c>
      <c r="N461" s="19" t="s">
        <v>11</v>
      </c>
      <c r="O461" s="26">
        <v>7.9870000000000001</v>
      </c>
      <c r="P461" s="12">
        <f>ROUND(O461*L461,2)</f>
        <v>32427.22</v>
      </c>
      <c r="Q461" s="13">
        <f>IF(N461="HKD",7.8,IF(N461="CNY",7.30034,1))</f>
        <v>7.3003400000000003</v>
      </c>
      <c r="R461" s="15">
        <f>+ROUND(O461/Q461,4)</f>
        <v>1.0941000000000001</v>
      </c>
      <c r="S461" s="14">
        <f>ROUND(R461*L461,2)</f>
        <v>4442.05</v>
      </c>
      <c r="T461" s="15" t="s">
        <v>349</v>
      </c>
      <c r="U461" s="19" t="s">
        <v>78</v>
      </c>
    </row>
    <row r="462" spans="1:21" x14ac:dyDescent="0.2">
      <c r="A462" s="19" t="s">
        <v>844</v>
      </c>
      <c r="B462" s="20">
        <v>45664</v>
      </c>
      <c r="C462" s="20">
        <v>45638</v>
      </c>
      <c r="D462" s="19" t="s">
        <v>287</v>
      </c>
      <c r="E462" s="19" t="s">
        <v>288</v>
      </c>
      <c r="G462" s="19" t="s">
        <v>988</v>
      </c>
      <c r="H462" s="19" t="s">
        <v>842</v>
      </c>
      <c r="I462" s="19" t="s">
        <v>843</v>
      </c>
      <c r="J462" s="11" t="str">
        <f>+LEFT(U462,4)</f>
        <v>GLID</v>
      </c>
      <c r="K462" s="19" t="s">
        <v>10</v>
      </c>
      <c r="L462" s="19">
        <v>1400</v>
      </c>
      <c r="M462" s="19" t="s">
        <v>1472</v>
      </c>
      <c r="N462" s="19" t="s">
        <v>11</v>
      </c>
      <c r="O462" s="26">
        <v>9.31</v>
      </c>
      <c r="P462" s="12">
        <f>ROUND(O462*L462,2)</f>
        <v>13034</v>
      </c>
      <c r="Q462" s="13">
        <f>IF(N462="HKD",7.8,IF(N462="CNY",7.30034,1))</f>
        <v>7.3003400000000003</v>
      </c>
      <c r="R462" s="15">
        <f>+ROUND(O462/Q462,4)</f>
        <v>1.2753000000000001</v>
      </c>
      <c r="S462" s="14">
        <f>ROUND(R462*L462,2)</f>
        <v>1785.42</v>
      </c>
      <c r="T462" s="15" t="s">
        <v>349</v>
      </c>
      <c r="U462" s="19" t="s">
        <v>78</v>
      </c>
    </row>
    <row r="463" spans="1:21" x14ac:dyDescent="0.2">
      <c r="A463" s="19" t="s">
        <v>705</v>
      </c>
      <c r="B463" s="20">
        <v>45665</v>
      </c>
      <c r="C463" s="20">
        <v>45639</v>
      </c>
      <c r="D463" s="19" t="s">
        <v>287</v>
      </c>
      <c r="E463" s="19" t="s">
        <v>288</v>
      </c>
      <c r="G463" s="19" t="s">
        <v>938</v>
      </c>
      <c r="H463" s="19" t="s">
        <v>703</v>
      </c>
      <c r="I463" s="19" t="s">
        <v>704</v>
      </c>
      <c r="J463" s="11" t="s">
        <v>1478</v>
      </c>
      <c r="K463" s="19" t="s">
        <v>10</v>
      </c>
      <c r="L463" s="19">
        <v>2100</v>
      </c>
      <c r="M463" s="19" t="s">
        <v>1472</v>
      </c>
      <c r="N463" s="19" t="s">
        <v>11</v>
      </c>
      <c r="O463" s="26">
        <v>7.4237000000000002</v>
      </c>
      <c r="P463" s="12">
        <f>ROUND(O463*L463,2)</f>
        <v>15589.77</v>
      </c>
      <c r="Q463" s="13">
        <f>IF(N463="HKD",7.8,IF(N463="CNY",7.30034,1))</f>
        <v>7.3003400000000003</v>
      </c>
      <c r="R463" s="15">
        <f>+ROUND(O463/Q463,4)</f>
        <v>1.0168999999999999</v>
      </c>
      <c r="S463" s="14">
        <f>ROUND(R463*L463,2)</f>
        <v>2135.4899999999998</v>
      </c>
      <c r="T463" s="15" t="s">
        <v>349</v>
      </c>
      <c r="U463" s="19" t="s">
        <v>36</v>
      </c>
    </row>
    <row r="464" spans="1:21" x14ac:dyDescent="0.2">
      <c r="A464" s="19" t="s">
        <v>937</v>
      </c>
      <c r="B464" s="20">
        <v>45665</v>
      </c>
      <c r="C464" s="20">
        <v>45639</v>
      </c>
      <c r="D464" s="19" t="s">
        <v>287</v>
      </c>
      <c r="E464" s="19" t="s">
        <v>288</v>
      </c>
      <c r="G464" s="19" t="s">
        <v>938</v>
      </c>
      <c r="H464" s="19" t="s">
        <v>935</v>
      </c>
      <c r="I464" s="19" t="s">
        <v>936</v>
      </c>
      <c r="J464" s="11" t="s">
        <v>1478</v>
      </c>
      <c r="K464" s="19" t="s">
        <v>10</v>
      </c>
      <c r="L464" s="19">
        <v>2100</v>
      </c>
      <c r="M464" s="19" t="s">
        <v>1472</v>
      </c>
      <c r="N464" s="19" t="s">
        <v>11</v>
      </c>
      <c r="O464" s="26">
        <v>7.4237000000000002</v>
      </c>
      <c r="P464" s="12">
        <f>ROUND(O464*L464,2)</f>
        <v>15589.77</v>
      </c>
      <c r="Q464" s="13">
        <f>IF(N464="HKD",7.8,IF(N464="CNY",7.30034,1))</f>
        <v>7.3003400000000003</v>
      </c>
      <c r="R464" s="15">
        <f>+ROUND(O464/Q464,4)</f>
        <v>1.0168999999999999</v>
      </c>
      <c r="S464" s="14">
        <f>ROUND(R464*L464,2)</f>
        <v>2135.4899999999998</v>
      </c>
      <c r="T464" s="15" t="s">
        <v>349</v>
      </c>
      <c r="U464" s="19" t="s">
        <v>36</v>
      </c>
    </row>
    <row r="465" spans="1:21" x14ac:dyDescent="0.2">
      <c r="A465" s="19" t="s">
        <v>844</v>
      </c>
      <c r="B465" s="20">
        <v>45665</v>
      </c>
      <c r="C465" s="20">
        <v>45638</v>
      </c>
      <c r="D465" s="19" t="s">
        <v>287</v>
      </c>
      <c r="E465" s="19" t="s">
        <v>288</v>
      </c>
      <c r="G465" s="19" t="s">
        <v>938</v>
      </c>
      <c r="H465" s="19" t="s">
        <v>842</v>
      </c>
      <c r="I465" s="19" t="s">
        <v>843</v>
      </c>
      <c r="J465" s="11" t="str">
        <f>+LEFT(U465,4)</f>
        <v>GLID</v>
      </c>
      <c r="K465" s="19" t="s">
        <v>10</v>
      </c>
      <c r="L465" s="19">
        <v>1200</v>
      </c>
      <c r="M465" s="19" t="s">
        <v>1472</v>
      </c>
      <c r="N465" s="19" t="s">
        <v>11</v>
      </c>
      <c r="O465" s="26">
        <v>9.31</v>
      </c>
      <c r="P465" s="12">
        <f>ROUND(O465*L465,2)</f>
        <v>11172</v>
      </c>
      <c r="Q465" s="13">
        <f>IF(N465="HKD",7.8,IF(N465="CNY",7.30034,1))</f>
        <v>7.3003400000000003</v>
      </c>
      <c r="R465" s="15">
        <f>+ROUND(O465/Q465,4)</f>
        <v>1.2753000000000001</v>
      </c>
      <c r="S465" s="14">
        <f>ROUND(R465*L465,2)</f>
        <v>1530.36</v>
      </c>
      <c r="T465" s="15" t="s">
        <v>349</v>
      </c>
      <c r="U465" s="19" t="s">
        <v>78</v>
      </c>
    </row>
    <row r="466" spans="1:21" x14ac:dyDescent="0.2">
      <c r="A466" s="19" t="s">
        <v>840</v>
      </c>
      <c r="B466" s="20">
        <v>45665</v>
      </c>
      <c r="C466" s="20">
        <v>45638</v>
      </c>
      <c r="D466" s="19" t="s">
        <v>287</v>
      </c>
      <c r="E466" s="19" t="s">
        <v>288</v>
      </c>
      <c r="G466" s="19" t="s">
        <v>938</v>
      </c>
      <c r="H466" s="19" t="s">
        <v>838</v>
      </c>
      <c r="I466" s="19" t="s">
        <v>839</v>
      </c>
      <c r="J466" s="11" t="str">
        <f>+LEFT(U466,4)</f>
        <v>GLID</v>
      </c>
      <c r="K466" s="19" t="s">
        <v>10</v>
      </c>
      <c r="L466" s="19">
        <v>1400</v>
      </c>
      <c r="M466" s="19" t="s">
        <v>1472</v>
      </c>
      <c r="N466" s="19" t="s">
        <v>11</v>
      </c>
      <c r="O466" s="26">
        <v>9.31</v>
      </c>
      <c r="P466" s="12">
        <f>ROUND(O466*L466,2)</f>
        <v>13034</v>
      </c>
      <c r="Q466" s="13">
        <f>IF(N466="HKD",7.8,IF(N466="CNY",7.30034,1))</f>
        <v>7.3003400000000003</v>
      </c>
      <c r="R466" s="15">
        <f>+ROUND(O466/Q466,4)</f>
        <v>1.2753000000000001</v>
      </c>
      <c r="S466" s="14">
        <f>ROUND(R466*L466,2)</f>
        <v>1785.42</v>
      </c>
      <c r="T466" s="15" t="s">
        <v>349</v>
      </c>
      <c r="U466" s="19" t="s">
        <v>78</v>
      </c>
    </row>
    <row r="467" spans="1:21" x14ac:dyDescent="0.2">
      <c r="A467" s="19" t="s">
        <v>863</v>
      </c>
      <c r="B467" s="20">
        <v>45666</v>
      </c>
      <c r="C467" s="20">
        <v>45638</v>
      </c>
      <c r="D467" s="19" t="s">
        <v>287</v>
      </c>
      <c r="E467" s="19" t="s">
        <v>288</v>
      </c>
      <c r="G467" s="19" t="s">
        <v>841</v>
      </c>
      <c r="H467" s="19" t="s">
        <v>79</v>
      </c>
      <c r="I467" s="19" t="s">
        <v>80</v>
      </c>
      <c r="J467" s="11" t="s">
        <v>1478</v>
      </c>
      <c r="K467" s="19" t="s">
        <v>10</v>
      </c>
      <c r="L467" s="19">
        <v>518</v>
      </c>
      <c r="M467" s="19" t="s">
        <v>1472</v>
      </c>
      <c r="N467" s="19" t="s">
        <v>11</v>
      </c>
      <c r="O467" s="26">
        <v>6.4610000000000003</v>
      </c>
      <c r="P467" s="12">
        <f>ROUND(O467*L467,2)</f>
        <v>3346.8</v>
      </c>
      <c r="Q467" s="13">
        <f>IF(N467="HKD",7.8,IF(N467="CNY",7.30034,1))</f>
        <v>7.3003400000000003</v>
      </c>
      <c r="R467" s="15">
        <f>+ROUND(O467/Q467,4)</f>
        <v>0.88500000000000001</v>
      </c>
      <c r="S467" s="14">
        <f>ROUND(R467*L467,2)</f>
        <v>458.43</v>
      </c>
      <c r="T467" s="15" t="s">
        <v>349</v>
      </c>
      <c r="U467" s="19" t="s">
        <v>36</v>
      </c>
    </row>
    <row r="468" spans="1:21" x14ac:dyDescent="0.2">
      <c r="A468" s="19" t="s">
        <v>705</v>
      </c>
      <c r="B468" s="20">
        <v>45666</v>
      </c>
      <c r="C468" s="20">
        <v>45639</v>
      </c>
      <c r="D468" s="19" t="s">
        <v>287</v>
      </c>
      <c r="E468" s="19" t="s">
        <v>288</v>
      </c>
      <c r="G468" s="19" t="s">
        <v>837</v>
      </c>
      <c r="H468" s="19" t="s">
        <v>703</v>
      </c>
      <c r="I468" s="19" t="s">
        <v>704</v>
      </c>
      <c r="J468" s="11" t="s">
        <v>1478</v>
      </c>
      <c r="K468" s="19" t="s">
        <v>10</v>
      </c>
      <c r="L468" s="19">
        <v>314</v>
      </c>
      <c r="M468" s="19" t="s">
        <v>1472</v>
      </c>
      <c r="N468" s="19" t="s">
        <v>11</v>
      </c>
      <c r="O468" s="26">
        <v>7.4237000000000002</v>
      </c>
      <c r="P468" s="12">
        <f>ROUND(O468*L468,2)</f>
        <v>2331.04</v>
      </c>
      <c r="Q468" s="13">
        <f>IF(N468="HKD",7.8,IF(N468="CNY",7.30034,1))</f>
        <v>7.3003400000000003</v>
      </c>
      <c r="R468" s="15">
        <f>+ROUND(O468/Q468,4)</f>
        <v>1.0168999999999999</v>
      </c>
      <c r="S468" s="14">
        <f>ROUND(R468*L468,2)</f>
        <v>319.31</v>
      </c>
      <c r="T468" s="15" t="s">
        <v>349</v>
      </c>
      <c r="U468" s="19" t="s">
        <v>36</v>
      </c>
    </row>
    <row r="469" spans="1:21" x14ac:dyDescent="0.2">
      <c r="A469" s="19" t="s">
        <v>789</v>
      </c>
      <c r="B469" s="20">
        <v>45666</v>
      </c>
      <c r="C469" s="20">
        <v>45643</v>
      </c>
      <c r="D469" s="19" t="s">
        <v>149</v>
      </c>
      <c r="E469" s="19" t="s">
        <v>150</v>
      </c>
      <c r="G469" s="19" t="s">
        <v>784</v>
      </c>
      <c r="H469" s="19" t="s">
        <v>786</v>
      </c>
      <c r="I469" s="19" t="s">
        <v>787</v>
      </c>
      <c r="J469" s="11" t="str">
        <f>+LEFT(U469,4)</f>
        <v>GLID</v>
      </c>
      <c r="K469" s="19" t="s">
        <v>10</v>
      </c>
      <c r="L469" s="19">
        <v>1200</v>
      </c>
      <c r="M469" s="19" t="s">
        <v>1472</v>
      </c>
      <c r="N469" s="19" t="s">
        <v>11</v>
      </c>
      <c r="O469" s="26">
        <v>2.7494000000000001</v>
      </c>
      <c r="P469" s="12">
        <f>ROUND(O469*L469,2)</f>
        <v>3299.28</v>
      </c>
      <c r="Q469" s="13">
        <f>IF(N469="HKD",7.8,IF(N469="CNY",7.30034,1))</f>
        <v>7.3003400000000003</v>
      </c>
      <c r="R469" s="15">
        <f>+ROUND(O469/Q469,4)</f>
        <v>0.37659999999999999</v>
      </c>
      <c r="S469" s="14">
        <f>ROUND(R469*L469,2)</f>
        <v>451.92</v>
      </c>
      <c r="T469" s="15" t="s">
        <v>349</v>
      </c>
      <c r="U469" s="19" t="s">
        <v>78</v>
      </c>
    </row>
    <row r="470" spans="1:21" x14ac:dyDescent="0.2">
      <c r="A470" s="19" t="s">
        <v>788</v>
      </c>
      <c r="B470" s="20">
        <v>45666</v>
      </c>
      <c r="C470" s="20">
        <v>45646</v>
      </c>
      <c r="D470" s="19" t="s">
        <v>149</v>
      </c>
      <c r="E470" s="19" t="s">
        <v>150</v>
      </c>
      <c r="G470" s="19" t="s">
        <v>784</v>
      </c>
      <c r="H470" s="19" t="s">
        <v>786</v>
      </c>
      <c r="I470" s="19" t="s">
        <v>787</v>
      </c>
      <c r="J470" s="11" t="str">
        <f>+LEFT(U470,4)</f>
        <v>GLID</v>
      </c>
      <c r="K470" s="19" t="s">
        <v>10</v>
      </c>
      <c r="L470" s="19">
        <v>510</v>
      </c>
      <c r="M470" s="19" t="s">
        <v>1472</v>
      </c>
      <c r="N470" s="19" t="s">
        <v>11</v>
      </c>
      <c r="O470" s="26">
        <v>2.7494000000000001</v>
      </c>
      <c r="P470" s="12">
        <f>ROUND(O470*L470,2)</f>
        <v>1402.19</v>
      </c>
      <c r="Q470" s="13">
        <f>IF(N470="HKD",7.8,IF(N470="CNY",7.30034,1))</f>
        <v>7.3003400000000003</v>
      </c>
      <c r="R470" s="15">
        <f>+ROUND(O470/Q470,4)</f>
        <v>0.37659999999999999</v>
      </c>
      <c r="S470" s="14">
        <f>ROUND(R470*L470,2)</f>
        <v>192.07</v>
      </c>
      <c r="T470" s="15" t="s">
        <v>349</v>
      </c>
      <c r="U470" s="19" t="s">
        <v>78</v>
      </c>
    </row>
    <row r="471" spans="1:21" x14ac:dyDescent="0.2">
      <c r="A471" s="19" t="s">
        <v>785</v>
      </c>
      <c r="B471" s="20">
        <v>45666</v>
      </c>
      <c r="C471" s="20">
        <v>45609</v>
      </c>
      <c r="D471" s="19" t="s">
        <v>149</v>
      </c>
      <c r="E471" s="19" t="s">
        <v>150</v>
      </c>
      <c r="G471" s="19" t="s">
        <v>784</v>
      </c>
      <c r="H471" s="19" t="s">
        <v>781</v>
      </c>
      <c r="I471" s="19" t="s">
        <v>782</v>
      </c>
      <c r="J471" s="11" t="str">
        <f>+LEFT(U471,4)</f>
        <v>GLID</v>
      </c>
      <c r="K471" s="19" t="s">
        <v>10</v>
      </c>
      <c r="L471" s="19">
        <v>530</v>
      </c>
      <c r="M471" s="19" t="s">
        <v>1472</v>
      </c>
      <c r="N471" s="19" t="s">
        <v>11</v>
      </c>
      <c r="O471" s="26">
        <v>3.1166</v>
      </c>
      <c r="P471" s="12">
        <f>ROUND(O471*L471,2)</f>
        <v>1651.8</v>
      </c>
      <c r="Q471" s="13">
        <f>IF(N471="HKD",7.8,IF(N471="CNY",7.30034,1))</f>
        <v>7.3003400000000003</v>
      </c>
      <c r="R471" s="15">
        <f>+ROUND(O471/Q471,4)</f>
        <v>0.4269</v>
      </c>
      <c r="S471" s="14">
        <f>ROUND(R471*L471,2)</f>
        <v>226.26</v>
      </c>
      <c r="T471" s="15" t="s">
        <v>349</v>
      </c>
      <c r="U471" s="19" t="s">
        <v>78</v>
      </c>
    </row>
    <row r="472" spans="1:21" x14ac:dyDescent="0.2">
      <c r="A472" s="19" t="s">
        <v>783</v>
      </c>
      <c r="B472" s="20">
        <v>45666</v>
      </c>
      <c r="C472" s="20">
        <v>45650</v>
      </c>
      <c r="D472" s="19" t="s">
        <v>149</v>
      </c>
      <c r="E472" s="19" t="s">
        <v>150</v>
      </c>
      <c r="G472" s="19" t="s">
        <v>784</v>
      </c>
      <c r="H472" s="19" t="s">
        <v>781</v>
      </c>
      <c r="I472" s="19" t="s">
        <v>782</v>
      </c>
      <c r="J472" s="11" t="str">
        <f>+LEFT(U472,4)</f>
        <v>GLID</v>
      </c>
      <c r="K472" s="19" t="s">
        <v>10</v>
      </c>
      <c r="L472" s="19">
        <v>500</v>
      </c>
      <c r="M472" s="19" t="s">
        <v>1472</v>
      </c>
      <c r="N472" s="19" t="s">
        <v>11</v>
      </c>
      <c r="O472" s="26">
        <v>3.1166</v>
      </c>
      <c r="P472" s="12">
        <f>ROUND(O472*L472,2)</f>
        <v>1558.3</v>
      </c>
      <c r="Q472" s="13">
        <f>IF(N472="HKD",7.8,IF(N472="CNY",7.30034,1))</f>
        <v>7.3003400000000003</v>
      </c>
      <c r="R472" s="15">
        <f>+ROUND(O472/Q472,4)</f>
        <v>0.4269</v>
      </c>
      <c r="S472" s="14">
        <f>ROUND(R472*L472,2)</f>
        <v>213.45</v>
      </c>
      <c r="T472" s="15" t="s">
        <v>349</v>
      </c>
      <c r="U472" s="19" t="s">
        <v>78</v>
      </c>
    </row>
    <row r="473" spans="1:21" x14ac:dyDescent="0.2">
      <c r="A473" s="19" t="s">
        <v>907</v>
      </c>
      <c r="B473" s="20">
        <v>45666</v>
      </c>
      <c r="C473" s="20">
        <v>45614</v>
      </c>
      <c r="D473" s="19" t="s">
        <v>898</v>
      </c>
      <c r="E473" s="19" t="s">
        <v>899</v>
      </c>
      <c r="G473" s="19" t="s">
        <v>901</v>
      </c>
      <c r="H473" s="19" t="s">
        <v>905</v>
      </c>
      <c r="I473" s="19" t="s">
        <v>906</v>
      </c>
      <c r="J473" s="11" t="str">
        <f>+LEFT(U473,4)</f>
        <v>GLID</v>
      </c>
      <c r="K473" s="19" t="s">
        <v>10</v>
      </c>
      <c r="L473" s="19">
        <v>1020</v>
      </c>
      <c r="M473" s="19" t="s">
        <v>1472</v>
      </c>
      <c r="N473" s="19" t="s">
        <v>11</v>
      </c>
      <c r="O473" s="26">
        <v>3.5017</v>
      </c>
      <c r="P473" s="12">
        <f>ROUND(O473*L473,2)</f>
        <v>3571.73</v>
      </c>
      <c r="Q473" s="13">
        <f>IF(N473="HKD",7.8,IF(N473="CNY",7.30034,1))</f>
        <v>7.3003400000000003</v>
      </c>
      <c r="R473" s="15">
        <f>+ROUND(O473/Q473,4)</f>
        <v>0.47970000000000002</v>
      </c>
      <c r="S473" s="14">
        <f>ROUND(R473*L473,2)</f>
        <v>489.29</v>
      </c>
      <c r="T473" s="15" t="s">
        <v>349</v>
      </c>
      <c r="U473" s="19" t="s">
        <v>78</v>
      </c>
    </row>
    <row r="474" spans="1:21" x14ac:dyDescent="0.2">
      <c r="A474" s="19" t="s">
        <v>792</v>
      </c>
      <c r="B474" s="20">
        <v>45666</v>
      </c>
      <c r="C474" s="20">
        <v>45629</v>
      </c>
      <c r="D474" s="19" t="s">
        <v>149</v>
      </c>
      <c r="E474" s="19" t="s">
        <v>150</v>
      </c>
      <c r="G474" s="19" t="s">
        <v>784</v>
      </c>
      <c r="H474" s="19" t="s">
        <v>790</v>
      </c>
      <c r="I474" s="19" t="s">
        <v>791</v>
      </c>
      <c r="J474" s="11" t="str">
        <f>+LEFT(U474,4)</f>
        <v>GLID</v>
      </c>
      <c r="K474" s="19" t="s">
        <v>10</v>
      </c>
      <c r="L474" s="19">
        <v>20</v>
      </c>
      <c r="M474" s="19" t="s">
        <v>1472</v>
      </c>
      <c r="N474" s="19" t="s">
        <v>11</v>
      </c>
      <c r="O474" s="26">
        <v>5.1580000000000004</v>
      </c>
      <c r="P474" s="12">
        <f>ROUND(O474*L474,2)</f>
        <v>103.16</v>
      </c>
      <c r="Q474" s="13">
        <f>IF(N474="HKD",7.8,IF(N474="CNY",7.30034,1))</f>
        <v>7.3003400000000003</v>
      </c>
      <c r="R474" s="15">
        <f>+ROUND(O474/Q474,4)</f>
        <v>0.70650000000000002</v>
      </c>
      <c r="S474" s="14">
        <f>ROUND(R474*L474,2)</f>
        <v>14.13</v>
      </c>
      <c r="T474" s="15" t="s">
        <v>349</v>
      </c>
      <c r="U474" s="19" t="s">
        <v>78</v>
      </c>
    </row>
    <row r="475" spans="1:21" x14ac:dyDescent="0.2">
      <c r="A475" s="19" t="s">
        <v>862</v>
      </c>
      <c r="B475" s="20">
        <v>45666</v>
      </c>
      <c r="C475" s="20">
        <v>45638</v>
      </c>
      <c r="D475" s="19" t="s">
        <v>287</v>
      </c>
      <c r="E475" s="19" t="s">
        <v>288</v>
      </c>
      <c r="G475" s="19" t="s">
        <v>841</v>
      </c>
      <c r="H475" s="19" t="s">
        <v>860</v>
      </c>
      <c r="I475" s="19" t="s">
        <v>861</v>
      </c>
      <c r="J475" s="11" t="str">
        <f>+LEFT(U475,4)</f>
        <v>GLID</v>
      </c>
      <c r="K475" s="19" t="s">
        <v>10</v>
      </c>
      <c r="L475" s="19">
        <v>175</v>
      </c>
      <c r="M475" s="19" t="s">
        <v>1472</v>
      </c>
      <c r="N475" s="19" t="s">
        <v>11</v>
      </c>
      <c r="O475" s="26">
        <v>7.2716000000000003</v>
      </c>
      <c r="P475" s="12">
        <f>ROUND(O475*L475,2)</f>
        <v>1272.53</v>
      </c>
      <c r="Q475" s="13">
        <f>IF(N475="HKD",7.8,IF(N475="CNY",7.30034,1))</f>
        <v>7.3003400000000003</v>
      </c>
      <c r="R475" s="15">
        <f>+ROUND(O475/Q475,4)</f>
        <v>0.99609999999999999</v>
      </c>
      <c r="S475" s="14">
        <f>ROUND(R475*L475,2)</f>
        <v>174.32</v>
      </c>
      <c r="T475" s="15" t="s">
        <v>349</v>
      </c>
      <c r="U475" s="19" t="s">
        <v>78</v>
      </c>
    </row>
    <row r="476" spans="1:21" x14ac:dyDescent="0.2">
      <c r="A476" s="19" t="s">
        <v>859</v>
      </c>
      <c r="B476" s="20">
        <v>45666</v>
      </c>
      <c r="C476" s="20">
        <v>45638</v>
      </c>
      <c r="D476" s="19" t="s">
        <v>287</v>
      </c>
      <c r="E476" s="19" t="s">
        <v>288</v>
      </c>
      <c r="G476" s="19" t="s">
        <v>841</v>
      </c>
      <c r="H476" s="19" t="s">
        <v>857</v>
      </c>
      <c r="I476" s="19" t="s">
        <v>858</v>
      </c>
      <c r="J476" s="11" t="str">
        <f>+LEFT(U476,4)</f>
        <v>GLID</v>
      </c>
      <c r="K476" s="19" t="s">
        <v>10</v>
      </c>
      <c r="L476" s="19">
        <v>1040</v>
      </c>
      <c r="M476" s="19" t="s">
        <v>1472</v>
      </c>
      <c r="N476" s="19" t="s">
        <v>11</v>
      </c>
      <c r="O476" s="26">
        <v>7.2716000000000003</v>
      </c>
      <c r="P476" s="12">
        <f>ROUND(O476*L476,2)</f>
        <v>7562.46</v>
      </c>
      <c r="Q476" s="13">
        <f>IF(N476="HKD",7.8,IF(N476="CNY",7.30034,1))</f>
        <v>7.3003400000000003</v>
      </c>
      <c r="R476" s="15">
        <f>+ROUND(O476/Q476,4)</f>
        <v>0.99609999999999999</v>
      </c>
      <c r="S476" s="14">
        <f>ROUND(R476*L476,2)</f>
        <v>1035.94</v>
      </c>
      <c r="T476" s="15" t="s">
        <v>349</v>
      </c>
      <c r="U476" s="19" t="s">
        <v>78</v>
      </c>
    </row>
    <row r="477" spans="1:21" x14ac:dyDescent="0.2">
      <c r="A477" s="19" t="s">
        <v>856</v>
      </c>
      <c r="B477" s="20">
        <v>45666</v>
      </c>
      <c r="C477" s="20">
        <v>45638</v>
      </c>
      <c r="D477" s="19" t="s">
        <v>287</v>
      </c>
      <c r="E477" s="19" t="s">
        <v>288</v>
      </c>
      <c r="G477" s="19" t="s">
        <v>841</v>
      </c>
      <c r="H477" s="19" t="s">
        <v>854</v>
      </c>
      <c r="I477" s="19" t="s">
        <v>855</v>
      </c>
      <c r="J477" s="11" t="str">
        <f>+LEFT(U477,4)</f>
        <v>GLID</v>
      </c>
      <c r="K477" s="19" t="s">
        <v>10</v>
      </c>
      <c r="L477" s="19">
        <v>340</v>
      </c>
      <c r="M477" s="19" t="s">
        <v>1472</v>
      </c>
      <c r="N477" s="19" t="s">
        <v>11</v>
      </c>
      <c r="O477" s="26">
        <v>7.9870000000000001</v>
      </c>
      <c r="P477" s="12">
        <f>ROUND(O477*L477,2)</f>
        <v>2715.58</v>
      </c>
      <c r="Q477" s="13">
        <f>IF(N477="HKD",7.8,IF(N477="CNY",7.30034,1))</f>
        <v>7.3003400000000003</v>
      </c>
      <c r="R477" s="15">
        <f>+ROUND(O477/Q477,4)</f>
        <v>1.0941000000000001</v>
      </c>
      <c r="S477" s="14">
        <f>ROUND(R477*L477,2)</f>
        <v>371.99</v>
      </c>
      <c r="T477" s="15" t="s">
        <v>349</v>
      </c>
      <c r="U477" s="19" t="s">
        <v>78</v>
      </c>
    </row>
    <row r="478" spans="1:21" x14ac:dyDescent="0.2">
      <c r="A478" s="19" t="s">
        <v>853</v>
      </c>
      <c r="B478" s="20">
        <v>45666</v>
      </c>
      <c r="C478" s="20">
        <v>45638</v>
      </c>
      <c r="D478" s="19" t="s">
        <v>287</v>
      </c>
      <c r="E478" s="19" t="s">
        <v>288</v>
      </c>
      <c r="G478" s="19" t="s">
        <v>841</v>
      </c>
      <c r="H478" s="19" t="s">
        <v>851</v>
      </c>
      <c r="I478" s="19" t="s">
        <v>852</v>
      </c>
      <c r="J478" s="11" t="str">
        <f>+LEFT(U478,4)</f>
        <v>GLID</v>
      </c>
      <c r="K478" s="19" t="s">
        <v>10</v>
      </c>
      <c r="L478" s="19">
        <v>480</v>
      </c>
      <c r="M478" s="19" t="s">
        <v>1472</v>
      </c>
      <c r="N478" s="19" t="s">
        <v>11</v>
      </c>
      <c r="O478" s="26">
        <v>7.9870000000000001</v>
      </c>
      <c r="P478" s="12">
        <f>ROUND(O478*L478,2)</f>
        <v>3833.76</v>
      </c>
      <c r="Q478" s="13">
        <f>IF(N478="HKD",7.8,IF(N478="CNY",7.30034,1))</f>
        <v>7.3003400000000003</v>
      </c>
      <c r="R478" s="15">
        <f>+ROUND(O478/Q478,4)</f>
        <v>1.0941000000000001</v>
      </c>
      <c r="S478" s="14">
        <f>ROUND(R478*L478,2)</f>
        <v>525.16999999999996</v>
      </c>
      <c r="T478" s="15" t="s">
        <v>349</v>
      </c>
      <c r="U478" s="19" t="s">
        <v>78</v>
      </c>
    </row>
    <row r="479" spans="1:21" x14ac:dyDescent="0.2">
      <c r="A479" s="19" t="s">
        <v>850</v>
      </c>
      <c r="B479" s="20">
        <v>45666</v>
      </c>
      <c r="C479" s="20">
        <v>45638</v>
      </c>
      <c r="D479" s="19" t="s">
        <v>287</v>
      </c>
      <c r="E479" s="19" t="s">
        <v>288</v>
      </c>
      <c r="G479" s="19" t="s">
        <v>841</v>
      </c>
      <c r="H479" s="19" t="s">
        <v>848</v>
      </c>
      <c r="I479" s="19" t="s">
        <v>849</v>
      </c>
      <c r="J479" s="11" t="str">
        <f>+LEFT(U479,4)</f>
        <v>GLID</v>
      </c>
      <c r="K479" s="19" t="s">
        <v>10</v>
      </c>
      <c r="L479" s="19">
        <v>409</v>
      </c>
      <c r="M479" s="19" t="s">
        <v>1472</v>
      </c>
      <c r="N479" s="19" t="s">
        <v>11</v>
      </c>
      <c r="O479" s="26">
        <v>8.6631999999999998</v>
      </c>
      <c r="P479" s="12">
        <f>ROUND(O479*L479,2)</f>
        <v>3543.25</v>
      </c>
      <c r="Q479" s="13">
        <f>IF(N479="HKD",7.8,IF(N479="CNY",7.30034,1))</f>
        <v>7.3003400000000003</v>
      </c>
      <c r="R479" s="15">
        <f>+ROUND(O479/Q479,4)</f>
        <v>1.1867000000000001</v>
      </c>
      <c r="S479" s="14">
        <f>ROUND(R479*L479,2)</f>
        <v>485.36</v>
      </c>
      <c r="T479" s="15" t="s">
        <v>349</v>
      </c>
      <c r="U479" s="19" t="s">
        <v>78</v>
      </c>
    </row>
    <row r="480" spans="1:21" x14ac:dyDescent="0.2">
      <c r="A480" s="19" t="s">
        <v>847</v>
      </c>
      <c r="B480" s="20">
        <v>45666</v>
      </c>
      <c r="C480" s="20">
        <v>45638</v>
      </c>
      <c r="D480" s="19" t="s">
        <v>287</v>
      </c>
      <c r="E480" s="19" t="s">
        <v>288</v>
      </c>
      <c r="G480" s="19" t="s">
        <v>841</v>
      </c>
      <c r="H480" s="19" t="s">
        <v>845</v>
      </c>
      <c r="I480" s="19" t="s">
        <v>846</v>
      </c>
      <c r="J480" s="11" t="str">
        <f>+LEFT(U480,4)</f>
        <v>GLID</v>
      </c>
      <c r="K480" s="19" t="s">
        <v>10</v>
      </c>
      <c r="L480" s="19">
        <v>165</v>
      </c>
      <c r="M480" s="19" t="s">
        <v>1472</v>
      </c>
      <c r="N480" s="19" t="s">
        <v>11</v>
      </c>
      <c r="O480" s="26">
        <v>8.6631999999999998</v>
      </c>
      <c r="P480" s="12">
        <f>ROUND(O480*L480,2)</f>
        <v>1429.43</v>
      </c>
      <c r="Q480" s="13">
        <f>IF(N480="HKD",7.8,IF(N480="CNY",7.30034,1))</f>
        <v>7.3003400000000003</v>
      </c>
      <c r="R480" s="15">
        <f>+ROUND(O480/Q480,4)</f>
        <v>1.1867000000000001</v>
      </c>
      <c r="S480" s="14">
        <f>ROUND(R480*L480,2)</f>
        <v>195.81</v>
      </c>
      <c r="T480" s="15" t="s">
        <v>349</v>
      </c>
      <c r="U480" s="19" t="s">
        <v>78</v>
      </c>
    </row>
    <row r="481" spans="1:21" x14ac:dyDescent="0.2">
      <c r="A481" s="19" t="s">
        <v>844</v>
      </c>
      <c r="B481" s="20">
        <v>45666</v>
      </c>
      <c r="C481" s="20">
        <v>45638</v>
      </c>
      <c r="D481" s="19" t="s">
        <v>287</v>
      </c>
      <c r="E481" s="19" t="s">
        <v>288</v>
      </c>
      <c r="G481" s="19" t="s">
        <v>841</v>
      </c>
      <c r="H481" s="19" t="s">
        <v>842</v>
      </c>
      <c r="I481" s="19" t="s">
        <v>843</v>
      </c>
      <c r="J481" s="11" t="str">
        <f>+LEFT(U481,4)</f>
        <v>GLID</v>
      </c>
      <c r="K481" s="19" t="s">
        <v>10</v>
      </c>
      <c r="L481" s="19">
        <v>400</v>
      </c>
      <c r="M481" s="19" t="s">
        <v>1472</v>
      </c>
      <c r="N481" s="19" t="s">
        <v>11</v>
      </c>
      <c r="O481" s="26">
        <v>9.31</v>
      </c>
      <c r="P481" s="12">
        <f>ROUND(O481*L481,2)</f>
        <v>3724</v>
      </c>
      <c r="Q481" s="13">
        <f>IF(N481="HKD",7.8,IF(N481="CNY",7.30034,1))</f>
        <v>7.3003400000000003</v>
      </c>
      <c r="R481" s="15">
        <f>+ROUND(O481/Q481,4)</f>
        <v>1.2753000000000001</v>
      </c>
      <c r="S481" s="14">
        <f>ROUND(R481*L481,2)</f>
        <v>510.12</v>
      </c>
      <c r="T481" s="15" t="s">
        <v>349</v>
      </c>
      <c r="U481" s="19" t="s">
        <v>78</v>
      </c>
    </row>
    <row r="482" spans="1:21" x14ac:dyDescent="0.2">
      <c r="A482" s="19" t="s">
        <v>840</v>
      </c>
      <c r="B482" s="20">
        <v>45666</v>
      </c>
      <c r="C482" s="20">
        <v>45638</v>
      </c>
      <c r="D482" s="19" t="s">
        <v>287</v>
      </c>
      <c r="E482" s="19" t="s">
        <v>288</v>
      </c>
      <c r="G482" s="19" t="s">
        <v>841</v>
      </c>
      <c r="H482" s="19" t="s">
        <v>838</v>
      </c>
      <c r="I482" s="19" t="s">
        <v>839</v>
      </c>
      <c r="J482" s="11" t="str">
        <f>+LEFT(U482,4)</f>
        <v>GLID</v>
      </c>
      <c r="K482" s="19" t="s">
        <v>10</v>
      </c>
      <c r="L482" s="19">
        <v>200</v>
      </c>
      <c r="M482" s="19" t="s">
        <v>1472</v>
      </c>
      <c r="N482" s="19" t="s">
        <v>11</v>
      </c>
      <c r="O482" s="26">
        <v>9.31</v>
      </c>
      <c r="P482" s="12">
        <f>ROUND(O482*L482,2)</f>
        <v>1862</v>
      </c>
      <c r="Q482" s="13">
        <f>IF(N482="HKD",7.8,IF(N482="CNY",7.30034,1))</f>
        <v>7.3003400000000003</v>
      </c>
      <c r="R482" s="15">
        <f>+ROUND(O482/Q482,4)</f>
        <v>1.2753000000000001</v>
      </c>
      <c r="S482" s="14">
        <f>ROUND(R482*L482,2)</f>
        <v>255.06</v>
      </c>
      <c r="T482" s="15" t="s">
        <v>349</v>
      </c>
      <c r="U482" s="19" t="s">
        <v>78</v>
      </c>
    </row>
    <row r="483" spans="1:21" x14ac:dyDescent="0.2">
      <c r="A483" s="19" t="s">
        <v>904</v>
      </c>
      <c r="B483" s="20">
        <v>45666</v>
      </c>
      <c r="C483" s="20">
        <v>45609</v>
      </c>
      <c r="D483" s="19" t="s">
        <v>898</v>
      </c>
      <c r="E483" s="19" t="s">
        <v>899</v>
      </c>
      <c r="G483" s="19" t="s">
        <v>901</v>
      </c>
      <c r="H483" s="19" t="s">
        <v>902</v>
      </c>
      <c r="I483" s="19" t="s">
        <v>903</v>
      </c>
      <c r="J483" s="11" t="str">
        <f>+LEFT(U483,4)</f>
        <v>GLID</v>
      </c>
      <c r="K483" s="19" t="s">
        <v>10</v>
      </c>
      <c r="L483" s="19">
        <v>4000</v>
      </c>
      <c r="M483" s="19" t="s">
        <v>1472</v>
      </c>
      <c r="N483" s="19" t="s">
        <v>11</v>
      </c>
      <c r="O483" s="26">
        <v>10.7965</v>
      </c>
      <c r="P483" s="12">
        <f>ROUND(O483*L483,2)</f>
        <v>43186</v>
      </c>
      <c r="Q483" s="13">
        <f>IF(N483="HKD",7.8,IF(N483="CNY",7.30034,1))</f>
        <v>7.3003400000000003</v>
      </c>
      <c r="R483" s="15">
        <f>+ROUND(O483/Q483,4)</f>
        <v>1.4789000000000001</v>
      </c>
      <c r="S483" s="14">
        <f>ROUND(R483*L483,2)</f>
        <v>5915.6</v>
      </c>
      <c r="T483" s="15" t="s">
        <v>349</v>
      </c>
      <c r="U483" s="19" t="s">
        <v>78</v>
      </c>
    </row>
    <row r="484" spans="1:21" x14ac:dyDescent="0.2">
      <c r="A484" s="19" t="s">
        <v>777</v>
      </c>
      <c r="B484" s="20">
        <v>45666</v>
      </c>
      <c r="C484" s="20">
        <v>45644</v>
      </c>
      <c r="D484" s="19" t="s">
        <v>569</v>
      </c>
      <c r="E484" s="19" t="s">
        <v>570</v>
      </c>
      <c r="G484" s="19" t="s">
        <v>762</v>
      </c>
      <c r="H484" s="19" t="s">
        <v>775</v>
      </c>
      <c r="I484" s="19" t="s">
        <v>776</v>
      </c>
      <c r="J484" s="11" t="str">
        <f>+LEFT(U484,4)</f>
        <v>GLID</v>
      </c>
      <c r="K484" s="19" t="s">
        <v>10</v>
      </c>
      <c r="L484" s="19">
        <v>1560</v>
      </c>
      <c r="M484" s="19" t="s">
        <v>1472</v>
      </c>
      <c r="N484" s="19" t="s">
        <v>11</v>
      </c>
      <c r="O484" s="26">
        <v>13.818</v>
      </c>
      <c r="P484" s="12">
        <f>ROUND(O484*L484,2)</f>
        <v>21556.080000000002</v>
      </c>
      <c r="Q484" s="13">
        <f>IF(N484="HKD",7.8,IF(N484="CNY",7.30034,1))</f>
        <v>7.3003400000000003</v>
      </c>
      <c r="R484" s="15">
        <f>+ROUND(O484/Q484,4)</f>
        <v>1.8928</v>
      </c>
      <c r="S484" s="14">
        <f>ROUND(R484*L484,2)</f>
        <v>2952.77</v>
      </c>
      <c r="T484" s="15" t="s">
        <v>349</v>
      </c>
      <c r="U484" s="19" t="s">
        <v>78</v>
      </c>
    </row>
    <row r="485" spans="1:21" x14ac:dyDescent="0.2">
      <c r="A485" s="19" t="s">
        <v>778</v>
      </c>
      <c r="B485" s="20">
        <v>45666</v>
      </c>
      <c r="C485" s="20">
        <v>45639</v>
      </c>
      <c r="D485" s="19" t="s">
        <v>569</v>
      </c>
      <c r="E485" s="19" t="s">
        <v>570</v>
      </c>
      <c r="G485" s="19" t="s">
        <v>762</v>
      </c>
      <c r="H485" s="19" t="s">
        <v>775</v>
      </c>
      <c r="I485" s="19" t="s">
        <v>776</v>
      </c>
      <c r="J485" s="11" t="str">
        <f>+LEFT(U485,4)</f>
        <v>GLID</v>
      </c>
      <c r="K485" s="19" t="s">
        <v>10</v>
      </c>
      <c r="L485" s="19">
        <v>1010</v>
      </c>
      <c r="M485" s="19" t="s">
        <v>1472</v>
      </c>
      <c r="N485" s="19" t="s">
        <v>11</v>
      </c>
      <c r="O485" s="26">
        <v>14.1</v>
      </c>
      <c r="P485" s="12">
        <f>ROUND(O485*L485,2)</f>
        <v>14241</v>
      </c>
      <c r="Q485" s="13">
        <f>IF(N485="HKD",7.8,IF(N485="CNY",7.30034,1))</f>
        <v>7.3003400000000003</v>
      </c>
      <c r="R485" s="15">
        <f>+ROUND(O485/Q485,4)</f>
        <v>1.9314</v>
      </c>
      <c r="S485" s="14">
        <f>ROUND(R485*L485,2)</f>
        <v>1950.71</v>
      </c>
      <c r="T485" s="15" t="s">
        <v>349</v>
      </c>
      <c r="U485" s="19" t="s">
        <v>78</v>
      </c>
    </row>
    <row r="486" spans="1:21" x14ac:dyDescent="0.2">
      <c r="A486" s="19" t="s">
        <v>900</v>
      </c>
      <c r="B486" s="20">
        <v>45666</v>
      </c>
      <c r="C486" s="20">
        <v>45639</v>
      </c>
      <c r="D486" s="19" t="s">
        <v>898</v>
      </c>
      <c r="E486" s="19" t="s">
        <v>899</v>
      </c>
      <c r="G486" s="19" t="s">
        <v>901</v>
      </c>
      <c r="H486" s="19" t="s">
        <v>896</v>
      </c>
      <c r="I486" s="19" t="s">
        <v>897</v>
      </c>
      <c r="J486" s="11" t="str">
        <f>+LEFT(U486,4)</f>
        <v>GLID</v>
      </c>
      <c r="K486" s="19" t="s">
        <v>10</v>
      </c>
      <c r="L486" s="19">
        <v>1900</v>
      </c>
      <c r="M486" s="19" t="s">
        <v>1472</v>
      </c>
      <c r="N486" s="19" t="s">
        <v>11</v>
      </c>
      <c r="O486" s="26">
        <v>16.5</v>
      </c>
      <c r="P486" s="12">
        <f>ROUND(O486*L486,2)</f>
        <v>31350</v>
      </c>
      <c r="Q486" s="13">
        <f>IF(N486="HKD",7.8,IF(N486="CNY",7.30034,1))</f>
        <v>7.3003400000000003</v>
      </c>
      <c r="R486" s="15">
        <f>+ROUND(O486/Q486,4)</f>
        <v>2.2602000000000002</v>
      </c>
      <c r="S486" s="14">
        <f>ROUND(R486*L486,2)</f>
        <v>4294.38</v>
      </c>
      <c r="T486" s="15" t="s">
        <v>349</v>
      </c>
      <c r="U486" s="19" t="s">
        <v>78</v>
      </c>
    </row>
    <row r="487" spans="1:21" x14ac:dyDescent="0.2">
      <c r="A487" s="19" t="s">
        <v>289</v>
      </c>
      <c r="B487" s="20">
        <v>45667</v>
      </c>
      <c r="C487" s="20">
        <v>45604</v>
      </c>
      <c r="D487" s="19" t="s">
        <v>287</v>
      </c>
      <c r="E487" s="19" t="s">
        <v>288</v>
      </c>
      <c r="G487" s="19" t="s">
        <v>692</v>
      </c>
      <c r="H487" s="19" t="s">
        <v>81</v>
      </c>
      <c r="I487" s="19" t="s">
        <v>82</v>
      </c>
      <c r="J487" s="11" t="s">
        <v>1478</v>
      </c>
      <c r="K487" s="19" t="s">
        <v>10</v>
      </c>
      <c r="L487" s="19">
        <v>-540</v>
      </c>
      <c r="M487" s="19" t="s">
        <v>1472</v>
      </c>
      <c r="N487" s="19" t="s">
        <v>11</v>
      </c>
      <c r="O487" s="26">
        <v>6.4610000000000003</v>
      </c>
      <c r="P487" s="12">
        <f>ROUND(O487*L487,2)</f>
        <v>-3488.94</v>
      </c>
      <c r="Q487" s="13">
        <f>IF(N487="HKD",7.8,IF(N487="CNY",7.30034,1))</f>
        <v>7.3003400000000003</v>
      </c>
      <c r="R487" s="15">
        <f>+ROUND(O487/Q487,4)</f>
        <v>0.88500000000000001</v>
      </c>
      <c r="S487" s="14">
        <f>ROUND(R487*L487,2)</f>
        <v>-477.9</v>
      </c>
      <c r="T487" s="15" t="s">
        <v>349</v>
      </c>
      <c r="U487" s="19" t="s">
        <v>36</v>
      </c>
    </row>
    <row r="488" spans="1:21" x14ac:dyDescent="0.2">
      <c r="A488" s="19" t="s">
        <v>705</v>
      </c>
      <c r="B488" s="20">
        <v>45667</v>
      </c>
      <c r="C488" s="20">
        <v>45639</v>
      </c>
      <c r="D488" s="19" t="s">
        <v>287</v>
      </c>
      <c r="E488" s="19" t="s">
        <v>288</v>
      </c>
      <c r="G488" s="19" t="s">
        <v>706</v>
      </c>
      <c r="H488" s="19" t="s">
        <v>703</v>
      </c>
      <c r="I488" s="19" t="s">
        <v>704</v>
      </c>
      <c r="J488" s="11" t="s">
        <v>1478</v>
      </c>
      <c r="K488" s="19" t="s">
        <v>10</v>
      </c>
      <c r="L488" s="19">
        <v>86</v>
      </c>
      <c r="M488" s="19" t="s">
        <v>1472</v>
      </c>
      <c r="N488" s="19" t="s">
        <v>11</v>
      </c>
      <c r="O488" s="26">
        <v>7.4237000000000002</v>
      </c>
      <c r="P488" s="12">
        <f>ROUND(O488*L488,2)</f>
        <v>638.44000000000005</v>
      </c>
      <c r="Q488" s="13">
        <f>IF(N488="HKD",7.8,IF(N488="CNY",7.30034,1))</f>
        <v>7.3003400000000003</v>
      </c>
      <c r="R488" s="15">
        <f>+ROUND(O488/Q488,4)</f>
        <v>1.0168999999999999</v>
      </c>
      <c r="S488" s="14">
        <f>ROUND(R488*L488,2)</f>
        <v>87.45</v>
      </c>
      <c r="T488" s="15" t="s">
        <v>349</v>
      </c>
      <c r="U488" s="19" t="s">
        <v>36</v>
      </c>
    </row>
    <row r="489" spans="1:21" x14ac:dyDescent="0.2">
      <c r="A489" s="19" t="s">
        <v>260</v>
      </c>
      <c r="B489" s="20">
        <v>45672</v>
      </c>
      <c r="C489" s="20">
        <v>45644</v>
      </c>
      <c r="D489" s="19" t="s">
        <v>252</v>
      </c>
      <c r="E489" s="19" t="s">
        <v>253</v>
      </c>
      <c r="G489" s="19" t="s">
        <v>292</v>
      </c>
      <c r="H489" s="19" t="s">
        <v>256</v>
      </c>
      <c r="I489" s="19" t="s">
        <v>257</v>
      </c>
      <c r="J489" s="11" t="str">
        <f>+LEFT(U489,4)</f>
        <v>GLID</v>
      </c>
      <c r="K489" s="19" t="s">
        <v>10</v>
      </c>
      <c r="L489" s="19">
        <v>3420</v>
      </c>
      <c r="M489" s="19" t="s">
        <v>1472</v>
      </c>
      <c r="N489" s="19" t="s">
        <v>11</v>
      </c>
      <c r="O489" s="26">
        <v>8.7219999999999995</v>
      </c>
      <c r="P489" s="12">
        <f>ROUND(O489*L489,2)</f>
        <v>29829.24</v>
      </c>
      <c r="Q489" s="13">
        <f>IF(N489="HKD",7.8,IF(N489="CNY",7.30034,1))</f>
        <v>7.3003400000000003</v>
      </c>
      <c r="R489" s="15">
        <f>+ROUND(O489/Q489,4)</f>
        <v>1.1947000000000001</v>
      </c>
      <c r="S489" s="14">
        <f>ROUND(R489*L489,2)</f>
        <v>4085.87</v>
      </c>
      <c r="T489" s="15" t="s">
        <v>349</v>
      </c>
      <c r="U489" s="19" t="s">
        <v>78</v>
      </c>
    </row>
    <row r="490" spans="1:21" x14ac:dyDescent="0.2">
      <c r="A490" s="19" t="s">
        <v>259</v>
      </c>
      <c r="B490" s="20">
        <v>45672</v>
      </c>
      <c r="C490" s="20">
        <v>45644</v>
      </c>
      <c r="D490" s="19" t="s">
        <v>252</v>
      </c>
      <c r="E490" s="19" t="s">
        <v>253</v>
      </c>
      <c r="G490" s="19" t="s">
        <v>292</v>
      </c>
      <c r="H490" s="19" t="s">
        <v>250</v>
      </c>
      <c r="I490" s="19" t="s">
        <v>251</v>
      </c>
      <c r="J490" s="11" t="str">
        <f>+LEFT(U490,4)</f>
        <v>GLID</v>
      </c>
      <c r="K490" s="19" t="s">
        <v>10</v>
      </c>
      <c r="L490" s="19">
        <v>2220</v>
      </c>
      <c r="M490" s="19" t="s">
        <v>1472</v>
      </c>
      <c r="N490" s="19" t="s">
        <v>11</v>
      </c>
      <c r="O490" s="26">
        <v>10.8584</v>
      </c>
      <c r="P490" s="12">
        <f>ROUND(O490*L490,2)</f>
        <v>24105.65</v>
      </c>
      <c r="Q490" s="13">
        <f>IF(N490="HKD",7.8,IF(N490="CNY",7.30034,1))</f>
        <v>7.3003400000000003</v>
      </c>
      <c r="R490" s="15">
        <f>+ROUND(O490/Q490,4)</f>
        <v>1.4874000000000001</v>
      </c>
      <c r="S490" s="14">
        <f>ROUND(R490*L490,2)</f>
        <v>3302.03</v>
      </c>
      <c r="T490" s="15" t="s">
        <v>349</v>
      </c>
      <c r="U490" s="19" t="s">
        <v>78</v>
      </c>
    </row>
    <row r="491" spans="1:21" x14ac:dyDescent="0.2">
      <c r="A491" s="19" t="s">
        <v>289</v>
      </c>
      <c r="B491" s="20">
        <v>45673</v>
      </c>
      <c r="C491" s="20">
        <v>45604</v>
      </c>
      <c r="D491" s="19" t="s">
        <v>287</v>
      </c>
      <c r="E491" s="19" t="s">
        <v>288</v>
      </c>
      <c r="G491" s="19" t="s">
        <v>290</v>
      </c>
      <c r="H491" s="19" t="s">
        <v>81</v>
      </c>
      <c r="I491" s="19" t="s">
        <v>82</v>
      </c>
      <c r="J491" s="11" t="s">
        <v>1478</v>
      </c>
      <c r="K491" s="19" t="s">
        <v>10</v>
      </c>
      <c r="L491" s="19">
        <v>540</v>
      </c>
      <c r="M491" s="19" t="s">
        <v>1472</v>
      </c>
      <c r="N491" s="19" t="s">
        <v>11</v>
      </c>
      <c r="O491" s="26">
        <v>6.4610000000000003</v>
      </c>
      <c r="P491" s="12">
        <f>ROUND(O491*L491,2)</f>
        <v>3488.94</v>
      </c>
      <c r="Q491" s="13">
        <f>IF(N491="HKD",7.8,IF(N491="CNY",7.30034,1))</f>
        <v>7.3003400000000003</v>
      </c>
      <c r="R491" s="15">
        <f>+ROUND(O491/Q491,4)</f>
        <v>0.88500000000000001</v>
      </c>
      <c r="S491" s="14">
        <f>ROUND(R491*L491,2)</f>
        <v>477.9</v>
      </c>
      <c r="T491" s="15" t="s">
        <v>349</v>
      </c>
      <c r="U491" s="19" t="s">
        <v>36</v>
      </c>
    </row>
    <row r="492" spans="1:21" x14ac:dyDescent="0.2">
      <c r="A492" s="19" t="s">
        <v>291</v>
      </c>
      <c r="B492" s="20">
        <v>45673</v>
      </c>
      <c r="C492" s="20">
        <v>45670</v>
      </c>
      <c r="D492" s="19" t="s">
        <v>287</v>
      </c>
      <c r="E492" s="19" t="s">
        <v>288</v>
      </c>
      <c r="G492" s="19" t="s">
        <v>290</v>
      </c>
      <c r="H492" s="19" t="s">
        <v>76</v>
      </c>
      <c r="I492" s="19" t="s">
        <v>77</v>
      </c>
      <c r="J492" s="11" t="str">
        <f>+LEFT(U492,4)</f>
        <v>GLID</v>
      </c>
      <c r="K492" s="19" t="s">
        <v>10</v>
      </c>
      <c r="L492" s="19">
        <v>200</v>
      </c>
      <c r="M492" s="19" t="s">
        <v>1472</v>
      </c>
      <c r="N492" s="19" t="s">
        <v>11</v>
      </c>
      <c r="O492" s="26">
        <v>6.5929000000000002</v>
      </c>
      <c r="P492" s="12">
        <f>ROUND(O492*L492,2)</f>
        <v>1318.58</v>
      </c>
      <c r="Q492" s="13">
        <f>IF(N492="HKD",7.8,IF(N492="CNY",7.30034,1))</f>
        <v>7.3003400000000003</v>
      </c>
      <c r="R492" s="15">
        <f>+ROUND(O492/Q492,4)</f>
        <v>0.90310000000000001</v>
      </c>
      <c r="S492" s="14">
        <f>ROUND(R492*L492,2)</f>
        <v>180.62</v>
      </c>
      <c r="T492" s="15" t="s">
        <v>349</v>
      </c>
      <c r="U492" s="19" t="s">
        <v>78</v>
      </c>
    </row>
    <row r="493" spans="1:21" x14ac:dyDescent="0.2">
      <c r="A493" s="19" t="s">
        <v>258</v>
      </c>
      <c r="B493" s="20">
        <v>45673</v>
      </c>
      <c r="C493" s="20">
        <v>45639</v>
      </c>
      <c r="D493" s="19" t="s">
        <v>252</v>
      </c>
      <c r="E493" s="19" t="s">
        <v>253</v>
      </c>
      <c r="G493" s="19" t="s">
        <v>255</v>
      </c>
      <c r="H493" s="19" t="s">
        <v>256</v>
      </c>
      <c r="I493" s="19" t="s">
        <v>257</v>
      </c>
      <c r="J493" s="11" t="str">
        <f>+LEFT(U493,4)</f>
        <v>GLID</v>
      </c>
      <c r="K493" s="19" t="s">
        <v>10</v>
      </c>
      <c r="L493" s="19">
        <v>300</v>
      </c>
      <c r="M493" s="19" t="s">
        <v>1472</v>
      </c>
      <c r="N493" s="19" t="s">
        <v>11</v>
      </c>
      <c r="O493" s="26">
        <v>8.6329999999999991</v>
      </c>
      <c r="P493" s="12">
        <f>ROUND(O493*L493,2)</f>
        <v>2589.9</v>
      </c>
      <c r="Q493" s="13">
        <f>IF(N493="HKD",7.8,IF(N493="CNY",7.30034,1))</f>
        <v>7.3003400000000003</v>
      </c>
      <c r="R493" s="15">
        <f>+ROUND(O493/Q493,4)</f>
        <v>1.1825000000000001</v>
      </c>
      <c r="S493" s="14">
        <f>ROUND(R493*L493,2)</f>
        <v>354.75</v>
      </c>
      <c r="T493" s="15" t="s">
        <v>349</v>
      </c>
      <c r="U493" s="19" t="s">
        <v>78</v>
      </c>
    </row>
    <row r="494" spans="1:21" x14ac:dyDescent="0.2">
      <c r="A494" s="19" t="s">
        <v>260</v>
      </c>
      <c r="B494" s="20">
        <v>45673</v>
      </c>
      <c r="C494" s="20">
        <v>45644</v>
      </c>
      <c r="D494" s="19" t="s">
        <v>252</v>
      </c>
      <c r="E494" s="19" t="s">
        <v>253</v>
      </c>
      <c r="G494" s="19" t="s">
        <v>255</v>
      </c>
      <c r="H494" s="19" t="s">
        <v>256</v>
      </c>
      <c r="I494" s="19" t="s">
        <v>257</v>
      </c>
      <c r="J494" s="11" t="str">
        <f>+LEFT(U494,4)</f>
        <v>GLID</v>
      </c>
      <c r="K494" s="19" t="s">
        <v>10</v>
      </c>
      <c r="L494" s="19">
        <v>600</v>
      </c>
      <c r="M494" s="19" t="s">
        <v>1472</v>
      </c>
      <c r="N494" s="19" t="s">
        <v>11</v>
      </c>
      <c r="O494" s="26">
        <v>8.7219999999999995</v>
      </c>
      <c r="P494" s="12">
        <f>ROUND(O494*L494,2)</f>
        <v>5233.2</v>
      </c>
      <c r="Q494" s="13">
        <f>IF(N494="HKD",7.8,IF(N494="CNY",7.30034,1))</f>
        <v>7.3003400000000003</v>
      </c>
      <c r="R494" s="15">
        <f>+ROUND(O494/Q494,4)</f>
        <v>1.1947000000000001</v>
      </c>
      <c r="S494" s="14">
        <f>ROUND(R494*L494,2)</f>
        <v>716.82</v>
      </c>
      <c r="T494" s="15" t="s">
        <v>349</v>
      </c>
      <c r="U494" s="19" t="s">
        <v>78</v>
      </c>
    </row>
    <row r="495" spans="1:21" x14ac:dyDescent="0.2">
      <c r="A495" s="19" t="s">
        <v>254</v>
      </c>
      <c r="B495" s="20">
        <v>45673</v>
      </c>
      <c r="C495" s="20">
        <v>45639</v>
      </c>
      <c r="D495" s="19" t="s">
        <v>252</v>
      </c>
      <c r="E495" s="19" t="s">
        <v>253</v>
      </c>
      <c r="G495" s="19" t="s">
        <v>255</v>
      </c>
      <c r="H495" s="19" t="s">
        <v>250</v>
      </c>
      <c r="I495" s="19" t="s">
        <v>251</v>
      </c>
      <c r="J495" s="11" t="str">
        <f>+LEFT(U495,4)</f>
        <v>GLID</v>
      </c>
      <c r="K495" s="19" t="s">
        <v>10</v>
      </c>
      <c r="L495" s="19">
        <v>660</v>
      </c>
      <c r="M495" s="19" t="s">
        <v>1472</v>
      </c>
      <c r="N495" s="19" t="s">
        <v>11</v>
      </c>
      <c r="O495" s="26">
        <v>10.7476</v>
      </c>
      <c r="P495" s="12">
        <f>ROUND(O495*L495,2)</f>
        <v>7093.42</v>
      </c>
      <c r="Q495" s="13">
        <f>IF(N495="HKD",7.8,IF(N495="CNY",7.30034,1))</f>
        <v>7.3003400000000003</v>
      </c>
      <c r="R495" s="15">
        <f>+ROUND(O495/Q495,4)</f>
        <v>1.4722</v>
      </c>
      <c r="S495" s="14">
        <f>ROUND(R495*L495,2)</f>
        <v>971.65</v>
      </c>
      <c r="T495" s="15" t="s">
        <v>349</v>
      </c>
      <c r="U495" s="19" t="s">
        <v>78</v>
      </c>
    </row>
    <row r="496" spans="1:21" x14ac:dyDescent="0.2">
      <c r="A496" s="19" t="s">
        <v>259</v>
      </c>
      <c r="B496" s="20">
        <v>45673</v>
      </c>
      <c r="C496" s="20">
        <v>45644</v>
      </c>
      <c r="D496" s="19" t="s">
        <v>252</v>
      </c>
      <c r="E496" s="19" t="s">
        <v>253</v>
      </c>
      <c r="G496" s="19" t="s">
        <v>255</v>
      </c>
      <c r="H496" s="19" t="s">
        <v>250</v>
      </c>
      <c r="I496" s="19" t="s">
        <v>251</v>
      </c>
      <c r="J496" s="11" t="str">
        <f>+LEFT(U496,4)</f>
        <v>GLID</v>
      </c>
      <c r="K496" s="19" t="s">
        <v>10</v>
      </c>
      <c r="L496" s="19">
        <v>1000</v>
      </c>
      <c r="M496" s="19" t="s">
        <v>1472</v>
      </c>
      <c r="N496" s="19" t="s">
        <v>11</v>
      </c>
      <c r="O496" s="26">
        <v>10.8584</v>
      </c>
      <c r="P496" s="12">
        <f>ROUND(O496*L496,2)</f>
        <v>10858.4</v>
      </c>
      <c r="Q496" s="13">
        <f>IF(N496="HKD",7.8,IF(N496="CNY",7.30034,1))</f>
        <v>7.3003400000000003</v>
      </c>
      <c r="R496" s="15">
        <f>+ROUND(O496/Q496,4)</f>
        <v>1.4874000000000001</v>
      </c>
      <c r="S496" s="14">
        <f>ROUND(R496*L496,2)</f>
        <v>1487.4</v>
      </c>
      <c r="T496" s="15" t="s">
        <v>349</v>
      </c>
      <c r="U496" s="19" t="s">
        <v>78</v>
      </c>
    </row>
    <row r="497" spans="1:21" x14ac:dyDescent="0.2">
      <c r="A497" s="19" t="s">
        <v>155</v>
      </c>
      <c r="B497" s="20">
        <v>45675</v>
      </c>
      <c r="C497" s="20">
        <v>45653</v>
      </c>
      <c r="D497" s="19" t="s">
        <v>149</v>
      </c>
      <c r="E497" s="19" t="s">
        <v>150</v>
      </c>
      <c r="G497" s="19" t="s">
        <v>156</v>
      </c>
      <c r="H497" s="19" t="s">
        <v>153</v>
      </c>
      <c r="I497" s="19" t="s">
        <v>154</v>
      </c>
      <c r="J497" s="11" t="str">
        <f>+LEFT(U497,4)</f>
        <v>GLID</v>
      </c>
      <c r="K497" s="19" t="s">
        <v>10</v>
      </c>
      <c r="L497" s="19">
        <v>1000</v>
      </c>
      <c r="M497" s="19" t="s">
        <v>1472</v>
      </c>
      <c r="N497" s="19" t="s">
        <v>11</v>
      </c>
      <c r="O497" s="26">
        <v>3.0440999999999998</v>
      </c>
      <c r="P497" s="12">
        <f>ROUND(O497*L497,2)</f>
        <v>3044.1</v>
      </c>
      <c r="Q497" s="13">
        <f>IF(N497="HKD",7.8,IF(N497="CNY",7.30034,1))</f>
        <v>7.3003400000000003</v>
      </c>
      <c r="R497" s="15">
        <f>+ROUND(O497/Q497,4)</f>
        <v>0.41699999999999998</v>
      </c>
      <c r="S497" s="14">
        <f>ROUND(R497*L497,2)</f>
        <v>417</v>
      </c>
      <c r="T497" s="15" t="s">
        <v>349</v>
      </c>
      <c r="U497" s="19" t="s">
        <v>78</v>
      </c>
    </row>
    <row r="498" spans="1:21" x14ac:dyDescent="0.2">
      <c r="A498" s="19" t="s">
        <v>159</v>
      </c>
      <c r="B498" s="20">
        <v>45675</v>
      </c>
      <c r="C498" s="20">
        <v>45646</v>
      </c>
      <c r="D498" s="19" t="s">
        <v>149</v>
      </c>
      <c r="E498" s="19" t="s">
        <v>150</v>
      </c>
      <c r="G498" s="19" t="s">
        <v>156</v>
      </c>
      <c r="H498" s="19" t="s">
        <v>157</v>
      </c>
      <c r="I498" s="19" t="s">
        <v>158</v>
      </c>
      <c r="J498" s="11" t="str">
        <f>+LEFT(U498,4)</f>
        <v>GLID</v>
      </c>
      <c r="K498" s="19" t="s">
        <v>10</v>
      </c>
      <c r="L498" s="19">
        <v>7100</v>
      </c>
      <c r="M498" s="19" t="s">
        <v>1472</v>
      </c>
      <c r="N498" s="19" t="s">
        <v>11</v>
      </c>
      <c r="O498" s="26">
        <v>3.3437000000000001</v>
      </c>
      <c r="P498" s="12">
        <f>ROUND(O498*L498,2)</f>
        <v>23740.27</v>
      </c>
      <c r="Q498" s="13">
        <f>IF(N498="HKD",7.8,IF(N498="CNY",7.30034,1))</f>
        <v>7.3003400000000003</v>
      </c>
      <c r="R498" s="15">
        <f>+ROUND(O498/Q498,4)</f>
        <v>0.45800000000000002</v>
      </c>
      <c r="S498" s="14">
        <f>ROUND(R498*L498,2)</f>
        <v>3251.8</v>
      </c>
      <c r="T498" s="15" t="s">
        <v>349</v>
      </c>
      <c r="U498" s="19" t="s">
        <v>78</v>
      </c>
    </row>
    <row r="499" spans="1:21" x14ac:dyDescent="0.2">
      <c r="A499" t="s">
        <v>2113</v>
      </c>
      <c r="B499" s="24">
        <v>45701</v>
      </c>
      <c r="C499" s="24">
        <v>45695</v>
      </c>
      <c r="D499" t="s">
        <v>898</v>
      </c>
      <c r="E499" t="s">
        <v>899</v>
      </c>
      <c r="G499" t="s">
        <v>2229</v>
      </c>
      <c r="H499" s="19" t="s">
        <v>902</v>
      </c>
      <c r="I499" s="19" t="s">
        <v>903</v>
      </c>
      <c r="J499" s="11" t="str">
        <f>+LEFT(U499,4)</f>
        <v>GLID</v>
      </c>
      <c r="K499" t="s">
        <v>10</v>
      </c>
      <c r="L499" s="19">
        <v>400</v>
      </c>
      <c r="M499" t="s">
        <v>1472</v>
      </c>
      <c r="N499" t="s">
        <v>11</v>
      </c>
      <c r="O499" s="26">
        <v>10.7965</v>
      </c>
      <c r="P499" s="12">
        <f>ROUND(O499*L499,2)</f>
        <v>4318.6000000000004</v>
      </c>
      <c r="Q499" s="13">
        <f>IF(N499="HKD",7.8,IF(N499="CNY",7.30034,1))</f>
        <v>7.3003400000000003</v>
      </c>
      <c r="R499" s="15">
        <f>+ROUND(O499/Q499,4)</f>
        <v>1.4789000000000001</v>
      </c>
      <c r="S499" s="14">
        <f>ROUND(R499*L499,2)</f>
        <v>591.55999999999995</v>
      </c>
      <c r="T499" s="15" t="s">
        <v>349</v>
      </c>
      <c r="U499" t="s">
        <v>78</v>
      </c>
    </row>
    <row r="500" spans="1:21" x14ac:dyDescent="0.2">
      <c r="A500" t="s">
        <v>2087</v>
      </c>
      <c r="B500" s="24">
        <v>45706</v>
      </c>
      <c r="C500" s="24">
        <v>45609</v>
      </c>
      <c r="D500" t="s">
        <v>149</v>
      </c>
      <c r="E500" t="s">
        <v>150</v>
      </c>
      <c r="G500" t="s">
        <v>2218</v>
      </c>
      <c r="H500" s="19" t="s">
        <v>1786</v>
      </c>
      <c r="I500" s="19" t="s">
        <v>1787</v>
      </c>
      <c r="J500" s="11" t="str">
        <f>+LEFT(U500,4)</f>
        <v>GLID</v>
      </c>
      <c r="K500" t="s">
        <v>10</v>
      </c>
      <c r="L500" s="19">
        <v>-74</v>
      </c>
      <c r="M500" t="s">
        <v>1472</v>
      </c>
      <c r="N500" t="s">
        <v>11</v>
      </c>
      <c r="O500" s="26">
        <v>6.65</v>
      </c>
      <c r="P500" s="12">
        <f>ROUND(O500*L500,2)</f>
        <v>-492.1</v>
      </c>
      <c r="Q500" s="13">
        <f>IF(N500="HKD",7.8,IF(N500="CNY",7.30034,1))</f>
        <v>7.3003400000000003</v>
      </c>
      <c r="R500" s="15">
        <f>+ROUND(O500/Q500,4)</f>
        <v>0.91090000000000004</v>
      </c>
      <c r="S500" s="14">
        <f>ROUND(R500*L500,2)</f>
        <v>-67.41</v>
      </c>
      <c r="T500" s="15" t="s">
        <v>349</v>
      </c>
      <c r="U500" t="s">
        <v>78</v>
      </c>
    </row>
    <row r="501" spans="1:21" x14ac:dyDescent="0.2">
      <c r="A501" t="s">
        <v>258</v>
      </c>
      <c r="B501" s="24">
        <v>45706</v>
      </c>
      <c r="C501" s="24">
        <v>45639</v>
      </c>
      <c r="D501" t="s">
        <v>252</v>
      </c>
      <c r="E501" t="s">
        <v>253</v>
      </c>
      <c r="G501" t="s">
        <v>2227</v>
      </c>
      <c r="H501" s="19" t="s">
        <v>256</v>
      </c>
      <c r="I501" s="19" t="s">
        <v>257</v>
      </c>
      <c r="J501" s="11" t="str">
        <f>+LEFT(U501,4)</f>
        <v>GLID</v>
      </c>
      <c r="K501" t="s">
        <v>10</v>
      </c>
      <c r="L501" s="19">
        <v>3470</v>
      </c>
      <c r="M501" t="s">
        <v>1472</v>
      </c>
      <c r="N501" t="s">
        <v>11</v>
      </c>
      <c r="O501" s="26">
        <v>8.6329999999999991</v>
      </c>
      <c r="P501" s="12">
        <f>ROUND(O501*L501,2)</f>
        <v>29956.51</v>
      </c>
      <c r="Q501" s="13">
        <f>IF(N501="HKD",7.8,IF(N501="CNY",7.30034,1))</f>
        <v>7.3003400000000003</v>
      </c>
      <c r="R501" s="15">
        <f>+ROUND(O501/Q501,4)</f>
        <v>1.1825000000000001</v>
      </c>
      <c r="S501" s="14">
        <f>ROUND(R501*L501,2)</f>
        <v>4103.28</v>
      </c>
      <c r="T501" s="15" t="s">
        <v>349</v>
      </c>
      <c r="U501" t="s">
        <v>78</v>
      </c>
    </row>
    <row r="502" spans="1:21" x14ac:dyDescent="0.2">
      <c r="A502" t="s">
        <v>254</v>
      </c>
      <c r="B502" s="24">
        <v>45706</v>
      </c>
      <c r="C502" s="24">
        <v>45639</v>
      </c>
      <c r="D502" t="s">
        <v>252</v>
      </c>
      <c r="E502" t="s">
        <v>253</v>
      </c>
      <c r="G502" t="s">
        <v>2227</v>
      </c>
      <c r="H502" s="19" t="s">
        <v>250</v>
      </c>
      <c r="I502" s="19" t="s">
        <v>251</v>
      </c>
      <c r="J502" s="11" t="str">
        <f>+LEFT(U502,4)</f>
        <v>GLID</v>
      </c>
      <c r="K502" t="s">
        <v>10</v>
      </c>
      <c r="L502" s="19">
        <v>6390</v>
      </c>
      <c r="M502" t="s">
        <v>1472</v>
      </c>
      <c r="N502" t="s">
        <v>11</v>
      </c>
      <c r="O502" s="26">
        <v>10.7476</v>
      </c>
      <c r="P502" s="12">
        <f>ROUND(O502*L502,2)</f>
        <v>68677.16</v>
      </c>
      <c r="Q502" s="13">
        <f>IF(N502="HKD",7.8,IF(N502="CNY",7.30034,1))</f>
        <v>7.3003400000000003</v>
      </c>
      <c r="R502" s="15">
        <f>+ROUND(O502/Q502,4)</f>
        <v>1.4722</v>
      </c>
      <c r="S502" s="14">
        <f>ROUND(R502*L502,2)</f>
        <v>9407.36</v>
      </c>
      <c r="T502" s="15" t="s">
        <v>349</v>
      </c>
      <c r="U502" t="s">
        <v>78</v>
      </c>
    </row>
    <row r="503" spans="1:21" x14ac:dyDescent="0.2">
      <c r="A503" t="s">
        <v>2097</v>
      </c>
      <c r="B503" s="24">
        <v>45707</v>
      </c>
      <c r="C503" s="24">
        <v>45670</v>
      </c>
      <c r="D503" t="s">
        <v>2255</v>
      </c>
      <c r="E503" t="s">
        <v>2256</v>
      </c>
      <c r="G503" t="s">
        <v>2223</v>
      </c>
      <c r="H503" s="19" t="s">
        <v>1796</v>
      </c>
      <c r="I503" s="19" t="s">
        <v>1797</v>
      </c>
      <c r="J503" s="11" t="str">
        <f>+LEFT(U503,4)</f>
        <v>GLID</v>
      </c>
      <c r="K503" t="s">
        <v>10</v>
      </c>
      <c r="L503" s="19">
        <v>310</v>
      </c>
      <c r="M503" t="s">
        <v>1472</v>
      </c>
      <c r="N503" t="s">
        <v>11</v>
      </c>
      <c r="O503" s="26">
        <v>7.4503000000000004</v>
      </c>
      <c r="P503" s="12">
        <f>ROUND(O503*L503,2)</f>
        <v>2309.59</v>
      </c>
      <c r="Q503" s="13">
        <f>IF(N503="HKD",7.8,IF(N503="CNY",7.30034,1))</f>
        <v>7.3003400000000003</v>
      </c>
      <c r="R503" s="15">
        <f>+ROUND(O503/Q503,4)</f>
        <v>1.0205</v>
      </c>
      <c r="S503" s="14">
        <f>ROUND(R503*L503,2)</f>
        <v>316.36</v>
      </c>
      <c r="T503" s="15" t="s">
        <v>349</v>
      </c>
      <c r="U503" t="s">
        <v>78</v>
      </c>
    </row>
    <row r="504" spans="1:21" x14ac:dyDescent="0.2">
      <c r="A504" t="s">
        <v>2083</v>
      </c>
      <c r="B504" s="24">
        <v>45708</v>
      </c>
      <c r="C504" s="24">
        <v>45671</v>
      </c>
      <c r="D504" t="s">
        <v>696</v>
      </c>
      <c r="E504" t="s">
        <v>697</v>
      </c>
      <c r="G504" t="s">
        <v>2217</v>
      </c>
      <c r="H504" s="19" t="s">
        <v>1784</v>
      </c>
      <c r="I504" s="19" t="s">
        <v>1785</v>
      </c>
      <c r="J504" s="11" t="str">
        <f>+LEFT(U504,4)</f>
        <v>GLID</v>
      </c>
      <c r="K504" t="s">
        <v>10</v>
      </c>
      <c r="L504" s="19">
        <v>2040</v>
      </c>
      <c r="M504" t="s">
        <v>1472</v>
      </c>
      <c r="N504" t="s">
        <v>11</v>
      </c>
      <c r="O504" s="26">
        <v>6.08</v>
      </c>
      <c r="P504" s="12">
        <f>ROUND(O504*L504,2)</f>
        <v>12403.2</v>
      </c>
      <c r="Q504" s="13">
        <f>IF(N504="HKD",7.8,IF(N504="CNY",7.30034,1))</f>
        <v>7.3003400000000003</v>
      </c>
      <c r="R504" s="15">
        <f>+ROUND(O504/Q504,4)</f>
        <v>0.83279999999999998</v>
      </c>
      <c r="S504" s="14">
        <f>ROUND(R504*L504,2)</f>
        <v>1698.91</v>
      </c>
      <c r="T504" s="15" t="s">
        <v>349</v>
      </c>
      <c r="U504" t="s">
        <v>78</v>
      </c>
    </row>
    <row r="505" spans="1:21" x14ac:dyDescent="0.2">
      <c r="A505" t="s">
        <v>2106</v>
      </c>
      <c r="B505" s="24">
        <v>45712</v>
      </c>
      <c r="C505" s="24">
        <v>45673</v>
      </c>
      <c r="D505" t="s">
        <v>287</v>
      </c>
      <c r="E505" t="s">
        <v>288</v>
      </c>
      <c r="G505" t="s">
        <v>2226</v>
      </c>
      <c r="H505" s="19" t="s">
        <v>71</v>
      </c>
      <c r="I505" s="19" t="s">
        <v>72</v>
      </c>
      <c r="J505" s="11" t="s">
        <v>1478</v>
      </c>
      <c r="K505" t="s">
        <v>10</v>
      </c>
      <c r="L505" s="19">
        <v>1000</v>
      </c>
      <c r="M505" t="s">
        <v>1472</v>
      </c>
      <c r="N505" t="s">
        <v>11</v>
      </c>
      <c r="O505" s="26">
        <v>8.15</v>
      </c>
      <c r="P505" s="12">
        <f>ROUND(O505*L505,2)</f>
        <v>8150</v>
      </c>
      <c r="Q505" s="13">
        <f>IF(N505="HKD",7.8,IF(N505="CNY",7.30034,1))</f>
        <v>7.3003400000000003</v>
      </c>
      <c r="R505" s="15">
        <f>+ROUND(O505/Q505,4)</f>
        <v>1.1164000000000001</v>
      </c>
      <c r="S505" s="14">
        <f>ROUND(R505*L505,2)</f>
        <v>1116.4000000000001</v>
      </c>
      <c r="T505" s="15" t="s">
        <v>349</v>
      </c>
      <c r="U505" t="s">
        <v>36</v>
      </c>
    </row>
    <row r="506" spans="1:21" x14ac:dyDescent="0.2">
      <c r="A506" t="s">
        <v>1969</v>
      </c>
      <c r="B506" s="24">
        <v>45713</v>
      </c>
      <c r="C506" s="24">
        <v>45664</v>
      </c>
      <c r="D506" t="s">
        <v>149</v>
      </c>
      <c r="E506" t="s">
        <v>150</v>
      </c>
      <c r="G506" t="s">
        <v>2181</v>
      </c>
      <c r="H506" s="19" t="s">
        <v>1689</v>
      </c>
      <c r="I506" s="19" t="s">
        <v>1690</v>
      </c>
      <c r="J506" s="11" t="str">
        <f>+LEFT(U506,4)</f>
        <v>GLID</v>
      </c>
      <c r="K506" t="s">
        <v>10</v>
      </c>
      <c r="L506" s="19">
        <v>1200</v>
      </c>
      <c r="M506" t="s">
        <v>1472</v>
      </c>
      <c r="N506" t="s">
        <v>11</v>
      </c>
      <c r="O506" s="26">
        <v>2.7103999999999999</v>
      </c>
      <c r="P506" s="12">
        <f>ROUND(O506*L506,2)</f>
        <v>3252.48</v>
      </c>
      <c r="Q506" s="13">
        <f>IF(N506="HKD",7.8,IF(N506="CNY",7.30034,1))</f>
        <v>7.3003400000000003</v>
      </c>
      <c r="R506" s="15">
        <f>+ROUND(O506/Q506,4)</f>
        <v>0.37130000000000002</v>
      </c>
      <c r="S506" s="14">
        <f>ROUND(R506*L506,2)</f>
        <v>445.56</v>
      </c>
      <c r="T506" s="15" t="s">
        <v>349</v>
      </c>
      <c r="U506" t="s">
        <v>78</v>
      </c>
    </row>
    <row r="507" spans="1:21" x14ac:dyDescent="0.2">
      <c r="A507" t="s">
        <v>1970</v>
      </c>
      <c r="B507" s="24">
        <v>45713</v>
      </c>
      <c r="C507" s="24">
        <v>45698</v>
      </c>
      <c r="D507" t="s">
        <v>149</v>
      </c>
      <c r="E507" t="s">
        <v>150</v>
      </c>
      <c r="G507" t="s">
        <v>2181</v>
      </c>
      <c r="H507" s="19" t="s">
        <v>786</v>
      </c>
      <c r="I507" s="19" t="s">
        <v>787</v>
      </c>
      <c r="J507" s="11" t="str">
        <f>+LEFT(U507,4)</f>
        <v>GLID</v>
      </c>
      <c r="K507" t="s">
        <v>10</v>
      </c>
      <c r="L507" s="19">
        <v>1530</v>
      </c>
      <c r="M507" t="s">
        <v>1472</v>
      </c>
      <c r="N507" t="s">
        <v>11</v>
      </c>
      <c r="O507" s="26">
        <v>2.7494000000000001</v>
      </c>
      <c r="P507" s="12">
        <f>ROUND(O507*L507,2)</f>
        <v>4206.58</v>
      </c>
      <c r="Q507" s="13">
        <f>IF(N507="HKD",7.8,IF(N507="CNY",7.30034,1))</f>
        <v>7.3003400000000003</v>
      </c>
      <c r="R507" s="15">
        <f>+ROUND(O507/Q507,4)</f>
        <v>0.37659999999999999</v>
      </c>
      <c r="S507" s="14">
        <f>ROUND(R507*L507,2)</f>
        <v>576.20000000000005</v>
      </c>
      <c r="T507" s="15" t="s">
        <v>349</v>
      </c>
      <c r="U507" t="s">
        <v>78</v>
      </c>
    </row>
    <row r="508" spans="1:21" x14ac:dyDescent="0.2">
      <c r="A508" t="s">
        <v>1975</v>
      </c>
      <c r="B508" s="24">
        <v>45713</v>
      </c>
      <c r="C508" s="24">
        <v>45700</v>
      </c>
      <c r="D508" t="s">
        <v>149</v>
      </c>
      <c r="E508" t="s">
        <v>150</v>
      </c>
      <c r="G508" t="s">
        <v>2181</v>
      </c>
      <c r="H508" s="19" t="s">
        <v>1695</v>
      </c>
      <c r="I508" s="19" t="s">
        <v>1696</v>
      </c>
      <c r="J508" s="11" t="str">
        <f>+LEFT(U508,4)</f>
        <v>GLID</v>
      </c>
      <c r="K508" t="s">
        <v>10</v>
      </c>
      <c r="L508" s="19">
        <v>450</v>
      </c>
      <c r="M508" t="s">
        <v>1472</v>
      </c>
      <c r="N508" t="s">
        <v>11</v>
      </c>
      <c r="O508" s="26">
        <v>2.9073000000000002</v>
      </c>
      <c r="P508" s="12">
        <f>ROUND(O508*L508,2)</f>
        <v>1308.29</v>
      </c>
      <c r="Q508" s="13">
        <f>IF(N508="HKD",7.8,IF(N508="CNY",7.30034,1))</f>
        <v>7.3003400000000003</v>
      </c>
      <c r="R508" s="15">
        <f>+ROUND(O508/Q508,4)</f>
        <v>0.3982</v>
      </c>
      <c r="S508" s="14">
        <f>ROUND(R508*L508,2)</f>
        <v>179.19</v>
      </c>
      <c r="T508" s="15" t="s">
        <v>349</v>
      </c>
      <c r="U508" t="s">
        <v>78</v>
      </c>
    </row>
    <row r="509" spans="1:21" x14ac:dyDescent="0.2">
      <c r="A509" t="s">
        <v>1985</v>
      </c>
      <c r="B509" s="24">
        <v>45713</v>
      </c>
      <c r="C509" s="24">
        <v>45664</v>
      </c>
      <c r="D509" t="s">
        <v>149</v>
      </c>
      <c r="E509" t="s">
        <v>150</v>
      </c>
      <c r="G509" t="s">
        <v>2181</v>
      </c>
      <c r="H509" s="19" t="s">
        <v>1709</v>
      </c>
      <c r="I509" s="19" t="s">
        <v>1710</v>
      </c>
      <c r="J509" s="11" t="str">
        <f>+LEFT(U509,4)</f>
        <v>GLID</v>
      </c>
      <c r="K509" t="s">
        <v>10</v>
      </c>
      <c r="L509" s="19">
        <v>520</v>
      </c>
      <c r="M509" t="s">
        <v>1472</v>
      </c>
      <c r="N509" t="s">
        <v>11</v>
      </c>
      <c r="O509" s="26">
        <v>3.0331000000000001</v>
      </c>
      <c r="P509" s="12">
        <f>ROUND(O509*L509,2)</f>
        <v>1577.21</v>
      </c>
      <c r="Q509" s="13">
        <f>IF(N509="HKD",7.8,IF(N509="CNY",7.30034,1))</f>
        <v>7.3003400000000003</v>
      </c>
      <c r="R509" s="15">
        <f>+ROUND(O509/Q509,4)</f>
        <v>0.41549999999999998</v>
      </c>
      <c r="S509" s="14">
        <f>ROUND(R509*L509,2)</f>
        <v>216.06</v>
      </c>
      <c r="T509" s="15" t="s">
        <v>349</v>
      </c>
      <c r="U509" t="s">
        <v>78</v>
      </c>
    </row>
    <row r="510" spans="1:21" x14ac:dyDescent="0.2">
      <c r="A510" t="s">
        <v>2035</v>
      </c>
      <c r="B510" s="24">
        <v>45713</v>
      </c>
      <c r="C510" s="24">
        <v>45674</v>
      </c>
      <c r="D510" t="s">
        <v>149</v>
      </c>
      <c r="E510" t="s">
        <v>150</v>
      </c>
      <c r="G510" t="s">
        <v>2181</v>
      </c>
      <c r="H510" s="19" t="s">
        <v>1746</v>
      </c>
      <c r="I510" s="19" t="s">
        <v>1747</v>
      </c>
      <c r="J510" s="11" t="str">
        <f>+LEFT(U510,4)</f>
        <v>GLID</v>
      </c>
      <c r="K510" t="s">
        <v>10</v>
      </c>
      <c r="L510" s="19">
        <v>510</v>
      </c>
      <c r="M510" t="s">
        <v>1472</v>
      </c>
      <c r="N510" t="s">
        <v>11</v>
      </c>
      <c r="O510" s="26">
        <v>3.8246000000000002</v>
      </c>
      <c r="P510" s="12">
        <f>ROUND(O510*L510,2)</f>
        <v>1950.55</v>
      </c>
      <c r="Q510" s="13">
        <f>IF(N510="HKD",7.8,IF(N510="CNY",7.30034,1))</f>
        <v>7.3003400000000003</v>
      </c>
      <c r="R510" s="15">
        <f>+ROUND(O510/Q510,4)</f>
        <v>0.52390000000000003</v>
      </c>
      <c r="S510" s="14">
        <f>ROUND(R510*L510,2)</f>
        <v>267.19</v>
      </c>
      <c r="T510" s="15" t="s">
        <v>349</v>
      </c>
      <c r="U510" t="s">
        <v>78</v>
      </c>
    </row>
    <row r="511" spans="1:21" x14ac:dyDescent="0.2">
      <c r="A511" t="s">
        <v>2087</v>
      </c>
      <c r="B511" s="24">
        <v>45713</v>
      </c>
      <c r="C511" s="24">
        <v>45609</v>
      </c>
      <c r="D511" t="s">
        <v>149</v>
      </c>
      <c r="E511" t="s">
        <v>150</v>
      </c>
      <c r="G511" t="s">
        <v>2181</v>
      </c>
      <c r="H511" s="19" t="s">
        <v>1786</v>
      </c>
      <c r="I511" s="19" t="s">
        <v>1787</v>
      </c>
      <c r="J511" s="11" t="str">
        <f>+LEFT(U511,4)</f>
        <v>GLID</v>
      </c>
      <c r="K511" t="s">
        <v>10</v>
      </c>
      <c r="L511" s="19">
        <v>74</v>
      </c>
      <c r="M511" t="s">
        <v>1472</v>
      </c>
      <c r="N511" t="s">
        <v>11</v>
      </c>
      <c r="O511" s="26">
        <v>6.65</v>
      </c>
      <c r="P511" s="12">
        <f>ROUND(O511*L511,2)</f>
        <v>492.1</v>
      </c>
      <c r="Q511" s="13">
        <f>IF(N511="HKD",7.8,IF(N511="CNY",7.30034,1))</f>
        <v>7.3003400000000003</v>
      </c>
      <c r="R511" s="15">
        <f>+ROUND(O511/Q511,4)</f>
        <v>0.91090000000000004</v>
      </c>
      <c r="S511" s="14">
        <f>ROUND(R511*L511,2)</f>
        <v>67.41</v>
      </c>
      <c r="T511" s="15" t="s">
        <v>349</v>
      </c>
      <c r="U511" t="s">
        <v>78</v>
      </c>
    </row>
    <row r="512" spans="1:21" x14ac:dyDescent="0.2">
      <c r="A512" t="s">
        <v>1968</v>
      </c>
      <c r="B512" s="24">
        <v>45714</v>
      </c>
      <c r="C512" s="24">
        <v>45714</v>
      </c>
      <c r="D512" t="s">
        <v>898</v>
      </c>
      <c r="E512" t="s">
        <v>899</v>
      </c>
      <c r="G512" t="s">
        <v>2179</v>
      </c>
      <c r="H512" s="19" t="s">
        <v>1688</v>
      </c>
      <c r="I512" s="19" t="s">
        <v>1188</v>
      </c>
      <c r="J512" s="11" t="str">
        <f>+LEFT(U512,4)</f>
        <v>GLID</v>
      </c>
      <c r="K512" t="s">
        <v>10</v>
      </c>
      <c r="L512" s="19">
        <v>50</v>
      </c>
      <c r="M512" t="s">
        <v>1472</v>
      </c>
      <c r="N512" t="s">
        <v>11</v>
      </c>
      <c r="O512" s="26">
        <v>2.6817000000000002</v>
      </c>
      <c r="P512" s="12">
        <f>ROUND(O512*L512,2)</f>
        <v>134.09</v>
      </c>
      <c r="Q512" s="13">
        <f>IF(N512="HKD",7.8,IF(N512="CNY",7.30034,1))</f>
        <v>7.3003400000000003</v>
      </c>
      <c r="R512" s="15">
        <f>+ROUND(O512/Q512,4)</f>
        <v>0.36730000000000002</v>
      </c>
      <c r="S512" s="14">
        <f>ROUND(R512*L512,2)</f>
        <v>18.37</v>
      </c>
      <c r="T512" s="15" t="s">
        <v>349</v>
      </c>
      <c r="U512" t="s">
        <v>78</v>
      </c>
    </row>
    <row r="513" spans="1:21" x14ac:dyDescent="0.2">
      <c r="A513" t="s">
        <v>2012</v>
      </c>
      <c r="B513" s="24">
        <v>45714</v>
      </c>
      <c r="C513" s="24">
        <v>45714</v>
      </c>
      <c r="D513" t="s">
        <v>898</v>
      </c>
      <c r="E513" t="s">
        <v>899</v>
      </c>
      <c r="G513" t="s">
        <v>2179</v>
      </c>
      <c r="H513" s="19" t="s">
        <v>1726</v>
      </c>
      <c r="I513" s="19" t="s">
        <v>1727</v>
      </c>
      <c r="J513" s="11" t="str">
        <f>+LEFT(U513,4)</f>
        <v>GLID</v>
      </c>
      <c r="K513" t="s">
        <v>10</v>
      </c>
      <c r="L513" s="19">
        <v>75</v>
      </c>
      <c r="M513" t="s">
        <v>1472</v>
      </c>
      <c r="N513" t="s">
        <v>11</v>
      </c>
      <c r="O513" s="26">
        <v>3.1972</v>
      </c>
      <c r="P513" s="12">
        <f>ROUND(O513*L513,2)</f>
        <v>239.79</v>
      </c>
      <c r="Q513" s="13">
        <f>IF(N513="HKD",7.8,IF(N513="CNY",7.30034,1))</f>
        <v>7.3003400000000003</v>
      </c>
      <c r="R513" s="15">
        <f>+ROUND(O513/Q513,4)</f>
        <v>0.438</v>
      </c>
      <c r="S513" s="14">
        <f>ROUND(R513*L513,2)</f>
        <v>32.85</v>
      </c>
      <c r="T513" s="15" t="s">
        <v>349</v>
      </c>
      <c r="U513" t="s">
        <v>78</v>
      </c>
    </row>
    <row r="514" spans="1:21" x14ac:dyDescent="0.2">
      <c r="A514" t="s">
        <v>1969</v>
      </c>
      <c r="B514" s="24">
        <v>45715</v>
      </c>
      <c r="C514" s="24">
        <v>45664</v>
      </c>
      <c r="D514" t="s">
        <v>149</v>
      </c>
      <c r="E514" t="s">
        <v>150</v>
      </c>
      <c r="G514" t="s">
        <v>2180</v>
      </c>
      <c r="H514" s="19" t="s">
        <v>1689</v>
      </c>
      <c r="I514" s="19" t="s">
        <v>1690</v>
      </c>
      <c r="J514" s="11" t="str">
        <f>+LEFT(U514,4)</f>
        <v>GLID</v>
      </c>
      <c r="K514" t="s">
        <v>10</v>
      </c>
      <c r="L514" s="19">
        <v>330</v>
      </c>
      <c r="M514" t="s">
        <v>1472</v>
      </c>
      <c r="N514" t="s">
        <v>11</v>
      </c>
      <c r="O514" s="26">
        <v>2.7103999999999999</v>
      </c>
      <c r="P514" s="12">
        <f>ROUND(O514*L514,2)</f>
        <v>894.43</v>
      </c>
      <c r="Q514" s="13">
        <f>IF(N514="HKD",7.8,IF(N514="CNY",7.30034,1))</f>
        <v>7.3003400000000003</v>
      </c>
      <c r="R514" s="15">
        <f>+ROUND(O514/Q514,4)</f>
        <v>0.37130000000000002</v>
      </c>
      <c r="S514" s="14">
        <f>ROUND(R514*L514,2)</f>
        <v>122.53</v>
      </c>
      <c r="T514" s="15" t="s">
        <v>349</v>
      </c>
      <c r="U514" t="s">
        <v>78</v>
      </c>
    </row>
    <row r="515" spans="1:21" x14ac:dyDescent="0.2">
      <c r="A515" t="s">
        <v>2014</v>
      </c>
      <c r="B515" s="24">
        <v>45715</v>
      </c>
      <c r="C515" s="24">
        <v>45664</v>
      </c>
      <c r="D515" t="s">
        <v>149</v>
      </c>
      <c r="E515" t="s">
        <v>150</v>
      </c>
      <c r="G515" t="s">
        <v>2180</v>
      </c>
      <c r="H515" s="19" t="s">
        <v>1730</v>
      </c>
      <c r="I515" s="19" t="s">
        <v>1731</v>
      </c>
      <c r="J515" s="11" t="str">
        <f>+LEFT(U515,4)</f>
        <v>GLID</v>
      </c>
      <c r="K515" t="s">
        <v>10</v>
      </c>
      <c r="L515" s="19">
        <v>1510</v>
      </c>
      <c r="M515" t="s">
        <v>1472</v>
      </c>
      <c r="N515" t="s">
        <v>11</v>
      </c>
      <c r="O515" s="26">
        <v>3.3490000000000002</v>
      </c>
      <c r="P515" s="12">
        <f>ROUND(O515*L515,2)</f>
        <v>5056.99</v>
      </c>
      <c r="Q515" s="13">
        <f>IF(N515="HKD",7.8,IF(N515="CNY",7.30034,1))</f>
        <v>7.3003400000000003</v>
      </c>
      <c r="R515" s="15">
        <f>+ROUND(O515/Q515,4)</f>
        <v>0.4587</v>
      </c>
      <c r="S515" s="14">
        <f>ROUND(R515*L515,2)</f>
        <v>692.64</v>
      </c>
      <c r="T515" s="15" t="s">
        <v>349</v>
      </c>
      <c r="U515" t="s">
        <v>78</v>
      </c>
    </row>
    <row r="516" spans="1:21" x14ac:dyDescent="0.2">
      <c r="A516" t="s">
        <v>2047</v>
      </c>
      <c r="B516" s="24">
        <v>45715</v>
      </c>
      <c r="C516" s="24">
        <v>45664</v>
      </c>
      <c r="D516" t="s">
        <v>149</v>
      </c>
      <c r="E516" t="s">
        <v>150</v>
      </c>
      <c r="G516" t="s">
        <v>2180</v>
      </c>
      <c r="H516" s="19" t="s">
        <v>1758</v>
      </c>
      <c r="I516" s="19" t="s">
        <v>1759</v>
      </c>
      <c r="J516" s="11" t="str">
        <f>+LEFT(U516,4)</f>
        <v>GLID</v>
      </c>
      <c r="K516" t="s">
        <v>10</v>
      </c>
      <c r="L516" s="19">
        <v>1020</v>
      </c>
      <c r="M516" t="s">
        <v>1472</v>
      </c>
      <c r="N516" t="s">
        <v>11</v>
      </c>
      <c r="O516" s="26">
        <v>4.1127000000000002</v>
      </c>
      <c r="P516" s="12">
        <f>ROUND(O516*L516,2)</f>
        <v>4194.95</v>
      </c>
      <c r="Q516" s="13">
        <f>IF(N516="HKD",7.8,IF(N516="CNY",7.30034,1))</f>
        <v>7.3003400000000003</v>
      </c>
      <c r="R516" s="15">
        <f>+ROUND(O516/Q516,4)</f>
        <v>0.56340000000000001</v>
      </c>
      <c r="S516" s="14">
        <f>ROUND(R516*L516,2)</f>
        <v>574.66999999999996</v>
      </c>
      <c r="T516" s="15" t="s">
        <v>349</v>
      </c>
      <c r="U516" t="s">
        <v>78</v>
      </c>
    </row>
    <row r="517" spans="1:21" x14ac:dyDescent="0.2">
      <c r="A517" t="s">
        <v>2389</v>
      </c>
      <c r="B517" s="24">
        <v>45727</v>
      </c>
      <c r="C517" s="24">
        <v>45695</v>
      </c>
      <c r="D517" t="s">
        <v>252</v>
      </c>
      <c r="E517" t="s">
        <v>253</v>
      </c>
      <c r="G517" t="s">
        <v>2872</v>
      </c>
      <c r="H517" t="s">
        <v>1530</v>
      </c>
      <c r="I517" t="s">
        <v>1531</v>
      </c>
      <c r="J517" s="11" t="s">
        <v>1527</v>
      </c>
      <c r="K517" t="s">
        <v>10</v>
      </c>
      <c r="L517">
        <v>4000</v>
      </c>
      <c r="M517" t="s">
        <v>1472</v>
      </c>
      <c r="N517" t="s">
        <v>11</v>
      </c>
      <c r="O517">
        <v>1.38</v>
      </c>
      <c r="P517" s="12">
        <f>ROUND(O517*L517,2)</f>
        <v>5520</v>
      </c>
      <c r="Q517" s="13">
        <f>IF(N517="HKD",7.8,IF(N517="CNY",7.30034,1))</f>
        <v>7.3003400000000003</v>
      </c>
      <c r="R517" s="15">
        <f>+ROUND(O517/Q517,4)</f>
        <v>0.189</v>
      </c>
      <c r="S517" s="14">
        <f>ROUND(R517*L517,2)</f>
        <v>756</v>
      </c>
      <c r="T517" s="15" t="s">
        <v>349</v>
      </c>
      <c r="U517" t="s">
        <v>36</v>
      </c>
    </row>
    <row r="518" spans="1:21" x14ac:dyDescent="0.2">
      <c r="A518" t="s">
        <v>2666</v>
      </c>
      <c r="B518" s="24">
        <v>45742</v>
      </c>
      <c r="C518" s="24">
        <v>45723</v>
      </c>
      <c r="D518" t="s">
        <v>252</v>
      </c>
      <c r="E518" t="s">
        <v>253</v>
      </c>
      <c r="G518" t="s">
        <v>2915</v>
      </c>
      <c r="H518" t="s">
        <v>1530</v>
      </c>
      <c r="I518" t="s">
        <v>1531</v>
      </c>
      <c r="J518" s="11" t="s">
        <v>1527</v>
      </c>
      <c r="K518" t="s">
        <v>10</v>
      </c>
      <c r="L518">
        <v>1000</v>
      </c>
      <c r="M518" t="s">
        <v>1472</v>
      </c>
      <c r="N518" t="s">
        <v>11</v>
      </c>
      <c r="O518">
        <v>1.38</v>
      </c>
      <c r="P518" s="12">
        <f>ROUND(O518*L518,2)</f>
        <v>1380</v>
      </c>
      <c r="Q518" s="13">
        <f>IF(N518="HKD",7.8,IF(N518="CNY",7.30034,1))</f>
        <v>7.3003400000000003</v>
      </c>
      <c r="R518" s="15">
        <f>+ROUND(O518/Q518,4)</f>
        <v>0.189</v>
      </c>
      <c r="S518" s="14">
        <f>ROUND(R518*L518,2)</f>
        <v>189</v>
      </c>
      <c r="T518" s="15" t="s">
        <v>349</v>
      </c>
      <c r="U518" t="s">
        <v>36</v>
      </c>
    </row>
    <row r="519" spans="1:21" x14ac:dyDescent="0.2">
      <c r="A519" t="s">
        <v>2691</v>
      </c>
      <c r="B519" s="24">
        <v>45742</v>
      </c>
      <c r="C519" s="24">
        <v>45727</v>
      </c>
      <c r="D519" t="s">
        <v>252</v>
      </c>
      <c r="E519" t="s">
        <v>253</v>
      </c>
      <c r="G519" t="s">
        <v>2915</v>
      </c>
      <c r="H519" t="s">
        <v>1530</v>
      </c>
      <c r="I519" t="s">
        <v>1531</v>
      </c>
      <c r="J519" s="11" t="s">
        <v>1527</v>
      </c>
      <c r="K519" t="s">
        <v>10</v>
      </c>
      <c r="L519">
        <v>1250</v>
      </c>
      <c r="M519" t="s">
        <v>1472</v>
      </c>
      <c r="N519" t="s">
        <v>11</v>
      </c>
      <c r="O519">
        <v>1.38</v>
      </c>
      <c r="P519" s="12">
        <f>ROUND(O519*L519,2)</f>
        <v>1725</v>
      </c>
      <c r="Q519" s="13">
        <f>IF(N519="HKD",7.8,IF(N519="CNY",7.30034,1))</f>
        <v>7.3003400000000003</v>
      </c>
      <c r="R519" s="15">
        <f>+ROUND(O519/Q519,4)</f>
        <v>0.189</v>
      </c>
      <c r="S519" s="14">
        <f>ROUND(R519*L519,2)</f>
        <v>236.25</v>
      </c>
      <c r="T519" s="15" t="s">
        <v>349</v>
      </c>
      <c r="U519" t="s">
        <v>36</v>
      </c>
    </row>
    <row r="520" spans="1:21" x14ac:dyDescent="0.2">
      <c r="A520" t="s">
        <v>2701</v>
      </c>
      <c r="B520" s="24">
        <v>45740</v>
      </c>
      <c r="C520" s="24">
        <v>45728</v>
      </c>
      <c r="D520" t="s">
        <v>169</v>
      </c>
      <c r="E520" t="s">
        <v>170</v>
      </c>
      <c r="G520" t="s">
        <v>3035</v>
      </c>
      <c r="H520" t="s">
        <v>3228</v>
      </c>
      <c r="I520" t="s">
        <v>3435</v>
      </c>
      <c r="J520" s="11" t="str">
        <f>+LEFT(U520,4)</f>
        <v>U&amp;C-</v>
      </c>
      <c r="K520" t="s">
        <v>10</v>
      </c>
      <c r="L520">
        <v>2020</v>
      </c>
      <c r="M520" t="s">
        <v>1472</v>
      </c>
      <c r="N520" t="s">
        <v>11</v>
      </c>
      <c r="O520">
        <v>1.45</v>
      </c>
      <c r="P520" s="12">
        <f>ROUND(O520*L520,2)</f>
        <v>2929</v>
      </c>
      <c r="Q520" s="13">
        <f>IF(N520="HKD",7.8,IF(N520="CNY",7.30034,1))</f>
        <v>7.3003400000000003</v>
      </c>
      <c r="R520" s="15">
        <f>+ROUND(O520/Q520,4)</f>
        <v>0.1986</v>
      </c>
      <c r="S520" s="14">
        <f>ROUND(R520*L520,2)</f>
        <v>401.17</v>
      </c>
      <c r="T520" s="15" t="s">
        <v>349</v>
      </c>
      <c r="U520" t="s">
        <v>177</v>
      </c>
    </row>
    <row r="521" spans="1:21" x14ac:dyDescent="0.2">
      <c r="A521" t="s">
        <v>2338</v>
      </c>
      <c r="B521" s="24">
        <v>45719</v>
      </c>
      <c r="C521" s="24">
        <v>45674</v>
      </c>
      <c r="D521" t="s">
        <v>169</v>
      </c>
      <c r="E521" t="s">
        <v>170</v>
      </c>
      <c r="G521" t="s">
        <v>2894</v>
      </c>
      <c r="H521" t="s">
        <v>646</v>
      </c>
      <c r="I521" t="s">
        <v>647</v>
      </c>
      <c r="J521" s="11" t="str">
        <f>+LEFT(U521,4)</f>
        <v>PRIM</v>
      </c>
      <c r="K521" t="s">
        <v>10</v>
      </c>
      <c r="L521">
        <v>6500</v>
      </c>
      <c r="M521" t="s">
        <v>1472</v>
      </c>
      <c r="N521" t="s">
        <v>11</v>
      </c>
      <c r="O521">
        <v>1.46</v>
      </c>
      <c r="P521" s="12">
        <f>ROUND(O521*L521,2)</f>
        <v>9490</v>
      </c>
      <c r="Q521" s="13">
        <f>IF(N521="HKD",7.8,IF(N521="CNY",7.30034,1))</f>
        <v>7.3003400000000003</v>
      </c>
      <c r="R521" s="15">
        <f>+ROUND(O521/Q521,4)</f>
        <v>0.2</v>
      </c>
      <c r="S521" s="14">
        <f>ROUND(R521*L521,2)</f>
        <v>1300</v>
      </c>
      <c r="T521" s="15" t="s">
        <v>349</v>
      </c>
      <c r="U521" t="s">
        <v>181</v>
      </c>
    </row>
    <row r="522" spans="1:21" x14ac:dyDescent="0.2">
      <c r="A522" t="s">
        <v>2338</v>
      </c>
      <c r="B522" s="24">
        <v>45723</v>
      </c>
      <c r="C522" s="24">
        <v>45674</v>
      </c>
      <c r="D522" t="s">
        <v>169</v>
      </c>
      <c r="E522" t="s">
        <v>170</v>
      </c>
      <c r="G522" t="s">
        <v>2863</v>
      </c>
      <c r="H522" t="s">
        <v>646</v>
      </c>
      <c r="I522" t="s">
        <v>647</v>
      </c>
      <c r="J522" s="11" t="str">
        <f>+LEFT(U522,4)</f>
        <v>PRIM</v>
      </c>
      <c r="K522" t="s">
        <v>10</v>
      </c>
      <c r="L522">
        <v>-5300</v>
      </c>
      <c r="M522" t="s">
        <v>1472</v>
      </c>
      <c r="N522" t="s">
        <v>11</v>
      </c>
      <c r="O522">
        <v>1.46</v>
      </c>
      <c r="P522" s="12">
        <f>ROUND(O522*L522,2)</f>
        <v>-7738</v>
      </c>
      <c r="Q522" s="13">
        <f>IF(N522="HKD",7.8,IF(N522="CNY",7.30034,1))</f>
        <v>7.3003400000000003</v>
      </c>
      <c r="R522" s="15">
        <f>+ROUND(O522/Q522,4)</f>
        <v>0.2</v>
      </c>
      <c r="S522" s="14">
        <f>ROUND(R522*L522,2)</f>
        <v>-1060</v>
      </c>
      <c r="T522" s="15" t="s">
        <v>349</v>
      </c>
      <c r="U522" t="s">
        <v>181</v>
      </c>
    </row>
    <row r="523" spans="1:21" x14ac:dyDescent="0.2">
      <c r="A523" t="s">
        <v>2338</v>
      </c>
      <c r="B523" s="24">
        <v>45723</v>
      </c>
      <c r="C523" s="24">
        <v>45674</v>
      </c>
      <c r="D523" t="s">
        <v>169</v>
      </c>
      <c r="E523" t="s">
        <v>170</v>
      </c>
      <c r="G523" t="s">
        <v>2863</v>
      </c>
      <c r="H523" t="s">
        <v>646</v>
      </c>
      <c r="I523" t="s">
        <v>647</v>
      </c>
      <c r="J523" s="11" t="str">
        <f>+LEFT(U523,4)</f>
        <v>PRIM</v>
      </c>
      <c r="K523" t="s">
        <v>10</v>
      </c>
      <c r="L523">
        <v>-1200</v>
      </c>
      <c r="M523" t="s">
        <v>1472</v>
      </c>
      <c r="N523" t="s">
        <v>11</v>
      </c>
      <c r="O523">
        <v>1.46</v>
      </c>
      <c r="P523" s="12">
        <f>ROUND(O523*L523,2)</f>
        <v>-1752</v>
      </c>
      <c r="Q523" s="13">
        <f>IF(N523="HKD",7.8,IF(N523="CNY",7.30034,1))</f>
        <v>7.3003400000000003</v>
      </c>
      <c r="R523" s="15">
        <f>+ROUND(O523/Q523,4)</f>
        <v>0.2</v>
      </c>
      <c r="S523" s="14">
        <f>ROUND(R523*L523,2)</f>
        <v>-240</v>
      </c>
      <c r="T523" s="15" t="s">
        <v>349</v>
      </c>
      <c r="U523" t="s">
        <v>181</v>
      </c>
    </row>
    <row r="524" spans="1:21" x14ac:dyDescent="0.2">
      <c r="A524" t="s">
        <v>2338</v>
      </c>
      <c r="B524" s="24">
        <v>45726</v>
      </c>
      <c r="C524" s="24">
        <v>45674</v>
      </c>
      <c r="D524" t="s">
        <v>169</v>
      </c>
      <c r="E524" t="s">
        <v>170</v>
      </c>
      <c r="G524" t="s">
        <v>2862</v>
      </c>
      <c r="H524" t="s">
        <v>646</v>
      </c>
      <c r="I524" t="s">
        <v>647</v>
      </c>
      <c r="J524" s="11" t="str">
        <f>+LEFT(U524,4)</f>
        <v>PRIM</v>
      </c>
      <c r="K524" t="s">
        <v>10</v>
      </c>
      <c r="L524">
        <v>6500</v>
      </c>
      <c r="M524" t="s">
        <v>1472</v>
      </c>
      <c r="N524" t="s">
        <v>11</v>
      </c>
      <c r="O524">
        <v>1.46</v>
      </c>
      <c r="P524" s="12">
        <f>ROUND(O524*L524,2)</f>
        <v>9490</v>
      </c>
      <c r="Q524" s="13">
        <f>IF(N524="HKD",7.8,IF(N524="CNY",7.30034,1))</f>
        <v>7.3003400000000003</v>
      </c>
      <c r="R524" s="15">
        <f>+ROUND(O524/Q524,4)</f>
        <v>0.2</v>
      </c>
      <c r="S524" s="14">
        <f>ROUND(R524*L524,2)</f>
        <v>1300</v>
      </c>
      <c r="T524" s="15" t="s">
        <v>349</v>
      </c>
      <c r="U524" t="s">
        <v>181</v>
      </c>
    </row>
    <row r="525" spans="1:21" x14ac:dyDescent="0.2">
      <c r="A525" t="s">
        <v>2398</v>
      </c>
      <c r="B525" s="24">
        <v>45719</v>
      </c>
      <c r="C525" s="24">
        <v>45698</v>
      </c>
      <c r="D525" t="s">
        <v>651</v>
      </c>
      <c r="E525" t="s">
        <v>652</v>
      </c>
      <c r="G525" t="s">
        <v>2922</v>
      </c>
      <c r="H525" t="s">
        <v>649</v>
      </c>
      <c r="I525" t="s">
        <v>650</v>
      </c>
      <c r="J525" s="11" t="str">
        <f>+LEFT(U525,4)</f>
        <v>HDL-</v>
      </c>
      <c r="K525" t="s">
        <v>10</v>
      </c>
      <c r="L525">
        <v>1000</v>
      </c>
      <c r="M525" t="s">
        <v>1472</v>
      </c>
      <c r="N525" t="s">
        <v>11</v>
      </c>
      <c r="O525">
        <v>1.5</v>
      </c>
      <c r="P525" s="12">
        <f>ROUND(O525*L525,2)</f>
        <v>1500</v>
      </c>
      <c r="Q525" s="13">
        <f>IF(N525="HKD",7.8,IF(N525="CNY",7.30034,1))</f>
        <v>7.3003400000000003</v>
      </c>
      <c r="R525" s="15">
        <f>+ROUND(O525/Q525,4)</f>
        <v>0.20549999999999999</v>
      </c>
      <c r="S525" s="14">
        <f>ROUND(R525*L525,2)</f>
        <v>205.5</v>
      </c>
      <c r="T525" s="15" t="s">
        <v>349</v>
      </c>
      <c r="U525" t="s">
        <v>228</v>
      </c>
    </row>
    <row r="526" spans="1:21" x14ac:dyDescent="0.2">
      <c r="A526" t="s">
        <v>2631</v>
      </c>
      <c r="B526" s="24">
        <v>45747</v>
      </c>
      <c r="C526" s="24">
        <v>45721</v>
      </c>
      <c r="D526" t="s">
        <v>651</v>
      </c>
      <c r="E526" t="s">
        <v>652</v>
      </c>
      <c r="G526" t="s">
        <v>3019</v>
      </c>
      <c r="H526" t="s">
        <v>649</v>
      </c>
      <c r="I526" t="s">
        <v>650</v>
      </c>
      <c r="J526" s="11" t="str">
        <f>+LEFT(U526,4)</f>
        <v>HDL-</v>
      </c>
      <c r="K526" t="s">
        <v>10</v>
      </c>
      <c r="L526">
        <v>1020</v>
      </c>
      <c r="M526" t="s">
        <v>1472</v>
      </c>
      <c r="N526" t="s">
        <v>11</v>
      </c>
      <c r="O526">
        <v>1.5</v>
      </c>
      <c r="P526" s="12">
        <f>ROUND(O526*L526,2)</f>
        <v>1530</v>
      </c>
      <c r="Q526" s="13">
        <f>IF(N526="HKD",7.8,IF(N526="CNY",7.30034,1))</f>
        <v>7.3003400000000003</v>
      </c>
      <c r="R526" s="15">
        <f>+ROUND(O526/Q526,4)</f>
        <v>0.20549999999999999</v>
      </c>
      <c r="S526" s="14">
        <f>ROUND(R526*L526,2)</f>
        <v>209.61</v>
      </c>
      <c r="T526" s="15" t="s">
        <v>349</v>
      </c>
      <c r="U526" t="s">
        <v>228</v>
      </c>
    </row>
    <row r="527" spans="1:21" x14ac:dyDescent="0.2">
      <c r="A527" t="s">
        <v>2422</v>
      </c>
      <c r="B527" s="24">
        <v>45741</v>
      </c>
      <c r="C527" s="24">
        <v>45702</v>
      </c>
      <c r="D527" t="s">
        <v>709</v>
      </c>
      <c r="E527" t="s">
        <v>710</v>
      </c>
      <c r="G527" t="s">
        <v>2930</v>
      </c>
      <c r="H527" t="s">
        <v>729</v>
      </c>
      <c r="I527" t="s">
        <v>730</v>
      </c>
      <c r="J527" s="11" t="str">
        <f>+LEFT(U527,4)</f>
        <v>HDL-</v>
      </c>
      <c r="K527" t="s">
        <v>10</v>
      </c>
      <c r="L527">
        <v>5020</v>
      </c>
      <c r="M527" t="s">
        <v>1472</v>
      </c>
      <c r="N527" t="s">
        <v>11</v>
      </c>
      <c r="O527">
        <v>1.5156000000000001</v>
      </c>
      <c r="P527" s="12">
        <f>ROUND(O527*L527,2)</f>
        <v>7608.31</v>
      </c>
      <c r="Q527" s="13">
        <f>IF(N527="HKD",7.8,IF(N527="CNY",7.30034,1))</f>
        <v>7.3003400000000003</v>
      </c>
      <c r="R527" s="15">
        <f>+ROUND(O527/Q527,4)</f>
        <v>0.20760000000000001</v>
      </c>
      <c r="S527" s="14">
        <f>ROUND(R527*L527,2)</f>
        <v>1042.1500000000001</v>
      </c>
      <c r="T527" s="15" t="s">
        <v>349</v>
      </c>
      <c r="U527" t="s">
        <v>228</v>
      </c>
    </row>
    <row r="528" spans="1:21" x14ac:dyDescent="0.2">
      <c r="A528" t="s">
        <v>2337</v>
      </c>
      <c r="B528" s="24">
        <v>45719</v>
      </c>
      <c r="C528" s="24">
        <v>45674</v>
      </c>
      <c r="D528" t="s">
        <v>169</v>
      </c>
      <c r="E528" t="s">
        <v>170</v>
      </c>
      <c r="G528" t="s">
        <v>2894</v>
      </c>
      <c r="H528" t="s">
        <v>1659</v>
      </c>
      <c r="I528" t="s">
        <v>643</v>
      </c>
      <c r="J528" s="11" t="str">
        <f>+LEFT(U528,4)</f>
        <v>U&amp;C-</v>
      </c>
      <c r="K528" t="s">
        <v>10</v>
      </c>
      <c r="L528">
        <v>4600</v>
      </c>
      <c r="M528" t="s">
        <v>1472</v>
      </c>
      <c r="N528" t="s">
        <v>11</v>
      </c>
      <c r="O528">
        <v>1.53</v>
      </c>
      <c r="P528" s="12">
        <f>ROUND(O528*L528,2)</f>
        <v>7038</v>
      </c>
      <c r="Q528" s="13">
        <f>IF(N528="HKD",7.8,IF(N528="CNY",7.30034,1))</f>
        <v>7.3003400000000003</v>
      </c>
      <c r="R528" s="15">
        <f>+ROUND(O528/Q528,4)</f>
        <v>0.20960000000000001</v>
      </c>
      <c r="S528" s="14">
        <f>ROUND(R528*L528,2)</f>
        <v>964.16</v>
      </c>
      <c r="T528" s="15" t="s">
        <v>349</v>
      </c>
      <c r="U528" t="s">
        <v>177</v>
      </c>
    </row>
    <row r="529" spans="1:21" x14ac:dyDescent="0.2">
      <c r="A529" t="s">
        <v>2734</v>
      </c>
      <c r="B529" s="24">
        <v>45733</v>
      </c>
      <c r="C529" s="24">
        <v>45729</v>
      </c>
      <c r="D529" t="s">
        <v>5</v>
      </c>
      <c r="E529" t="s">
        <v>6</v>
      </c>
      <c r="G529" t="s">
        <v>3042</v>
      </c>
      <c r="H529" t="s">
        <v>489</v>
      </c>
      <c r="I529" t="s">
        <v>490</v>
      </c>
      <c r="J529" s="11" t="str">
        <f>+LEFT(U529,4)</f>
        <v>SHTS</v>
      </c>
      <c r="K529" t="s">
        <v>10</v>
      </c>
      <c r="L529">
        <v>4020</v>
      </c>
      <c r="M529" t="s">
        <v>1472</v>
      </c>
      <c r="N529" t="s">
        <v>11</v>
      </c>
      <c r="O529">
        <v>1.6</v>
      </c>
      <c r="P529" s="12">
        <f>ROUND(O529*L529,2)</f>
        <v>6432</v>
      </c>
      <c r="Q529" s="13">
        <f>IF(N529="HKD",7.8,IF(N529="CNY",7.30034,1))</f>
        <v>7.3003400000000003</v>
      </c>
      <c r="R529" s="15">
        <f>+ROUND(O529/Q529,4)</f>
        <v>0.21920000000000001</v>
      </c>
      <c r="S529" s="14">
        <f>ROUND(R529*L529,2)</f>
        <v>881.18</v>
      </c>
      <c r="T529" s="15" t="s">
        <v>349</v>
      </c>
      <c r="U529" t="s">
        <v>9</v>
      </c>
    </row>
    <row r="530" spans="1:21" x14ac:dyDescent="0.2">
      <c r="A530" t="s">
        <v>2735</v>
      </c>
      <c r="B530" s="24">
        <v>45733</v>
      </c>
      <c r="C530" s="24">
        <v>45729</v>
      </c>
      <c r="D530" t="s">
        <v>5</v>
      </c>
      <c r="E530" t="s">
        <v>6</v>
      </c>
      <c r="G530" t="s">
        <v>3042</v>
      </c>
      <c r="H530" t="s">
        <v>489</v>
      </c>
      <c r="I530" t="s">
        <v>490</v>
      </c>
      <c r="J530" s="11" t="str">
        <f>+LEFT(U530,4)</f>
        <v>SHTS</v>
      </c>
      <c r="K530" t="s">
        <v>10</v>
      </c>
      <c r="L530">
        <v>2010</v>
      </c>
      <c r="M530" t="s">
        <v>1472</v>
      </c>
      <c r="N530" t="s">
        <v>11</v>
      </c>
      <c r="O530">
        <v>1.6</v>
      </c>
      <c r="P530" s="12">
        <f>ROUND(O530*L530,2)</f>
        <v>3216</v>
      </c>
      <c r="Q530" s="13">
        <f>IF(N530="HKD",7.8,IF(N530="CNY",7.30034,1))</f>
        <v>7.3003400000000003</v>
      </c>
      <c r="R530" s="15">
        <f>+ROUND(O530/Q530,4)</f>
        <v>0.21920000000000001</v>
      </c>
      <c r="S530" s="14">
        <f>ROUND(R530*L530,2)</f>
        <v>440.59</v>
      </c>
      <c r="T530" s="15" t="s">
        <v>349</v>
      </c>
      <c r="U530" t="s">
        <v>9</v>
      </c>
    </row>
    <row r="531" spans="1:21" x14ac:dyDescent="0.2">
      <c r="A531" t="s">
        <v>2348</v>
      </c>
      <c r="B531" s="24">
        <v>45728</v>
      </c>
      <c r="C531" s="24">
        <v>45677</v>
      </c>
      <c r="D531" t="s">
        <v>5</v>
      </c>
      <c r="E531" t="s">
        <v>6</v>
      </c>
      <c r="G531" t="s">
        <v>2866</v>
      </c>
      <c r="H531" t="s">
        <v>1660</v>
      </c>
      <c r="I531" t="s">
        <v>1661</v>
      </c>
      <c r="J531" s="11" t="str">
        <f>+LEFT(U531,4)</f>
        <v>SHTS</v>
      </c>
      <c r="K531" t="s">
        <v>10</v>
      </c>
      <c r="L531">
        <v>1010</v>
      </c>
      <c r="M531" t="s">
        <v>1472</v>
      </c>
      <c r="N531" t="s">
        <v>11</v>
      </c>
      <c r="O531">
        <v>1.63</v>
      </c>
      <c r="P531" s="12">
        <f>ROUND(O531*L531,2)</f>
        <v>1646.3</v>
      </c>
      <c r="Q531" s="13">
        <f>IF(N531="HKD",7.8,IF(N531="CNY",7.30034,1))</f>
        <v>7.3003400000000003</v>
      </c>
      <c r="R531" s="15">
        <f>+ROUND(O531/Q531,4)</f>
        <v>0.2233</v>
      </c>
      <c r="S531" s="14">
        <f>ROUND(R531*L531,2)</f>
        <v>225.53</v>
      </c>
      <c r="T531" s="15" t="s">
        <v>349</v>
      </c>
      <c r="U531" t="s">
        <v>9</v>
      </c>
    </row>
    <row r="532" spans="1:21" x14ac:dyDescent="0.2">
      <c r="A532" t="s">
        <v>2345</v>
      </c>
      <c r="B532" s="24">
        <v>45728</v>
      </c>
      <c r="C532" s="24">
        <v>45677</v>
      </c>
      <c r="D532" t="s">
        <v>5</v>
      </c>
      <c r="E532" t="s">
        <v>6</v>
      </c>
      <c r="G532" t="s">
        <v>2866</v>
      </c>
      <c r="H532" t="s">
        <v>493</v>
      </c>
      <c r="I532" t="s">
        <v>494</v>
      </c>
      <c r="J532" s="11" t="str">
        <f>+LEFT(U532,4)</f>
        <v>SHTS</v>
      </c>
      <c r="K532" t="s">
        <v>10</v>
      </c>
      <c r="L532">
        <v>1010</v>
      </c>
      <c r="M532" t="s">
        <v>1472</v>
      </c>
      <c r="N532" t="s">
        <v>11</v>
      </c>
      <c r="O532">
        <v>1.64</v>
      </c>
      <c r="P532" s="12">
        <f>ROUND(O532*L532,2)</f>
        <v>1656.4</v>
      </c>
      <c r="Q532" s="13">
        <f>IF(N532="HKD",7.8,IF(N532="CNY",7.30034,1))</f>
        <v>7.3003400000000003</v>
      </c>
      <c r="R532" s="15">
        <f>+ROUND(O532/Q532,4)</f>
        <v>0.22459999999999999</v>
      </c>
      <c r="S532" s="14">
        <f>ROUND(R532*L532,2)</f>
        <v>226.85</v>
      </c>
      <c r="T532" s="15" t="s">
        <v>349</v>
      </c>
      <c r="U532" t="s">
        <v>9</v>
      </c>
    </row>
    <row r="533" spans="1:21" x14ac:dyDescent="0.2">
      <c r="A533" t="s">
        <v>2697</v>
      </c>
      <c r="B533" s="24">
        <v>45741</v>
      </c>
      <c r="C533" s="24">
        <v>45728</v>
      </c>
      <c r="D533" t="s">
        <v>709</v>
      </c>
      <c r="E533" t="s">
        <v>710</v>
      </c>
      <c r="G533" t="s">
        <v>2930</v>
      </c>
      <c r="H533" t="s">
        <v>3227</v>
      </c>
      <c r="I533" t="s">
        <v>3434</v>
      </c>
      <c r="J533" s="11" t="str">
        <f>+LEFT(U533,4)</f>
        <v>KNOB</v>
      </c>
      <c r="K533" t="s">
        <v>10</v>
      </c>
      <c r="L533">
        <v>3000</v>
      </c>
      <c r="M533" t="s">
        <v>1472</v>
      </c>
      <c r="N533" t="s">
        <v>11</v>
      </c>
      <c r="O533">
        <v>1.6423000000000001</v>
      </c>
      <c r="P533" s="12">
        <f>ROUND(O533*L533,2)</f>
        <v>4926.8999999999996</v>
      </c>
      <c r="Q533" s="13">
        <f>IF(N533="HKD",7.8,IF(N533="CNY",7.30034,1))</f>
        <v>7.3003400000000003</v>
      </c>
      <c r="R533" s="15">
        <f>+ROUND(O533/Q533,4)</f>
        <v>0.22500000000000001</v>
      </c>
      <c r="S533" s="14">
        <f>ROUND(R533*L533,2)</f>
        <v>675</v>
      </c>
      <c r="T533" s="15" t="s">
        <v>349</v>
      </c>
      <c r="U533" t="s">
        <v>32</v>
      </c>
    </row>
    <row r="534" spans="1:21" x14ac:dyDescent="0.2">
      <c r="A534" t="s">
        <v>2813</v>
      </c>
      <c r="B534" s="24">
        <v>45743</v>
      </c>
      <c r="C534" s="24">
        <v>45743</v>
      </c>
      <c r="D534" t="s">
        <v>5</v>
      </c>
      <c r="E534" t="s">
        <v>6</v>
      </c>
      <c r="G534" t="s">
        <v>3057</v>
      </c>
      <c r="H534" t="s">
        <v>3272</v>
      </c>
      <c r="I534" t="s">
        <v>3478</v>
      </c>
      <c r="J534" s="11" t="str">
        <f>+LEFT(U534,4)</f>
        <v>BOX-</v>
      </c>
      <c r="K534" t="s">
        <v>10</v>
      </c>
      <c r="L534">
        <v>2020</v>
      </c>
      <c r="M534" t="s">
        <v>1472</v>
      </c>
      <c r="N534" t="s">
        <v>11</v>
      </c>
      <c r="O534">
        <v>1.65</v>
      </c>
      <c r="P534" s="12">
        <f>ROUND(O534*L534,2)</f>
        <v>3333</v>
      </c>
      <c r="Q534" s="13">
        <f>IF(N534="HKD",7.8,IF(N534="CNY",7.30034,1))</f>
        <v>7.3003400000000003</v>
      </c>
      <c r="R534" s="15">
        <f>+ROUND(O534/Q534,4)</f>
        <v>0.22600000000000001</v>
      </c>
      <c r="S534" s="14">
        <f>ROUND(R534*L534,2)</f>
        <v>456.52</v>
      </c>
      <c r="T534" s="15" t="s">
        <v>349</v>
      </c>
      <c r="U534" t="s">
        <v>1</v>
      </c>
    </row>
    <row r="535" spans="1:21" x14ac:dyDescent="0.2">
      <c r="A535" t="s">
        <v>2814</v>
      </c>
      <c r="B535" s="24">
        <v>45743</v>
      </c>
      <c r="C535" s="24">
        <v>45743</v>
      </c>
      <c r="D535" t="s">
        <v>5</v>
      </c>
      <c r="E535" t="s">
        <v>6</v>
      </c>
      <c r="G535" t="s">
        <v>3057</v>
      </c>
      <c r="H535" t="s">
        <v>3272</v>
      </c>
      <c r="I535" t="s">
        <v>3478</v>
      </c>
      <c r="J535" s="11" t="str">
        <f>+LEFT(U535,4)</f>
        <v>BOX-</v>
      </c>
      <c r="K535" t="s">
        <v>10</v>
      </c>
      <c r="L535">
        <v>200</v>
      </c>
      <c r="M535" t="s">
        <v>1472</v>
      </c>
      <c r="N535" t="s">
        <v>11</v>
      </c>
      <c r="O535">
        <v>1.65</v>
      </c>
      <c r="P535" s="12">
        <f>ROUND(O535*L535,2)</f>
        <v>330</v>
      </c>
      <c r="Q535" s="13">
        <f>IF(N535="HKD",7.8,IF(N535="CNY",7.30034,1))</f>
        <v>7.3003400000000003</v>
      </c>
      <c r="R535" s="15">
        <f>+ROUND(O535/Q535,4)</f>
        <v>0.22600000000000001</v>
      </c>
      <c r="S535" s="14">
        <f>ROUND(R535*L535,2)</f>
        <v>45.2</v>
      </c>
      <c r="T535" s="15" t="s">
        <v>349</v>
      </c>
      <c r="U535" t="s">
        <v>1</v>
      </c>
    </row>
    <row r="536" spans="1:21" x14ac:dyDescent="0.2">
      <c r="A536" t="s">
        <v>2300</v>
      </c>
      <c r="B536" s="24">
        <v>45728</v>
      </c>
      <c r="C536" s="24">
        <v>45653</v>
      </c>
      <c r="D536" t="s">
        <v>5</v>
      </c>
      <c r="E536" t="s">
        <v>6</v>
      </c>
      <c r="G536" t="s">
        <v>2866</v>
      </c>
      <c r="H536" t="s">
        <v>489</v>
      </c>
      <c r="I536" t="s">
        <v>490</v>
      </c>
      <c r="J536" s="11" t="str">
        <f>+LEFT(U536,4)</f>
        <v>SHTS</v>
      </c>
      <c r="K536" t="s">
        <v>10</v>
      </c>
      <c r="L536">
        <v>1010</v>
      </c>
      <c r="M536" t="s">
        <v>1472</v>
      </c>
      <c r="N536" t="s">
        <v>11</v>
      </c>
      <c r="O536">
        <v>1.66</v>
      </c>
      <c r="P536" s="12">
        <f>ROUND(O536*L536,2)</f>
        <v>1676.6</v>
      </c>
      <c r="Q536" s="13">
        <f>IF(N536="HKD",7.8,IF(N536="CNY",7.30034,1))</f>
        <v>7.3003400000000003</v>
      </c>
      <c r="R536" s="15">
        <f>+ROUND(O536/Q536,4)</f>
        <v>0.22739999999999999</v>
      </c>
      <c r="S536" s="14">
        <f>ROUND(R536*L536,2)</f>
        <v>229.67</v>
      </c>
      <c r="T536" s="15" t="s">
        <v>349</v>
      </c>
      <c r="U536" t="s">
        <v>9</v>
      </c>
    </row>
    <row r="537" spans="1:21" x14ac:dyDescent="0.2">
      <c r="A537" t="s">
        <v>2397</v>
      </c>
      <c r="B537" s="24">
        <v>45721</v>
      </c>
      <c r="C537" s="24">
        <v>45698</v>
      </c>
      <c r="D537" t="s">
        <v>709</v>
      </c>
      <c r="E537" t="s">
        <v>710</v>
      </c>
      <c r="G537" t="s">
        <v>2869</v>
      </c>
      <c r="H537" t="s">
        <v>3097</v>
      </c>
      <c r="I537" t="s">
        <v>3312</v>
      </c>
      <c r="J537" s="11" t="str">
        <f>+LEFT(U537,4)</f>
        <v>LHDL</v>
      </c>
      <c r="K537" t="s">
        <v>10</v>
      </c>
      <c r="L537">
        <v>900</v>
      </c>
      <c r="M537" t="s">
        <v>1472</v>
      </c>
      <c r="N537" t="s">
        <v>11</v>
      </c>
      <c r="O537">
        <v>1.7138</v>
      </c>
      <c r="P537" s="12">
        <f>ROUND(O537*L537,2)</f>
        <v>1542.42</v>
      </c>
      <c r="Q537" s="13">
        <f>IF(N537="HKD",7.8,IF(N537="CNY",7.30034,1))</f>
        <v>7.3003400000000003</v>
      </c>
      <c r="R537" s="15">
        <f>+ROUND(O537/Q537,4)</f>
        <v>0.23480000000000001</v>
      </c>
      <c r="S537" s="14">
        <f>ROUND(R537*L537,2)</f>
        <v>211.32</v>
      </c>
      <c r="T537" s="15" t="s">
        <v>349</v>
      </c>
      <c r="U537" t="s">
        <v>125</v>
      </c>
    </row>
    <row r="538" spans="1:21" x14ac:dyDescent="0.2">
      <c r="A538" t="s">
        <v>2433</v>
      </c>
      <c r="B538" s="24">
        <v>45736</v>
      </c>
      <c r="C538" s="24">
        <v>45702</v>
      </c>
      <c r="D538" t="s">
        <v>295</v>
      </c>
      <c r="E538" t="s">
        <v>296</v>
      </c>
      <c r="G538" t="s">
        <v>2934</v>
      </c>
      <c r="H538" t="s">
        <v>3122</v>
      </c>
      <c r="I538" t="s">
        <v>3332</v>
      </c>
      <c r="J538" s="11" t="str">
        <f>+LEFT(U538,4)</f>
        <v>SHDL</v>
      </c>
      <c r="K538" t="s">
        <v>10</v>
      </c>
      <c r="L538">
        <v>8200</v>
      </c>
      <c r="M538" t="s">
        <v>1472</v>
      </c>
      <c r="N538" t="s">
        <v>11</v>
      </c>
      <c r="O538">
        <v>1.7226999999999999</v>
      </c>
      <c r="P538" s="12">
        <f>ROUND(O538*L538,2)</f>
        <v>14126.14</v>
      </c>
      <c r="Q538" s="13">
        <f>IF(N538="HKD",7.8,IF(N538="CNY",7.30034,1))</f>
        <v>7.3003400000000003</v>
      </c>
      <c r="R538" s="15">
        <f>+ROUND(O538/Q538,4)</f>
        <v>0.23599999999999999</v>
      </c>
      <c r="S538" s="14">
        <f>ROUND(R538*L538,2)</f>
        <v>1935.2</v>
      </c>
      <c r="T538" s="15" t="s">
        <v>349</v>
      </c>
      <c r="U538" t="s">
        <v>722</v>
      </c>
    </row>
    <row r="539" spans="1:21" x14ac:dyDescent="0.2">
      <c r="A539" t="s">
        <v>2427</v>
      </c>
      <c r="B539" s="24">
        <v>45733</v>
      </c>
      <c r="C539" s="24">
        <v>45702</v>
      </c>
      <c r="D539" t="s">
        <v>651</v>
      </c>
      <c r="E539" t="s">
        <v>652</v>
      </c>
      <c r="G539" t="s">
        <v>2931</v>
      </c>
      <c r="H539" t="s">
        <v>3116</v>
      </c>
      <c r="I539" t="s">
        <v>3330</v>
      </c>
      <c r="J539" s="11" t="str">
        <f>+LEFT(U539,4)</f>
        <v>HDL-</v>
      </c>
      <c r="K539" t="s">
        <v>10</v>
      </c>
      <c r="L539">
        <v>4050</v>
      </c>
      <c r="M539" t="s">
        <v>1472</v>
      </c>
      <c r="N539" t="s">
        <v>11</v>
      </c>
      <c r="O539">
        <v>1.7248000000000001</v>
      </c>
      <c r="P539" s="12">
        <f>ROUND(O539*L539,2)</f>
        <v>6985.44</v>
      </c>
      <c r="Q539" s="13">
        <f>IF(N539="HKD",7.8,IF(N539="CNY",7.30034,1))</f>
        <v>7.3003400000000003</v>
      </c>
      <c r="R539" s="15">
        <f>+ROUND(O539/Q539,4)</f>
        <v>0.23630000000000001</v>
      </c>
      <c r="S539" s="14">
        <f>ROUND(R539*L539,2)</f>
        <v>957.02</v>
      </c>
      <c r="T539" s="15" t="s">
        <v>349</v>
      </c>
      <c r="U539" t="s">
        <v>228</v>
      </c>
    </row>
    <row r="540" spans="1:21" x14ac:dyDescent="0.2">
      <c r="A540" t="s">
        <v>2752</v>
      </c>
      <c r="B540" s="24">
        <v>45747</v>
      </c>
      <c r="C540" s="24">
        <v>45729</v>
      </c>
      <c r="D540" t="s">
        <v>651</v>
      </c>
      <c r="E540" t="s">
        <v>652</v>
      </c>
      <c r="G540" t="s">
        <v>2906</v>
      </c>
      <c r="H540" t="s">
        <v>3116</v>
      </c>
      <c r="I540" t="s">
        <v>3330</v>
      </c>
      <c r="J540" s="11" t="str">
        <f>+LEFT(U540,4)</f>
        <v>HDL-</v>
      </c>
      <c r="K540" t="s">
        <v>10</v>
      </c>
      <c r="L540">
        <v>1030</v>
      </c>
      <c r="M540" t="s">
        <v>1472</v>
      </c>
      <c r="N540" t="s">
        <v>11</v>
      </c>
      <c r="O540">
        <v>1.76</v>
      </c>
      <c r="P540" s="12">
        <f>ROUND(O540*L540,2)</f>
        <v>1812.8</v>
      </c>
      <c r="Q540" s="13">
        <f>IF(N540="HKD",7.8,IF(N540="CNY",7.30034,1))</f>
        <v>7.3003400000000003</v>
      </c>
      <c r="R540" s="15">
        <f>+ROUND(O540/Q540,4)</f>
        <v>0.24110000000000001</v>
      </c>
      <c r="S540" s="14">
        <f>ROUND(R540*L540,2)</f>
        <v>248.33</v>
      </c>
      <c r="T540" s="15" t="s">
        <v>349</v>
      </c>
      <c r="U540" t="s">
        <v>228</v>
      </c>
    </row>
    <row r="541" spans="1:21" x14ac:dyDescent="0.2">
      <c r="A541" t="s">
        <v>2702</v>
      </c>
      <c r="B541" s="24">
        <v>45740</v>
      </c>
      <c r="C541" s="24">
        <v>45728</v>
      </c>
      <c r="D541" t="s">
        <v>169</v>
      </c>
      <c r="E541" t="s">
        <v>170</v>
      </c>
      <c r="G541" t="s">
        <v>3035</v>
      </c>
      <c r="H541" t="s">
        <v>3229</v>
      </c>
      <c r="I541" t="s">
        <v>3436</v>
      </c>
      <c r="J541" s="11" t="str">
        <f>+LEFT(U541,4)</f>
        <v>U&amp;C-</v>
      </c>
      <c r="K541" t="s">
        <v>10</v>
      </c>
      <c r="L541">
        <v>2020</v>
      </c>
      <c r="M541" t="s">
        <v>1472</v>
      </c>
      <c r="N541" t="s">
        <v>11</v>
      </c>
      <c r="O541">
        <v>1.81</v>
      </c>
      <c r="P541" s="12">
        <f>ROUND(O541*L541,2)</f>
        <v>3656.2</v>
      </c>
      <c r="Q541" s="13">
        <f>IF(N541="HKD",7.8,IF(N541="CNY",7.30034,1))</f>
        <v>7.3003400000000003</v>
      </c>
      <c r="R541" s="15">
        <f>+ROUND(O541/Q541,4)</f>
        <v>0.24790000000000001</v>
      </c>
      <c r="S541" s="14">
        <f>ROUND(R541*L541,2)</f>
        <v>500.76</v>
      </c>
      <c r="T541" s="15" t="s">
        <v>349</v>
      </c>
      <c r="U541" t="s">
        <v>177</v>
      </c>
    </row>
    <row r="542" spans="1:21" x14ac:dyDescent="0.2">
      <c r="A542" t="s">
        <v>2482</v>
      </c>
      <c r="B542" s="24">
        <v>45721</v>
      </c>
      <c r="C542" s="24">
        <v>45712</v>
      </c>
      <c r="D542" t="s">
        <v>709</v>
      </c>
      <c r="E542" t="s">
        <v>710</v>
      </c>
      <c r="G542" t="s">
        <v>2869</v>
      </c>
      <c r="H542" t="s">
        <v>3146</v>
      </c>
      <c r="I542" t="s">
        <v>3356</v>
      </c>
      <c r="J542" s="11" t="str">
        <f>+LEFT(U542,4)</f>
        <v>LHDL</v>
      </c>
      <c r="K542" t="s">
        <v>10</v>
      </c>
      <c r="L542">
        <v>1800</v>
      </c>
      <c r="M542" t="s">
        <v>1472</v>
      </c>
      <c r="N542" t="s">
        <v>11</v>
      </c>
      <c r="O542">
        <v>1.8576999999999999</v>
      </c>
      <c r="P542" s="12">
        <f>ROUND(O542*L542,2)</f>
        <v>3343.86</v>
      </c>
      <c r="Q542" s="13">
        <f>IF(N542="HKD",7.8,IF(N542="CNY",7.30034,1))</f>
        <v>7.3003400000000003</v>
      </c>
      <c r="R542" s="15">
        <f>+ROUND(O542/Q542,4)</f>
        <v>0.2545</v>
      </c>
      <c r="S542" s="14">
        <f>ROUND(R542*L542,2)</f>
        <v>458.1</v>
      </c>
      <c r="T542" s="15" t="s">
        <v>349</v>
      </c>
      <c r="U542" t="s">
        <v>125</v>
      </c>
    </row>
    <row r="543" spans="1:21" x14ac:dyDescent="0.2">
      <c r="A543" t="s">
        <v>2687</v>
      </c>
      <c r="B543" s="24">
        <v>45728</v>
      </c>
      <c r="C543" s="24">
        <v>45727</v>
      </c>
      <c r="D543" t="s">
        <v>5</v>
      </c>
      <c r="E543" t="s">
        <v>6</v>
      </c>
      <c r="G543" t="s">
        <v>3030</v>
      </c>
      <c r="H543" t="s">
        <v>418</v>
      </c>
      <c r="I543" t="s">
        <v>419</v>
      </c>
      <c r="J543" s="11" t="str">
        <f>+LEFT(U543,4)</f>
        <v>BOX-</v>
      </c>
      <c r="K543" t="s">
        <v>10</v>
      </c>
      <c r="L543">
        <v>2020</v>
      </c>
      <c r="M543" t="s">
        <v>1472</v>
      </c>
      <c r="N543" t="s">
        <v>11</v>
      </c>
      <c r="O543">
        <v>1.94</v>
      </c>
      <c r="P543" s="12">
        <f>ROUND(O543*L543,2)</f>
        <v>3918.8</v>
      </c>
      <c r="Q543" s="13">
        <f>IF(N543="HKD",7.8,IF(N543="CNY",7.30034,1))</f>
        <v>7.3003400000000003</v>
      </c>
      <c r="R543" s="15">
        <f>+ROUND(O543/Q543,4)</f>
        <v>0.26569999999999999</v>
      </c>
      <c r="S543" s="14">
        <f>ROUND(R543*L543,2)</f>
        <v>536.71</v>
      </c>
      <c r="T543" s="15" t="s">
        <v>349</v>
      </c>
      <c r="U543" t="s">
        <v>1</v>
      </c>
    </row>
    <row r="544" spans="1:21" x14ac:dyDescent="0.2">
      <c r="A544" t="s">
        <v>2455</v>
      </c>
      <c r="B544" s="24">
        <v>45721</v>
      </c>
      <c r="C544" s="24">
        <v>45706</v>
      </c>
      <c r="D544" t="s">
        <v>2821</v>
      </c>
      <c r="E544" t="s">
        <v>2822</v>
      </c>
      <c r="G544" t="s">
        <v>2942</v>
      </c>
      <c r="H544" t="s">
        <v>3138</v>
      </c>
      <c r="I544" t="s">
        <v>3348</v>
      </c>
      <c r="J544" s="11" t="str">
        <f>+LEFT(U544,4)</f>
        <v>MISC</v>
      </c>
      <c r="K544" t="s">
        <v>10</v>
      </c>
      <c r="L544">
        <v>3000</v>
      </c>
      <c r="M544" t="s">
        <v>186</v>
      </c>
      <c r="N544" t="s">
        <v>11</v>
      </c>
      <c r="O544">
        <v>1.9735</v>
      </c>
      <c r="P544" s="12">
        <f>ROUND(O544*L544,2)</f>
        <v>5920.5</v>
      </c>
      <c r="Q544" s="13">
        <f>IF(N544="HKD",7.8,IF(N544="CNY",7.30034,1))</f>
        <v>7.3003400000000003</v>
      </c>
      <c r="R544" s="15">
        <f>+ROUND(O544/Q544,4)</f>
        <v>0.27029999999999998</v>
      </c>
      <c r="S544" s="14">
        <f>ROUND(R544*L544,2)</f>
        <v>810.9</v>
      </c>
      <c r="T544" s="15" t="s">
        <v>349</v>
      </c>
      <c r="U544" t="s">
        <v>25</v>
      </c>
    </row>
    <row r="545" spans="1:21" x14ac:dyDescent="0.2">
      <c r="A545" s="19" t="s">
        <v>922</v>
      </c>
      <c r="B545" s="20">
        <v>45665</v>
      </c>
      <c r="C545" s="20">
        <v>45646</v>
      </c>
      <c r="D545" s="19" t="s">
        <v>866</v>
      </c>
      <c r="E545" s="19" t="s">
        <v>867</v>
      </c>
      <c r="G545" s="19" t="s">
        <v>919</v>
      </c>
      <c r="H545" s="19" t="s">
        <v>920</v>
      </c>
      <c r="I545" s="19" t="s">
        <v>921</v>
      </c>
      <c r="J545" s="11" t="s">
        <v>1484</v>
      </c>
      <c r="K545" s="19" t="s">
        <v>10</v>
      </c>
      <c r="L545" s="19">
        <v>15000</v>
      </c>
      <c r="M545" s="19" t="s">
        <v>1472</v>
      </c>
      <c r="N545" s="19" t="s">
        <v>11</v>
      </c>
      <c r="O545" s="26">
        <v>5.2389000000000001</v>
      </c>
      <c r="P545" s="12">
        <f>ROUND(O545*L545,2)</f>
        <v>78583.5</v>
      </c>
      <c r="Q545" s="13">
        <f>IF(N545="HKD",7.8,IF(N545="CNY",7.30034,1))</f>
        <v>7.3003400000000003</v>
      </c>
      <c r="R545" s="15">
        <f>+ROUND(O545/Q545,4)</f>
        <v>0.71760000000000002</v>
      </c>
      <c r="S545" s="14">
        <f>ROUND(R545*L545,2)</f>
        <v>10764</v>
      </c>
      <c r="T545" s="15" t="s">
        <v>349</v>
      </c>
      <c r="U545" s="19" t="s">
        <v>36</v>
      </c>
    </row>
    <row r="546" spans="1:21" x14ac:dyDescent="0.2">
      <c r="A546" s="19" t="s">
        <v>910</v>
      </c>
      <c r="B546" s="20">
        <v>45665</v>
      </c>
      <c r="C546" s="20">
        <v>45287</v>
      </c>
      <c r="D546" s="19" t="s">
        <v>866</v>
      </c>
      <c r="E546" s="19" t="s">
        <v>867</v>
      </c>
      <c r="G546" s="19" t="s">
        <v>911</v>
      </c>
      <c r="H546" s="19" t="s">
        <v>908</v>
      </c>
      <c r="I546" s="19" t="s">
        <v>909</v>
      </c>
      <c r="J546" s="11" t="s">
        <v>1484</v>
      </c>
      <c r="K546" s="19" t="s">
        <v>10</v>
      </c>
      <c r="L546" s="19">
        <v>4008</v>
      </c>
      <c r="M546" s="19" t="s">
        <v>1472</v>
      </c>
      <c r="N546" s="19" t="s">
        <v>11</v>
      </c>
      <c r="O546" s="26">
        <v>5.3804999999999996</v>
      </c>
      <c r="P546" s="12">
        <f>ROUND(O546*L546,2)</f>
        <v>21565.040000000001</v>
      </c>
      <c r="Q546" s="13">
        <f>IF(N546="HKD",7.8,IF(N546="CNY",7.30034,1))</f>
        <v>7.3003400000000003</v>
      </c>
      <c r="R546" s="15">
        <f>+ROUND(O546/Q546,4)</f>
        <v>0.73699999999999999</v>
      </c>
      <c r="S546" s="14">
        <f>ROUND(R546*L546,2)</f>
        <v>2953.9</v>
      </c>
      <c r="T546" s="15" t="s">
        <v>349</v>
      </c>
      <c r="U546" s="19" t="s">
        <v>36</v>
      </c>
    </row>
    <row r="547" spans="1:21" x14ac:dyDescent="0.2">
      <c r="A547" s="19" t="s">
        <v>918</v>
      </c>
      <c r="B547" s="20">
        <v>45665</v>
      </c>
      <c r="C547" s="20">
        <v>45646</v>
      </c>
      <c r="D547" s="19" t="s">
        <v>866</v>
      </c>
      <c r="E547" s="19" t="s">
        <v>867</v>
      </c>
      <c r="G547" s="19" t="s">
        <v>919</v>
      </c>
      <c r="H547" s="19" t="s">
        <v>916</v>
      </c>
      <c r="I547" s="19" t="s">
        <v>917</v>
      </c>
      <c r="J547" s="11" t="s">
        <v>1484</v>
      </c>
      <c r="K547" s="19" t="s">
        <v>10</v>
      </c>
      <c r="L547" s="19">
        <v>19992</v>
      </c>
      <c r="M547" s="19" t="s">
        <v>1472</v>
      </c>
      <c r="N547" s="19" t="s">
        <v>11</v>
      </c>
      <c r="O547" s="26">
        <v>5.9381000000000004</v>
      </c>
      <c r="P547" s="12">
        <f>ROUND(O547*L547,2)</f>
        <v>118714.5</v>
      </c>
      <c r="Q547" s="13">
        <f>IF(N547="HKD",7.8,IF(N547="CNY",7.30034,1))</f>
        <v>7.3003400000000003</v>
      </c>
      <c r="R547" s="15">
        <f>+ROUND(O547/Q547,4)</f>
        <v>0.81340000000000001</v>
      </c>
      <c r="S547" s="14">
        <f>ROUND(R547*L547,2)</f>
        <v>16261.49</v>
      </c>
      <c r="T547" s="15" t="s">
        <v>349</v>
      </c>
      <c r="U547" s="19" t="s">
        <v>36</v>
      </c>
    </row>
    <row r="548" spans="1:21" x14ac:dyDescent="0.2">
      <c r="A548" s="19" t="s">
        <v>914</v>
      </c>
      <c r="B548" s="20">
        <v>45665</v>
      </c>
      <c r="C548" s="20">
        <v>45526</v>
      </c>
      <c r="D548" s="19" t="s">
        <v>866</v>
      </c>
      <c r="E548" s="19" t="s">
        <v>867</v>
      </c>
      <c r="G548" s="19" t="s">
        <v>915</v>
      </c>
      <c r="H548" s="19" t="s">
        <v>912</v>
      </c>
      <c r="I548" s="19" t="s">
        <v>913</v>
      </c>
      <c r="J548" s="11" t="s">
        <v>1484</v>
      </c>
      <c r="K548" s="19" t="s">
        <v>10</v>
      </c>
      <c r="L548" s="19">
        <v>4400</v>
      </c>
      <c r="M548" s="19" t="s">
        <v>1472</v>
      </c>
      <c r="N548" s="19" t="s">
        <v>11</v>
      </c>
      <c r="O548" s="26">
        <v>6.5929000000000002</v>
      </c>
      <c r="P548" s="12">
        <f>ROUND(O548*L548,2)</f>
        <v>29008.76</v>
      </c>
      <c r="Q548" s="13">
        <f>IF(N548="HKD",7.8,IF(N548="CNY",7.30034,1))</f>
        <v>7.3003400000000003</v>
      </c>
      <c r="R548" s="15">
        <f>+ROUND(O548/Q548,4)</f>
        <v>0.90310000000000001</v>
      </c>
      <c r="S548" s="14">
        <f>ROUND(R548*L548,2)</f>
        <v>3973.64</v>
      </c>
      <c r="T548" s="15" t="s">
        <v>349</v>
      </c>
      <c r="U548" s="19" t="s">
        <v>36</v>
      </c>
    </row>
    <row r="549" spans="1:21" x14ac:dyDescent="0.2">
      <c r="A549" s="19" t="s">
        <v>868</v>
      </c>
      <c r="B549" s="20">
        <v>45666</v>
      </c>
      <c r="C549" s="20">
        <v>45309</v>
      </c>
      <c r="D549" s="19" t="s">
        <v>866</v>
      </c>
      <c r="E549" s="19" t="s">
        <v>867</v>
      </c>
      <c r="G549" s="19" t="s">
        <v>869</v>
      </c>
      <c r="H549" s="19" t="s">
        <v>864</v>
      </c>
      <c r="I549" s="19" t="s">
        <v>865</v>
      </c>
      <c r="J549" s="11" t="s">
        <v>1484</v>
      </c>
      <c r="K549" s="19" t="s">
        <v>10</v>
      </c>
      <c r="L549" s="19">
        <v>3120</v>
      </c>
      <c r="M549" s="19" t="s">
        <v>1472</v>
      </c>
      <c r="N549" s="19" t="s">
        <v>11</v>
      </c>
      <c r="O549" s="26">
        <v>6.0212000000000003</v>
      </c>
      <c r="P549" s="12">
        <f>ROUND(O549*L549,2)</f>
        <v>18786.14</v>
      </c>
      <c r="Q549" s="13">
        <f>IF(N549="HKD",7.8,IF(N549="CNY",7.30034,1))</f>
        <v>7.3003400000000003</v>
      </c>
      <c r="R549" s="15">
        <f>+ROUND(O549/Q549,4)</f>
        <v>0.82479999999999998</v>
      </c>
      <c r="S549" s="14">
        <f>ROUND(R549*L549,2)</f>
        <v>2573.38</v>
      </c>
      <c r="T549" s="15" t="s">
        <v>349</v>
      </c>
      <c r="U549" s="19" t="s">
        <v>36</v>
      </c>
    </row>
    <row r="550" spans="1:21" x14ac:dyDescent="0.2">
      <c r="A550" s="19" t="s">
        <v>876</v>
      </c>
      <c r="B550" s="20">
        <v>45666</v>
      </c>
      <c r="C550" s="20">
        <v>45287</v>
      </c>
      <c r="D550" s="19" t="s">
        <v>866</v>
      </c>
      <c r="E550" s="19" t="s">
        <v>867</v>
      </c>
      <c r="G550" s="19" t="s">
        <v>873</v>
      </c>
      <c r="H550" s="19" t="s">
        <v>874</v>
      </c>
      <c r="I550" s="19" t="s">
        <v>875</v>
      </c>
      <c r="J550" s="11" t="s">
        <v>1484</v>
      </c>
      <c r="K550" s="19" t="s">
        <v>10</v>
      </c>
      <c r="L550" s="19">
        <v>2000</v>
      </c>
      <c r="M550" s="19" t="s">
        <v>1472</v>
      </c>
      <c r="N550" s="19" t="s">
        <v>11</v>
      </c>
      <c r="O550" s="26">
        <v>6.6637000000000004</v>
      </c>
      <c r="P550" s="12">
        <f>ROUND(O550*L550,2)</f>
        <v>13327.4</v>
      </c>
      <c r="Q550" s="13">
        <f>IF(N550="HKD",7.8,IF(N550="CNY",7.30034,1))</f>
        <v>7.3003400000000003</v>
      </c>
      <c r="R550" s="15">
        <f>+ROUND(O550/Q550,4)</f>
        <v>0.91279999999999994</v>
      </c>
      <c r="S550" s="14">
        <f>ROUND(R550*L550,2)</f>
        <v>1825.6</v>
      </c>
      <c r="T550" s="15" t="s">
        <v>349</v>
      </c>
      <c r="U550" s="19" t="s">
        <v>36</v>
      </c>
    </row>
    <row r="551" spans="1:21" x14ac:dyDescent="0.2">
      <c r="A551" s="19" t="s">
        <v>882</v>
      </c>
      <c r="B551" s="20">
        <v>45666</v>
      </c>
      <c r="C551" s="20">
        <v>45287</v>
      </c>
      <c r="D551" s="19" t="s">
        <v>866</v>
      </c>
      <c r="E551" s="19" t="s">
        <v>867</v>
      </c>
      <c r="G551" s="19" t="s">
        <v>873</v>
      </c>
      <c r="H551" s="19" t="s">
        <v>880</v>
      </c>
      <c r="I551" s="19" t="s">
        <v>881</v>
      </c>
      <c r="J551" s="11" t="s">
        <v>1484</v>
      </c>
      <c r="K551" s="19" t="s">
        <v>10</v>
      </c>
      <c r="L551" s="19">
        <v>2000</v>
      </c>
      <c r="M551" s="19" t="s">
        <v>1472</v>
      </c>
      <c r="N551" s="19" t="s">
        <v>11</v>
      </c>
      <c r="O551" s="26">
        <v>8.1858000000000004</v>
      </c>
      <c r="P551" s="12">
        <f>ROUND(O551*L551,2)</f>
        <v>16371.6</v>
      </c>
      <c r="Q551" s="13">
        <f>IF(N551="HKD",7.8,IF(N551="CNY",7.30034,1))</f>
        <v>7.3003400000000003</v>
      </c>
      <c r="R551" s="15">
        <f>+ROUND(O551/Q551,4)</f>
        <v>1.1213</v>
      </c>
      <c r="S551" s="14">
        <f>ROUND(R551*L551,2)</f>
        <v>2242.6</v>
      </c>
      <c r="T551" s="15" t="s">
        <v>349</v>
      </c>
      <c r="U551" s="19" t="s">
        <v>36</v>
      </c>
    </row>
    <row r="552" spans="1:21" x14ac:dyDescent="0.2">
      <c r="A552" s="19" t="s">
        <v>872</v>
      </c>
      <c r="B552" s="20">
        <v>45666</v>
      </c>
      <c r="C552" s="20">
        <v>45287</v>
      </c>
      <c r="D552" s="19" t="s">
        <v>866</v>
      </c>
      <c r="E552" s="19" t="s">
        <v>867</v>
      </c>
      <c r="G552" s="19" t="s">
        <v>873</v>
      </c>
      <c r="H552" s="19" t="s">
        <v>870</v>
      </c>
      <c r="I552" s="19" t="s">
        <v>871</v>
      </c>
      <c r="J552" s="11" t="s">
        <v>1484</v>
      </c>
      <c r="K552" s="19" t="s">
        <v>10</v>
      </c>
      <c r="L552" s="19">
        <v>1760</v>
      </c>
      <c r="M552" s="19" t="s">
        <v>1472</v>
      </c>
      <c r="N552" s="19" t="s">
        <v>11</v>
      </c>
      <c r="O552" s="26">
        <v>8.8053000000000008</v>
      </c>
      <c r="P552" s="12">
        <f>ROUND(O552*L552,2)</f>
        <v>15497.33</v>
      </c>
      <c r="Q552" s="13">
        <f>IF(N552="HKD",7.8,IF(N552="CNY",7.30034,1))</f>
        <v>7.3003400000000003</v>
      </c>
      <c r="R552" s="15">
        <f>+ROUND(O552/Q552,4)</f>
        <v>1.2060999999999999</v>
      </c>
      <c r="S552" s="14">
        <f>ROUND(R552*L552,2)</f>
        <v>2122.7399999999998</v>
      </c>
      <c r="T552" s="15" t="s">
        <v>349</v>
      </c>
      <c r="U552" s="19" t="s">
        <v>36</v>
      </c>
    </row>
    <row r="553" spans="1:21" x14ac:dyDescent="0.2">
      <c r="A553" s="19" t="s">
        <v>879</v>
      </c>
      <c r="B553" s="20">
        <v>45666</v>
      </c>
      <c r="C553" s="20">
        <v>45287</v>
      </c>
      <c r="D553" s="19" t="s">
        <v>866</v>
      </c>
      <c r="E553" s="19" t="s">
        <v>867</v>
      </c>
      <c r="G553" s="19" t="s">
        <v>873</v>
      </c>
      <c r="H553" s="19" t="s">
        <v>877</v>
      </c>
      <c r="I553" s="19" t="s">
        <v>878</v>
      </c>
      <c r="J553" s="11" t="s">
        <v>1484</v>
      </c>
      <c r="K553" s="19" t="s">
        <v>10</v>
      </c>
      <c r="L553" s="19">
        <v>2004</v>
      </c>
      <c r="M553" s="19" t="s">
        <v>1472</v>
      </c>
      <c r="N553" s="19" t="s">
        <v>11</v>
      </c>
      <c r="O553" s="26">
        <v>11.672599999999999</v>
      </c>
      <c r="P553" s="12">
        <f>ROUND(O553*L553,2)</f>
        <v>23391.89</v>
      </c>
      <c r="Q553" s="13">
        <f>IF(N553="HKD",7.8,IF(N553="CNY",7.30034,1))</f>
        <v>7.3003400000000003</v>
      </c>
      <c r="R553" s="15">
        <f>+ROUND(O553/Q553,4)</f>
        <v>1.5989</v>
      </c>
      <c r="S553" s="14">
        <f>ROUND(R553*L553,2)</f>
        <v>3204.2</v>
      </c>
      <c r="T553" s="15" t="s">
        <v>349</v>
      </c>
      <c r="U553" s="19" t="s">
        <v>36</v>
      </c>
    </row>
    <row r="554" spans="1:21" x14ac:dyDescent="0.2">
      <c r="A554" s="19" t="s">
        <v>889</v>
      </c>
      <c r="B554" s="20">
        <v>45666</v>
      </c>
      <c r="C554" s="20">
        <v>45526</v>
      </c>
      <c r="D554" s="19" t="s">
        <v>866</v>
      </c>
      <c r="E554" s="19" t="s">
        <v>867</v>
      </c>
      <c r="G554" s="19" t="s">
        <v>886</v>
      </c>
      <c r="H554" s="19" t="s">
        <v>887</v>
      </c>
      <c r="I554" s="19" t="s">
        <v>888</v>
      </c>
      <c r="J554" s="11" t="s">
        <v>1484</v>
      </c>
      <c r="K554" s="19" t="s">
        <v>10</v>
      </c>
      <c r="L554" s="19">
        <v>10000</v>
      </c>
      <c r="M554" s="19" t="s">
        <v>1472</v>
      </c>
      <c r="N554" s="19" t="s">
        <v>11</v>
      </c>
      <c r="O554" s="26">
        <v>9.2124000000000006</v>
      </c>
      <c r="P554" s="12">
        <f>ROUND(O554*L554,2)</f>
        <v>92124</v>
      </c>
      <c r="Q554" s="13">
        <f>IF(N554="HKD",7.8,IF(N554="CNY",7.30034,1))</f>
        <v>7.3003400000000003</v>
      </c>
      <c r="R554" s="15">
        <f>+ROUND(O554/Q554,4)</f>
        <v>1.2619</v>
      </c>
      <c r="S554" s="14">
        <f>ROUND(R554*L554,2)</f>
        <v>12619</v>
      </c>
      <c r="T554" s="15" t="s">
        <v>349</v>
      </c>
      <c r="U554" s="19" t="s">
        <v>36</v>
      </c>
    </row>
    <row r="555" spans="1:21" x14ac:dyDescent="0.2">
      <c r="A555" s="19" t="s">
        <v>885</v>
      </c>
      <c r="B555" s="20">
        <v>45666</v>
      </c>
      <c r="C555" s="20">
        <v>45526</v>
      </c>
      <c r="D555" s="19" t="s">
        <v>866</v>
      </c>
      <c r="E555" s="19" t="s">
        <v>867</v>
      </c>
      <c r="G555" s="19" t="s">
        <v>886</v>
      </c>
      <c r="H555" s="19" t="s">
        <v>883</v>
      </c>
      <c r="I555" s="19" t="s">
        <v>884</v>
      </c>
      <c r="J555" s="11" t="s">
        <v>1484</v>
      </c>
      <c r="K555" s="19" t="s">
        <v>10</v>
      </c>
      <c r="L555" s="19">
        <v>9996</v>
      </c>
      <c r="M555" s="19" t="s">
        <v>1472</v>
      </c>
      <c r="N555" s="19" t="s">
        <v>11</v>
      </c>
      <c r="O555" s="26">
        <v>9.7788000000000004</v>
      </c>
      <c r="P555" s="12">
        <f>ROUND(O555*L555,2)</f>
        <v>97748.88</v>
      </c>
      <c r="Q555" s="13">
        <f>IF(N555="HKD",7.8,IF(N555="CNY",7.30034,1))</f>
        <v>7.3003400000000003</v>
      </c>
      <c r="R555" s="15">
        <f>+ROUND(O555/Q555,4)</f>
        <v>1.3394999999999999</v>
      </c>
      <c r="S555" s="14">
        <f>ROUND(R555*L555,2)</f>
        <v>13389.64</v>
      </c>
      <c r="T555" s="15" t="s">
        <v>349</v>
      </c>
      <c r="U555" s="19" t="s">
        <v>36</v>
      </c>
    </row>
    <row r="556" spans="1:21" x14ac:dyDescent="0.2">
      <c r="A556" t="s">
        <v>2069</v>
      </c>
      <c r="B556" s="24">
        <v>45705</v>
      </c>
      <c r="C556" s="24">
        <v>45646</v>
      </c>
      <c r="D556" t="s">
        <v>866</v>
      </c>
      <c r="E556" t="s">
        <v>867</v>
      </c>
      <c r="G556" t="s">
        <v>2212</v>
      </c>
      <c r="H556" s="19" t="s">
        <v>34</v>
      </c>
      <c r="I556" s="19" t="s">
        <v>35</v>
      </c>
      <c r="J556" s="11" t="s">
        <v>1484</v>
      </c>
      <c r="K556" t="s">
        <v>10</v>
      </c>
      <c r="L556" s="19">
        <v>12000</v>
      </c>
      <c r="M556" t="s">
        <v>1472</v>
      </c>
      <c r="N556" t="s">
        <v>11</v>
      </c>
      <c r="O556" s="26">
        <v>5.2389000000000001</v>
      </c>
      <c r="P556" s="12">
        <f>ROUND(O556*L556,2)</f>
        <v>62866.8</v>
      </c>
      <c r="Q556" s="13">
        <f>IF(N556="HKD",7.8,IF(N556="CNY",7.30034,1))</f>
        <v>7.3003400000000003</v>
      </c>
      <c r="R556" s="15">
        <f>+ROUND(O556/Q556,4)</f>
        <v>0.71760000000000002</v>
      </c>
      <c r="S556" s="14">
        <f>ROUND(R556*L556,2)</f>
        <v>8611.2000000000007</v>
      </c>
      <c r="T556" s="15" t="s">
        <v>349</v>
      </c>
      <c r="U556" t="s">
        <v>36</v>
      </c>
    </row>
    <row r="557" spans="1:21" x14ac:dyDescent="0.2">
      <c r="A557" t="s">
        <v>2070</v>
      </c>
      <c r="B557" s="24">
        <v>45705</v>
      </c>
      <c r="C557" s="24">
        <v>45309</v>
      </c>
      <c r="D557" t="s">
        <v>866</v>
      </c>
      <c r="E557" t="s">
        <v>867</v>
      </c>
      <c r="G557" t="s">
        <v>2183</v>
      </c>
      <c r="H557" s="19" t="s">
        <v>1497</v>
      </c>
      <c r="I557" s="19" t="s">
        <v>1498</v>
      </c>
      <c r="J557" s="11" t="s">
        <v>1484</v>
      </c>
      <c r="K557" t="s">
        <v>10</v>
      </c>
      <c r="L557" s="19">
        <v>2000</v>
      </c>
      <c r="M557" t="s">
        <v>1472</v>
      </c>
      <c r="N557" t="s">
        <v>11</v>
      </c>
      <c r="O557" s="26">
        <v>5.3574999999999999</v>
      </c>
      <c r="P557" s="12">
        <f>ROUND(O557*L557,2)</f>
        <v>10715</v>
      </c>
      <c r="Q557" s="13">
        <f>IF(N557="HKD",7.8,IF(N557="CNY",7.30034,1))</f>
        <v>7.3003400000000003</v>
      </c>
      <c r="R557" s="15">
        <f>+ROUND(O557/Q557,4)</f>
        <v>0.7339</v>
      </c>
      <c r="S557" s="14">
        <f>ROUND(R557*L557,2)</f>
        <v>1467.8</v>
      </c>
      <c r="T557" s="15" t="s">
        <v>349</v>
      </c>
      <c r="U557" t="s">
        <v>36</v>
      </c>
    </row>
    <row r="558" spans="1:21" x14ac:dyDescent="0.2">
      <c r="A558" t="s">
        <v>910</v>
      </c>
      <c r="B558" s="24">
        <v>45705</v>
      </c>
      <c r="C558" s="24">
        <v>45287</v>
      </c>
      <c r="D558" t="s">
        <v>866</v>
      </c>
      <c r="E558" t="s">
        <v>867</v>
      </c>
      <c r="G558" t="s">
        <v>2213</v>
      </c>
      <c r="H558" s="19" t="s">
        <v>908</v>
      </c>
      <c r="I558" s="19" t="s">
        <v>909</v>
      </c>
      <c r="J558" s="11" t="s">
        <v>1484</v>
      </c>
      <c r="K558" t="s">
        <v>10</v>
      </c>
      <c r="L558" s="19">
        <v>2016</v>
      </c>
      <c r="M558" t="s">
        <v>1472</v>
      </c>
      <c r="N558" t="s">
        <v>11</v>
      </c>
      <c r="O558" s="26">
        <v>5.3804999999999996</v>
      </c>
      <c r="P558" s="12">
        <f>ROUND(O558*L558,2)</f>
        <v>10847.09</v>
      </c>
      <c r="Q558" s="13">
        <f>IF(N558="HKD",7.8,IF(N558="CNY",7.30034,1))</f>
        <v>7.3003400000000003</v>
      </c>
      <c r="R558" s="15">
        <f>+ROUND(O558/Q558,4)</f>
        <v>0.73699999999999999</v>
      </c>
      <c r="S558" s="14">
        <f>ROUND(R558*L558,2)</f>
        <v>1485.79</v>
      </c>
      <c r="T558" s="15" t="s">
        <v>349</v>
      </c>
      <c r="U558" t="s">
        <v>36</v>
      </c>
    </row>
    <row r="559" spans="1:21" x14ac:dyDescent="0.2">
      <c r="A559" t="s">
        <v>868</v>
      </c>
      <c r="B559" s="24">
        <v>45705</v>
      </c>
      <c r="C559" s="24">
        <v>45309</v>
      </c>
      <c r="D559" t="s">
        <v>866</v>
      </c>
      <c r="E559" t="s">
        <v>867</v>
      </c>
      <c r="G559" t="s">
        <v>2183</v>
      </c>
      <c r="H559" s="19" t="s">
        <v>864</v>
      </c>
      <c r="I559" s="19" t="s">
        <v>865</v>
      </c>
      <c r="J559" s="11" t="s">
        <v>1484</v>
      </c>
      <c r="K559" t="s">
        <v>10</v>
      </c>
      <c r="L559" s="19">
        <v>3520</v>
      </c>
      <c r="M559" t="s">
        <v>1472</v>
      </c>
      <c r="N559" t="s">
        <v>11</v>
      </c>
      <c r="O559" s="26">
        <v>6.0212000000000003</v>
      </c>
      <c r="P559" s="12">
        <f>ROUND(O559*L559,2)</f>
        <v>21194.62</v>
      </c>
      <c r="Q559" s="13">
        <f>IF(N559="HKD",7.8,IF(N559="CNY",7.30034,1))</f>
        <v>7.3003400000000003</v>
      </c>
      <c r="R559" s="15">
        <f>+ROUND(O559/Q559,4)</f>
        <v>0.82479999999999998</v>
      </c>
      <c r="S559" s="14">
        <f>ROUND(R559*L559,2)</f>
        <v>2903.3</v>
      </c>
      <c r="T559" s="15" t="s">
        <v>349</v>
      </c>
      <c r="U559" t="s">
        <v>36</v>
      </c>
    </row>
    <row r="560" spans="1:21" x14ac:dyDescent="0.2">
      <c r="A560" t="s">
        <v>876</v>
      </c>
      <c r="B560" s="24">
        <v>45705</v>
      </c>
      <c r="C560" s="24">
        <v>45287</v>
      </c>
      <c r="D560" t="s">
        <v>866</v>
      </c>
      <c r="E560" t="s">
        <v>867</v>
      </c>
      <c r="G560" t="s">
        <v>2213</v>
      </c>
      <c r="H560" s="19" t="s">
        <v>874</v>
      </c>
      <c r="I560" s="19" t="s">
        <v>875</v>
      </c>
      <c r="J560" s="11" t="s">
        <v>1484</v>
      </c>
      <c r="K560" t="s">
        <v>10</v>
      </c>
      <c r="L560" s="19">
        <v>1000</v>
      </c>
      <c r="M560" t="s">
        <v>1472</v>
      </c>
      <c r="N560" t="s">
        <v>11</v>
      </c>
      <c r="O560" s="26">
        <v>6.6637000000000004</v>
      </c>
      <c r="P560" s="12">
        <f>ROUND(O560*L560,2)</f>
        <v>6663.7</v>
      </c>
      <c r="Q560" s="13">
        <f>IF(N560="HKD",7.8,IF(N560="CNY",7.30034,1))</f>
        <v>7.3003400000000003</v>
      </c>
      <c r="R560" s="15">
        <f>+ROUND(O560/Q560,4)</f>
        <v>0.91279999999999994</v>
      </c>
      <c r="S560" s="14">
        <f>ROUND(R560*L560,2)</f>
        <v>912.8</v>
      </c>
      <c r="T560" s="15" t="s">
        <v>349</v>
      </c>
      <c r="U560" t="s">
        <v>36</v>
      </c>
    </row>
    <row r="561" spans="1:21" x14ac:dyDescent="0.2">
      <c r="A561" t="s">
        <v>882</v>
      </c>
      <c r="B561" s="24">
        <v>45705</v>
      </c>
      <c r="C561" s="24">
        <v>45287</v>
      </c>
      <c r="D561" t="s">
        <v>866</v>
      </c>
      <c r="E561" t="s">
        <v>867</v>
      </c>
      <c r="G561" t="s">
        <v>2213</v>
      </c>
      <c r="H561" s="19" t="s">
        <v>880</v>
      </c>
      <c r="I561" s="19" t="s">
        <v>881</v>
      </c>
      <c r="J561" s="11" t="s">
        <v>1484</v>
      </c>
      <c r="K561" t="s">
        <v>10</v>
      </c>
      <c r="L561" s="19">
        <v>2000</v>
      </c>
      <c r="M561" t="s">
        <v>1472</v>
      </c>
      <c r="N561" t="s">
        <v>11</v>
      </c>
      <c r="O561" s="26">
        <v>8.1858000000000004</v>
      </c>
      <c r="P561" s="12">
        <f>ROUND(O561*L561,2)</f>
        <v>16371.6</v>
      </c>
      <c r="Q561" s="13">
        <f>IF(N561="HKD",7.8,IF(N561="CNY",7.30034,1))</f>
        <v>7.3003400000000003</v>
      </c>
      <c r="R561" s="15">
        <f>+ROUND(O561/Q561,4)</f>
        <v>1.1213</v>
      </c>
      <c r="S561" s="14">
        <f>ROUND(R561*L561,2)</f>
        <v>2242.6</v>
      </c>
      <c r="T561" s="15" t="s">
        <v>349</v>
      </c>
      <c r="U561" t="s">
        <v>36</v>
      </c>
    </row>
    <row r="562" spans="1:21" x14ac:dyDescent="0.2">
      <c r="A562" t="s">
        <v>872</v>
      </c>
      <c r="B562" s="24">
        <v>45705</v>
      </c>
      <c r="C562" s="24">
        <v>45287</v>
      </c>
      <c r="D562" t="s">
        <v>866</v>
      </c>
      <c r="E562" t="s">
        <v>867</v>
      </c>
      <c r="G562" t="s">
        <v>2213</v>
      </c>
      <c r="H562" s="19" t="s">
        <v>870</v>
      </c>
      <c r="I562" s="19" t="s">
        <v>871</v>
      </c>
      <c r="J562" s="11" t="s">
        <v>1484</v>
      </c>
      <c r="K562" t="s">
        <v>10</v>
      </c>
      <c r="L562" s="19">
        <v>1000</v>
      </c>
      <c r="M562" t="s">
        <v>1472</v>
      </c>
      <c r="N562" t="s">
        <v>11</v>
      </c>
      <c r="O562" s="26">
        <v>8.8053000000000008</v>
      </c>
      <c r="P562" s="12">
        <f>ROUND(O562*L562,2)</f>
        <v>8805.2999999999993</v>
      </c>
      <c r="Q562" s="13">
        <f>IF(N562="HKD",7.8,IF(N562="CNY",7.30034,1))</f>
        <v>7.3003400000000003</v>
      </c>
      <c r="R562" s="15">
        <f>+ROUND(O562/Q562,4)</f>
        <v>1.2060999999999999</v>
      </c>
      <c r="S562" s="14">
        <f>ROUND(R562*L562,2)</f>
        <v>1206.0999999999999</v>
      </c>
      <c r="T562" s="15" t="s">
        <v>349</v>
      </c>
      <c r="U562" t="s">
        <v>36</v>
      </c>
    </row>
    <row r="563" spans="1:21" x14ac:dyDescent="0.2">
      <c r="A563" t="s">
        <v>889</v>
      </c>
      <c r="B563" s="24">
        <v>45705</v>
      </c>
      <c r="C563" s="24">
        <v>45526</v>
      </c>
      <c r="D563" t="s">
        <v>866</v>
      </c>
      <c r="E563" t="s">
        <v>867</v>
      </c>
      <c r="G563" t="s">
        <v>2228</v>
      </c>
      <c r="H563" s="19" t="s">
        <v>887</v>
      </c>
      <c r="I563" s="19" t="s">
        <v>888</v>
      </c>
      <c r="J563" s="11" t="s">
        <v>1484</v>
      </c>
      <c r="K563" t="s">
        <v>10</v>
      </c>
      <c r="L563" s="19">
        <v>3008</v>
      </c>
      <c r="M563" t="s">
        <v>1472</v>
      </c>
      <c r="N563" t="s">
        <v>11</v>
      </c>
      <c r="O563" s="26">
        <v>9.2124000000000006</v>
      </c>
      <c r="P563" s="12">
        <f>ROUND(O563*L563,2)</f>
        <v>27710.9</v>
      </c>
      <c r="Q563" s="13">
        <f>IF(N563="HKD",7.8,IF(N563="CNY",7.30034,1))</f>
        <v>7.3003400000000003</v>
      </c>
      <c r="R563" s="15">
        <f>+ROUND(O563/Q563,4)</f>
        <v>1.2619</v>
      </c>
      <c r="S563" s="14">
        <f>ROUND(R563*L563,2)</f>
        <v>3795.8</v>
      </c>
      <c r="T563" s="15" t="s">
        <v>349</v>
      </c>
      <c r="U563" t="s">
        <v>36</v>
      </c>
    </row>
    <row r="564" spans="1:21" x14ac:dyDescent="0.2">
      <c r="A564" t="s">
        <v>879</v>
      </c>
      <c r="B564" s="24">
        <v>45705</v>
      </c>
      <c r="C564" s="24">
        <v>45287</v>
      </c>
      <c r="D564" t="s">
        <v>866</v>
      </c>
      <c r="E564" t="s">
        <v>867</v>
      </c>
      <c r="G564" t="s">
        <v>2213</v>
      </c>
      <c r="H564" s="19" t="s">
        <v>877</v>
      </c>
      <c r="I564" s="19" t="s">
        <v>878</v>
      </c>
      <c r="J564" s="11" t="s">
        <v>1484</v>
      </c>
      <c r="K564" t="s">
        <v>10</v>
      </c>
      <c r="L564" s="19">
        <v>2004</v>
      </c>
      <c r="M564" t="s">
        <v>1472</v>
      </c>
      <c r="N564" t="s">
        <v>11</v>
      </c>
      <c r="O564" s="26">
        <v>11.672599999999999</v>
      </c>
      <c r="P564" s="12">
        <f>ROUND(O564*L564,2)</f>
        <v>23391.89</v>
      </c>
      <c r="Q564" s="13">
        <f>IF(N564="HKD",7.8,IF(N564="CNY",7.30034,1))</f>
        <v>7.3003400000000003</v>
      </c>
      <c r="R564" s="15">
        <f>+ROUND(O564/Q564,4)</f>
        <v>1.5989</v>
      </c>
      <c r="S564" s="14">
        <f>ROUND(R564*L564,2)</f>
        <v>3204.2</v>
      </c>
      <c r="T564" s="15" t="s">
        <v>349</v>
      </c>
      <c r="U564" t="s">
        <v>36</v>
      </c>
    </row>
    <row r="565" spans="1:21" x14ac:dyDescent="0.2">
      <c r="A565" t="s">
        <v>2120</v>
      </c>
      <c r="B565" s="24">
        <v>45705</v>
      </c>
      <c r="C565" s="24">
        <v>45646</v>
      </c>
      <c r="D565" t="s">
        <v>866</v>
      </c>
      <c r="E565" t="s">
        <v>867</v>
      </c>
      <c r="G565" t="s">
        <v>2212</v>
      </c>
      <c r="H565" s="19" t="s">
        <v>1546</v>
      </c>
      <c r="I565" s="19" t="s">
        <v>1818</v>
      </c>
      <c r="J565" s="11" t="s">
        <v>1484</v>
      </c>
      <c r="K565" t="s">
        <v>10</v>
      </c>
      <c r="L565" s="19">
        <v>2004</v>
      </c>
      <c r="M565" t="s">
        <v>1472</v>
      </c>
      <c r="N565" t="s">
        <v>11</v>
      </c>
      <c r="O565" s="26">
        <v>17.805299999999999</v>
      </c>
      <c r="P565" s="12">
        <f>ROUND(O565*L565,2)</f>
        <v>35681.82</v>
      </c>
      <c r="Q565" s="13">
        <f>IF(N565="HKD",7.8,IF(N565="CNY",7.30034,1))</f>
        <v>7.3003400000000003</v>
      </c>
      <c r="R565" s="15">
        <f>+ROUND(O565/Q565,4)</f>
        <v>2.4390000000000001</v>
      </c>
      <c r="S565" s="14">
        <f>ROUND(R565*L565,2)</f>
        <v>4887.76</v>
      </c>
      <c r="T565" s="15" t="s">
        <v>349</v>
      </c>
      <c r="U565" t="s">
        <v>36</v>
      </c>
    </row>
    <row r="566" spans="1:21" x14ac:dyDescent="0.2">
      <c r="A566" s="19" t="s">
        <v>1427</v>
      </c>
      <c r="B566" s="20">
        <v>45659</v>
      </c>
      <c r="C566" s="20">
        <v>45650</v>
      </c>
      <c r="D566" s="19" t="s">
        <v>569</v>
      </c>
      <c r="E566" s="19" t="s">
        <v>570</v>
      </c>
      <c r="G566" s="19" t="s">
        <v>1418</v>
      </c>
      <c r="H566" s="19" t="s">
        <v>1425</v>
      </c>
      <c r="I566" s="19" t="s">
        <v>1426</v>
      </c>
      <c r="J566" s="11" t="s">
        <v>1505</v>
      </c>
      <c r="K566" s="19" t="s">
        <v>10</v>
      </c>
      <c r="L566" s="19">
        <v>1000</v>
      </c>
      <c r="M566" s="19" t="s">
        <v>1472</v>
      </c>
      <c r="N566" s="19" t="s">
        <v>11</v>
      </c>
      <c r="O566" s="26">
        <v>2.75</v>
      </c>
      <c r="P566" s="12">
        <f>ROUND(O566*L566,2)</f>
        <v>2750</v>
      </c>
      <c r="Q566" s="13">
        <f>IF(N566="HKD",7.8,IF(N566="CNY",7.30034,1))</f>
        <v>7.3003400000000003</v>
      </c>
      <c r="R566" s="15">
        <f>+ROUND(O566/Q566,4)</f>
        <v>0.37669999999999998</v>
      </c>
      <c r="S566" s="14">
        <f>ROUND(R566*L566,2)</f>
        <v>376.7</v>
      </c>
      <c r="T566" s="15" t="s">
        <v>349</v>
      </c>
      <c r="U566" s="19" t="s">
        <v>36</v>
      </c>
    </row>
    <row r="567" spans="1:21" x14ac:dyDescent="0.2">
      <c r="A567" s="19" t="s">
        <v>1421</v>
      </c>
      <c r="B567" s="20">
        <v>45659</v>
      </c>
      <c r="C567" s="20">
        <v>45652</v>
      </c>
      <c r="D567" s="19" t="s">
        <v>569</v>
      </c>
      <c r="E567" s="19" t="s">
        <v>570</v>
      </c>
      <c r="G567" s="19" t="s">
        <v>1418</v>
      </c>
      <c r="H567" s="19" t="s">
        <v>1419</v>
      </c>
      <c r="I567" s="19" t="s">
        <v>1420</v>
      </c>
      <c r="J567" s="11" t="s">
        <v>1505</v>
      </c>
      <c r="K567" s="19" t="s">
        <v>10</v>
      </c>
      <c r="L567" s="19">
        <v>1000</v>
      </c>
      <c r="M567" s="19" t="s">
        <v>1472</v>
      </c>
      <c r="N567" s="19" t="s">
        <v>11</v>
      </c>
      <c r="O567" s="26">
        <v>3.1</v>
      </c>
      <c r="P567" s="12">
        <f>ROUND(O567*L567,2)</f>
        <v>3100</v>
      </c>
      <c r="Q567" s="13">
        <f>IF(N567="HKD",7.8,IF(N567="CNY",7.30034,1))</f>
        <v>7.3003400000000003</v>
      </c>
      <c r="R567" s="15">
        <f>+ROUND(O567/Q567,4)</f>
        <v>0.42459999999999998</v>
      </c>
      <c r="S567" s="14">
        <f>ROUND(R567*L567,2)</f>
        <v>424.6</v>
      </c>
      <c r="T567" s="15" t="s">
        <v>349</v>
      </c>
      <c r="U567" s="19" t="s">
        <v>36</v>
      </c>
    </row>
    <row r="568" spans="1:21" x14ac:dyDescent="0.2">
      <c r="A568" s="19" t="s">
        <v>1424</v>
      </c>
      <c r="B568" s="20">
        <v>45659</v>
      </c>
      <c r="C568" s="20">
        <v>45650</v>
      </c>
      <c r="D568" s="19" t="s">
        <v>569</v>
      </c>
      <c r="E568" s="19" t="s">
        <v>570</v>
      </c>
      <c r="G568" s="19" t="s">
        <v>1418</v>
      </c>
      <c r="H568" s="19" t="s">
        <v>1422</v>
      </c>
      <c r="I568" s="19" t="s">
        <v>1423</v>
      </c>
      <c r="J568" s="11" t="s">
        <v>1505</v>
      </c>
      <c r="K568" s="19" t="s">
        <v>10</v>
      </c>
      <c r="L568" s="19">
        <v>1200</v>
      </c>
      <c r="M568" s="19" t="s">
        <v>1472</v>
      </c>
      <c r="N568" s="19" t="s">
        <v>11</v>
      </c>
      <c r="O568" s="26">
        <v>4.2</v>
      </c>
      <c r="P568" s="12">
        <f>ROUND(O568*L568,2)</f>
        <v>5040</v>
      </c>
      <c r="Q568" s="13">
        <f>IF(N568="HKD",7.8,IF(N568="CNY",7.30034,1))</f>
        <v>7.3003400000000003</v>
      </c>
      <c r="R568" s="15">
        <f>+ROUND(O568/Q568,4)</f>
        <v>0.57530000000000003</v>
      </c>
      <c r="S568" s="14">
        <f>ROUND(R568*L568,2)</f>
        <v>690.36</v>
      </c>
      <c r="T568" s="15" t="s">
        <v>349</v>
      </c>
      <c r="U568" s="19" t="s">
        <v>36</v>
      </c>
    </row>
    <row r="569" spans="1:21" x14ac:dyDescent="0.2">
      <c r="A569" s="19" t="s">
        <v>1411</v>
      </c>
      <c r="B569" s="20">
        <v>45659</v>
      </c>
      <c r="C569" s="20">
        <v>45639</v>
      </c>
      <c r="D569" s="19" t="s">
        <v>569</v>
      </c>
      <c r="E569" s="19" t="s">
        <v>570</v>
      </c>
      <c r="G569" s="19" t="s">
        <v>1403</v>
      </c>
      <c r="H569" s="19" t="s">
        <v>763</v>
      </c>
      <c r="I569" s="19" t="s">
        <v>764</v>
      </c>
      <c r="J569" s="11" t="s">
        <v>1505</v>
      </c>
      <c r="K569" s="19" t="s">
        <v>10</v>
      </c>
      <c r="L569" s="19">
        <v>520</v>
      </c>
      <c r="M569" s="19" t="s">
        <v>1472</v>
      </c>
      <c r="N569" s="19" t="s">
        <v>11</v>
      </c>
      <c r="O569" s="26">
        <v>4.9000000000000004</v>
      </c>
      <c r="P569" s="12">
        <f>ROUND(O569*L569,2)</f>
        <v>2548</v>
      </c>
      <c r="Q569" s="13">
        <f>IF(N569="HKD",7.8,IF(N569="CNY",7.30034,1))</f>
        <v>7.3003400000000003</v>
      </c>
      <c r="R569" s="15">
        <f>+ROUND(O569/Q569,4)</f>
        <v>0.67120000000000002</v>
      </c>
      <c r="S569" s="14">
        <f>ROUND(R569*L569,2)</f>
        <v>349.02</v>
      </c>
      <c r="T569" s="15" t="s">
        <v>349</v>
      </c>
      <c r="U569" s="19" t="s">
        <v>36</v>
      </c>
    </row>
    <row r="570" spans="1:21" x14ac:dyDescent="0.2">
      <c r="A570" s="19" t="s">
        <v>1410</v>
      </c>
      <c r="B570" s="20">
        <v>45659</v>
      </c>
      <c r="C570" s="20">
        <v>45639</v>
      </c>
      <c r="D570" s="19" t="s">
        <v>569</v>
      </c>
      <c r="E570" s="19" t="s">
        <v>570</v>
      </c>
      <c r="G570" s="19" t="s">
        <v>1403</v>
      </c>
      <c r="H570" s="19" t="s">
        <v>1408</v>
      </c>
      <c r="I570" s="19" t="s">
        <v>1409</v>
      </c>
      <c r="J570" s="11" t="s">
        <v>1505</v>
      </c>
      <c r="K570" s="19" t="s">
        <v>10</v>
      </c>
      <c r="L570" s="19">
        <v>620</v>
      </c>
      <c r="M570" s="19" t="s">
        <v>1472</v>
      </c>
      <c r="N570" s="19" t="s">
        <v>11</v>
      </c>
      <c r="O570" s="26">
        <v>4.9000000000000004</v>
      </c>
      <c r="P570" s="12">
        <f>ROUND(O570*L570,2)</f>
        <v>3038</v>
      </c>
      <c r="Q570" s="13">
        <f>IF(N570="HKD",7.8,IF(N570="CNY",7.30034,1))</f>
        <v>7.3003400000000003</v>
      </c>
      <c r="R570" s="15">
        <f>+ROUND(O570/Q570,4)</f>
        <v>0.67120000000000002</v>
      </c>
      <c r="S570" s="14">
        <f>ROUND(R570*L570,2)</f>
        <v>416.14</v>
      </c>
      <c r="T570" s="15" t="s">
        <v>349</v>
      </c>
      <c r="U570" s="19" t="s">
        <v>36</v>
      </c>
    </row>
    <row r="571" spans="1:21" x14ac:dyDescent="0.2">
      <c r="A571" s="19" t="s">
        <v>771</v>
      </c>
      <c r="B571" s="20">
        <v>45659</v>
      </c>
      <c r="C571" s="20">
        <v>45650</v>
      </c>
      <c r="D571" s="19" t="s">
        <v>569</v>
      </c>
      <c r="E571" s="19" t="s">
        <v>570</v>
      </c>
      <c r="G571" s="19" t="s">
        <v>1418</v>
      </c>
      <c r="H571" s="19" t="s">
        <v>769</v>
      </c>
      <c r="I571" s="19" t="s">
        <v>770</v>
      </c>
      <c r="J571" s="11" t="s">
        <v>1505</v>
      </c>
      <c r="K571" s="19" t="s">
        <v>10</v>
      </c>
      <c r="L571" s="19">
        <v>900</v>
      </c>
      <c r="M571" s="19" t="s">
        <v>1472</v>
      </c>
      <c r="N571" s="19" t="s">
        <v>11</v>
      </c>
      <c r="O571" s="26">
        <v>4.9000000000000004</v>
      </c>
      <c r="P571" s="12">
        <f>ROUND(O571*L571,2)</f>
        <v>4410</v>
      </c>
      <c r="Q571" s="13">
        <f>IF(N571="HKD",7.8,IF(N571="CNY",7.30034,1))</f>
        <v>7.3003400000000003</v>
      </c>
      <c r="R571" s="15">
        <f>+ROUND(O571/Q571,4)</f>
        <v>0.67120000000000002</v>
      </c>
      <c r="S571" s="14">
        <f>ROUND(R571*L571,2)</f>
        <v>604.08000000000004</v>
      </c>
      <c r="T571" s="15" t="s">
        <v>349</v>
      </c>
      <c r="U571" s="19" t="s">
        <v>36</v>
      </c>
    </row>
    <row r="572" spans="1:21" x14ac:dyDescent="0.2">
      <c r="A572" s="19" t="s">
        <v>1407</v>
      </c>
      <c r="B572" s="20">
        <v>45659</v>
      </c>
      <c r="C572" s="20">
        <v>45639</v>
      </c>
      <c r="D572" s="19" t="s">
        <v>569</v>
      </c>
      <c r="E572" s="19" t="s">
        <v>570</v>
      </c>
      <c r="G572" s="19" t="s">
        <v>1403</v>
      </c>
      <c r="H572" s="19" t="s">
        <v>1405</v>
      </c>
      <c r="I572" s="19" t="s">
        <v>1406</v>
      </c>
      <c r="J572" s="11" t="s">
        <v>1505</v>
      </c>
      <c r="K572" s="19" t="s">
        <v>10</v>
      </c>
      <c r="L572" s="19">
        <v>520</v>
      </c>
      <c r="M572" s="19" t="s">
        <v>1472</v>
      </c>
      <c r="N572" s="19" t="s">
        <v>11</v>
      </c>
      <c r="O572" s="26">
        <v>5.7</v>
      </c>
      <c r="P572" s="12">
        <f>ROUND(O572*L572,2)</f>
        <v>2964</v>
      </c>
      <c r="Q572" s="13">
        <f>IF(N572="HKD",7.8,IF(N572="CNY",7.30034,1))</f>
        <v>7.3003400000000003</v>
      </c>
      <c r="R572" s="15">
        <f>+ROUND(O572/Q572,4)</f>
        <v>0.78080000000000005</v>
      </c>
      <c r="S572" s="14">
        <f>ROUND(R572*L572,2)</f>
        <v>406.02</v>
      </c>
      <c r="T572" s="15" t="s">
        <v>349</v>
      </c>
      <c r="U572" s="19" t="s">
        <v>36</v>
      </c>
    </row>
    <row r="573" spans="1:21" x14ac:dyDescent="0.2">
      <c r="A573" s="19" t="s">
        <v>768</v>
      </c>
      <c r="B573" s="20">
        <v>45659</v>
      </c>
      <c r="C573" s="20">
        <v>45650</v>
      </c>
      <c r="D573" s="19" t="s">
        <v>569</v>
      </c>
      <c r="E573" s="19" t="s">
        <v>570</v>
      </c>
      <c r="G573" s="19" t="s">
        <v>1418</v>
      </c>
      <c r="H573" s="19" t="s">
        <v>766</v>
      </c>
      <c r="I573" s="19" t="s">
        <v>767</v>
      </c>
      <c r="J573" s="11" t="s">
        <v>1505</v>
      </c>
      <c r="K573" s="19" t="s">
        <v>10</v>
      </c>
      <c r="L573" s="19">
        <v>300</v>
      </c>
      <c r="M573" s="19" t="s">
        <v>1472</v>
      </c>
      <c r="N573" s="19" t="s">
        <v>11</v>
      </c>
      <c r="O573" s="26">
        <v>5.7</v>
      </c>
      <c r="P573" s="12">
        <f>ROUND(O573*L573,2)</f>
        <v>1710</v>
      </c>
      <c r="Q573" s="13">
        <f>IF(N573="HKD",7.8,IF(N573="CNY",7.30034,1))</f>
        <v>7.3003400000000003</v>
      </c>
      <c r="R573" s="15">
        <f>+ROUND(O573/Q573,4)</f>
        <v>0.78080000000000005</v>
      </c>
      <c r="S573" s="14">
        <f>ROUND(R573*L573,2)</f>
        <v>234.24</v>
      </c>
      <c r="T573" s="15" t="s">
        <v>349</v>
      </c>
      <c r="U573" s="19" t="s">
        <v>36</v>
      </c>
    </row>
    <row r="574" spans="1:21" x14ac:dyDescent="0.2">
      <c r="A574" s="19" t="s">
        <v>1417</v>
      </c>
      <c r="B574" s="20">
        <v>45659</v>
      </c>
      <c r="C574" s="20">
        <v>45652</v>
      </c>
      <c r="D574" s="19" t="s">
        <v>569</v>
      </c>
      <c r="E574" s="19" t="s">
        <v>570</v>
      </c>
      <c r="G574" s="19" t="s">
        <v>1418</v>
      </c>
      <c r="H574" s="19" t="s">
        <v>1415</v>
      </c>
      <c r="I574" s="19" t="s">
        <v>1416</v>
      </c>
      <c r="J574" s="11" t="s">
        <v>1505</v>
      </c>
      <c r="K574" s="19" t="s">
        <v>10</v>
      </c>
      <c r="L574" s="19">
        <v>1000</v>
      </c>
      <c r="M574" s="19" t="s">
        <v>1472</v>
      </c>
      <c r="N574" s="19" t="s">
        <v>11</v>
      </c>
      <c r="O574" s="26">
        <v>5.7</v>
      </c>
      <c r="P574" s="12">
        <f>ROUND(O574*L574,2)</f>
        <v>5700</v>
      </c>
      <c r="Q574" s="13">
        <f>IF(N574="HKD",7.8,IF(N574="CNY",7.30034,1))</f>
        <v>7.3003400000000003</v>
      </c>
      <c r="R574" s="15">
        <f>+ROUND(O574/Q574,4)</f>
        <v>0.78080000000000005</v>
      </c>
      <c r="S574" s="14">
        <f>ROUND(R574*L574,2)</f>
        <v>780.8</v>
      </c>
      <c r="T574" s="15" t="s">
        <v>349</v>
      </c>
      <c r="U574" s="19" t="s">
        <v>36</v>
      </c>
    </row>
    <row r="575" spans="1:21" x14ac:dyDescent="0.2">
      <c r="A575" s="19" t="s">
        <v>761</v>
      </c>
      <c r="B575" s="20">
        <v>45666</v>
      </c>
      <c r="C575" s="20">
        <v>45664</v>
      </c>
      <c r="D575" s="19" t="s">
        <v>569</v>
      </c>
      <c r="E575" s="19" t="s">
        <v>570</v>
      </c>
      <c r="G575" s="19" t="s">
        <v>762</v>
      </c>
      <c r="H575" s="19" t="s">
        <v>759</v>
      </c>
      <c r="I575" s="19" t="s">
        <v>760</v>
      </c>
      <c r="J575" s="11" t="s">
        <v>1505</v>
      </c>
      <c r="K575" s="19" t="s">
        <v>10</v>
      </c>
      <c r="L575" s="19">
        <v>300</v>
      </c>
      <c r="M575" s="19" t="s">
        <v>1472</v>
      </c>
      <c r="N575" s="19" t="s">
        <v>11</v>
      </c>
      <c r="O575" s="26">
        <v>3.5</v>
      </c>
      <c r="P575" s="12">
        <f>ROUND(O575*L575,2)</f>
        <v>1050</v>
      </c>
      <c r="Q575" s="13">
        <f>IF(N575="HKD",7.8,IF(N575="CNY",7.30034,1))</f>
        <v>7.3003400000000003</v>
      </c>
      <c r="R575" s="15">
        <f>+ROUND(O575/Q575,4)</f>
        <v>0.47939999999999999</v>
      </c>
      <c r="S575" s="14">
        <f>ROUND(R575*L575,2)</f>
        <v>143.82</v>
      </c>
      <c r="T575" s="15" t="s">
        <v>349</v>
      </c>
      <c r="U575" s="19" t="s">
        <v>36</v>
      </c>
    </row>
    <row r="576" spans="1:21" x14ac:dyDescent="0.2">
      <c r="A576" s="19" t="s">
        <v>771</v>
      </c>
      <c r="B576" s="20">
        <v>45666</v>
      </c>
      <c r="C576" s="20">
        <v>45650</v>
      </c>
      <c r="D576" s="19" t="s">
        <v>569</v>
      </c>
      <c r="E576" s="19" t="s">
        <v>570</v>
      </c>
      <c r="G576" s="19" t="s">
        <v>762</v>
      </c>
      <c r="H576" s="19" t="s">
        <v>769</v>
      </c>
      <c r="I576" s="19" t="s">
        <v>770</v>
      </c>
      <c r="J576" s="11" t="s">
        <v>1505</v>
      </c>
      <c r="K576" s="19" t="s">
        <v>10</v>
      </c>
      <c r="L576" s="19">
        <v>100</v>
      </c>
      <c r="M576" s="19" t="s">
        <v>1472</v>
      </c>
      <c r="N576" s="19" t="s">
        <v>11</v>
      </c>
      <c r="O576" s="26">
        <v>4.9000000000000004</v>
      </c>
      <c r="P576" s="12">
        <f>ROUND(O576*L576,2)</f>
        <v>490</v>
      </c>
      <c r="Q576" s="13">
        <f>IF(N576="HKD",7.8,IF(N576="CNY",7.30034,1))</f>
        <v>7.3003400000000003</v>
      </c>
      <c r="R576" s="15">
        <f>+ROUND(O576/Q576,4)</f>
        <v>0.67120000000000002</v>
      </c>
      <c r="S576" s="14">
        <f>ROUND(R576*L576,2)</f>
        <v>67.12</v>
      </c>
      <c r="T576" s="15" t="s">
        <v>349</v>
      </c>
      <c r="U576" s="19" t="s">
        <v>36</v>
      </c>
    </row>
    <row r="577" spans="1:21" x14ac:dyDescent="0.2">
      <c r="A577" s="19" t="s">
        <v>765</v>
      </c>
      <c r="B577" s="20">
        <v>45666</v>
      </c>
      <c r="C577" s="20">
        <v>45664</v>
      </c>
      <c r="D577" s="19" t="s">
        <v>569</v>
      </c>
      <c r="E577" s="19" t="s">
        <v>570</v>
      </c>
      <c r="G577" s="19" t="s">
        <v>762</v>
      </c>
      <c r="H577" s="19" t="s">
        <v>763</v>
      </c>
      <c r="I577" s="19" t="s">
        <v>764</v>
      </c>
      <c r="J577" s="11" t="s">
        <v>1505</v>
      </c>
      <c r="K577" s="19" t="s">
        <v>10</v>
      </c>
      <c r="L577" s="19">
        <v>300</v>
      </c>
      <c r="M577" s="19" t="s">
        <v>1472</v>
      </c>
      <c r="N577" s="19" t="s">
        <v>11</v>
      </c>
      <c r="O577" s="26">
        <v>4.9000000000000004</v>
      </c>
      <c r="P577" s="12">
        <f>ROUND(O577*L577,2)</f>
        <v>1470</v>
      </c>
      <c r="Q577" s="13">
        <f>IF(N577="HKD",7.8,IF(N577="CNY",7.30034,1))</f>
        <v>7.3003400000000003</v>
      </c>
      <c r="R577" s="15">
        <f>+ROUND(O577/Q577,4)</f>
        <v>0.67120000000000002</v>
      </c>
      <c r="S577" s="14">
        <f>ROUND(R577*L577,2)</f>
        <v>201.36</v>
      </c>
      <c r="T577" s="15" t="s">
        <v>349</v>
      </c>
      <c r="U577" s="19" t="s">
        <v>36</v>
      </c>
    </row>
    <row r="578" spans="1:21" x14ac:dyDescent="0.2">
      <c r="A578" s="19" t="s">
        <v>768</v>
      </c>
      <c r="B578" s="20">
        <v>45666</v>
      </c>
      <c r="C578" s="20">
        <v>45650</v>
      </c>
      <c r="D578" s="19" t="s">
        <v>569</v>
      </c>
      <c r="E578" s="19" t="s">
        <v>570</v>
      </c>
      <c r="G578" s="19" t="s">
        <v>762</v>
      </c>
      <c r="H578" s="19" t="s">
        <v>766</v>
      </c>
      <c r="I578" s="19" t="s">
        <v>767</v>
      </c>
      <c r="J578" s="11" t="s">
        <v>1505</v>
      </c>
      <c r="K578" s="19" t="s">
        <v>10</v>
      </c>
      <c r="L578" s="19">
        <v>700</v>
      </c>
      <c r="M578" s="19" t="s">
        <v>1472</v>
      </c>
      <c r="N578" s="19" t="s">
        <v>11</v>
      </c>
      <c r="O578" s="26">
        <v>5.7</v>
      </c>
      <c r="P578" s="12">
        <f>ROUND(O578*L578,2)</f>
        <v>3990</v>
      </c>
      <c r="Q578" s="13">
        <f>IF(N578="HKD",7.8,IF(N578="CNY",7.30034,1))</f>
        <v>7.3003400000000003</v>
      </c>
      <c r="R578" s="15">
        <f>+ROUND(O578/Q578,4)</f>
        <v>0.78080000000000005</v>
      </c>
      <c r="S578" s="14">
        <f>ROUND(R578*L578,2)</f>
        <v>546.55999999999995</v>
      </c>
      <c r="T578" s="15" t="s">
        <v>349</v>
      </c>
      <c r="U578" s="19" t="s">
        <v>36</v>
      </c>
    </row>
    <row r="579" spans="1:21" x14ac:dyDescent="0.2">
      <c r="A579" s="19" t="s">
        <v>571</v>
      </c>
      <c r="B579" s="20">
        <v>45670</v>
      </c>
      <c r="C579" s="20">
        <v>45667</v>
      </c>
      <c r="D579" s="19" t="s">
        <v>569</v>
      </c>
      <c r="E579" s="19" t="s">
        <v>570</v>
      </c>
      <c r="G579" s="19" t="s">
        <v>572</v>
      </c>
      <c r="H579" s="19" t="s">
        <v>567</v>
      </c>
      <c r="I579" s="19" t="s">
        <v>568</v>
      </c>
      <c r="J579" s="11" t="s">
        <v>1505</v>
      </c>
      <c r="K579" s="19" t="s">
        <v>10</v>
      </c>
      <c r="L579" s="19">
        <v>100</v>
      </c>
      <c r="M579" s="19" t="s">
        <v>1472</v>
      </c>
      <c r="N579" s="19" t="s">
        <v>11</v>
      </c>
      <c r="O579" s="26">
        <v>3.85</v>
      </c>
      <c r="P579" s="12">
        <f>ROUND(O579*L579,2)</f>
        <v>385</v>
      </c>
      <c r="Q579" s="13">
        <f>IF(N579="HKD",7.8,IF(N579="CNY",7.30034,1))</f>
        <v>7.3003400000000003</v>
      </c>
      <c r="R579" s="15">
        <f>+ROUND(O579/Q579,4)</f>
        <v>0.52739999999999998</v>
      </c>
      <c r="S579" s="14">
        <f>ROUND(R579*L579,2)</f>
        <v>52.74</v>
      </c>
      <c r="T579" s="15" t="s">
        <v>349</v>
      </c>
      <c r="U579" s="19" t="s">
        <v>36</v>
      </c>
    </row>
    <row r="580" spans="1:21" x14ac:dyDescent="0.2">
      <c r="A580" t="s">
        <v>1971</v>
      </c>
      <c r="B580" s="24">
        <v>45699</v>
      </c>
      <c r="C580" s="24">
        <v>45674</v>
      </c>
      <c r="D580" t="s">
        <v>569</v>
      </c>
      <c r="E580" t="s">
        <v>570</v>
      </c>
      <c r="G580" t="s">
        <v>2148</v>
      </c>
      <c r="H580" s="19" t="s">
        <v>1425</v>
      </c>
      <c r="I580" s="19" t="s">
        <v>1426</v>
      </c>
      <c r="J580" s="11" t="s">
        <v>1505</v>
      </c>
      <c r="K580" t="s">
        <v>10</v>
      </c>
      <c r="L580" s="19">
        <v>1050</v>
      </c>
      <c r="M580" t="s">
        <v>1472</v>
      </c>
      <c r="N580" t="s">
        <v>11</v>
      </c>
      <c r="O580" s="26">
        <v>2.75</v>
      </c>
      <c r="P580" s="12">
        <f>ROUND(O580*L580,2)</f>
        <v>2887.5</v>
      </c>
      <c r="Q580" s="13">
        <f>IF(N580="HKD",7.8,IF(N580="CNY",7.30034,1))</f>
        <v>7.3003400000000003</v>
      </c>
      <c r="R580" s="15">
        <f>+ROUND(O580/Q580,4)</f>
        <v>0.37669999999999998</v>
      </c>
      <c r="S580" s="14">
        <f>ROUND(R580*L580,2)</f>
        <v>395.54</v>
      </c>
      <c r="T580" s="15" t="s">
        <v>349</v>
      </c>
      <c r="U580" t="s">
        <v>36</v>
      </c>
    </row>
    <row r="581" spans="1:21" x14ac:dyDescent="0.2">
      <c r="A581" t="s">
        <v>1991</v>
      </c>
      <c r="B581" s="24">
        <v>45699</v>
      </c>
      <c r="C581" s="24">
        <v>45677</v>
      </c>
      <c r="D581" t="s">
        <v>569</v>
      </c>
      <c r="E581" t="s">
        <v>570</v>
      </c>
      <c r="G581" t="s">
        <v>2186</v>
      </c>
      <c r="H581" s="19" t="s">
        <v>1419</v>
      </c>
      <c r="I581" s="19" t="s">
        <v>1420</v>
      </c>
      <c r="J581" s="11" t="s">
        <v>1505</v>
      </c>
      <c r="K581" t="s">
        <v>10</v>
      </c>
      <c r="L581" s="19">
        <v>1000</v>
      </c>
      <c r="M581" t="s">
        <v>1472</v>
      </c>
      <c r="N581" t="s">
        <v>11</v>
      </c>
      <c r="O581" s="26">
        <v>3.1</v>
      </c>
      <c r="P581" s="12">
        <f>ROUND(O581*L581,2)</f>
        <v>3100</v>
      </c>
      <c r="Q581" s="13">
        <f>IF(N581="HKD",7.8,IF(N581="CNY",7.30034,1))</f>
        <v>7.3003400000000003</v>
      </c>
      <c r="R581" s="15">
        <f>+ROUND(O581/Q581,4)</f>
        <v>0.42459999999999998</v>
      </c>
      <c r="S581" s="14">
        <f>ROUND(R581*L581,2)</f>
        <v>424.6</v>
      </c>
      <c r="T581" s="15" t="s">
        <v>349</v>
      </c>
      <c r="U581" t="s">
        <v>36</v>
      </c>
    </row>
    <row r="582" spans="1:21" x14ac:dyDescent="0.2">
      <c r="A582" t="s">
        <v>2058</v>
      </c>
      <c r="B582" s="24">
        <v>45699</v>
      </c>
      <c r="C582" s="24">
        <v>45674</v>
      </c>
      <c r="D582" t="s">
        <v>569</v>
      </c>
      <c r="E582" t="s">
        <v>570</v>
      </c>
      <c r="G582" t="s">
        <v>2186</v>
      </c>
      <c r="H582" s="19" t="s">
        <v>769</v>
      </c>
      <c r="I582" s="19" t="s">
        <v>770</v>
      </c>
      <c r="J582" s="11" t="s">
        <v>1505</v>
      </c>
      <c r="K582" t="s">
        <v>10</v>
      </c>
      <c r="L582" s="19">
        <v>2100</v>
      </c>
      <c r="M582" t="s">
        <v>1472</v>
      </c>
      <c r="N582" t="s">
        <v>11</v>
      </c>
      <c r="O582" s="26">
        <v>4.9000000000000004</v>
      </c>
      <c r="P582" s="12">
        <f>ROUND(O582*L582,2)</f>
        <v>10290</v>
      </c>
      <c r="Q582" s="13">
        <f>IF(N582="HKD",7.8,IF(N582="CNY",7.30034,1))</f>
        <v>7.3003400000000003</v>
      </c>
      <c r="R582" s="15">
        <f>+ROUND(O582/Q582,4)</f>
        <v>0.67120000000000002</v>
      </c>
      <c r="S582" s="14">
        <f>ROUND(R582*L582,2)</f>
        <v>1409.52</v>
      </c>
      <c r="T582" s="15" t="s">
        <v>349</v>
      </c>
      <c r="U582" t="s">
        <v>36</v>
      </c>
    </row>
    <row r="583" spans="1:21" x14ac:dyDescent="0.2">
      <c r="A583" t="s">
        <v>2075</v>
      </c>
      <c r="B583" s="24">
        <v>45699</v>
      </c>
      <c r="C583" s="24">
        <v>45674</v>
      </c>
      <c r="D583" t="s">
        <v>569</v>
      </c>
      <c r="E583" t="s">
        <v>570</v>
      </c>
      <c r="G583" t="s">
        <v>2186</v>
      </c>
      <c r="H583" s="19" t="s">
        <v>766</v>
      </c>
      <c r="I583" s="19" t="s">
        <v>767</v>
      </c>
      <c r="J583" s="11" t="s">
        <v>1505</v>
      </c>
      <c r="K583" t="s">
        <v>10</v>
      </c>
      <c r="L583" s="19">
        <v>1300</v>
      </c>
      <c r="M583" t="s">
        <v>1472</v>
      </c>
      <c r="N583" t="s">
        <v>11</v>
      </c>
      <c r="O583" s="26">
        <v>5.7</v>
      </c>
      <c r="P583" s="12">
        <f>ROUND(O583*L583,2)</f>
        <v>7410</v>
      </c>
      <c r="Q583" s="13">
        <f>IF(N583="HKD",7.8,IF(N583="CNY",7.30034,1))</f>
        <v>7.3003400000000003</v>
      </c>
      <c r="R583" s="15">
        <f>+ROUND(O583/Q583,4)</f>
        <v>0.78080000000000005</v>
      </c>
      <c r="S583" s="14">
        <f>ROUND(R583*L583,2)</f>
        <v>1015.04</v>
      </c>
      <c r="T583" s="15" t="s">
        <v>349</v>
      </c>
      <c r="U583" t="s">
        <v>36</v>
      </c>
    </row>
    <row r="584" spans="1:21" x14ac:dyDescent="0.2">
      <c r="A584" t="s">
        <v>1972</v>
      </c>
      <c r="B584" s="24">
        <v>45708</v>
      </c>
      <c r="C584" s="24">
        <v>45677</v>
      </c>
      <c r="D584" t="s">
        <v>569</v>
      </c>
      <c r="E584" t="s">
        <v>570</v>
      </c>
      <c r="G584" t="s">
        <v>2182</v>
      </c>
      <c r="H584" s="19" t="s">
        <v>1425</v>
      </c>
      <c r="I584" s="19" t="s">
        <v>1426</v>
      </c>
      <c r="J584" s="11" t="s">
        <v>1505</v>
      </c>
      <c r="K584" t="s">
        <v>10</v>
      </c>
      <c r="L584" s="19">
        <v>1000</v>
      </c>
      <c r="M584" t="s">
        <v>1472</v>
      </c>
      <c r="N584" t="s">
        <v>11</v>
      </c>
      <c r="O584" s="26">
        <v>2.75</v>
      </c>
      <c r="P584" s="12">
        <f>ROUND(O584*L584,2)</f>
        <v>2750</v>
      </c>
      <c r="Q584" s="13">
        <f>IF(N584="HKD",7.8,IF(N584="CNY",7.30034,1))</f>
        <v>7.3003400000000003</v>
      </c>
      <c r="R584" s="15">
        <f>+ROUND(O584/Q584,4)</f>
        <v>0.37669999999999998</v>
      </c>
      <c r="S584" s="14">
        <f>ROUND(R584*L584,2)</f>
        <v>376.7</v>
      </c>
      <c r="T584" s="15" t="s">
        <v>349</v>
      </c>
      <c r="U584" t="s">
        <v>36</v>
      </c>
    </row>
    <row r="585" spans="1:21" x14ac:dyDescent="0.2">
      <c r="A585" t="s">
        <v>2048</v>
      </c>
      <c r="B585" s="24">
        <v>45708</v>
      </c>
      <c r="C585" s="24">
        <v>45674</v>
      </c>
      <c r="D585" t="s">
        <v>569</v>
      </c>
      <c r="E585" t="s">
        <v>570</v>
      </c>
      <c r="G585" t="s">
        <v>2182</v>
      </c>
      <c r="H585" s="19" t="s">
        <v>1503</v>
      </c>
      <c r="I585" s="19" t="s">
        <v>1504</v>
      </c>
      <c r="J585" s="11" t="s">
        <v>1505</v>
      </c>
      <c r="K585" t="s">
        <v>10</v>
      </c>
      <c r="L585" s="19">
        <v>1000</v>
      </c>
      <c r="M585" t="s">
        <v>1472</v>
      </c>
      <c r="N585" t="s">
        <v>11</v>
      </c>
      <c r="O585" s="26">
        <v>4.2</v>
      </c>
      <c r="P585" s="12">
        <f>ROUND(O585*L585,2)</f>
        <v>4200</v>
      </c>
      <c r="Q585" s="13">
        <f>IF(N585="HKD",7.8,IF(N585="CNY",7.30034,1))</f>
        <v>7.3003400000000003</v>
      </c>
      <c r="R585" s="15">
        <f>+ROUND(O585/Q585,4)</f>
        <v>0.57530000000000003</v>
      </c>
      <c r="S585" s="14">
        <f>ROUND(R585*L585,2)</f>
        <v>575.29999999999995</v>
      </c>
      <c r="T585" s="15" t="s">
        <v>349</v>
      </c>
      <c r="U585" t="s">
        <v>36</v>
      </c>
    </row>
    <row r="586" spans="1:21" x14ac:dyDescent="0.2">
      <c r="A586" t="s">
        <v>2075</v>
      </c>
      <c r="B586" s="24">
        <v>45708</v>
      </c>
      <c r="C586" s="24">
        <v>45674</v>
      </c>
      <c r="D586" t="s">
        <v>569</v>
      </c>
      <c r="E586" t="s">
        <v>570</v>
      </c>
      <c r="G586" t="s">
        <v>2182</v>
      </c>
      <c r="H586" s="19" t="s">
        <v>766</v>
      </c>
      <c r="I586" s="19" t="s">
        <v>767</v>
      </c>
      <c r="J586" s="11" t="s">
        <v>1505</v>
      </c>
      <c r="K586" t="s">
        <v>10</v>
      </c>
      <c r="L586" s="19">
        <v>800</v>
      </c>
      <c r="M586" t="s">
        <v>1472</v>
      </c>
      <c r="N586" t="s">
        <v>11</v>
      </c>
      <c r="O586" s="26">
        <v>5.7</v>
      </c>
      <c r="P586" s="12">
        <f>ROUND(O586*L586,2)</f>
        <v>4560</v>
      </c>
      <c r="Q586" s="13">
        <f>IF(N586="HKD",7.8,IF(N586="CNY",7.30034,1))</f>
        <v>7.3003400000000003</v>
      </c>
      <c r="R586" s="15">
        <f>+ROUND(O586/Q586,4)</f>
        <v>0.78080000000000005</v>
      </c>
      <c r="S586" s="14">
        <f>ROUND(R586*L586,2)</f>
        <v>624.64</v>
      </c>
      <c r="T586" s="15" t="s">
        <v>349</v>
      </c>
      <c r="U586" t="s">
        <v>36</v>
      </c>
    </row>
    <row r="587" spans="1:21" x14ac:dyDescent="0.2">
      <c r="A587" t="s">
        <v>2076</v>
      </c>
      <c r="B587" s="24">
        <v>45708</v>
      </c>
      <c r="C587" s="24">
        <v>45677</v>
      </c>
      <c r="D587" t="s">
        <v>569</v>
      </c>
      <c r="E587" t="s">
        <v>570</v>
      </c>
      <c r="G587" t="s">
        <v>2182</v>
      </c>
      <c r="H587" s="19" t="s">
        <v>766</v>
      </c>
      <c r="I587" s="19" t="s">
        <v>767</v>
      </c>
      <c r="J587" s="11" t="s">
        <v>1505</v>
      </c>
      <c r="K587" t="s">
        <v>10</v>
      </c>
      <c r="L587" s="19">
        <v>500</v>
      </c>
      <c r="M587" t="s">
        <v>1472</v>
      </c>
      <c r="N587" t="s">
        <v>11</v>
      </c>
      <c r="O587" s="26">
        <v>5.7</v>
      </c>
      <c r="P587" s="12">
        <f>ROUND(O587*L587,2)</f>
        <v>2850</v>
      </c>
      <c r="Q587" s="13">
        <f>IF(N587="HKD",7.8,IF(N587="CNY",7.30034,1))</f>
        <v>7.3003400000000003</v>
      </c>
      <c r="R587" s="15">
        <f>+ROUND(O587/Q587,4)</f>
        <v>0.78080000000000005</v>
      </c>
      <c r="S587" s="14">
        <f>ROUND(R587*L587,2)</f>
        <v>390.4</v>
      </c>
      <c r="T587" s="15" t="s">
        <v>349</v>
      </c>
      <c r="U587" t="s">
        <v>36</v>
      </c>
    </row>
    <row r="588" spans="1:21" x14ac:dyDescent="0.2">
      <c r="A588" s="19" t="s">
        <v>1305</v>
      </c>
      <c r="B588" s="20">
        <v>45660</v>
      </c>
      <c r="C588" s="20">
        <v>45629</v>
      </c>
      <c r="D588" s="19" t="s">
        <v>121</v>
      </c>
      <c r="E588" s="19" t="s">
        <v>122</v>
      </c>
      <c r="G588" s="19" t="s">
        <v>1302</v>
      </c>
      <c r="H588" s="19" t="s">
        <v>1303</v>
      </c>
      <c r="I588" s="19" t="s">
        <v>1304</v>
      </c>
      <c r="J588" s="11" t="str">
        <f>+LEFT(U588,4)</f>
        <v>HDL-</v>
      </c>
      <c r="K588" s="19" t="s">
        <v>10</v>
      </c>
      <c r="L588" s="19">
        <v>1020</v>
      </c>
      <c r="M588" s="19" t="s">
        <v>1472</v>
      </c>
      <c r="N588" s="19" t="s">
        <v>11</v>
      </c>
      <c r="O588" s="26">
        <v>6.5797999999999996</v>
      </c>
      <c r="P588" s="12">
        <f>ROUND(O588*L588,2)</f>
        <v>6711.4</v>
      </c>
      <c r="Q588" s="13">
        <f>IF(N588="HKD",7.8,IF(N588="CNY",7.30034,1))</f>
        <v>7.3003400000000003</v>
      </c>
      <c r="R588" s="15">
        <f>+ROUND(O588/Q588,4)</f>
        <v>0.90129999999999999</v>
      </c>
      <c r="S588" s="14">
        <f>ROUND(R588*L588,2)</f>
        <v>919.33</v>
      </c>
      <c r="T588" s="15" t="s">
        <v>349</v>
      </c>
      <c r="U588" s="19" t="s">
        <v>228</v>
      </c>
    </row>
    <row r="589" spans="1:21" x14ac:dyDescent="0.2">
      <c r="A589" s="19" t="s">
        <v>1035</v>
      </c>
      <c r="B589" s="20">
        <v>45663</v>
      </c>
      <c r="C589" s="20">
        <v>45636</v>
      </c>
      <c r="D589" s="19" t="s">
        <v>372</v>
      </c>
      <c r="E589" s="19" t="s">
        <v>373</v>
      </c>
      <c r="G589" s="19" t="s">
        <v>1036</v>
      </c>
      <c r="H589" s="19" t="s">
        <v>1033</v>
      </c>
      <c r="I589" s="19" t="s">
        <v>1034</v>
      </c>
      <c r="J589" s="11" t="str">
        <f>+LEFT(U589,4)</f>
        <v>HDL-</v>
      </c>
      <c r="K589" s="19" t="s">
        <v>98</v>
      </c>
      <c r="L589" s="19">
        <v>1000</v>
      </c>
      <c r="M589" s="19" t="s">
        <v>1472</v>
      </c>
      <c r="N589" s="19" t="s">
        <v>11</v>
      </c>
      <c r="O589" s="26">
        <v>1.1168</v>
      </c>
      <c r="P589" s="12">
        <f>ROUND(O589*L589,2)</f>
        <v>1116.8</v>
      </c>
      <c r="Q589" s="13">
        <f>IF(N589="HKD",7.8,IF(N589="CNY",7.30034,1))</f>
        <v>7.3003400000000003</v>
      </c>
      <c r="R589" s="15">
        <f>+ROUND(O589/Q589,4)</f>
        <v>0.153</v>
      </c>
      <c r="S589" s="14">
        <f>ROUND(R589*L589,2)</f>
        <v>153</v>
      </c>
      <c r="T589" s="15" t="s">
        <v>349</v>
      </c>
      <c r="U589" s="19" t="s">
        <v>228</v>
      </c>
    </row>
    <row r="590" spans="1:21" x14ac:dyDescent="0.2">
      <c r="A590" s="19" t="s">
        <v>1072</v>
      </c>
      <c r="B590" s="20">
        <v>45663</v>
      </c>
      <c r="C590" s="20">
        <v>45618</v>
      </c>
      <c r="D590" s="19" t="s">
        <v>372</v>
      </c>
      <c r="E590" s="19" t="s">
        <v>373</v>
      </c>
      <c r="G590" s="19" t="s">
        <v>1054</v>
      </c>
      <c r="H590" s="19" t="s">
        <v>1070</v>
      </c>
      <c r="I590" s="19" t="s">
        <v>1071</v>
      </c>
      <c r="J590" s="11" t="str">
        <f>+LEFT(U590,4)</f>
        <v>HDL-</v>
      </c>
      <c r="K590" s="19" t="s">
        <v>98</v>
      </c>
      <c r="L590" s="19">
        <v>610</v>
      </c>
      <c r="M590" s="19" t="s">
        <v>1472</v>
      </c>
      <c r="N590" s="19" t="s">
        <v>11</v>
      </c>
      <c r="O590" s="26">
        <v>1.1801999999999999</v>
      </c>
      <c r="P590" s="12">
        <f>ROUND(O590*L590,2)</f>
        <v>719.92</v>
      </c>
      <c r="Q590" s="13">
        <f>IF(N590="HKD",7.8,IF(N590="CNY",7.30034,1))</f>
        <v>7.3003400000000003</v>
      </c>
      <c r="R590" s="15">
        <f>+ROUND(O590/Q590,4)</f>
        <v>0.16170000000000001</v>
      </c>
      <c r="S590" s="14">
        <f>ROUND(R590*L590,2)</f>
        <v>98.64</v>
      </c>
      <c r="T590" s="15" t="s">
        <v>349</v>
      </c>
      <c r="U590" s="19" t="s">
        <v>228</v>
      </c>
    </row>
    <row r="591" spans="1:21" x14ac:dyDescent="0.2">
      <c r="A591" s="19" t="s">
        <v>1069</v>
      </c>
      <c r="B591" s="20">
        <v>45663</v>
      </c>
      <c r="C591" s="20">
        <v>45618</v>
      </c>
      <c r="D591" s="19" t="s">
        <v>372</v>
      </c>
      <c r="E591" s="19" t="s">
        <v>373</v>
      </c>
      <c r="G591" s="19" t="s">
        <v>1054</v>
      </c>
      <c r="H591" s="19" t="s">
        <v>1067</v>
      </c>
      <c r="I591" s="19" t="s">
        <v>1068</v>
      </c>
      <c r="J591" s="11" t="str">
        <f>+LEFT(U591,4)</f>
        <v>HDL-</v>
      </c>
      <c r="K591" s="19" t="s">
        <v>98</v>
      </c>
      <c r="L591" s="19">
        <v>620</v>
      </c>
      <c r="M591" s="19" t="s">
        <v>1472</v>
      </c>
      <c r="N591" s="19" t="s">
        <v>11</v>
      </c>
      <c r="O591" s="26">
        <v>1.1801999999999999</v>
      </c>
      <c r="P591" s="12">
        <f>ROUND(O591*L591,2)</f>
        <v>731.72</v>
      </c>
      <c r="Q591" s="13">
        <f>IF(N591="HKD",7.8,IF(N591="CNY",7.30034,1))</f>
        <v>7.3003400000000003</v>
      </c>
      <c r="R591" s="15">
        <f>+ROUND(O591/Q591,4)</f>
        <v>0.16170000000000001</v>
      </c>
      <c r="S591" s="14">
        <f>ROUND(R591*L591,2)</f>
        <v>100.25</v>
      </c>
      <c r="T591" s="15" t="s">
        <v>349</v>
      </c>
      <c r="U591" s="19" t="s">
        <v>228</v>
      </c>
    </row>
    <row r="592" spans="1:21" x14ac:dyDescent="0.2">
      <c r="A592" s="19" t="s">
        <v>1066</v>
      </c>
      <c r="B592" s="20">
        <v>45663</v>
      </c>
      <c r="C592" s="20">
        <v>45618</v>
      </c>
      <c r="D592" s="19" t="s">
        <v>372</v>
      </c>
      <c r="E592" s="19" t="s">
        <v>373</v>
      </c>
      <c r="G592" s="19" t="s">
        <v>1054</v>
      </c>
      <c r="H592" s="19" t="s">
        <v>1064</v>
      </c>
      <c r="I592" s="19" t="s">
        <v>1065</v>
      </c>
      <c r="J592" s="11" t="str">
        <f>+LEFT(U592,4)</f>
        <v>HDL-</v>
      </c>
      <c r="K592" s="19" t="s">
        <v>98</v>
      </c>
      <c r="L592" s="19">
        <v>620</v>
      </c>
      <c r="M592" s="19" t="s">
        <v>1472</v>
      </c>
      <c r="N592" s="19" t="s">
        <v>11</v>
      </c>
      <c r="O592" s="26">
        <v>1.1801999999999999</v>
      </c>
      <c r="P592" s="12">
        <f>ROUND(O592*L592,2)</f>
        <v>731.72</v>
      </c>
      <c r="Q592" s="13">
        <f>IF(N592="HKD",7.8,IF(N592="CNY",7.30034,1))</f>
        <v>7.3003400000000003</v>
      </c>
      <c r="R592" s="15">
        <f>+ROUND(O592/Q592,4)</f>
        <v>0.16170000000000001</v>
      </c>
      <c r="S592" s="14">
        <f>ROUND(R592*L592,2)</f>
        <v>100.25</v>
      </c>
      <c r="T592" s="15" t="s">
        <v>349</v>
      </c>
      <c r="U592" s="19" t="s">
        <v>228</v>
      </c>
    </row>
    <row r="593" spans="1:21" x14ac:dyDescent="0.2">
      <c r="A593" s="19" t="s">
        <v>1063</v>
      </c>
      <c r="B593" s="20">
        <v>45663</v>
      </c>
      <c r="C593" s="20">
        <v>45618</v>
      </c>
      <c r="D593" s="19" t="s">
        <v>372</v>
      </c>
      <c r="E593" s="19" t="s">
        <v>373</v>
      </c>
      <c r="G593" s="19" t="s">
        <v>1054</v>
      </c>
      <c r="H593" s="19" t="s">
        <v>1061</v>
      </c>
      <c r="I593" s="19" t="s">
        <v>1062</v>
      </c>
      <c r="J593" s="11" t="str">
        <f>+LEFT(U593,4)</f>
        <v>HDL-</v>
      </c>
      <c r="K593" s="19" t="s">
        <v>98</v>
      </c>
      <c r="L593" s="19">
        <v>630</v>
      </c>
      <c r="M593" s="19" t="s">
        <v>1472</v>
      </c>
      <c r="N593" s="19" t="s">
        <v>11</v>
      </c>
      <c r="O593" s="26">
        <v>1.1801999999999999</v>
      </c>
      <c r="P593" s="12">
        <f>ROUND(O593*L593,2)</f>
        <v>743.53</v>
      </c>
      <c r="Q593" s="13">
        <f>IF(N593="HKD",7.8,IF(N593="CNY",7.30034,1))</f>
        <v>7.3003400000000003</v>
      </c>
      <c r="R593" s="15">
        <f>+ROUND(O593/Q593,4)</f>
        <v>0.16170000000000001</v>
      </c>
      <c r="S593" s="14">
        <f>ROUND(R593*L593,2)</f>
        <v>101.87</v>
      </c>
      <c r="T593" s="15" t="s">
        <v>349</v>
      </c>
      <c r="U593" s="19" t="s">
        <v>228</v>
      </c>
    </row>
    <row r="594" spans="1:21" x14ac:dyDescent="0.2">
      <c r="A594" s="19" t="s">
        <v>1060</v>
      </c>
      <c r="B594" s="20">
        <v>45663</v>
      </c>
      <c r="C594" s="20">
        <v>45618</v>
      </c>
      <c r="D594" s="19" t="s">
        <v>372</v>
      </c>
      <c r="E594" s="19" t="s">
        <v>373</v>
      </c>
      <c r="G594" s="19" t="s">
        <v>1054</v>
      </c>
      <c r="H594" s="19" t="s">
        <v>1058</v>
      </c>
      <c r="I594" s="19" t="s">
        <v>1059</v>
      </c>
      <c r="J594" s="11" t="str">
        <f>+LEFT(U594,4)</f>
        <v>HDL-</v>
      </c>
      <c r="K594" s="19" t="s">
        <v>98</v>
      </c>
      <c r="L594" s="19">
        <v>620</v>
      </c>
      <c r="M594" s="19" t="s">
        <v>1472</v>
      </c>
      <c r="N594" s="19" t="s">
        <v>11</v>
      </c>
      <c r="O594" s="26">
        <v>1.2863</v>
      </c>
      <c r="P594" s="12">
        <f>ROUND(O594*L594,2)</f>
        <v>797.51</v>
      </c>
      <c r="Q594" s="13">
        <f>IF(N594="HKD",7.8,IF(N594="CNY",7.30034,1))</f>
        <v>7.3003400000000003</v>
      </c>
      <c r="R594" s="15">
        <f>+ROUND(O594/Q594,4)</f>
        <v>0.1762</v>
      </c>
      <c r="S594" s="14">
        <f>ROUND(R594*L594,2)</f>
        <v>109.24</v>
      </c>
      <c r="T594" s="15" t="s">
        <v>349</v>
      </c>
      <c r="U594" s="19" t="s">
        <v>228</v>
      </c>
    </row>
    <row r="595" spans="1:21" x14ac:dyDescent="0.2">
      <c r="A595" s="19" t="s">
        <v>1057</v>
      </c>
      <c r="B595" s="20">
        <v>45663</v>
      </c>
      <c r="C595" s="20">
        <v>45618</v>
      </c>
      <c r="D595" s="19" t="s">
        <v>372</v>
      </c>
      <c r="E595" s="19" t="s">
        <v>373</v>
      </c>
      <c r="G595" s="19" t="s">
        <v>1054</v>
      </c>
      <c r="H595" s="19" t="s">
        <v>1055</v>
      </c>
      <c r="I595" s="19" t="s">
        <v>1056</v>
      </c>
      <c r="J595" s="11" t="str">
        <f>+LEFT(U595,4)</f>
        <v>HDL-</v>
      </c>
      <c r="K595" s="19" t="s">
        <v>98</v>
      </c>
      <c r="L595" s="19">
        <v>620</v>
      </c>
      <c r="M595" s="19" t="s">
        <v>1472</v>
      </c>
      <c r="N595" s="19" t="s">
        <v>11</v>
      </c>
      <c r="O595" s="26">
        <v>1.2863</v>
      </c>
      <c r="P595" s="12">
        <f>ROUND(O595*L595,2)</f>
        <v>797.51</v>
      </c>
      <c r="Q595" s="13">
        <f>IF(N595="HKD",7.8,IF(N595="CNY",7.30034,1))</f>
        <v>7.3003400000000003</v>
      </c>
      <c r="R595" s="15">
        <f>+ROUND(O595/Q595,4)</f>
        <v>0.1762</v>
      </c>
      <c r="S595" s="14">
        <f>ROUND(R595*L595,2)</f>
        <v>109.24</v>
      </c>
      <c r="T595" s="15" t="s">
        <v>349</v>
      </c>
      <c r="U595" s="19" t="s">
        <v>228</v>
      </c>
    </row>
    <row r="596" spans="1:21" x14ac:dyDescent="0.2">
      <c r="A596" s="19" t="s">
        <v>1053</v>
      </c>
      <c r="B596" s="20">
        <v>45663</v>
      </c>
      <c r="C596" s="20">
        <v>45618</v>
      </c>
      <c r="D596" s="19" t="s">
        <v>372</v>
      </c>
      <c r="E596" s="19" t="s">
        <v>373</v>
      </c>
      <c r="G596" s="19" t="s">
        <v>1054</v>
      </c>
      <c r="H596" s="19" t="s">
        <v>1051</v>
      </c>
      <c r="I596" s="19" t="s">
        <v>1052</v>
      </c>
      <c r="J596" s="11" t="str">
        <f>+LEFT(U596,4)</f>
        <v>HDL-</v>
      </c>
      <c r="K596" s="19" t="s">
        <v>98</v>
      </c>
      <c r="L596" s="19">
        <v>626</v>
      </c>
      <c r="M596" s="19" t="s">
        <v>1472</v>
      </c>
      <c r="N596" s="19" t="s">
        <v>11</v>
      </c>
      <c r="O596" s="26">
        <v>1.2863</v>
      </c>
      <c r="P596" s="12">
        <f>ROUND(O596*L596,2)</f>
        <v>805.22</v>
      </c>
      <c r="Q596" s="13">
        <f>IF(N596="HKD",7.8,IF(N596="CNY",7.30034,1))</f>
        <v>7.3003400000000003</v>
      </c>
      <c r="R596" s="15">
        <f>+ROUND(O596/Q596,4)</f>
        <v>0.1762</v>
      </c>
      <c r="S596" s="14">
        <f>ROUND(R596*L596,2)</f>
        <v>110.3</v>
      </c>
      <c r="T596" s="15" t="s">
        <v>349</v>
      </c>
      <c r="U596" s="19" t="s">
        <v>228</v>
      </c>
    </row>
    <row r="597" spans="1:21" x14ac:dyDescent="0.2">
      <c r="A597" s="19" t="s">
        <v>978</v>
      </c>
      <c r="B597" s="20">
        <v>45664</v>
      </c>
      <c r="C597" s="20">
        <v>45622</v>
      </c>
      <c r="D597" s="19" t="s">
        <v>121</v>
      </c>
      <c r="E597" s="19" t="s">
        <v>122</v>
      </c>
      <c r="G597" s="19" t="s">
        <v>972</v>
      </c>
      <c r="H597" s="19" t="s">
        <v>976</v>
      </c>
      <c r="I597" s="19" t="s">
        <v>977</v>
      </c>
      <c r="J597" s="11" t="str">
        <f>+LEFT(U597,4)</f>
        <v>HDL-</v>
      </c>
      <c r="K597" s="19" t="s">
        <v>10</v>
      </c>
      <c r="L597" s="19">
        <v>1020</v>
      </c>
      <c r="M597" s="19" t="s">
        <v>1472</v>
      </c>
      <c r="N597" s="19" t="s">
        <v>11</v>
      </c>
      <c r="O597" s="26">
        <v>6.5797999999999996</v>
      </c>
      <c r="P597" s="12">
        <f>ROUND(O597*L597,2)</f>
        <v>6711.4</v>
      </c>
      <c r="Q597" s="13">
        <f>IF(N597="HKD",7.8,IF(N597="CNY",7.30034,1))</f>
        <v>7.3003400000000003</v>
      </c>
      <c r="R597" s="15">
        <f>+ROUND(O597/Q597,4)</f>
        <v>0.90129999999999999</v>
      </c>
      <c r="S597" s="14">
        <f>ROUND(R597*L597,2)</f>
        <v>919.33</v>
      </c>
      <c r="T597" s="15" t="s">
        <v>349</v>
      </c>
      <c r="U597" s="19" t="s">
        <v>228</v>
      </c>
    </row>
    <row r="598" spans="1:21" x14ac:dyDescent="0.2">
      <c r="A598" s="19" t="s">
        <v>975</v>
      </c>
      <c r="B598" s="20">
        <v>45664</v>
      </c>
      <c r="C598" s="20">
        <v>45622</v>
      </c>
      <c r="D598" s="19" t="s">
        <v>121</v>
      </c>
      <c r="E598" s="19" t="s">
        <v>122</v>
      </c>
      <c r="G598" s="19" t="s">
        <v>972</v>
      </c>
      <c r="H598" s="19" t="s">
        <v>973</v>
      </c>
      <c r="I598" s="19" t="s">
        <v>974</v>
      </c>
      <c r="J598" s="11" t="str">
        <f>+LEFT(U598,4)</f>
        <v>HDL-</v>
      </c>
      <c r="K598" s="19" t="s">
        <v>10</v>
      </c>
      <c r="L598" s="19">
        <v>1000</v>
      </c>
      <c r="M598" s="19" t="s">
        <v>1472</v>
      </c>
      <c r="N598" s="19" t="s">
        <v>11</v>
      </c>
      <c r="O598" s="26">
        <v>7.6571999999999996</v>
      </c>
      <c r="P598" s="12">
        <f>ROUND(O598*L598,2)</f>
        <v>7657.2</v>
      </c>
      <c r="Q598" s="13">
        <f>IF(N598="HKD",7.8,IF(N598="CNY",7.30034,1))</f>
        <v>7.3003400000000003</v>
      </c>
      <c r="R598" s="15">
        <f>+ROUND(O598/Q598,4)</f>
        <v>1.0488999999999999</v>
      </c>
      <c r="S598" s="14">
        <f>ROUND(R598*L598,2)</f>
        <v>1048.9000000000001</v>
      </c>
      <c r="T598" s="15" t="s">
        <v>349</v>
      </c>
      <c r="U598" s="19" t="s">
        <v>228</v>
      </c>
    </row>
    <row r="599" spans="1:21" x14ac:dyDescent="0.2">
      <c r="A599" s="19" t="s">
        <v>983</v>
      </c>
      <c r="B599" s="20">
        <v>45664</v>
      </c>
      <c r="C599" s="20">
        <v>45610</v>
      </c>
      <c r="D599" s="19" t="s">
        <v>981</v>
      </c>
      <c r="E599" s="19" t="s">
        <v>982</v>
      </c>
      <c r="G599" s="19" t="s">
        <v>984</v>
      </c>
      <c r="H599" s="19" t="s">
        <v>979</v>
      </c>
      <c r="I599" s="19" t="s">
        <v>980</v>
      </c>
      <c r="J599" s="11" t="str">
        <f>+LEFT(U599,4)</f>
        <v>HDL-</v>
      </c>
      <c r="K599" s="19" t="s">
        <v>10</v>
      </c>
      <c r="L599" s="19">
        <v>2040</v>
      </c>
      <c r="M599" s="19" t="s">
        <v>1472</v>
      </c>
      <c r="N599" s="19" t="s">
        <v>11</v>
      </c>
      <c r="O599" s="26">
        <v>13.042</v>
      </c>
      <c r="P599" s="12">
        <f>ROUND(O599*L599,2)</f>
        <v>26605.68</v>
      </c>
      <c r="Q599" s="13">
        <f>IF(N599="HKD",7.8,IF(N599="CNY",7.30034,1))</f>
        <v>7.3003400000000003</v>
      </c>
      <c r="R599" s="15">
        <f>+ROUND(O599/Q599,4)</f>
        <v>1.7865</v>
      </c>
      <c r="S599" s="14">
        <f>ROUND(R599*L599,2)</f>
        <v>3644.46</v>
      </c>
      <c r="T599" s="15" t="s">
        <v>349</v>
      </c>
      <c r="U599" s="19" t="s">
        <v>228</v>
      </c>
    </row>
    <row r="600" spans="1:21" x14ac:dyDescent="0.2">
      <c r="A600" s="19" t="s">
        <v>996</v>
      </c>
      <c r="B600" s="20">
        <v>45664</v>
      </c>
      <c r="C600" s="20">
        <v>45610</v>
      </c>
      <c r="D600" s="19" t="s">
        <v>263</v>
      </c>
      <c r="E600" s="19" t="s">
        <v>0</v>
      </c>
      <c r="G600" s="19" t="s">
        <v>992</v>
      </c>
      <c r="H600" s="19" t="s">
        <v>989</v>
      </c>
      <c r="I600" s="19" t="s">
        <v>990</v>
      </c>
      <c r="J600" s="11" t="str">
        <f>+LEFT(U600,4)</f>
        <v>HDL-</v>
      </c>
      <c r="K600" s="19" t="s">
        <v>10</v>
      </c>
      <c r="L600" s="19">
        <v>550</v>
      </c>
      <c r="M600" s="19" t="s">
        <v>1472</v>
      </c>
      <c r="N600" s="19" t="s">
        <v>11</v>
      </c>
      <c r="O600" s="26">
        <v>13.303100000000001</v>
      </c>
      <c r="P600" s="12">
        <f>ROUND(O600*L600,2)</f>
        <v>7316.71</v>
      </c>
      <c r="Q600" s="13">
        <f>IF(N600="HKD",7.8,IF(N600="CNY",7.30034,1))</f>
        <v>7.3003400000000003</v>
      </c>
      <c r="R600" s="15">
        <f>+ROUND(O600/Q600,4)</f>
        <v>1.8223</v>
      </c>
      <c r="S600" s="14">
        <f>ROUND(R600*L600,2)</f>
        <v>1002.27</v>
      </c>
      <c r="T600" s="15" t="s">
        <v>349</v>
      </c>
      <c r="U600" s="19" t="s">
        <v>228</v>
      </c>
    </row>
    <row r="601" spans="1:21" x14ac:dyDescent="0.2">
      <c r="A601" s="19" t="s">
        <v>991</v>
      </c>
      <c r="B601" s="20">
        <v>45664</v>
      </c>
      <c r="C601" s="20">
        <v>45622</v>
      </c>
      <c r="D601" s="19" t="s">
        <v>263</v>
      </c>
      <c r="E601" s="19" t="s">
        <v>0</v>
      </c>
      <c r="G601" s="19" t="s">
        <v>992</v>
      </c>
      <c r="H601" s="19" t="s">
        <v>989</v>
      </c>
      <c r="I601" s="19" t="s">
        <v>990</v>
      </c>
      <c r="J601" s="11" t="str">
        <f>+LEFT(U601,4)</f>
        <v>HDL-</v>
      </c>
      <c r="K601" s="19" t="s">
        <v>10</v>
      </c>
      <c r="L601" s="19">
        <v>1020</v>
      </c>
      <c r="M601" s="19" t="s">
        <v>1472</v>
      </c>
      <c r="N601" s="19" t="s">
        <v>11</v>
      </c>
      <c r="O601" s="26">
        <v>13.303100000000001</v>
      </c>
      <c r="P601" s="12">
        <f>ROUND(O601*L601,2)</f>
        <v>13569.16</v>
      </c>
      <c r="Q601" s="13">
        <f>IF(N601="HKD",7.8,IF(N601="CNY",7.30034,1))</f>
        <v>7.3003400000000003</v>
      </c>
      <c r="R601" s="15">
        <f>+ROUND(O601/Q601,4)</f>
        <v>1.8223</v>
      </c>
      <c r="S601" s="14">
        <f>ROUND(R601*L601,2)</f>
        <v>1858.75</v>
      </c>
      <c r="T601" s="15" t="s">
        <v>349</v>
      </c>
      <c r="U601" s="19" t="s">
        <v>228</v>
      </c>
    </row>
    <row r="602" spans="1:21" x14ac:dyDescent="0.2">
      <c r="A602" s="19" t="s">
        <v>987</v>
      </c>
      <c r="B602" s="20">
        <v>45664</v>
      </c>
      <c r="C602" s="20">
        <v>45602</v>
      </c>
      <c r="D602" s="19" t="s">
        <v>981</v>
      </c>
      <c r="E602" s="19" t="s">
        <v>982</v>
      </c>
      <c r="G602" s="19" t="s">
        <v>984</v>
      </c>
      <c r="H602" s="19" t="s">
        <v>985</v>
      </c>
      <c r="I602" s="19" t="s">
        <v>986</v>
      </c>
      <c r="J602" s="11" t="str">
        <f>+LEFT(U602,4)</f>
        <v>HDL-</v>
      </c>
      <c r="K602" s="19" t="s">
        <v>10</v>
      </c>
      <c r="L602" s="19">
        <v>1010</v>
      </c>
      <c r="M602" s="19" t="s">
        <v>1472</v>
      </c>
      <c r="N602" s="19" t="s">
        <v>11</v>
      </c>
      <c r="O602" s="26">
        <v>13.8696</v>
      </c>
      <c r="P602" s="12">
        <f>ROUND(O602*L602,2)</f>
        <v>14008.3</v>
      </c>
      <c r="Q602" s="13">
        <f>IF(N602="HKD",7.8,IF(N602="CNY",7.30034,1))</f>
        <v>7.3003400000000003</v>
      </c>
      <c r="R602" s="15">
        <f>+ROUND(O602/Q602,4)</f>
        <v>1.8998999999999999</v>
      </c>
      <c r="S602" s="14">
        <f>ROUND(R602*L602,2)</f>
        <v>1918.9</v>
      </c>
      <c r="T602" s="15" t="s">
        <v>349</v>
      </c>
      <c r="U602" s="19" t="s">
        <v>228</v>
      </c>
    </row>
    <row r="603" spans="1:21" x14ac:dyDescent="0.2">
      <c r="A603" s="19" t="s">
        <v>995</v>
      </c>
      <c r="B603" s="20">
        <v>45664</v>
      </c>
      <c r="C603" s="20">
        <v>45610</v>
      </c>
      <c r="D603" s="19" t="s">
        <v>263</v>
      </c>
      <c r="E603" s="19" t="s">
        <v>0</v>
      </c>
      <c r="G603" s="19" t="s">
        <v>992</v>
      </c>
      <c r="H603" s="19" t="s">
        <v>993</v>
      </c>
      <c r="I603" s="19" t="s">
        <v>994</v>
      </c>
      <c r="J603" s="11" t="str">
        <f>+LEFT(U603,4)</f>
        <v>HDL-</v>
      </c>
      <c r="K603" s="19" t="s">
        <v>10</v>
      </c>
      <c r="L603" s="19">
        <v>1550</v>
      </c>
      <c r="M603" s="19" t="s">
        <v>1472</v>
      </c>
      <c r="N603" s="19" t="s">
        <v>11</v>
      </c>
      <c r="O603" s="26">
        <v>14.150399999999999</v>
      </c>
      <c r="P603" s="12">
        <f>ROUND(O603*L603,2)</f>
        <v>21933.119999999999</v>
      </c>
      <c r="Q603" s="13">
        <f>IF(N603="HKD",7.8,IF(N603="CNY",7.30034,1))</f>
        <v>7.3003400000000003</v>
      </c>
      <c r="R603" s="15">
        <f>+ROUND(O603/Q603,4)</f>
        <v>1.9382999999999999</v>
      </c>
      <c r="S603" s="14">
        <f>ROUND(R603*L603,2)</f>
        <v>3004.37</v>
      </c>
      <c r="T603" s="15" t="s">
        <v>349</v>
      </c>
      <c r="U603" s="19" t="s">
        <v>228</v>
      </c>
    </row>
    <row r="604" spans="1:21" x14ac:dyDescent="0.2">
      <c r="A604" s="19" t="s">
        <v>731</v>
      </c>
      <c r="B604" s="20">
        <v>45667</v>
      </c>
      <c r="C604" s="20">
        <v>45646</v>
      </c>
      <c r="D604" s="19" t="s">
        <v>709</v>
      </c>
      <c r="E604" s="19" t="s">
        <v>710</v>
      </c>
      <c r="G604" s="19" t="s">
        <v>712</v>
      </c>
      <c r="H604" s="19" t="s">
        <v>729</v>
      </c>
      <c r="I604" s="19" t="s">
        <v>730</v>
      </c>
      <c r="J604" s="11" t="str">
        <f>+LEFT(U604,4)</f>
        <v>HDL-</v>
      </c>
      <c r="K604" s="19" t="s">
        <v>10</v>
      </c>
      <c r="L604" s="19">
        <v>2000</v>
      </c>
      <c r="M604" s="19" t="s">
        <v>1472</v>
      </c>
      <c r="N604" s="19" t="s">
        <v>11</v>
      </c>
      <c r="O604" s="26">
        <v>1.5313000000000001</v>
      </c>
      <c r="P604" s="12">
        <f>ROUND(O604*L604,2)</f>
        <v>3062.6</v>
      </c>
      <c r="Q604" s="13">
        <f>IF(N604="HKD",7.8,IF(N604="CNY",7.30034,1))</f>
        <v>7.3003400000000003</v>
      </c>
      <c r="R604" s="15">
        <f>+ROUND(O604/Q604,4)</f>
        <v>0.20979999999999999</v>
      </c>
      <c r="S604" s="14">
        <f>ROUND(R604*L604,2)</f>
        <v>419.6</v>
      </c>
      <c r="T604" s="15" t="s">
        <v>349</v>
      </c>
      <c r="U604" s="19" t="s">
        <v>228</v>
      </c>
    </row>
    <row r="605" spans="1:21" x14ac:dyDescent="0.2">
      <c r="A605" s="19" t="s">
        <v>734</v>
      </c>
      <c r="B605" s="20">
        <v>45667</v>
      </c>
      <c r="C605" s="20">
        <v>45646</v>
      </c>
      <c r="D605" s="19" t="s">
        <v>709</v>
      </c>
      <c r="E605" s="19" t="s">
        <v>710</v>
      </c>
      <c r="G605" s="19" t="s">
        <v>712</v>
      </c>
      <c r="H605" s="19" t="s">
        <v>732</v>
      </c>
      <c r="I605" s="19" t="s">
        <v>733</v>
      </c>
      <c r="J605" s="11" t="str">
        <f>+LEFT(U605,4)</f>
        <v>HDL-</v>
      </c>
      <c r="K605" s="19" t="s">
        <v>10</v>
      </c>
      <c r="L605" s="19">
        <v>5000</v>
      </c>
      <c r="M605" s="19" t="s">
        <v>1472</v>
      </c>
      <c r="N605" s="19" t="s">
        <v>11</v>
      </c>
      <c r="O605" s="26">
        <v>1.849</v>
      </c>
      <c r="P605" s="12">
        <f>ROUND(O605*L605,2)</f>
        <v>9245</v>
      </c>
      <c r="Q605" s="13">
        <f>IF(N605="HKD",7.8,IF(N605="CNY",7.30034,1))</f>
        <v>7.3003400000000003</v>
      </c>
      <c r="R605" s="15">
        <f>+ROUND(O605/Q605,4)</f>
        <v>0.25330000000000003</v>
      </c>
      <c r="S605" s="14">
        <f>ROUND(R605*L605,2)</f>
        <v>1266.5</v>
      </c>
      <c r="T605" s="15" t="s">
        <v>349</v>
      </c>
      <c r="U605" s="19" t="s">
        <v>228</v>
      </c>
    </row>
    <row r="606" spans="1:21" x14ac:dyDescent="0.2">
      <c r="A606" s="19" t="s">
        <v>711</v>
      </c>
      <c r="B606" s="20">
        <v>45667</v>
      </c>
      <c r="C606" s="20">
        <v>45659</v>
      </c>
      <c r="D606" s="19" t="s">
        <v>709</v>
      </c>
      <c r="E606" s="19" t="s">
        <v>710</v>
      </c>
      <c r="G606" s="19" t="s">
        <v>712</v>
      </c>
      <c r="H606" s="19" t="s">
        <v>707</v>
      </c>
      <c r="I606" s="19" t="s">
        <v>708</v>
      </c>
      <c r="J606" s="11" t="str">
        <f>+LEFT(U606,4)</f>
        <v>HDL-</v>
      </c>
      <c r="K606" s="19" t="s">
        <v>10</v>
      </c>
      <c r="L606" s="19">
        <v>520</v>
      </c>
      <c r="M606" s="19" t="s">
        <v>1472</v>
      </c>
      <c r="N606" s="19" t="s">
        <v>11</v>
      </c>
      <c r="O606" s="26">
        <v>2.6798000000000002</v>
      </c>
      <c r="P606" s="12">
        <f>ROUND(O606*L606,2)</f>
        <v>1393.5</v>
      </c>
      <c r="Q606" s="13">
        <f>IF(N606="HKD",7.8,IF(N606="CNY",7.30034,1))</f>
        <v>7.3003400000000003</v>
      </c>
      <c r="R606" s="15">
        <f>+ROUND(O606/Q606,4)</f>
        <v>0.36709999999999998</v>
      </c>
      <c r="S606" s="14">
        <f>ROUND(R606*L606,2)</f>
        <v>190.89</v>
      </c>
      <c r="T606" s="15" t="s">
        <v>349</v>
      </c>
      <c r="U606" s="19" t="s">
        <v>228</v>
      </c>
    </row>
    <row r="607" spans="1:21" x14ac:dyDescent="0.2">
      <c r="A607" s="19" t="s">
        <v>359</v>
      </c>
      <c r="B607" s="20">
        <v>45667</v>
      </c>
      <c r="C607" s="20">
        <v>45639</v>
      </c>
      <c r="D607" s="19" t="s">
        <v>121</v>
      </c>
      <c r="E607" s="19" t="s">
        <v>122</v>
      </c>
      <c r="G607" s="19" t="s">
        <v>693</v>
      </c>
      <c r="H607" s="19" t="s">
        <v>357</v>
      </c>
      <c r="I607" s="19" t="s">
        <v>358</v>
      </c>
      <c r="J607" s="11" t="str">
        <f>+LEFT(U607,4)</f>
        <v>HDL-</v>
      </c>
      <c r="K607" s="19" t="s">
        <v>10</v>
      </c>
      <c r="L607" s="19">
        <v>1738</v>
      </c>
      <c r="M607" s="19" t="s">
        <v>1472</v>
      </c>
      <c r="N607" s="19" t="s">
        <v>11</v>
      </c>
      <c r="O607" s="26">
        <v>3.5398000000000001</v>
      </c>
      <c r="P607" s="12">
        <f>ROUND(O607*L607,2)</f>
        <v>6152.17</v>
      </c>
      <c r="Q607" s="13">
        <f>IF(N607="HKD",7.8,IF(N607="CNY",7.30034,1))</f>
        <v>7.3003400000000003</v>
      </c>
      <c r="R607" s="15">
        <f>+ROUND(O607/Q607,4)</f>
        <v>0.4849</v>
      </c>
      <c r="S607" s="14">
        <f>ROUND(R607*L607,2)</f>
        <v>842.76</v>
      </c>
      <c r="T607" s="15" t="s">
        <v>349</v>
      </c>
      <c r="U607" s="19" t="s">
        <v>228</v>
      </c>
    </row>
    <row r="608" spans="1:21" x14ac:dyDescent="0.2">
      <c r="A608" s="19" t="s">
        <v>653</v>
      </c>
      <c r="B608" s="20">
        <v>45670</v>
      </c>
      <c r="C608" s="20">
        <v>45650</v>
      </c>
      <c r="D608" s="19" t="s">
        <v>651</v>
      </c>
      <c r="E608" s="19" t="s">
        <v>652</v>
      </c>
      <c r="G608" s="19" t="s">
        <v>654</v>
      </c>
      <c r="H608" s="19" t="s">
        <v>649</v>
      </c>
      <c r="I608" s="19" t="s">
        <v>650</v>
      </c>
      <c r="J608" s="11" t="str">
        <f>+LEFT(U608,4)</f>
        <v>HDL-</v>
      </c>
      <c r="K608" s="19" t="s">
        <v>10</v>
      </c>
      <c r="L608" s="19">
        <v>520</v>
      </c>
      <c r="M608" s="19" t="s">
        <v>1472</v>
      </c>
      <c r="N608" s="19" t="s">
        <v>11</v>
      </c>
      <c r="O608" s="26">
        <v>1.5</v>
      </c>
      <c r="P608" s="12">
        <f>ROUND(O608*L608,2)</f>
        <v>780</v>
      </c>
      <c r="Q608" s="13">
        <f>IF(N608="HKD",7.8,IF(N608="CNY",7.30034,1))</f>
        <v>7.3003400000000003</v>
      </c>
      <c r="R608" s="15">
        <f>+ROUND(O608/Q608,4)</f>
        <v>0.20549999999999999</v>
      </c>
      <c r="S608" s="14">
        <f>ROUND(R608*L608,2)</f>
        <v>106.86</v>
      </c>
      <c r="T608" s="15" t="s">
        <v>349</v>
      </c>
      <c r="U608" s="19" t="s">
        <v>228</v>
      </c>
    </row>
    <row r="609" spans="1:21" x14ac:dyDescent="0.2">
      <c r="A609" s="19" t="s">
        <v>436</v>
      </c>
      <c r="B609" s="20">
        <v>45670</v>
      </c>
      <c r="C609" s="20">
        <v>45639</v>
      </c>
      <c r="D609" s="19" t="s">
        <v>128</v>
      </c>
      <c r="E609" s="19" t="s">
        <v>129</v>
      </c>
      <c r="G609" s="19" t="s">
        <v>437</v>
      </c>
      <c r="H609" s="19" t="s">
        <v>434</v>
      </c>
      <c r="I609" s="19" t="s">
        <v>435</v>
      </c>
      <c r="J609" s="11" t="str">
        <f>+LEFT(U609,4)</f>
        <v>HDL-</v>
      </c>
      <c r="K609" s="19" t="s">
        <v>10</v>
      </c>
      <c r="L609" s="19">
        <v>1000</v>
      </c>
      <c r="M609" s="19" t="s">
        <v>1472</v>
      </c>
      <c r="N609" s="19" t="s">
        <v>11</v>
      </c>
      <c r="O609" s="26">
        <v>4.9203000000000001</v>
      </c>
      <c r="P609" s="12">
        <f>ROUND(O609*L609,2)</f>
        <v>4920.3</v>
      </c>
      <c r="Q609" s="13">
        <f>IF(N609="HKD",7.8,IF(N609="CNY",7.30034,1))</f>
        <v>7.3003400000000003</v>
      </c>
      <c r="R609" s="15">
        <f>+ROUND(O609/Q609,4)</f>
        <v>0.67400000000000004</v>
      </c>
      <c r="S609" s="14">
        <f>ROUND(R609*L609,2)</f>
        <v>674</v>
      </c>
      <c r="T609" s="15" t="s">
        <v>349</v>
      </c>
      <c r="U609" s="19" t="s">
        <v>228</v>
      </c>
    </row>
    <row r="610" spans="1:21" x14ac:dyDescent="0.2">
      <c r="A610" s="19" t="s">
        <v>436</v>
      </c>
      <c r="B610" s="20">
        <v>45670</v>
      </c>
      <c r="C610" s="20">
        <v>45639</v>
      </c>
      <c r="D610" s="19" t="s">
        <v>128</v>
      </c>
      <c r="E610" s="19" t="s">
        <v>129</v>
      </c>
      <c r="G610" s="19" t="s">
        <v>438</v>
      </c>
      <c r="H610" s="19" t="s">
        <v>434</v>
      </c>
      <c r="I610" s="19" t="s">
        <v>435</v>
      </c>
      <c r="J610" s="11" t="str">
        <f>+LEFT(U610,4)</f>
        <v>HDL-</v>
      </c>
      <c r="K610" s="19" t="s">
        <v>10</v>
      </c>
      <c r="L610" s="19">
        <v>-1000</v>
      </c>
      <c r="M610" s="19" t="s">
        <v>1472</v>
      </c>
      <c r="N610" s="19" t="s">
        <v>11</v>
      </c>
      <c r="O610" s="26">
        <v>4.9203000000000001</v>
      </c>
      <c r="P610" s="12">
        <f>ROUND(O610*L610,2)</f>
        <v>-4920.3</v>
      </c>
      <c r="Q610" s="13">
        <f>IF(N610="HKD",7.8,IF(N610="CNY",7.30034,1))</f>
        <v>7.3003400000000003</v>
      </c>
      <c r="R610" s="15">
        <f>+ROUND(O610/Q610,4)</f>
        <v>0.67400000000000004</v>
      </c>
      <c r="S610" s="14">
        <f>ROUND(R610*L610,2)</f>
        <v>-674</v>
      </c>
      <c r="T610" s="15" t="s">
        <v>349</v>
      </c>
      <c r="U610" s="19" t="s">
        <v>228</v>
      </c>
    </row>
    <row r="611" spans="1:21" x14ac:dyDescent="0.2">
      <c r="A611" s="19" t="s">
        <v>436</v>
      </c>
      <c r="B611" s="20">
        <v>45670</v>
      </c>
      <c r="C611" s="20">
        <v>45639</v>
      </c>
      <c r="D611" s="19" t="s">
        <v>128</v>
      </c>
      <c r="E611" s="19" t="s">
        <v>129</v>
      </c>
      <c r="G611" s="19" t="s">
        <v>451</v>
      </c>
      <c r="H611" s="19" t="s">
        <v>434</v>
      </c>
      <c r="I611" s="19" t="s">
        <v>435</v>
      </c>
      <c r="J611" s="11" t="str">
        <f>+LEFT(U611,4)</f>
        <v>HDL-</v>
      </c>
      <c r="K611" s="19" t="s">
        <v>10</v>
      </c>
      <c r="L611" s="19">
        <v>1000</v>
      </c>
      <c r="M611" s="19" t="s">
        <v>1472</v>
      </c>
      <c r="N611" s="19" t="s">
        <v>11</v>
      </c>
      <c r="O611" s="26">
        <v>4.9203000000000001</v>
      </c>
      <c r="P611" s="12">
        <f>ROUND(O611*L611,2)</f>
        <v>4920.3</v>
      </c>
      <c r="Q611" s="13">
        <f>IF(N611="HKD",7.8,IF(N611="CNY",7.30034,1))</f>
        <v>7.3003400000000003</v>
      </c>
      <c r="R611" s="15">
        <f>+ROUND(O611/Q611,4)</f>
        <v>0.67400000000000004</v>
      </c>
      <c r="S611" s="14">
        <f>ROUND(R611*L611,2)</f>
        <v>674</v>
      </c>
      <c r="T611" s="15" t="s">
        <v>349</v>
      </c>
      <c r="U611" s="19" t="s">
        <v>228</v>
      </c>
    </row>
    <row r="612" spans="1:21" x14ac:dyDescent="0.2">
      <c r="A612" s="19" t="s">
        <v>374</v>
      </c>
      <c r="B612" s="20">
        <v>45671</v>
      </c>
      <c r="C612" s="20">
        <v>45653</v>
      </c>
      <c r="D612" s="19" t="s">
        <v>372</v>
      </c>
      <c r="E612" s="19" t="s">
        <v>373</v>
      </c>
      <c r="G612" s="19" t="s">
        <v>375</v>
      </c>
      <c r="H612" s="19" t="s">
        <v>370</v>
      </c>
      <c r="I612" s="19" t="s">
        <v>371</v>
      </c>
      <c r="J612" s="11" t="str">
        <f>+LEFT(U612,4)</f>
        <v>HDL-</v>
      </c>
      <c r="K612" s="19" t="s">
        <v>98</v>
      </c>
      <c r="L612" s="19">
        <v>1050</v>
      </c>
      <c r="M612" s="19" t="s">
        <v>1472</v>
      </c>
      <c r="N612" s="19" t="s">
        <v>11</v>
      </c>
      <c r="O612" s="26">
        <v>1.4438</v>
      </c>
      <c r="P612" s="12">
        <f>ROUND(O612*L612,2)</f>
        <v>1515.99</v>
      </c>
      <c r="Q612" s="13">
        <f>IF(N612="HKD",7.8,IF(N612="CNY",7.30034,1))</f>
        <v>7.3003400000000003</v>
      </c>
      <c r="R612" s="15">
        <f>+ROUND(O612/Q612,4)</f>
        <v>0.1978</v>
      </c>
      <c r="S612" s="14">
        <f>ROUND(R612*L612,2)</f>
        <v>207.69</v>
      </c>
      <c r="T612" s="15" t="s">
        <v>349</v>
      </c>
      <c r="U612" s="19" t="s">
        <v>228</v>
      </c>
    </row>
    <row r="613" spans="1:21" x14ac:dyDescent="0.2">
      <c r="A613" s="19" t="s">
        <v>359</v>
      </c>
      <c r="B613" s="20">
        <v>45671</v>
      </c>
      <c r="C613" s="20">
        <v>45639</v>
      </c>
      <c r="D613" s="19" t="s">
        <v>121</v>
      </c>
      <c r="E613" s="19" t="s">
        <v>122</v>
      </c>
      <c r="G613" s="19" t="s">
        <v>353</v>
      </c>
      <c r="H613" s="19" t="s">
        <v>357</v>
      </c>
      <c r="I613" s="19" t="s">
        <v>358</v>
      </c>
      <c r="J613" s="11" t="str">
        <f>+LEFT(U613,4)</f>
        <v>HDL-</v>
      </c>
      <c r="K613" s="19" t="s">
        <v>10</v>
      </c>
      <c r="L613" s="19">
        <v>302</v>
      </c>
      <c r="M613" s="19" t="s">
        <v>1472</v>
      </c>
      <c r="N613" s="19" t="s">
        <v>11</v>
      </c>
      <c r="O613" s="26">
        <v>3.5398000000000001</v>
      </c>
      <c r="P613" s="12">
        <f>ROUND(O613*L613,2)</f>
        <v>1069.02</v>
      </c>
      <c r="Q613" s="13">
        <f>IF(N613="HKD",7.8,IF(N613="CNY",7.30034,1))</f>
        <v>7.3003400000000003</v>
      </c>
      <c r="R613" s="15">
        <f>+ROUND(O613/Q613,4)</f>
        <v>0.4849</v>
      </c>
      <c r="S613" s="14">
        <f>ROUND(R613*L613,2)</f>
        <v>146.44</v>
      </c>
      <c r="T613" s="15" t="s">
        <v>349</v>
      </c>
      <c r="U613" s="19" t="s">
        <v>228</v>
      </c>
    </row>
    <row r="614" spans="1:21" x14ac:dyDescent="0.2">
      <c r="A614" s="19" t="s">
        <v>356</v>
      </c>
      <c r="B614" s="20">
        <v>45671</v>
      </c>
      <c r="C614" s="20">
        <v>45636</v>
      </c>
      <c r="D614" s="19" t="s">
        <v>121</v>
      </c>
      <c r="E614" s="19" t="s">
        <v>122</v>
      </c>
      <c r="G614" s="19" t="s">
        <v>353</v>
      </c>
      <c r="H614" s="19" t="s">
        <v>354</v>
      </c>
      <c r="I614" s="19" t="s">
        <v>355</v>
      </c>
      <c r="J614" s="11" t="str">
        <f>+LEFT(U614,4)</f>
        <v>HDL-</v>
      </c>
      <c r="K614" s="19" t="s">
        <v>10</v>
      </c>
      <c r="L614" s="19">
        <v>1020</v>
      </c>
      <c r="M614" s="19" t="s">
        <v>1472</v>
      </c>
      <c r="N614" s="19" t="s">
        <v>11</v>
      </c>
      <c r="O614" s="26">
        <v>3.9580000000000002</v>
      </c>
      <c r="P614" s="12">
        <f>ROUND(O614*L614,2)</f>
        <v>4037.16</v>
      </c>
      <c r="Q614" s="13">
        <f>IF(N614="HKD",7.8,IF(N614="CNY",7.30034,1))</f>
        <v>7.3003400000000003</v>
      </c>
      <c r="R614" s="15">
        <f>+ROUND(O614/Q614,4)</f>
        <v>0.54220000000000002</v>
      </c>
      <c r="S614" s="14">
        <f>ROUND(R614*L614,2)</f>
        <v>553.04</v>
      </c>
      <c r="T614" s="15" t="s">
        <v>349</v>
      </c>
      <c r="U614" s="19" t="s">
        <v>228</v>
      </c>
    </row>
    <row r="615" spans="1:21" x14ac:dyDescent="0.2">
      <c r="A615" s="19" t="s">
        <v>352</v>
      </c>
      <c r="B615" s="20">
        <v>45671</v>
      </c>
      <c r="C615" s="20">
        <v>45636</v>
      </c>
      <c r="D615" s="19" t="s">
        <v>121</v>
      </c>
      <c r="E615" s="19" t="s">
        <v>122</v>
      </c>
      <c r="G615" s="19" t="s">
        <v>353</v>
      </c>
      <c r="H615" s="19" t="s">
        <v>350</v>
      </c>
      <c r="I615" s="19" t="s">
        <v>351</v>
      </c>
      <c r="J615" s="11" t="str">
        <f>+LEFT(U615,4)</f>
        <v>HDL-</v>
      </c>
      <c r="K615" s="19" t="s">
        <v>10</v>
      </c>
      <c r="L615" s="19">
        <v>1030</v>
      </c>
      <c r="M615" s="19" t="s">
        <v>1472</v>
      </c>
      <c r="N615" s="19" t="s">
        <v>11</v>
      </c>
      <c r="O615" s="26">
        <v>3.9580000000000002</v>
      </c>
      <c r="P615" s="12">
        <f>ROUND(O615*L615,2)</f>
        <v>4076.74</v>
      </c>
      <c r="Q615" s="13">
        <f>IF(N615="HKD",7.8,IF(N615="CNY",7.30034,1))</f>
        <v>7.3003400000000003</v>
      </c>
      <c r="R615" s="15">
        <f>+ROUND(O615/Q615,4)</f>
        <v>0.54220000000000002</v>
      </c>
      <c r="S615" s="14">
        <f>ROUND(R615*L615,2)</f>
        <v>558.47</v>
      </c>
      <c r="T615" s="15" t="s">
        <v>349</v>
      </c>
      <c r="U615" s="19" t="s">
        <v>228</v>
      </c>
    </row>
    <row r="616" spans="1:21" x14ac:dyDescent="0.2">
      <c r="A616" s="19" t="s">
        <v>227</v>
      </c>
      <c r="B616" s="20">
        <v>45674</v>
      </c>
      <c r="C616" s="20">
        <v>45653</v>
      </c>
      <c r="D616" s="19" t="s">
        <v>61</v>
      </c>
      <c r="E616" s="19" t="s">
        <v>61</v>
      </c>
      <c r="G616" s="19" t="s">
        <v>224</v>
      </c>
      <c r="H616" s="19" t="s">
        <v>225</v>
      </c>
      <c r="I616" s="19" t="s">
        <v>226</v>
      </c>
      <c r="J616" s="11" t="str">
        <f>+LEFT(U616,4)</f>
        <v>HDL-</v>
      </c>
      <c r="K616" s="19" t="s">
        <v>10</v>
      </c>
      <c r="L616" s="19">
        <v>1050</v>
      </c>
      <c r="M616" s="19" t="s">
        <v>1472</v>
      </c>
      <c r="N616" s="19" t="s">
        <v>11</v>
      </c>
      <c r="O616" s="26">
        <v>1.3992</v>
      </c>
      <c r="P616" s="12">
        <f>ROUND(O616*L616,2)</f>
        <v>1469.16</v>
      </c>
      <c r="Q616" s="13">
        <f>IF(N616="HKD",7.8,IF(N616="CNY",7.30034,1))</f>
        <v>7.3003400000000003</v>
      </c>
      <c r="R616" s="15">
        <f>+ROUND(O616/Q616,4)</f>
        <v>0.19170000000000001</v>
      </c>
      <c r="S616" s="14">
        <f>ROUND(R616*L616,2)</f>
        <v>201.29</v>
      </c>
      <c r="T616" s="15" t="s">
        <v>349</v>
      </c>
      <c r="U616" s="19" t="s">
        <v>228</v>
      </c>
    </row>
    <row r="617" spans="1:21" x14ac:dyDescent="0.2">
      <c r="A617" t="s">
        <v>2034</v>
      </c>
      <c r="B617" s="24">
        <v>45706</v>
      </c>
      <c r="C617" s="24">
        <v>45609</v>
      </c>
      <c r="D617" t="s">
        <v>128</v>
      </c>
      <c r="E617" t="s">
        <v>129</v>
      </c>
      <c r="G617" t="s">
        <v>2199</v>
      </c>
      <c r="H617" s="19" t="s">
        <v>1744</v>
      </c>
      <c r="I617" s="19" t="s">
        <v>1745</v>
      </c>
      <c r="J617" s="11" t="str">
        <f>+LEFT(U617,4)</f>
        <v>HDL-</v>
      </c>
      <c r="K617" t="s">
        <v>10</v>
      </c>
      <c r="L617" s="19">
        <v>-18</v>
      </c>
      <c r="M617" t="s">
        <v>1472</v>
      </c>
      <c r="N617" t="s">
        <v>11</v>
      </c>
      <c r="O617" s="26">
        <v>3.7610000000000001</v>
      </c>
      <c r="P617" s="12">
        <f>ROUND(O617*L617,2)</f>
        <v>-67.7</v>
      </c>
      <c r="Q617" s="13">
        <f>IF(N617="HKD",7.8,IF(N617="CNY",7.30034,1))</f>
        <v>7.3003400000000003</v>
      </c>
      <c r="R617" s="15">
        <f>+ROUND(O617/Q617,4)</f>
        <v>0.51519999999999999</v>
      </c>
      <c r="S617" s="14">
        <f>ROUND(R617*L617,2)</f>
        <v>-9.27</v>
      </c>
      <c r="T617" s="15" t="s">
        <v>349</v>
      </c>
      <c r="U617" t="s">
        <v>228</v>
      </c>
    </row>
    <row r="618" spans="1:21" x14ac:dyDescent="0.2">
      <c r="A618" t="s">
        <v>2053</v>
      </c>
      <c r="B618" s="24">
        <v>45706</v>
      </c>
      <c r="C618" s="24">
        <v>45350</v>
      </c>
      <c r="D618" t="s">
        <v>128</v>
      </c>
      <c r="E618" t="s">
        <v>129</v>
      </c>
      <c r="G618" t="s">
        <v>2199</v>
      </c>
      <c r="H618" s="19" t="s">
        <v>1762</v>
      </c>
      <c r="I618" s="19" t="s">
        <v>1763</v>
      </c>
      <c r="J618" s="11" t="str">
        <f>+LEFT(U618,4)</f>
        <v>HDL-</v>
      </c>
      <c r="K618" t="s">
        <v>10</v>
      </c>
      <c r="L618" s="19">
        <v>-1820</v>
      </c>
      <c r="M618" t="s">
        <v>1472</v>
      </c>
      <c r="N618" t="s">
        <v>11</v>
      </c>
      <c r="O618" s="26">
        <v>4.5491999999999999</v>
      </c>
      <c r="P618" s="12">
        <f>ROUND(O618*L618,2)</f>
        <v>-8279.5400000000009</v>
      </c>
      <c r="Q618" s="13">
        <f>IF(N618="HKD",7.8,IF(N618="CNY",7.30034,1))</f>
        <v>7.3003400000000003</v>
      </c>
      <c r="R618" s="15">
        <f>+ROUND(O618/Q618,4)</f>
        <v>0.62309999999999999</v>
      </c>
      <c r="S618" s="14">
        <f>ROUND(R618*L618,2)</f>
        <v>-1134.04</v>
      </c>
      <c r="T618" s="15" t="s">
        <v>349</v>
      </c>
      <c r="U618" t="s">
        <v>228</v>
      </c>
    </row>
    <row r="619" spans="1:21" x14ac:dyDescent="0.2">
      <c r="A619" t="s">
        <v>1956</v>
      </c>
      <c r="B619" s="24">
        <v>45712</v>
      </c>
      <c r="C619" s="24">
        <v>45695</v>
      </c>
      <c r="D619" t="s">
        <v>651</v>
      </c>
      <c r="E619" t="s">
        <v>652</v>
      </c>
      <c r="G619" t="s">
        <v>2177</v>
      </c>
      <c r="H619" s="19" t="s">
        <v>1674</v>
      </c>
      <c r="I619" s="19" t="s">
        <v>1675</v>
      </c>
      <c r="J619" s="11" t="str">
        <f>+LEFT(U619,4)</f>
        <v>HDL-</v>
      </c>
      <c r="K619" t="s">
        <v>10</v>
      </c>
      <c r="L619" s="19">
        <v>1300</v>
      </c>
      <c r="M619" t="s">
        <v>1472</v>
      </c>
      <c r="N619" t="s">
        <v>11</v>
      </c>
      <c r="O619" s="26">
        <v>2.1269999999999998</v>
      </c>
      <c r="P619" s="12">
        <f>ROUND(O619*L619,2)</f>
        <v>2765.1</v>
      </c>
      <c r="Q619" s="13">
        <f>IF(N619="HKD",7.8,IF(N619="CNY",7.30034,1))</f>
        <v>7.3003400000000003</v>
      </c>
      <c r="R619" s="15">
        <f>+ROUND(O619/Q619,4)</f>
        <v>0.29139999999999999</v>
      </c>
      <c r="S619" s="14">
        <f>ROUND(R619*L619,2)</f>
        <v>378.82</v>
      </c>
      <c r="T619" s="15" t="s">
        <v>349</v>
      </c>
      <c r="U619" t="s">
        <v>228</v>
      </c>
    </row>
    <row r="620" spans="1:21" x14ac:dyDescent="0.2">
      <c r="A620" t="s">
        <v>1957</v>
      </c>
      <c r="B620" s="24">
        <v>45712</v>
      </c>
      <c r="C620" s="24">
        <v>45698</v>
      </c>
      <c r="D620" t="s">
        <v>651</v>
      </c>
      <c r="E620" t="s">
        <v>652</v>
      </c>
      <c r="G620" t="s">
        <v>2177</v>
      </c>
      <c r="H620" s="19" t="s">
        <v>1674</v>
      </c>
      <c r="I620" s="19" t="s">
        <v>1675</v>
      </c>
      <c r="J620" s="11" t="str">
        <f>+LEFT(U620,4)</f>
        <v>HDL-</v>
      </c>
      <c r="K620" t="s">
        <v>10</v>
      </c>
      <c r="L620" s="19">
        <v>500</v>
      </c>
      <c r="M620" t="s">
        <v>1472</v>
      </c>
      <c r="N620" t="s">
        <v>11</v>
      </c>
      <c r="O620" s="26">
        <v>2.1269999999999998</v>
      </c>
      <c r="P620" s="12">
        <f>ROUND(O620*L620,2)</f>
        <v>1063.5</v>
      </c>
      <c r="Q620" s="13">
        <f>IF(N620="HKD",7.8,IF(N620="CNY",7.30034,1))</f>
        <v>7.3003400000000003</v>
      </c>
      <c r="R620" s="15">
        <f>+ROUND(O620/Q620,4)</f>
        <v>0.29139999999999999</v>
      </c>
      <c r="S620" s="14">
        <f>ROUND(R620*L620,2)</f>
        <v>145.69999999999999</v>
      </c>
      <c r="T620" s="15" t="s">
        <v>349</v>
      </c>
      <c r="U620" t="s">
        <v>228</v>
      </c>
    </row>
    <row r="621" spans="1:21" x14ac:dyDescent="0.2">
      <c r="A621" t="s">
        <v>1959</v>
      </c>
      <c r="B621" s="24">
        <v>45712</v>
      </c>
      <c r="C621" s="24">
        <v>45695</v>
      </c>
      <c r="D621" t="s">
        <v>651</v>
      </c>
      <c r="E621" t="s">
        <v>652</v>
      </c>
      <c r="G621" t="s">
        <v>2177</v>
      </c>
      <c r="H621" s="19" t="s">
        <v>1678</v>
      </c>
      <c r="I621" s="19" t="s">
        <v>1679</v>
      </c>
      <c r="J621" s="11" t="str">
        <f>+LEFT(U621,4)</f>
        <v>HDL-</v>
      </c>
      <c r="K621" t="s">
        <v>10</v>
      </c>
      <c r="L621" s="19">
        <v>950</v>
      </c>
      <c r="M621" t="s">
        <v>1472</v>
      </c>
      <c r="N621" t="s">
        <v>11</v>
      </c>
      <c r="O621" s="26">
        <v>2.2766999999999999</v>
      </c>
      <c r="P621" s="12">
        <f>ROUND(O621*L621,2)</f>
        <v>2162.87</v>
      </c>
      <c r="Q621" s="13">
        <f>IF(N621="HKD",7.8,IF(N621="CNY",7.30034,1))</f>
        <v>7.3003400000000003</v>
      </c>
      <c r="R621" s="15">
        <f>+ROUND(O621/Q621,4)</f>
        <v>0.31190000000000001</v>
      </c>
      <c r="S621" s="14">
        <f>ROUND(R621*L621,2)</f>
        <v>296.31</v>
      </c>
      <c r="T621" s="15" t="s">
        <v>349</v>
      </c>
      <c r="U621" t="s">
        <v>228</v>
      </c>
    </row>
    <row r="622" spans="1:21" x14ac:dyDescent="0.2">
      <c r="A622" t="s">
        <v>1916</v>
      </c>
      <c r="B622" s="24">
        <v>45713</v>
      </c>
      <c r="C622" s="24">
        <v>45695</v>
      </c>
      <c r="D622" t="s">
        <v>709</v>
      </c>
      <c r="E622" t="s">
        <v>710</v>
      </c>
      <c r="G622" t="s">
        <v>2159</v>
      </c>
      <c r="H622" s="19" t="s">
        <v>1649</v>
      </c>
      <c r="I622" s="19" t="s">
        <v>1650</v>
      </c>
      <c r="J622" s="11" t="str">
        <f>+LEFT(U622,4)</f>
        <v>HDL-</v>
      </c>
      <c r="K622" t="s">
        <v>10</v>
      </c>
      <c r="L622" s="19">
        <v>3050</v>
      </c>
      <c r="M622" t="s">
        <v>1472</v>
      </c>
      <c r="N622" t="s">
        <v>11</v>
      </c>
      <c r="O622" s="26">
        <v>1.1255999999999999</v>
      </c>
      <c r="P622" s="12">
        <f>ROUND(O622*L622,2)</f>
        <v>3433.08</v>
      </c>
      <c r="Q622" s="13">
        <f>IF(N622="HKD",7.8,IF(N622="CNY",7.30034,1))</f>
        <v>7.3003400000000003</v>
      </c>
      <c r="R622" s="15">
        <f>+ROUND(O622/Q622,4)</f>
        <v>0.1542</v>
      </c>
      <c r="S622" s="14">
        <f>ROUND(R622*L622,2)</f>
        <v>470.31</v>
      </c>
      <c r="T622" s="15" t="s">
        <v>349</v>
      </c>
      <c r="U622" t="s">
        <v>228</v>
      </c>
    </row>
    <row r="623" spans="1:21" x14ac:dyDescent="0.2">
      <c r="A623" t="s">
        <v>1919</v>
      </c>
      <c r="B623" s="24">
        <v>45713</v>
      </c>
      <c r="C623" s="24">
        <v>45695</v>
      </c>
      <c r="D623" t="s">
        <v>709</v>
      </c>
      <c r="E623" t="s">
        <v>710</v>
      </c>
      <c r="G623" t="s">
        <v>2159</v>
      </c>
      <c r="H623" s="19" t="s">
        <v>1653</v>
      </c>
      <c r="I623" s="19" t="s">
        <v>1654</v>
      </c>
      <c r="J623" s="11" t="str">
        <f>+LEFT(U623,4)</f>
        <v>HDL-</v>
      </c>
      <c r="K623" t="s">
        <v>10</v>
      </c>
      <c r="L623" s="19">
        <v>3000</v>
      </c>
      <c r="M623" t="s">
        <v>1472</v>
      </c>
      <c r="N623" t="s">
        <v>11</v>
      </c>
      <c r="O623" s="26">
        <v>1.278</v>
      </c>
      <c r="P623" s="12">
        <f>ROUND(O623*L623,2)</f>
        <v>3834</v>
      </c>
      <c r="Q623" s="13">
        <f>IF(N623="HKD",7.8,IF(N623="CNY",7.30034,1))</f>
        <v>7.3003400000000003</v>
      </c>
      <c r="R623" s="15">
        <f>+ROUND(O623/Q623,4)</f>
        <v>0.17510000000000001</v>
      </c>
      <c r="S623" s="14">
        <f>ROUND(R623*L623,2)</f>
        <v>525.29999999999995</v>
      </c>
      <c r="T623" s="15" t="s">
        <v>349</v>
      </c>
      <c r="U623" t="s">
        <v>228</v>
      </c>
    </row>
    <row r="624" spans="1:21" x14ac:dyDescent="0.2">
      <c r="A624" t="s">
        <v>1930</v>
      </c>
      <c r="B624" s="24">
        <v>45713</v>
      </c>
      <c r="C624" s="24">
        <v>45670</v>
      </c>
      <c r="D624" t="s">
        <v>709</v>
      </c>
      <c r="E624" t="s">
        <v>710</v>
      </c>
      <c r="G624" t="s">
        <v>2159</v>
      </c>
      <c r="H624" s="19" t="s">
        <v>729</v>
      </c>
      <c r="I624" s="19" t="s">
        <v>730</v>
      </c>
      <c r="J624" s="11" t="str">
        <f>+LEFT(U624,4)</f>
        <v>HDL-</v>
      </c>
      <c r="K624" t="s">
        <v>10</v>
      </c>
      <c r="L624" s="19">
        <v>6100</v>
      </c>
      <c r="M624" t="s">
        <v>1472</v>
      </c>
      <c r="N624" t="s">
        <v>11</v>
      </c>
      <c r="O624" s="26">
        <v>1.5156000000000001</v>
      </c>
      <c r="P624" s="12">
        <f>ROUND(O624*L624,2)</f>
        <v>9245.16</v>
      </c>
      <c r="Q624" s="13">
        <f>IF(N624="HKD",7.8,IF(N624="CNY",7.30034,1))</f>
        <v>7.3003400000000003</v>
      </c>
      <c r="R624" s="15">
        <f>+ROUND(O624/Q624,4)</f>
        <v>0.20760000000000001</v>
      </c>
      <c r="S624" s="14">
        <f>ROUND(R624*L624,2)</f>
        <v>1266.3599999999999</v>
      </c>
      <c r="T624" s="15" t="s">
        <v>349</v>
      </c>
      <c r="U624" t="s">
        <v>228</v>
      </c>
    </row>
    <row r="625" spans="1:21" x14ac:dyDescent="0.2">
      <c r="A625" t="s">
        <v>1931</v>
      </c>
      <c r="B625" s="24">
        <v>45713</v>
      </c>
      <c r="C625" s="24">
        <v>45671</v>
      </c>
      <c r="D625" t="s">
        <v>709</v>
      </c>
      <c r="E625" t="s">
        <v>710</v>
      </c>
      <c r="G625" t="s">
        <v>2159</v>
      </c>
      <c r="H625" s="19" t="s">
        <v>729</v>
      </c>
      <c r="I625" s="19" t="s">
        <v>730</v>
      </c>
      <c r="J625" s="11" t="str">
        <f>+LEFT(U625,4)</f>
        <v>HDL-</v>
      </c>
      <c r="K625" t="s">
        <v>10</v>
      </c>
      <c r="L625" s="19">
        <v>8200</v>
      </c>
      <c r="M625" t="s">
        <v>1472</v>
      </c>
      <c r="N625" t="s">
        <v>11</v>
      </c>
      <c r="O625" s="26">
        <v>1.5156000000000001</v>
      </c>
      <c r="P625" s="12">
        <f>ROUND(O625*L625,2)</f>
        <v>12427.92</v>
      </c>
      <c r="Q625" s="13">
        <f>IF(N625="HKD",7.8,IF(N625="CNY",7.30034,1))</f>
        <v>7.3003400000000003</v>
      </c>
      <c r="R625" s="15">
        <f>+ROUND(O625/Q625,4)</f>
        <v>0.20760000000000001</v>
      </c>
      <c r="S625" s="14">
        <f>ROUND(R625*L625,2)</f>
        <v>1702.32</v>
      </c>
      <c r="T625" s="15" t="s">
        <v>349</v>
      </c>
      <c r="U625" t="s">
        <v>228</v>
      </c>
    </row>
    <row r="626" spans="1:21" x14ac:dyDescent="0.2">
      <c r="A626" t="s">
        <v>1934</v>
      </c>
      <c r="B626" s="24">
        <v>45713</v>
      </c>
      <c r="C626" s="24">
        <v>45695</v>
      </c>
      <c r="D626" t="s">
        <v>709</v>
      </c>
      <c r="E626" t="s">
        <v>710</v>
      </c>
      <c r="G626" t="s">
        <v>2159</v>
      </c>
      <c r="H626" s="19" t="s">
        <v>729</v>
      </c>
      <c r="I626" s="19" t="s">
        <v>730</v>
      </c>
      <c r="J626" s="11" t="str">
        <f>+LEFT(U626,4)</f>
        <v>HDL-</v>
      </c>
      <c r="K626" t="s">
        <v>10</v>
      </c>
      <c r="L626" s="19">
        <v>2000</v>
      </c>
      <c r="M626" t="s">
        <v>1472</v>
      </c>
      <c r="N626" t="s">
        <v>11</v>
      </c>
      <c r="O626" s="26">
        <v>1.5313000000000001</v>
      </c>
      <c r="P626" s="12">
        <f>ROUND(O626*L626,2)</f>
        <v>3062.6</v>
      </c>
      <c r="Q626" s="13">
        <f>IF(N626="HKD",7.8,IF(N626="CNY",7.30034,1))</f>
        <v>7.3003400000000003</v>
      </c>
      <c r="R626" s="15">
        <f>+ROUND(O626/Q626,4)</f>
        <v>0.20979999999999999</v>
      </c>
      <c r="S626" s="14">
        <f>ROUND(R626*L626,2)</f>
        <v>419.6</v>
      </c>
      <c r="T626" s="15" t="s">
        <v>349</v>
      </c>
      <c r="U626" t="s">
        <v>228</v>
      </c>
    </row>
    <row r="627" spans="1:21" x14ac:dyDescent="0.2">
      <c r="A627" t="s">
        <v>1935</v>
      </c>
      <c r="B627" s="24">
        <v>45713</v>
      </c>
      <c r="C627" s="24">
        <v>45698</v>
      </c>
      <c r="D627" t="s">
        <v>709</v>
      </c>
      <c r="E627" t="s">
        <v>710</v>
      </c>
      <c r="G627" t="s">
        <v>2159</v>
      </c>
      <c r="H627" s="19" t="s">
        <v>729</v>
      </c>
      <c r="I627" s="19" t="s">
        <v>730</v>
      </c>
      <c r="J627" s="11" t="str">
        <f>+LEFT(U627,4)</f>
        <v>HDL-</v>
      </c>
      <c r="K627" t="s">
        <v>10</v>
      </c>
      <c r="L627" s="19">
        <v>2010</v>
      </c>
      <c r="M627" t="s">
        <v>1472</v>
      </c>
      <c r="N627" t="s">
        <v>11</v>
      </c>
      <c r="O627" s="26">
        <v>1.5313000000000001</v>
      </c>
      <c r="P627" s="12">
        <f>ROUND(O627*L627,2)</f>
        <v>3077.91</v>
      </c>
      <c r="Q627" s="13">
        <f>IF(N627="HKD",7.8,IF(N627="CNY",7.30034,1))</f>
        <v>7.3003400000000003</v>
      </c>
      <c r="R627" s="15">
        <f>+ROUND(O627/Q627,4)</f>
        <v>0.20979999999999999</v>
      </c>
      <c r="S627" s="14">
        <f>ROUND(R627*L627,2)</f>
        <v>421.7</v>
      </c>
      <c r="T627" s="15" t="s">
        <v>349</v>
      </c>
      <c r="U627" t="s">
        <v>228</v>
      </c>
    </row>
    <row r="628" spans="1:21" x14ac:dyDescent="0.2">
      <c r="A628" t="s">
        <v>1945</v>
      </c>
      <c r="B628" s="24">
        <v>45713</v>
      </c>
      <c r="C628" s="24">
        <v>45671</v>
      </c>
      <c r="D628" t="s">
        <v>709</v>
      </c>
      <c r="E628" t="s">
        <v>710</v>
      </c>
      <c r="G628" t="s">
        <v>2166</v>
      </c>
      <c r="H628" s="19" t="s">
        <v>732</v>
      </c>
      <c r="I628" s="19" t="s">
        <v>733</v>
      </c>
      <c r="J628" s="11" t="str">
        <f>+LEFT(U628,4)</f>
        <v>HDL-</v>
      </c>
      <c r="K628" t="s">
        <v>10</v>
      </c>
      <c r="L628" s="19">
        <v>6300</v>
      </c>
      <c r="M628" t="s">
        <v>1472</v>
      </c>
      <c r="N628" t="s">
        <v>11</v>
      </c>
      <c r="O628" s="26">
        <v>1.849</v>
      </c>
      <c r="P628" s="12">
        <f>ROUND(O628*L628,2)</f>
        <v>11648.7</v>
      </c>
      <c r="Q628" s="13">
        <f>IF(N628="HKD",7.8,IF(N628="CNY",7.30034,1))</f>
        <v>7.3003400000000003</v>
      </c>
      <c r="R628" s="15">
        <f>+ROUND(O628/Q628,4)</f>
        <v>0.25330000000000003</v>
      </c>
      <c r="S628" s="14">
        <f>ROUND(R628*L628,2)</f>
        <v>1595.79</v>
      </c>
      <c r="T628" s="15" t="s">
        <v>349</v>
      </c>
      <c r="U628" t="s">
        <v>228</v>
      </c>
    </row>
    <row r="629" spans="1:21" x14ac:dyDescent="0.2">
      <c r="A629" t="s">
        <v>1947</v>
      </c>
      <c r="B629" s="24">
        <v>45713</v>
      </c>
      <c r="C629" s="24">
        <v>45695</v>
      </c>
      <c r="D629" t="s">
        <v>709</v>
      </c>
      <c r="E629" t="s">
        <v>710</v>
      </c>
      <c r="G629" t="s">
        <v>2166</v>
      </c>
      <c r="H629" s="19" t="s">
        <v>732</v>
      </c>
      <c r="I629" s="19" t="s">
        <v>733</v>
      </c>
      <c r="J629" s="11" t="str">
        <f>+LEFT(U629,4)</f>
        <v>HDL-</v>
      </c>
      <c r="K629" t="s">
        <v>10</v>
      </c>
      <c r="L629" s="19">
        <v>3000</v>
      </c>
      <c r="M629" t="s">
        <v>1472</v>
      </c>
      <c r="N629" t="s">
        <v>11</v>
      </c>
      <c r="O629" s="26">
        <v>1.8681000000000001</v>
      </c>
      <c r="P629" s="12">
        <f>ROUND(O629*L629,2)</f>
        <v>5604.3</v>
      </c>
      <c r="Q629" s="13">
        <f>IF(N629="HKD",7.8,IF(N629="CNY",7.30034,1))</f>
        <v>7.3003400000000003</v>
      </c>
      <c r="R629" s="15">
        <f>+ROUND(O629/Q629,4)</f>
        <v>0.25590000000000002</v>
      </c>
      <c r="S629" s="14">
        <f>ROUND(R629*L629,2)</f>
        <v>767.7</v>
      </c>
      <c r="T629" s="15" t="s">
        <v>349</v>
      </c>
      <c r="U629" t="s">
        <v>228</v>
      </c>
    </row>
    <row r="630" spans="1:21" x14ac:dyDescent="0.2">
      <c r="A630" t="s">
        <v>1951</v>
      </c>
      <c r="B630" s="24">
        <v>45713</v>
      </c>
      <c r="C630" s="24">
        <v>45670</v>
      </c>
      <c r="D630" t="s">
        <v>709</v>
      </c>
      <c r="E630" t="s">
        <v>710</v>
      </c>
      <c r="G630" t="s">
        <v>2166</v>
      </c>
      <c r="H630" s="19" t="s">
        <v>732</v>
      </c>
      <c r="I630" s="19" t="s">
        <v>733</v>
      </c>
      <c r="J630" s="11" t="str">
        <f>+LEFT(U630,4)</f>
        <v>HDL-</v>
      </c>
      <c r="K630" t="s">
        <v>10</v>
      </c>
      <c r="L630" s="19">
        <v>1900</v>
      </c>
      <c r="M630" t="s">
        <v>1472</v>
      </c>
      <c r="N630" t="s">
        <v>11</v>
      </c>
      <c r="O630" s="26">
        <v>1.9061999999999999</v>
      </c>
      <c r="P630" s="12">
        <f>ROUND(O630*L630,2)</f>
        <v>3621.78</v>
      </c>
      <c r="Q630" s="13">
        <f>IF(N630="HKD",7.8,IF(N630="CNY",7.30034,1))</f>
        <v>7.3003400000000003</v>
      </c>
      <c r="R630" s="15">
        <f>+ROUND(O630/Q630,4)</f>
        <v>0.2611</v>
      </c>
      <c r="S630" s="14">
        <f>ROUND(R630*L630,2)</f>
        <v>496.09</v>
      </c>
      <c r="T630" s="15" t="s">
        <v>349</v>
      </c>
      <c r="U630" t="s">
        <v>228</v>
      </c>
    </row>
    <row r="631" spans="1:21" x14ac:dyDescent="0.2">
      <c r="A631" t="s">
        <v>2022</v>
      </c>
      <c r="B631" s="24">
        <v>45713</v>
      </c>
      <c r="C631" s="24">
        <v>45671</v>
      </c>
      <c r="D631" t="s">
        <v>121</v>
      </c>
      <c r="E631" t="s">
        <v>122</v>
      </c>
      <c r="G631" t="s">
        <v>2195</v>
      </c>
      <c r="H631" s="19" t="s">
        <v>357</v>
      </c>
      <c r="I631" s="19" t="s">
        <v>358</v>
      </c>
      <c r="J631" s="11" t="str">
        <f>+LEFT(U631,4)</f>
        <v>HDL-</v>
      </c>
      <c r="K631" t="s">
        <v>10</v>
      </c>
      <c r="L631" s="19">
        <v>195</v>
      </c>
      <c r="M631" t="s">
        <v>1472</v>
      </c>
      <c r="N631" t="s">
        <v>11</v>
      </c>
      <c r="O631" s="26">
        <v>3.5398000000000001</v>
      </c>
      <c r="P631" s="12">
        <f>ROUND(O631*L631,2)</f>
        <v>690.26</v>
      </c>
      <c r="Q631" s="13">
        <f>IF(N631="HKD",7.8,IF(N631="CNY",7.30034,1))</f>
        <v>7.3003400000000003</v>
      </c>
      <c r="R631" s="15">
        <f>+ROUND(O631/Q631,4)</f>
        <v>0.4849</v>
      </c>
      <c r="S631" s="14">
        <f>ROUND(R631*L631,2)</f>
        <v>94.56</v>
      </c>
      <c r="T631" s="15" t="s">
        <v>349</v>
      </c>
      <c r="U631" t="s">
        <v>228</v>
      </c>
    </row>
    <row r="632" spans="1:21" x14ac:dyDescent="0.2">
      <c r="A632" t="s">
        <v>2046</v>
      </c>
      <c r="B632" s="24">
        <v>45713</v>
      </c>
      <c r="C632" s="24">
        <v>45698</v>
      </c>
      <c r="D632" t="s">
        <v>709</v>
      </c>
      <c r="E632" t="s">
        <v>710</v>
      </c>
      <c r="G632" t="s">
        <v>2166</v>
      </c>
      <c r="H632" s="19" t="s">
        <v>1756</v>
      </c>
      <c r="I632" s="19" t="s">
        <v>1757</v>
      </c>
      <c r="J632" s="11" t="str">
        <f>+LEFT(U632,4)</f>
        <v>HDL-</v>
      </c>
      <c r="K632" t="s">
        <v>10</v>
      </c>
      <c r="L632" s="19">
        <v>400</v>
      </c>
      <c r="M632" t="s">
        <v>1472</v>
      </c>
      <c r="N632" t="s">
        <v>11</v>
      </c>
      <c r="O632" s="26">
        <v>4.0471000000000004</v>
      </c>
      <c r="P632" s="12">
        <f>ROUND(O632*L632,2)</f>
        <v>1618.84</v>
      </c>
      <c r="Q632" s="13">
        <f>IF(N632="HKD",7.8,IF(N632="CNY",7.30034,1))</f>
        <v>7.3003400000000003</v>
      </c>
      <c r="R632" s="15">
        <f>+ROUND(O632/Q632,4)</f>
        <v>0.5544</v>
      </c>
      <c r="S632" s="14">
        <f>ROUND(R632*L632,2)</f>
        <v>221.76</v>
      </c>
      <c r="T632" s="15" t="s">
        <v>349</v>
      </c>
      <c r="U632" t="s">
        <v>228</v>
      </c>
    </row>
    <row r="633" spans="1:21" x14ac:dyDescent="0.2">
      <c r="A633" t="s">
        <v>2054</v>
      </c>
      <c r="B633" s="24">
        <v>45714</v>
      </c>
      <c r="C633" s="24">
        <v>45656</v>
      </c>
      <c r="D633" t="s">
        <v>128</v>
      </c>
      <c r="E633" t="s">
        <v>129</v>
      </c>
      <c r="G633" t="s">
        <v>2167</v>
      </c>
      <c r="H633" s="19" t="s">
        <v>1762</v>
      </c>
      <c r="I633" s="19" t="s">
        <v>1763</v>
      </c>
      <c r="J633" s="11" t="str">
        <f>+LEFT(U633,4)</f>
        <v>HDL-</v>
      </c>
      <c r="K633" t="s">
        <v>10</v>
      </c>
      <c r="L633" s="19">
        <v>1050</v>
      </c>
      <c r="M633" t="s">
        <v>1472</v>
      </c>
      <c r="N633" t="s">
        <v>11</v>
      </c>
      <c r="O633" s="26">
        <v>4.5491999999999999</v>
      </c>
      <c r="P633" s="12">
        <f>ROUND(O633*L633,2)</f>
        <v>4776.66</v>
      </c>
      <c r="Q633" s="13">
        <f>IF(N633="HKD",7.8,IF(N633="CNY",7.30034,1))</f>
        <v>7.3003400000000003</v>
      </c>
      <c r="R633" s="15">
        <f>+ROUND(O633/Q633,4)</f>
        <v>0.62309999999999999</v>
      </c>
      <c r="S633" s="14">
        <f>ROUND(R633*L633,2)</f>
        <v>654.26</v>
      </c>
      <c r="T633" s="15" t="s">
        <v>349</v>
      </c>
      <c r="U633" t="s">
        <v>228</v>
      </c>
    </row>
    <row r="634" spans="1:21" x14ac:dyDescent="0.2">
      <c r="A634" t="s">
        <v>2098</v>
      </c>
      <c r="B634" s="24">
        <v>45714</v>
      </c>
      <c r="C634" s="24">
        <v>45713</v>
      </c>
      <c r="D634" t="s">
        <v>2257</v>
      </c>
      <c r="E634" t="s">
        <v>2258</v>
      </c>
      <c r="G634" t="s">
        <v>2224</v>
      </c>
      <c r="H634" s="19" t="s">
        <v>1798</v>
      </c>
      <c r="I634" s="19" t="s">
        <v>1799</v>
      </c>
      <c r="J634" s="11" t="str">
        <f>+LEFT(U634,4)</f>
        <v>HDL-</v>
      </c>
      <c r="K634" t="s">
        <v>10</v>
      </c>
      <c r="L634" s="19">
        <v>2700</v>
      </c>
      <c r="M634" t="s">
        <v>1472</v>
      </c>
      <c r="N634" t="s">
        <v>11</v>
      </c>
      <c r="O634" s="26">
        <v>7.4931000000000001</v>
      </c>
      <c r="P634" s="12">
        <f>ROUND(O634*L634,2)</f>
        <v>20231.37</v>
      </c>
      <c r="Q634" s="13">
        <f>IF(N634="HKD",7.8,IF(N634="CNY",7.30034,1))</f>
        <v>7.3003400000000003</v>
      </c>
      <c r="R634" s="15">
        <f>+ROUND(O634/Q634,4)</f>
        <v>1.0264</v>
      </c>
      <c r="S634" s="14">
        <f>ROUND(R634*L634,2)</f>
        <v>2771.28</v>
      </c>
      <c r="T634" s="15" t="s">
        <v>349</v>
      </c>
      <c r="U634" t="s">
        <v>228</v>
      </c>
    </row>
    <row r="635" spans="1:21" x14ac:dyDescent="0.2">
      <c r="A635" t="s">
        <v>2099</v>
      </c>
      <c r="B635" s="24">
        <v>45714</v>
      </c>
      <c r="C635" s="24">
        <v>45713</v>
      </c>
      <c r="D635" t="s">
        <v>2257</v>
      </c>
      <c r="E635" t="s">
        <v>2258</v>
      </c>
      <c r="G635" t="s">
        <v>2224</v>
      </c>
      <c r="H635" s="19" t="s">
        <v>1798</v>
      </c>
      <c r="I635" s="19" t="s">
        <v>1799</v>
      </c>
      <c r="J635" s="11" t="str">
        <f>+LEFT(U635,4)</f>
        <v>HDL-</v>
      </c>
      <c r="K635" t="s">
        <v>10</v>
      </c>
      <c r="L635" s="19">
        <v>2200</v>
      </c>
      <c r="M635" t="s">
        <v>1472</v>
      </c>
      <c r="N635" t="s">
        <v>11</v>
      </c>
      <c r="O635" s="26">
        <v>7.4931000000000001</v>
      </c>
      <c r="P635" s="12">
        <f>ROUND(O635*L635,2)</f>
        <v>16484.82</v>
      </c>
      <c r="Q635" s="13">
        <f>IF(N635="HKD",7.8,IF(N635="CNY",7.30034,1))</f>
        <v>7.3003400000000003</v>
      </c>
      <c r="R635" s="15">
        <f>+ROUND(O635/Q635,4)</f>
        <v>1.0264</v>
      </c>
      <c r="S635" s="14">
        <f>ROUND(R635*L635,2)</f>
        <v>2258.08</v>
      </c>
      <c r="T635" s="15" t="s">
        <v>349</v>
      </c>
      <c r="U635" t="s">
        <v>228</v>
      </c>
    </row>
    <row r="636" spans="1:21" x14ac:dyDescent="0.2">
      <c r="A636" t="s">
        <v>2100</v>
      </c>
      <c r="B636" s="24">
        <v>45714</v>
      </c>
      <c r="C636" s="24">
        <v>45713</v>
      </c>
      <c r="D636" t="s">
        <v>2257</v>
      </c>
      <c r="E636" t="s">
        <v>2258</v>
      </c>
      <c r="G636" t="s">
        <v>2224</v>
      </c>
      <c r="H636" s="19" t="s">
        <v>1800</v>
      </c>
      <c r="I636" s="19" t="s">
        <v>1801</v>
      </c>
      <c r="J636" s="11" t="str">
        <f>+LEFT(U636,4)</f>
        <v>HDL-</v>
      </c>
      <c r="K636" t="s">
        <v>10</v>
      </c>
      <c r="L636" s="19">
        <v>200</v>
      </c>
      <c r="M636" t="s">
        <v>1472</v>
      </c>
      <c r="N636" t="s">
        <v>11</v>
      </c>
      <c r="O636" s="26">
        <v>7.4931000000000001</v>
      </c>
      <c r="P636" s="12">
        <f>ROUND(O636*L636,2)</f>
        <v>1498.62</v>
      </c>
      <c r="Q636" s="13">
        <f>IF(N636="HKD",7.8,IF(N636="CNY",7.30034,1))</f>
        <v>7.3003400000000003</v>
      </c>
      <c r="R636" s="15">
        <f>+ROUND(O636/Q636,4)</f>
        <v>1.0264</v>
      </c>
      <c r="S636" s="14">
        <f>ROUND(R636*L636,2)</f>
        <v>205.28</v>
      </c>
      <c r="T636" s="15" t="s">
        <v>349</v>
      </c>
      <c r="U636" t="s">
        <v>228</v>
      </c>
    </row>
    <row r="637" spans="1:21" x14ac:dyDescent="0.2">
      <c r="A637" t="s">
        <v>2101</v>
      </c>
      <c r="B637" s="24">
        <v>45714</v>
      </c>
      <c r="C637" s="24">
        <v>45713</v>
      </c>
      <c r="D637" t="s">
        <v>2257</v>
      </c>
      <c r="E637" t="s">
        <v>2258</v>
      </c>
      <c r="G637" t="s">
        <v>2225</v>
      </c>
      <c r="H637" s="19" t="s">
        <v>1800</v>
      </c>
      <c r="I637" s="19" t="s">
        <v>1801</v>
      </c>
      <c r="J637" s="11" t="str">
        <f>+LEFT(U637,4)</f>
        <v>HDL-</v>
      </c>
      <c r="K637" t="s">
        <v>10</v>
      </c>
      <c r="L637" s="19">
        <v>3100</v>
      </c>
      <c r="M637" t="s">
        <v>1472</v>
      </c>
      <c r="N637" t="s">
        <v>11</v>
      </c>
      <c r="O637" s="26">
        <v>7.4931000000000001</v>
      </c>
      <c r="P637" s="12">
        <f>ROUND(O637*L637,2)</f>
        <v>23228.61</v>
      </c>
      <c r="Q637" s="13">
        <f>IF(N637="HKD",7.8,IF(N637="CNY",7.30034,1))</f>
        <v>7.3003400000000003</v>
      </c>
      <c r="R637" s="15">
        <f>+ROUND(O637/Q637,4)</f>
        <v>1.0264</v>
      </c>
      <c r="S637" s="14">
        <f>ROUND(R637*L637,2)</f>
        <v>3181.84</v>
      </c>
      <c r="T637" s="15" t="s">
        <v>349</v>
      </c>
      <c r="U637" t="s">
        <v>228</v>
      </c>
    </row>
    <row r="638" spans="1:21" x14ac:dyDescent="0.2">
      <c r="A638" t="s">
        <v>2102</v>
      </c>
      <c r="B638" s="24">
        <v>45714</v>
      </c>
      <c r="C638" s="24">
        <v>45713</v>
      </c>
      <c r="D638" t="s">
        <v>2257</v>
      </c>
      <c r="E638" t="s">
        <v>2258</v>
      </c>
      <c r="G638" t="s">
        <v>2225</v>
      </c>
      <c r="H638" s="19" t="s">
        <v>1800</v>
      </c>
      <c r="I638" s="19" t="s">
        <v>1801</v>
      </c>
      <c r="J638" s="11" t="str">
        <f>+LEFT(U638,4)</f>
        <v>HDL-</v>
      </c>
      <c r="K638" t="s">
        <v>10</v>
      </c>
      <c r="L638" s="19">
        <v>2200</v>
      </c>
      <c r="M638" t="s">
        <v>1472</v>
      </c>
      <c r="N638" t="s">
        <v>11</v>
      </c>
      <c r="O638" s="26">
        <v>7.4931000000000001</v>
      </c>
      <c r="P638" s="12">
        <f>ROUND(O638*L638,2)</f>
        <v>16484.82</v>
      </c>
      <c r="Q638" s="13">
        <f>IF(N638="HKD",7.8,IF(N638="CNY",7.30034,1))</f>
        <v>7.3003400000000003</v>
      </c>
      <c r="R638" s="15">
        <f>+ROUND(O638/Q638,4)</f>
        <v>1.0264</v>
      </c>
      <c r="S638" s="14">
        <f>ROUND(R638*L638,2)</f>
        <v>2258.08</v>
      </c>
      <c r="T638" s="15" t="s">
        <v>349</v>
      </c>
      <c r="U638" t="s">
        <v>228</v>
      </c>
    </row>
    <row r="639" spans="1:21" x14ac:dyDescent="0.2">
      <c r="A639" t="s">
        <v>2103</v>
      </c>
      <c r="B639" s="24">
        <v>45714</v>
      </c>
      <c r="C639" s="24">
        <v>45713</v>
      </c>
      <c r="D639" t="s">
        <v>2257</v>
      </c>
      <c r="E639" t="s">
        <v>2258</v>
      </c>
      <c r="G639" t="s">
        <v>2225</v>
      </c>
      <c r="H639" s="19" t="s">
        <v>1802</v>
      </c>
      <c r="I639" s="19" t="s">
        <v>1803</v>
      </c>
      <c r="J639" s="11" t="str">
        <f>+LEFT(U639,4)</f>
        <v>HDL-</v>
      </c>
      <c r="K639" t="s">
        <v>10</v>
      </c>
      <c r="L639" s="19">
        <v>2600</v>
      </c>
      <c r="M639" t="s">
        <v>1472</v>
      </c>
      <c r="N639" t="s">
        <v>11</v>
      </c>
      <c r="O639" s="26">
        <v>7.4931000000000001</v>
      </c>
      <c r="P639" s="12">
        <f>ROUND(O639*L639,2)</f>
        <v>19482.060000000001</v>
      </c>
      <c r="Q639" s="13">
        <f>IF(N639="HKD",7.8,IF(N639="CNY",7.30034,1))</f>
        <v>7.3003400000000003</v>
      </c>
      <c r="R639" s="15">
        <f>+ROUND(O639/Q639,4)</f>
        <v>1.0264</v>
      </c>
      <c r="S639" s="14">
        <f>ROUND(R639*L639,2)</f>
        <v>2668.64</v>
      </c>
      <c r="T639" s="15" t="s">
        <v>349</v>
      </c>
      <c r="U639" t="s">
        <v>228</v>
      </c>
    </row>
    <row r="640" spans="1:21" x14ac:dyDescent="0.2">
      <c r="A640" t="s">
        <v>2104</v>
      </c>
      <c r="B640" s="24">
        <v>45714</v>
      </c>
      <c r="C640" s="24">
        <v>45713</v>
      </c>
      <c r="D640" t="s">
        <v>2257</v>
      </c>
      <c r="E640" t="s">
        <v>2258</v>
      </c>
      <c r="G640" t="s">
        <v>2225</v>
      </c>
      <c r="H640" s="19" t="s">
        <v>1802</v>
      </c>
      <c r="I640" s="19" t="s">
        <v>1803</v>
      </c>
      <c r="J640" s="11" t="str">
        <f>+LEFT(U640,4)</f>
        <v>HDL-</v>
      </c>
      <c r="K640" t="s">
        <v>10</v>
      </c>
      <c r="L640" s="19">
        <v>2600</v>
      </c>
      <c r="M640" t="s">
        <v>1472</v>
      </c>
      <c r="N640" t="s">
        <v>11</v>
      </c>
      <c r="O640" s="26">
        <v>7.4931000000000001</v>
      </c>
      <c r="P640" s="12">
        <f>ROUND(O640*L640,2)</f>
        <v>19482.060000000001</v>
      </c>
      <c r="Q640" s="13">
        <f>IF(N640="HKD",7.8,IF(N640="CNY",7.30034,1))</f>
        <v>7.3003400000000003</v>
      </c>
      <c r="R640" s="15">
        <f>+ROUND(O640/Q640,4)</f>
        <v>1.0264</v>
      </c>
      <c r="S640" s="14">
        <f>ROUND(R640*L640,2)</f>
        <v>2668.64</v>
      </c>
      <c r="T640" s="15" t="s">
        <v>349</v>
      </c>
      <c r="U640" t="s">
        <v>228</v>
      </c>
    </row>
    <row r="641" spans="1:21" x14ac:dyDescent="0.2">
      <c r="A641" t="s">
        <v>2105</v>
      </c>
      <c r="B641" s="24">
        <v>45714</v>
      </c>
      <c r="C641" s="24">
        <v>45713</v>
      </c>
      <c r="D641" t="s">
        <v>2257</v>
      </c>
      <c r="E641" t="s">
        <v>2258</v>
      </c>
      <c r="G641" t="s">
        <v>2225</v>
      </c>
      <c r="H641" s="19" t="s">
        <v>1802</v>
      </c>
      <c r="I641" s="19" t="s">
        <v>1803</v>
      </c>
      <c r="J641" s="11" t="str">
        <f>+LEFT(U641,4)</f>
        <v>HDL-</v>
      </c>
      <c r="K641" t="s">
        <v>10</v>
      </c>
      <c r="L641" s="19">
        <v>1400</v>
      </c>
      <c r="M641" t="s">
        <v>1472</v>
      </c>
      <c r="N641" t="s">
        <v>11</v>
      </c>
      <c r="O641" s="26">
        <v>7.4931000000000001</v>
      </c>
      <c r="P641" s="12">
        <f>ROUND(O641*L641,2)</f>
        <v>10490.34</v>
      </c>
      <c r="Q641" s="13">
        <f>IF(N641="HKD",7.8,IF(N641="CNY",7.30034,1))</f>
        <v>7.3003400000000003</v>
      </c>
      <c r="R641" s="15">
        <f>+ROUND(O641/Q641,4)</f>
        <v>1.0264</v>
      </c>
      <c r="S641" s="14">
        <f>ROUND(R641*L641,2)</f>
        <v>1436.96</v>
      </c>
      <c r="T641" s="15" t="s">
        <v>349</v>
      </c>
      <c r="U641" t="s">
        <v>228</v>
      </c>
    </row>
    <row r="642" spans="1:21" x14ac:dyDescent="0.2">
      <c r="A642" t="s">
        <v>2054</v>
      </c>
      <c r="B642" s="24">
        <v>45716</v>
      </c>
      <c r="C642" s="24">
        <v>45656</v>
      </c>
      <c r="D642" t="s">
        <v>128</v>
      </c>
      <c r="E642" t="s">
        <v>129</v>
      </c>
      <c r="G642" t="s">
        <v>2164</v>
      </c>
      <c r="H642" s="19" t="s">
        <v>1762</v>
      </c>
      <c r="I642" s="19" t="s">
        <v>1763</v>
      </c>
      <c r="J642" s="11" t="str">
        <f>+LEFT(U642,4)</f>
        <v>HDL-</v>
      </c>
      <c r="K642" t="s">
        <v>10</v>
      </c>
      <c r="L642" s="19">
        <v>1050</v>
      </c>
      <c r="M642" t="s">
        <v>1472</v>
      </c>
      <c r="N642" t="s">
        <v>11</v>
      </c>
      <c r="O642" s="26">
        <v>4.5491999999999999</v>
      </c>
      <c r="P642" s="12">
        <f>ROUND(O642*L642,2)</f>
        <v>4776.66</v>
      </c>
      <c r="Q642" s="13">
        <f>IF(N642="HKD",7.8,IF(N642="CNY",7.30034,1))</f>
        <v>7.3003400000000003</v>
      </c>
      <c r="R642" s="15">
        <f>+ROUND(O642/Q642,4)</f>
        <v>0.62309999999999999</v>
      </c>
      <c r="S642" s="14">
        <f>ROUND(R642*L642,2)</f>
        <v>654.26</v>
      </c>
      <c r="T642" s="15" t="s">
        <v>349</v>
      </c>
      <c r="U642" t="s">
        <v>228</v>
      </c>
    </row>
    <row r="643" spans="1:21" x14ac:dyDescent="0.2">
      <c r="A643" t="s">
        <v>2796</v>
      </c>
      <c r="B643" s="24">
        <v>45736</v>
      </c>
      <c r="C643" s="24">
        <v>45735</v>
      </c>
      <c r="D643" t="s">
        <v>5</v>
      </c>
      <c r="E643" t="s">
        <v>6</v>
      </c>
      <c r="G643" t="s">
        <v>3052</v>
      </c>
      <c r="H643" t="s">
        <v>1660</v>
      </c>
      <c r="I643" t="s">
        <v>1661</v>
      </c>
      <c r="J643" s="11" t="str">
        <f>+LEFT(U643,4)</f>
        <v>SHTS</v>
      </c>
      <c r="K643" t="s">
        <v>10</v>
      </c>
      <c r="L643">
        <v>2010</v>
      </c>
      <c r="M643" t="s">
        <v>1472</v>
      </c>
      <c r="N643" t="s">
        <v>11</v>
      </c>
      <c r="O643">
        <v>2.0099999999999998</v>
      </c>
      <c r="P643" s="12">
        <f>ROUND(O643*L643,2)</f>
        <v>4040.1</v>
      </c>
      <c r="Q643" s="13">
        <f>IF(N643="HKD",7.8,IF(N643="CNY",7.30034,1))</f>
        <v>7.3003400000000003</v>
      </c>
      <c r="R643" s="15">
        <f>+ROUND(O643/Q643,4)</f>
        <v>0.27529999999999999</v>
      </c>
      <c r="S643" s="14">
        <f>ROUND(R643*L643,2)</f>
        <v>553.35</v>
      </c>
      <c r="T643" s="15" t="s">
        <v>349</v>
      </c>
      <c r="U643" t="s">
        <v>9</v>
      </c>
    </row>
    <row r="644" spans="1:21" x14ac:dyDescent="0.2">
      <c r="A644" t="s">
        <v>2424</v>
      </c>
      <c r="B644" s="24">
        <v>45741</v>
      </c>
      <c r="C644" s="24">
        <v>45702</v>
      </c>
      <c r="D644" t="s">
        <v>709</v>
      </c>
      <c r="E644" t="s">
        <v>710</v>
      </c>
      <c r="G644" t="s">
        <v>2930</v>
      </c>
      <c r="H644" t="s">
        <v>3113</v>
      </c>
      <c r="I644" t="s">
        <v>727</v>
      </c>
      <c r="J644" s="11" t="str">
        <f>+LEFT(U644,4)</f>
        <v>KNOB</v>
      </c>
      <c r="K644" t="s">
        <v>10</v>
      </c>
      <c r="L644">
        <v>1000</v>
      </c>
      <c r="M644" t="s">
        <v>1472</v>
      </c>
      <c r="N644" t="s">
        <v>11</v>
      </c>
      <c r="O644">
        <v>2.0691000000000002</v>
      </c>
      <c r="P644" s="12">
        <f>ROUND(O644*L644,2)</f>
        <v>2069.1</v>
      </c>
      <c r="Q644" s="13">
        <f>IF(N644="HKD",7.8,IF(N644="CNY",7.30034,1))</f>
        <v>7.3003400000000003</v>
      </c>
      <c r="R644" s="15">
        <f>+ROUND(O644/Q644,4)</f>
        <v>0.28339999999999999</v>
      </c>
      <c r="S644" s="14">
        <f>ROUND(R644*L644,2)</f>
        <v>283.39999999999998</v>
      </c>
      <c r="T644" s="15" t="s">
        <v>349</v>
      </c>
      <c r="U644" t="s">
        <v>32</v>
      </c>
    </row>
    <row r="645" spans="1:21" x14ac:dyDescent="0.2">
      <c r="A645" t="s">
        <v>2633</v>
      </c>
      <c r="B645" s="24">
        <v>45741</v>
      </c>
      <c r="C645" s="24">
        <v>45721</v>
      </c>
      <c r="D645" t="s">
        <v>651</v>
      </c>
      <c r="E645" t="s">
        <v>652</v>
      </c>
      <c r="G645" t="s">
        <v>3014</v>
      </c>
      <c r="H645" t="s">
        <v>1674</v>
      </c>
      <c r="I645" t="s">
        <v>1675</v>
      </c>
      <c r="J645" s="11" t="str">
        <f>+LEFT(U645,4)</f>
        <v>HDL-</v>
      </c>
      <c r="K645" t="s">
        <v>10</v>
      </c>
      <c r="L645">
        <v>3100</v>
      </c>
      <c r="M645" t="s">
        <v>1472</v>
      </c>
      <c r="N645" t="s">
        <v>11</v>
      </c>
      <c r="O645">
        <v>2.0844999999999998</v>
      </c>
      <c r="P645" s="12">
        <f>ROUND(O645*L645,2)</f>
        <v>6461.95</v>
      </c>
      <c r="Q645" s="13">
        <f>IF(N645="HKD",7.8,IF(N645="CNY",7.30034,1))</f>
        <v>7.3003400000000003</v>
      </c>
      <c r="R645" s="15">
        <f>+ROUND(O645/Q645,4)</f>
        <v>0.28549999999999998</v>
      </c>
      <c r="S645" s="14">
        <f>ROUND(R645*L645,2)</f>
        <v>885.05</v>
      </c>
      <c r="T645" s="15" t="s">
        <v>349</v>
      </c>
      <c r="U645" t="s">
        <v>228</v>
      </c>
    </row>
    <row r="646" spans="1:21" x14ac:dyDescent="0.2">
      <c r="A646" t="s">
        <v>2715</v>
      </c>
      <c r="B646" s="24">
        <v>45741</v>
      </c>
      <c r="C646" s="24">
        <v>45728</v>
      </c>
      <c r="D646" t="s">
        <v>651</v>
      </c>
      <c r="E646" t="s">
        <v>652</v>
      </c>
      <c r="G646" t="s">
        <v>3014</v>
      </c>
      <c r="H646" t="s">
        <v>1674</v>
      </c>
      <c r="I646" t="s">
        <v>1675</v>
      </c>
      <c r="J646" s="11" t="str">
        <f>+LEFT(U646,4)</f>
        <v>HDL-</v>
      </c>
      <c r="K646" t="s">
        <v>10</v>
      </c>
      <c r="L646">
        <v>3000</v>
      </c>
      <c r="M646" t="s">
        <v>1472</v>
      </c>
      <c r="N646" t="s">
        <v>11</v>
      </c>
      <c r="O646">
        <v>2.0844999999999998</v>
      </c>
      <c r="P646" s="12">
        <f>ROUND(O646*L646,2)</f>
        <v>6253.5</v>
      </c>
      <c r="Q646" s="13">
        <f>IF(N646="HKD",7.8,IF(N646="CNY",7.30034,1))</f>
        <v>7.3003400000000003</v>
      </c>
      <c r="R646" s="15">
        <f>+ROUND(O646/Q646,4)</f>
        <v>0.28549999999999998</v>
      </c>
      <c r="S646" s="14">
        <f>ROUND(R646*L646,2)</f>
        <v>856.5</v>
      </c>
      <c r="T646" s="15" t="s">
        <v>349</v>
      </c>
      <c r="U646" t="s">
        <v>228</v>
      </c>
    </row>
    <row r="647" spans="1:21" x14ac:dyDescent="0.2">
      <c r="A647" t="s">
        <v>2760</v>
      </c>
      <c r="B647" s="24">
        <v>45737</v>
      </c>
      <c r="C647" s="24">
        <v>45730</v>
      </c>
      <c r="D647" t="s">
        <v>268</v>
      </c>
      <c r="E647" t="s">
        <v>269</v>
      </c>
      <c r="G647" t="s">
        <v>3047</v>
      </c>
      <c r="H647" t="s">
        <v>3249</v>
      </c>
      <c r="I647" t="s">
        <v>3456</v>
      </c>
      <c r="J647" s="11" t="str">
        <f>+LEFT(U647,4)</f>
        <v>MISC</v>
      </c>
      <c r="K647" t="s">
        <v>10</v>
      </c>
      <c r="L647">
        <v>180</v>
      </c>
      <c r="M647" t="s">
        <v>136</v>
      </c>
      <c r="N647" t="s">
        <v>11</v>
      </c>
      <c r="O647">
        <v>2.15</v>
      </c>
      <c r="P647" s="12">
        <f>ROUND(O647*L647,2)</f>
        <v>387</v>
      </c>
      <c r="Q647" s="13">
        <f>IF(N647="HKD",7.8,IF(N647="CNY",7.30034,1))</f>
        <v>7.3003400000000003</v>
      </c>
      <c r="R647" s="15">
        <f>+ROUND(O647/Q647,4)</f>
        <v>0.29449999999999998</v>
      </c>
      <c r="S647" s="14">
        <f>ROUND(R647*L647,2)</f>
        <v>53.01</v>
      </c>
      <c r="T647" s="15" t="s">
        <v>349</v>
      </c>
      <c r="U647" t="s">
        <v>25</v>
      </c>
    </row>
    <row r="648" spans="1:21" x14ac:dyDescent="0.2">
      <c r="A648" t="s">
        <v>2733</v>
      </c>
      <c r="B648" s="24">
        <v>45733</v>
      </c>
      <c r="C648" s="24">
        <v>45729</v>
      </c>
      <c r="D648" t="s">
        <v>5</v>
      </c>
      <c r="E648" t="s">
        <v>6</v>
      </c>
      <c r="G648" t="s">
        <v>3042</v>
      </c>
      <c r="H648" t="s">
        <v>496</v>
      </c>
      <c r="I648" t="s">
        <v>497</v>
      </c>
      <c r="J648" s="11" t="str">
        <f>+LEFT(U648,4)</f>
        <v>SHTS</v>
      </c>
      <c r="K648" t="s">
        <v>10</v>
      </c>
      <c r="L648">
        <v>1015</v>
      </c>
      <c r="M648" t="s">
        <v>1472</v>
      </c>
      <c r="N648" t="s">
        <v>11</v>
      </c>
      <c r="O648">
        <v>2.15</v>
      </c>
      <c r="P648" s="12">
        <f>ROUND(O648*L648,2)</f>
        <v>2182.25</v>
      </c>
      <c r="Q648" s="13">
        <f>IF(N648="HKD",7.8,IF(N648="CNY",7.30034,1))</f>
        <v>7.3003400000000003</v>
      </c>
      <c r="R648" s="15">
        <f>+ROUND(O648/Q648,4)</f>
        <v>0.29449999999999998</v>
      </c>
      <c r="S648" s="14">
        <f>ROUND(R648*L648,2)</f>
        <v>298.92</v>
      </c>
      <c r="T648" s="15" t="s">
        <v>349</v>
      </c>
      <c r="U648" t="s">
        <v>9</v>
      </c>
    </row>
    <row r="649" spans="1:21" x14ac:dyDescent="0.2">
      <c r="A649" t="s">
        <v>2308</v>
      </c>
      <c r="B649" s="24">
        <v>45719</v>
      </c>
      <c r="C649" s="24">
        <v>45664</v>
      </c>
      <c r="D649" t="s">
        <v>28</v>
      </c>
      <c r="E649" t="s">
        <v>29</v>
      </c>
      <c r="G649" t="s">
        <v>2874</v>
      </c>
      <c r="H649" t="s">
        <v>3072</v>
      </c>
      <c r="I649" t="s">
        <v>3289</v>
      </c>
      <c r="J649" s="11" t="str">
        <f>+LEFT(U649,4)</f>
        <v>LHDL</v>
      </c>
      <c r="K649" t="s">
        <v>10</v>
      </c>
      <c r="L649">
        <v>1530</v>
      </c>
      <c r="M649" t="s">
        <v>1472</v>
      </c>
      <c r="N649" t="s">
        <v>11</v>
      </c>
      <c r="O649">
        <v>2.1898</v>
      </c>
      <c r="P649" s="12">
        <f>ROUND(O649*L649,2)</f>
        <v>3350.39</v>
      </c>
      <c r="Q649" s="13">
        <f>IF(N649="HKD",7.8,IF(N649="CNY",7.30034,1))</f>
        <v>7.3003400000000003</v>
      </c>
      <c r="R649" s="15">
        <f>+ROUND(O649/Q649,4)</f>
        <v>0.3</v>
      </c>
      <c r="S649" s="14">
        <f>ROUND(R649*L649,2)</f>
        <v>459</v>
      </c>
      <c r="T649" s="15" t="s">
        <v>349</v>
      </c>
      <c r="U649" t="s">
        <v>125</v>
      </c>
    </row>
    <row r="650" spans="1:21" x14ac:dyDescent="0.2">
      <c r="A650" t="s">
        <v>2309</v>
      </c>
      <c r="B650" s="24">
        <v>45719</v>
      </c>
      <c r="C650" s="24">
        <v>45664</v>
      </c>
      <c r="D650" t="s">
        <v>28</v>
      </c>
      <c r="E650" t="s">
        <v>29</v>
      </c>
      <c r="G650" t="s">
        <v>2874</v>
      </c>
      <c r="H650" t="s">
        <v>3073</v>
      </c>
      <c r="I650" t="s">
        <v>948</v>
      </c>
      <c r="J650" s="11" t="str">
        <f>+LEFT(U650,4)</f>
        <v>LHDL</v>
      </c>
      <c r="K650" t="s">
        <v>10</v>
      </c>
      <c r="L650">
        <v>510</v>
      </c>
      <c r="M650" t="s">
        <v>1472</v>
      </c>
      <c r="N650" t="s">
        <v>11</v>
      </c>
      <c r="O650">
        <v>2.1898</v>
      </c>
      <c r="P650" s="12">
        <f>ROUND(O650*L650,2)</f>
        <v>1116.8</v>
      </c>
      <c r="Q650" s="13">
        <f>IF(N650="HKD",7.8,IF(N650="CNY",7.30034,1))</f>
        <v>7.3003400000000003</v>
      </c>
      <c r="R650" s="15">
        <f>+ROUND(O650/Q650,4)</f>
        <v>0.3</v>
      </c>
      <c r="S650" s="14">
        <f>ROUND(R650*L650,2)</f>
        <v>153</v>
      </c>
      <c r="T650" s="15" t="s">
        <v>349</v>
      </c>
      <c r="U650" t="s">
        <v>125</v>
      </c>
    </row>
    <row r="651" spans="1:21" x14ac:dyDescent="0.2">
      <c r="A651" t="s">
        <v>2310</v>
      </c>
      <c r="B651" s="24">
        <v>45719</v>
      </c>
      <c r="C651" s="24">
        <v>45664</v>
      </c>
      <c r="D651" t="s">
        <v>28</v>
      </c>
      <c r="E651" t="s">
        <v>29</v>
      </c>
      <c r="G651" t="s">
        <v>2874</v>
      </c>
      <c r="H651" t="s">
        <v>3074</v>
      </c>
      <c r="I651" t="s">
        <v>3290</v>
      </c>
      <c r="J651" s="11" t="str">
        <f>+LEFT(U651,4)</f>
        <v>LHDL</v>
      </c>
      <c r="K651" t="s">
        <v>10</v>
      </c>
      <c r="L651">
        <v>1530</v>
      </c>
      <c r="M651" t="s">
        <v>1472</v>
      </c>
      <c r="N651" t="s">
        <v>11</v>
      </c>
      <c r="O651">
        <v>2.1898</v>
      </c>
      <c r="P651" s="12">
        <f>ROUND(O651*L651,2)</f>
        <v>3350.39</v>
      </c>
      <c r="Q651" s="13">
        <f>IF(N651="HKD",7.8,IF(N651="CNY",7.30034,1))</f>
        <v>7.3003400000000003</v>
      </c>
      <c r="R651" s="15">
        <f>+ROUND(O651/Q651,4)</f>
        <v>0.3</v>
      </c>
      <c r="S651" s="14">
        <f>ROUND(R651*L651,2)</f>
        <v>459</v>
      </c>
      <c r="T651" s="15" t="s">
        <v>349</v>
      </c>
      <c r="U651" t="s">
        <v>125</v>
      </c>
    </row>
    <row r="652" spans="1:21" x14ac:dyDescent="0.2">
      <c r="A652" t="s">
        <v>2311</v>
      </c>
      <c r="B652" s="24">
        <v>45719</v>
      </c>
      <c r="C652" s="24">
        <v>45664</v>
      </c>
      <c r="D652" t="s">
        <v>28</v>
      </c>
      <c r="E652" t="s">
        <v>29</v>
      </c>
      <c r="G652" t="s">
        <v>2874</v>
      </c>
      <c r="H652" t="s">
        <v>3075</v>
      </c>
      <c r="I652" t="s">
        <v>3291</v>
      </c>
      <c r="J652" s="11" t="str">
        <f>+LEFT(U652,4)</f>
        <v>LHDL</v>
      </c>
      <c r="K652" t="s">
        <v>10</v>
      </c>
      <c r="L652">
        <v>1010</v>
      </c>
      <c r="M652" t="s">
        <v>1472</v>
      </c>
      <c r="N652" t="s">
        <v>11</v>
      </c>
      <c r="O652">
        <v>2.1898</v>
      </c>
      <c r="P652" s="12">
        <f>ROUND(O652*L652,2)</f>
        <v>2211.6999999999998</v>
      </c>
      <c r="Q652" s="13">
        <f>IF(N652="HKD",7.8,IF(N652="CNY",7.30034,1))</f>
        <v>7.3003400000000003</v>
      </c>
      <c r="R652" s="15">
        <f>+ROUND(O652/Q652,4)</f>
        <v>0.3</v>
      </c>
      <c r="S652" s="14">
        <f>ROUND(R652*L652,2)</f>
        <v>303</v>
      </c>
      <c r="T652" s="15" t="s">
        <v>349</v>
      </c>
      <c r="U652" t="s">
        <v>125</v>
      </c>
    </row>
    <row r="653" spans="1:21" x14ac:dyDescent="0.2">
      <c r="A653" t="s">
        <v>2437</v>
      </c>
      <c r="B653" s="24">
        <v>45733</v>
      </c>
      <c r="C653" s="24">
        <v>45702</v>
      </c>
      <c r="D653" t="s">
        <v>28</v>
      </c>
      <c r="E653" t="s">
        <v>29</v>
      </c>
      <c r="G653" t="s">
        <v>2936</v>
      </c>
      <c r="H653" t="s">
        <v>3126</v>
      </c>
      <c r="I653" t="s">
        <v>3336</v>
      </c>
      <c r="J653" s="11" t="str">
        <f>+LEFT(U653,4)</f>
        <v>LHDL</v>
      </c>
      <c r="K653" t="s">
        <v>10</v>
      </c>
      <c r="L653">
        <v>530</v>
      </c>
      <c r="M653" t="s">
        <v>1472</v>
      </c>
      <c r="N653" t="s">
        <v>11</v>
      </c>
      <c r="O653">
        <v>2.1898</v>
      </c>
      <c r="P653" s="12">
        <f>ROUND(O653*L653,2)</f>
        <v>1160.5899999999999</v>
      </c>
      <c r="Q653" s="13">
        <f>IF(N653="HKD",7.8,IF(N653="CNY",7.30034,1))</f>
        <v>7.3003400000000003</v>
      </c>
      <c r="R653" s="15">
        <f>+ROUND(O653/Q653,4)</f>
        <v>0.3</v>
      </c>
      <c r="S653" s="14">
        <f>ROUND(R653*L653,2)</f>
        <v>159</v>
      </c>
      <c r="T653" s="15" t="s">
        <v>349</v>
      </c>
      <c r="U653" t="s">
        <v>125</v>
      </c>
    </row>
    <row r="654" spans="1:21" x14ac:dyDescent="0.2">
      <c r="A654" t="s">
        <v>2557</v>
      </c>
      <c r="B654" s="24">
        <v>45736</v>
      </c>
      <c r="C654" s="24">
        <v>45716</v>
      </c>
      <c r="D654" t="s">
        <v>149</v>
      </c>
      <c r="E654" t="s">
        <v>150</v>
      </c>
      <c r="G654" t="s">
        <v>2994</v>
      </c>
      <c r="H654" t="s">
        <v>3174</v>
      </c>
      <c r="I654" t="s">
        <v>3381</v>
      </c>
      <c r="J654" s="11" t="str">
        <f>+LEFT(U654,4)</f>
        <v>GLID</v>
      </c>
      <c r="K654" t="s">
        <v>10</v>
      </c>
      <c r="L654">
        <v>1030</v>
      </c>
      <c r="M654" t="s">
        <v>1472</v>
      </c>
      <c r="N654" t="s">
        <v>11</v>
      </c>
      <c r="O654">
        <v>2.2637999999999998</v>
      </c>
      <c r="P654" s="12">
        <f>ROUND(O654*L654,2)</f>
        <v>2331.71</v>
      </c>
      <c r="Q654" s="13">
        <f>IF(N654="HKD",7.8,IF(N654="CNY",7.30034,1))</f>
        <v>7.3003400000000003</v>
      </c>
      <c r="R654" s="15">
        <f>+ROUND(O654/Q654,4)</f>
        <v>0.31009999999999999</v>
      </c>
      <c r="S654" s="14">
        <f>ROUND(R654*L654,2)</f>
        <v>319.39999999999998</v>
      </c>
      <c r="T654" s="15" t="s">
        <v>349</v>
      </c>
      <c r="U654" t="s">
        <v>78</v>
      </c>
    </row>
    <row r="655" spans="1:21" x14ac:dyDescent="0.2">
      <c r="A655" t="s">
        <v>2685</v>
      </c>
      <c r="B655" s="24">
        <v>45728</v>
      </c>
      <c r="C655" s="24">
        <v>45727</v>
      </c>
      <c r="D655" t="s">
        <v>5</v>
      </c>
      <c r="E655" t="s">
        <v>6</v>
      </c>
      <c r="G655" t="s">
        <v>3030</v>
      </c>
      <c r="H655" t="s">
        <v>3224</v>
      </c>
      <c r="I655" t="s">
        <v>3431</v>
      </c>
      <c r="J655" s="11" t="str">
        <f>+LEFT(U655,4)</f>
        <v>BOX-</v>
      </c>
      <c r="K655" t="s">
        <v>10</v>
      </c>
      <c r="L655">
        <v>1000</v>
      </c>
      <c r="M655" t="s">
        <v>1472</v>
      </c>
      <c r="N655" t="s">
        <v>11</v>
      </c>
      <c r="O655">
        <v>2.27</v>
      </c>
      <c r="P655" s="12">
        <f>ROUND(O655*L655,2)</f>
        <v>2270</v>
      </c>
      <c r="Q655" s="13">
        <f>IF(N655="HKD",7.8,IF(N655="CNY",7.30034,1))</f>
        <v>7.3003400000000003</v>
      </c>
      <c r="R655" s="15">
        <f>+ROUND(O655/Q655,4)</f>
        <v>0.31090000000000001</v>
      </c>
      <c r="S655" s="14">
        <f>ROUND(R655*L655,2)</f>
        <v>310.89999999999998</v>
      </c>
      <c r="T655" s="15" t="s">
        <v>349</v>
      </c>
      <c r="U655" t="s">
        <v>1</v>
      </c>
    </row>
    <row r="656" spans="1:21" x14ac:dyDescent="0.2">
      <c r="A656" t="s">
        <v>2346</v>
      </c>
      <c r="B656" s="24">
        <v>45728</v>
      </c>
      <c r="C656" s="24">
        <v>45677</v>
      </c>
      <c r="D656" t="s">
        <v>5</v>
      </c>
      <c r="E656" t="s">
        <v>6</v>
      </c>
      <c r="G656" t="s">
        <v>2866</v>
      </c>
      <c r="H656" t="s">
        <v>1676</v>
      </c>
      <c r="I656" t="s">
        <v>1677</v>
      </c>
      <c r="J656" s="11" t="str">
        <f>+LEFT(U656,4)</f>
        <v>SHTS</v>
      </c>
      <c r="K656" t="s">
        <v>10</v>
      </c>
      <c r="L656">
        <v>1010</v>
      </c>
      <c r="M656" t="s">
        <v>1472</v>
      </c>
      <c r="N656" t="s">
        <v>11</v>
      </c>
      <c r="O656">
        <v>2.27</v>
      </c>
      <c r="P656" s="12">
        <f>ROUND(O656*L656,2)</f>
        <v>2292.6999999999998</v>
      </c>
      <c r="Q656" s="13">
        <f>IF(N656="HKD",7.8,IF(N656="CNY",7.30034,1))</f>
        <v>7.3003400000000003</v>
      </c>
      <c r="R656" s="15">
        <f>+ROUND(O656/Q656,4)</f>
        <v>0.31090000000000001</v>
      </c>
      <c r="S656" s="14">
        <f>ROUND(R656*L656,2)</f>
        <v>314.01</v>
      </c>
      <c r="T656" s="15" t="s">
        <v>349</v>
      </c>
      <c r="U656" t="s">
        <v>9</v>
      </c>
    </row>
    <row r="657" spans="1:21" x14ac:dyDescent="0.2">
      <c r="A657" t="s">
        <v>2326</v>
      </c>
      <c r="B657" s="24">
        <v>45726</v>
      </c>
      <c r="C657" s="24">
        <v>45664</v>
      </c>
      <c r="D657" t="s">
        <v>2817</v>
      </c>
      <c r="E657" t="s">
        <v>2818</v>
      </c>
      <c r="G657" t="s">
        <v>2883</v>
      </c>
      <c r="H657" t="s">
        <v>3082</v>
      </c>
      <c r="I657" t="s">
        <v>3298</v>
      </c>
      <c r="J657" s="11" t="str">
        <f>+LEFT(U657,4)</f>
        <v>LID-</v>
      </c>
      <c r="K657" t="s">
        <v>10</v>
      </c>
      <c r="L657">
        <v>1020</v>
      </c>
      <c r="M657" t="s">
        <v>1472</v>
      </c>
      <c r="N657" t="s">
        <v>2246</v>
      </c>
      <c r="O657">
        <v>2.2799999999999998</v>
      </c>
      <c r="P657" s="12">
        <f>ROUND(O657*L657,2)</f>
        <v>2325.6</v>
      </c>
      <c r="Q657" s="13">
        <f>IF(N657="HKD",7.8,IF(N657="CNY",7.30034,1))</f>
        <v>1</v>
      </c>
      <c r="R657" s="15">
        <f>+ROUND(O657/Q657,4)</f>
        <v>2.2799999999999998</v>
      </c>
      <c r="S657" s="14">
        <f>ROUND(R657*L657,2)</f>
        <v>2325.6</v>
      </c>
      <c r="T657" s="15" t="s">
        <v>349</v>
      </c>
      <c r="U657" t="s">
        <v>368</v>
      </c>
    </row>
    <row r="658" spans="1:21" x14ac:dyDescent="0.2">
      <c r="A658" t="s">
        <v>2686</v>
      </c>
      <c r="B658" s="24">
        <v>45728</v>
      </c>
      <c r="C658" s="24">
        <v>45727</v>
      </c>
      <c r="D658" t="s">
        <v>5</v>
      </c>
      <c r="E658" t="s">
        <v>6</v>
      </c>
      <c r="G658" t="s">
        <v>3030</v>
      </c>
      <c r="H658" t="s">
        <v>3225</v>
      </c>
      <c r="I658" t="s">
        <v>3432</v>
      </c>
      <c r="J658" s="11" t="str">
        <f>+LEFT(U658,4)</f>
        <v>BOX-</v>
      </c>
      <c r="K658" t="s">
        <v>10</v>
      </c>
      <c r="L658">
        <v>1000</v>
      </c>
      <c r="M658" t="s">
        <v>1472</v>
      </c>
      <c r="N658" t="s">
        <v>11</v>
      </c>
      <c r="O658">
        <v>2.29</v>
      </c>
      <c r="P658" s="12">
        <f>ROUND(O658*L658,2)</f>
        <v>2290</v>
      </c>
      <c r="Q658" s="13">
        <f>IF(N658="HKD",7.8,IF(N658="CNY",7.30034,1))</f>
        <v>7.3003400000000003</v>
      </c>
      <c r="R658" s="15">
        <f>+ROUND(O658/Q658,4)</f>
        <v>0.31369999999999998</v>
      </c>
      <c r="S658" s="14">
        <f>ROUND(R658*L658,2)</f>
        <v>313.7</v>
      </c>
      <c r="T658" s="15" t="s">
        <v>349</v>
      </c>
      <c r="U658" t="s">
        <v>1</v>
      </c>
    </row>
    <row r="659" spans="1:21" x14ac:dyDescent="0.2">
      <c r="A659" t="s">
        <v>2275</v>
      </c>
      <c r="B659" s="24">
        <v>45720</v>
      </c>
      <c r="C659" s="24">
        <v>45509</v>
      </c>
      <c r="D659" t="s">
        <v>128</v>
      </c>
      <c r="E659" t="s">
        <v>129</v>
      </c>
      <c r="G659" t="s">
        <v>2843</v>
      </c>
      <c r="H659" t="s">
        <v>26</v>
      </c>
      <c r="I659" t="s">
        <v>27</v>
      </c>
      <c r="J659" s="11" t="str">
        <f>+LEFT(U659,4)</f>
        <v>KNOB</v>
      </c>
      <c r="K659" t="s">
        <v>10</v>
      </c>
      <c r="L659">
        <v>-1209</v>
      </c>
      <c r="M659" t="s">
        <v>1472</v>
      </c>
      <c r="N659" t="s">
        <v>11</v>
      </c>
      <c r="O659">
        <v>2.2957000000000001</v>
      </c>
      <c r="P659" s="12">
        <f>ROUND(O659*L659,2)</f>
        <v>-2775.5</v>
      </c>
      <c r="Q659" s="13">
        <f>IF(N659="HKD",7.8,IF(N659="CNY",7.30034,1))</f>
        <v>7.3003400000000003</v>
      </c>
      <c r="R659" s="15">
        <f>+ROUND(O659/Q659,4)</f>
        <v>0.3145</v>
      </c>
      <c r="S659" s="14">
        <f>ROUND(R659*L659,2)</f>
        <v>-380.23</v>
      </c>
      <c r="T659" s="15" t="s">
        <v>349</v>
      </c>
      <c r="U659" t="s">
        <v>32</v>
      </c>
    </row>
    <row r="660" spans="1:21" x14ac:dyDescent="0.2">
      <c r="A660" t="s">
        <v>2275</v>
      </c>
      <c r="B660" s="24">
        <v>45730</v>
      </c>
      <c r="C660" s="24">
        <v>45509</v>
      </c>
      <c r="D660" t="s">
        <v>128</v>
      </c>
      <c r="E660" t="s">
        <v>129</v>
      </c>
      <c r="G660" t="s">
        <v>2842</v>
      </c>
      <c r="H660" t="s">
        <v>26</v>
      </c>
      <c r="I660" t="s">
        <v>27</v>
      </c>
      <c r="J660" s="11" t="str">
        <f>+LEFT(U660,4)</f>
        <v>KNOB</v>
      </c>
      <c r="K660" t="s">
        <v>10</v>
      </c>
      <c r="L660">
        <v>1209</v>
      </c>
      <c r="M660" t="s">
        <v>1472</v>
      </c>
      <c r="N660" t="s">
        <v>11</v>
      </c>
      <c r="O660">
        <v>2.2957000000000001</v>
      </c>
      <c r="P660" s="12">
        <f>ROUND(O660*L660,2)</f>
        <v>2775.5</v>
      </c>
      <c r="Q660" s="13">
        <f>IF(N660="HKD",7.8,IF(N660="CNY",7.30034,1))</f>
        <v>7.3003400000000003</v>
      </c>
      <c r="R660" s="15">
        <f>+ROUND(O660/Q660,4)</f>
        <v>0.3145</v>
      </c>
      <c r="S660" s="14">
        <f>ROUND(R660*L660,2)</f>
        <v>380.23</v>
      </c>
      <c r="T660" s="15" t="s">
        <v>349</v>
      </c>
      <c r="U660" t="s">
        <v>32</v>
      </c>
    </row>
    <row r="661" spans="1:21" x14ac:dyDescent="0.2">
      <c r="A661" t="s">
        <v>2612</v>
      </c>
      <c r="B661" s="24">
        <v>45741</v>
      </c>
      <c r="C661" s="24">
        <v>45720</v>
      </c>
      <c r="D661" t="s">
        <v>651</v>
      </c>
      <c r="E661" t="s">
        <v>652</v>
      </c>
      <c r="G661" t="s">
        <v>3014</v>
      </c>
      <c r="H661" t="s">
        <v>3200</v>
      </c>
      <c r="I661" t="s">
        <v>3407</v>
      </c>
      <c r="J661" s="11" t="str">
        <f>+LEFT(U661,4)</f>
        <v>HDL-</v>
      </c>
      <c r="K661" t="s">
        <v>10</v>
      </c>
      <c r="L661">
        <v>3400</v>
      </c>
      <c r="M661" t="s">
        <v>1472</v>
      </c>
      <c r="N661" t="s">
        <v>11</v>
      </c>
      <c r="O661">
        <v>2.3401999999999998</v>
      </c>
      <c r="P661" s="12">
        <f>ROUND(O661*L661,2)</f>
        <v>7956.68</v>
      </c>
      <c r="Q661" s="13">
        <f>IF(N661="HKD",7.8,IF(N661="CNY",7.30034,1))</f>
        <v>7.3003400000000003</v>
      </c>
      <c r="R661" s="15">
        <f>+ROUND(O661/Q661,4)</f>
        <v>0.3206</v>
      </c>
      <c r="S661" s="14">
        <f>ROUND(R661*L661,2)</f>
        <v>1090.04</v>
      </c>
      <c r="T661" s="15" t="s">
        <v>349</v>
      </c>
      <c r="U661" t="s">
        <v>228</v>
      </c>
    </row>
    <row r="662" spans="1:21" x14ac:dyDescent="0.2">
      <c r="A662" t="s">
        <v>2714</v>
      </c>
      <c r="B662" s="24">
        <v>45747</v>
      </c>
      <c r="C662" s="24">
        <v>45728</v>
      </c>
      <c r="D662" t="s">
        <v>651</v>
      </c>
      <c r="E662" t="s">
        <v>652</v>
      </c>
      <c r="G662" t="s">
        <v>3019</v>
      </c>
      <c r="H662" t="s">
        <v>3200</v>
      </c>
      <c r="I662" t="s">
        <v>3407</v>
      </c>
      <c r="J662" s="11" t="str">
        <f>+LEFT(U662,4)</f>
        <v>HDL-</v>
      </c>
      <c r="K662" t="s">
        <v>10</v>
      </c>
      <c r="L662">
        <v>3030</v>
      </c>
      <c r="M662" t="s">
        <v>1472</v>
      </c>
      <c r="N662" t="s">
        <v>11</v>
      </c>
      <c r="O662">
        <v>2.3401999999999998</v>
      </c>
      <c r="P662" s="12">
        <f>ROUND(O662*L662,2)</f>
        <v>7090.81</v>
      </c>
      <c r="Q662" s="13">
        <f>IF(N662="HKD",7.8,IF(N662="CNY",7.30034,1))</f>
        <v>7.3003400000000003</v>
      </c>
      <c r="R662" s="15">
        <f>+ROUND(O662/Q662,4)</f>
        <v>0.3206</v>
      </c>
      <c r="S662" s="14">
        <f>ROUND(R662*L662,2)</f>
        <v>971.42</v>
      </c>
      <c r="T662" s="15" t="s">
        <v>349</v>
      </c>
      <c r="U662" t="s">
        <v>228</v>
      </c>
    </row>
    <row r="663" spans="1:21" x14ac:dyDescent="0.2">
      <c r="A663" t="s">
        <v>2425</v>
      </c>
      <c r="B663" s="24">
        <v>45741</v>
      </c>
      <c r="C663" s="24">
        <v>45702</v>
      </c>
      <c r="D663" t="s">
        <v>709</v>
      </c>
      <c r="E663" t="s">
        <v>710</v>
      </c>
      <c r="G663" t="s">
        <v>2930</v>
      </c>
      <c r="H663" t="s">
        <v>3114</v>
      </c>
      <c r="I663" t="s">
        <v>3328</v>
      </c>
      <c r="J663" s="11" t="str">
        <f>+LEFT(U663,4)</f>
        <v>HDL-</v>
      </c>
      <c r="K663" t="s">
        <v>10</v>
      </c>
      <c r="L663">
        <v>1020</v>
      </c>
      <c r="M663" t="s">
        <v>1472</v>
      </c>
      <c r="N663" t="s">
        <v>11</v>
      </c>
      <c r="O663">
        <v>2.3549000000000002</v>
      </c>
      <c r="P663" s="12">
        <f>ROUND(O663*L663,2)</f>
        <v>2402</v>
      </c>
      <c r="Q663" s="13">
        <f>IF(N663="HKD",7.8,IF(N663="CNY",7.30034,1))</f>
        <v>7.3003400000000003</v>
      </c>
      <c r="R663" s="15">
        <f>+ROUND(O663/Q663,4)</f>
        <v>0.3226</v>
      </c>
      <c r="S663" s="14">
        <f>ROUND(R663*L663,2)</f>
        <v>329.05</v>
      </c>
      <c r="T663" s="15" t="s">
        <v>349</v>
      </c>
      <c r="U663" t="s">
        <v>228</v>
      </c>
    </row>
    <row r="664" spans="1:21" x14ac:dyDescent="0.2">
      <c r="A664" t="s">
        <v>2341</v>
      </c>
      <c r="B664" s="24">
        <v>45720</v>
      </c>
      <c r="C664" s="24">
        <v>45674</v>
      </c>
      <c r="D664" t="s">
        <v>128</v>
      </c>
      <c r="E664" t="s">
        <v>129</v>
      </c>
      <c r="G664" t="s">
        <v>2886</v>
      </c>
      <c r="H664" t="s">
        <v>26</v>
      </c>
      <c r="I664" t="s">
        <v>27</v>
      </c>
      <c r="J664" s="11" t="str">
        <f>+LEFT(U664,4)</f>
        <v>KNOB</v>
      </c>
      <c r="K664" t="s">
        <v>10</v>
      </c>
      <c r="L664">
        <v>840</v>
      </c>
      <c r="M664" t="s">
        <v>1472</v>
      </c>
      <c r="N664" t="s">
        <v>11</v>
      </c>
      <c r="O664">
        <v>2.3666999999999998</v>
      </c>
      <c r="P664" s="12">
        <f>ROUND(O664*L664,2)</f>
        <v>1988.03</v>
      </c>
      <c r="Q664" s="13">
        <f>IF(N664="HKD",7.8,IF(N664="CNY",7.30034,1))</f>
        <v>7.3003400000000003</v>
      </c>
      <c r="R664" s="15">
        <f>+ROUND(O664/Q664,4)</f>
        <v>0.32419999999999999</v>
      </c>
      <c r="S664" s="14">
        <f>ROUND(R664*L664,2)</f>
        <v>272.33</v>
      </c>
      <c r="T664" s="15" t="s">
        <v>349</v>
      </c>
      <c r="U664" t="s">
        <v>32</v>
      </c>
    </row>
    <row r="665" spans="1:21" x14ac:dyDescent="0.2">
      <c r="A665" t="s">
        <v>2341</v>
      </c>
      <c r="B665" s="24">
        <v>45730</v>
      </c>
      <c r="C665" s="24">
        <v>45674</v>
      </c>
      <c r="D665" t="s">
        <v>128</v>
      </c>
      <c r="E665" t="s">
        <v>129</v>
      </c>
      <c r="G665" t="s">
        <v>2842</v>
      </c>
      <c r="H665" t="s">
        <v>26</v>
      </c>
      <c r="I665" t="s">
        <v>27</v>
      </c>
      <c r="J665" s="11" t="str">
        <f>+LEFT(U665,4)</f>
        <v>KNOB</v>
      </c>
      <c r="K665" t="s">
        <v>10</v>
      </c>
      <c r="L665">
        <v>1060</v>
      </c>
      <c r="M665" t="s">
        <v>1472</v>
      </c>
      <c r="N665" t="s">
        <v>11</v>
      </c>
      <c r="O665">
        <v>2.3666999999999998</v>
      </c>
      <c r="P665" s="12">
        <f>ROUND(O665*L665,2)</f>
        <v>2508.6999999999998</v>
      </c>
      <c r="Q665" s="13">
        <f>IF(N665="HKD",7.8,IF(N665="CNY",7.30034,1))</f>
        <v>7.3003400000000003</v>
      </c>
      <c r="R665" s="15">
        <f>+ROUND(O665/Q665,4)</f>
        <v>0.32419999999999999</v>
      </c>
      <c r="S665" s="14">
        <f>ROUND(R665*L665,2)</f>
        <v>343.65</v>
      </c>
      <c r="T665" s="15" t="s">
        <v>349</v>
      </c>
      <c r="U665" t="s">
        <v>32</v>
      </c>
    </row>
    <row r="666" spans="1:21" x14ac:dyDescent="0.2">
      <c r="A666" t="s">
        <v>2632</v>
      </c>
      <c r="B666" s="24">
        <v>45747</v>
      </c>
      <c r="C666" s="24">
        <v>45721</v>
      </c>
      <c r="D666" t="s">
        <v>651</v>
      </c>
      <c r="E666" t="s">
        <v>652</v>
      </c>
      <c r="G666" t="s">
        <v>3019</v>
      </c>
      <c r="H666" t="s">
        <v>3200</v>
      </c>
      <c r="I666" t="s">
        <v>3407</v>
      </c>
      <c r="J666" s="11" t="str">
        <f>+LEFT(U666,4)</f>
        <v>HDL-</v>
      </c>
      <c r="K666" t="s">
        <v>10</v>
      </c>
      <c r="L666">
        <v>1250</v>
      </c>
      <c r="M666" t="s">
        <v>1472</v>
      </c>
      <c r="N666" t="s">
        <v>11</v>
      </c>
      <c r="O666">
        <v>2.3879999999999999</v>
      </c>
      <c r="P666" s="12">
        <f>ROUND(O666*L666,2)</f>
        <v>2985</v>
      </c>
      <c r="Q666" s="13">
        <f>IF(N666="HKD",7.8,IF(N666="CNY",7.30034,1))</f>
        <v>7.3003400000000003</v>
      </c>
      <c r="R666" s="15">
        <f>+ROUND(O666/Q666,4)</f>
        <v>0.3271</v>
      </c>
      <c r="S666" s="14">
        <f>ROUND(R666*L666,2)</f>
        <v>408.88</v>
      </c>
      <c r="T666" s="15" t="s">
        <v>349</v>
      </c>
      <c r="U666" t="s">
        <v>228</v>
      </c>
    </row>
    <row r="667" spans="1:21" x14ac:dyDescent="0.2">
      <c r="A667" t="s">
        <v>2791</v>
      </c>
      <c r="B667" s="24">
        <v>45736</v>
      </c>
      <c r="C667" s="24">
        <v>45735</v>
      </c>
      <c r="D667" t="s">
        <v>5</v>
      </c>
      <c r="E667" t="s">
        <v>6</v>
      </c>
      <c r="G667" t="s">
        <v>3051</v>
      </c>
      <c r="H667" t="s">
        <v>3263</v>
      </c>
      <c r="I667" t="s">
        <v>3470</v>
      </c>
      <c r="J667" s="11" t="str">
        <f>+LEFT(U667,4)</f>
        <v>BOX-</v>
      </c>
      <c r="K667" t="s">
        <v>10</v>
      </c>
      <c r="L667">
        <v>505</v>
      </c>
      <c r="M667" t="s">
        <v>1472</v>
      </c>
      <c r="N667" t="s">
        <v>11</v>
      </c>
      <c r="O667">
        <v>2.4500000000000002</v>
      </c>
      <c r="P667" s="12">
        <f>ROUND(O667*L667,2)</f>
        <v>1237.25</v>
      </c>
      <c r="Q667" s="13">
        <f>IF(N667="HKD",7.8,IF(N667="CNY",7.30034,1))</f>
        <v>7.3003400000000003</v>
      </c>
      <c r="R667" s="15">
        <f>+ROUND(O667/Q667,4)</f>
        <v>0.33560000000000001</v>
      </c>
      <c r="S667" s="14">
        <f>ROUND(R667*L667,2)</f>
        <v>169.48</v>
      </c>
      <c r="T667" s="15" t="s">
        <v>349</v>
      </c>
      <c r="U667" t="s">
        <v>1</v>
      </c>
    </row>
    <row r="668" spans="1:21" x14ac:dyDescent="0.2">
      <c r="A668" t="s">
        <v>2319</v>
      </c>
      <c r="B668" s="24">
        <v>45719</v>
      </c>
      <c r="C668" s="24">
        <v>45664</v>
      </c>
      <c r="D668" t="s">
        <v>925</v>
      </c>
      <c r="E668" t="s">
        <v>926</v>
      </c>
      <c r="G668" t="s">
        <v>2878</v>
      </c>
      <c r="H668" t="s">
        <v>3080</v>
      </c>
      <c r="I668" t="s">
        <v>3296</v>
      </c>
      <c r="J668" s="11" t="str">
        <f>+LEFT(U668,4)</f>
        <v>SHDL</v>
      </c>
      <c r="K668" t="s">
        <v>10</v>
      </c>
      <c r="L668">
        <v>2010</v>
      </c>
      <c r="M668" t="s">
        <v>1472</v>
      </c>
      <c r="N668" t="s">
        <v>11</v>
      </c>
      <c r="O668">
        <v>2.4539</v>
      </c>
      <c r="P668" s="12">
        <f>ROUND(O668*L668,2)</f>
        <v>4932.34</v>
      </c>
      <c r="Q668" s="13">
        <f>IF(N668="HKD",7.8,IF(N668="CNY",7.30034,1))</f>
        <v>7.3003400000000003</v>
      </c>
      <c r="R668" s="15">
        <f>+ROUND(O668/Q668,4)</f>
        <v>0.33610000000000001</v>
      </c>
      <c r="S668" s="14">
        <f>ROUND(R668*L668,2)</f>
        <v>675.56</v>
      </c>
      <c r="T668" s="15" t="s">
        <v>349</v>
      </c>
      <c r="U668" t="s">
        <v>722</v>
      </c>
    </row>
    <row r="669" spans="1:21" x14ac:dyDescent="0.2">
      <c r="A669" t="s">
        <v>2438</v>
      </c>
      <c r="B669" s="24">
        <v>45733</v>
      </c>
      <c r="C669" s="24">
        <v>45702</v>
      </c>
      <c r="D669" t="s">
        <v>28</v>
      </c>
      <c r="E669" t="s">
        <v>29</v>
      </c>
      <c r="G669" t="s">
        <v>2936</v>
      </c>
      <c r="H669" t="s">
        <v>3127</v>
      </c>
      <c r="I669" t="s">
        <v>3337</v>
      </c>
      <c r="J669" s="11" t="str">
        <f>+LEFT(U669,4)</f>
        <v>SHDL</v>
      </c>
      <c r="K669" t="s">
        <v>10</v>
      </c>
      <c r="L669">
        <v>1040</v>
      </c>
      <c r="M669" t="s">
        <v>1472</v>
      </c>
      <c r="N669" t="s">
        <v>11</v>
      </c>
      <c r="O669">
        <v>2.4588000000000001</v>
      </c>
      <c r="P669" s="12">
        <f>ROUND(O669*L669,2)</f>
        <v>2557.15</v>
      </c>
      <c r="Q669" s="13">
        <f>IF(N669="HKD",7.8,IF(N669="CNY",7.30034,1))</f>
        <v>7.3003400000000003</v>
      </c>
      <c r="R669" s="15">
        <f>+ROUND(O669/Q669,4)</f>
        <v>0.33679999999999999</v>
      </c>
      <c r="S669" s="14">
        <f>ROUND(R669*L669,2)</f>
        <v>350.27</v>
      </c>
      <c r="T669" s="15" t="s">
        <v>349</v>
      </c>
      <c r="U669" t="s">
        <v>722</v>
      </c>
    </row>
    <row r="670" spans="1:21" x14ac:dyDescent="0.2">
      <c r="A670" t="s">
        <v>2793</v>
      </c>
      <c r="B670" s="24">
        <v>45736</v>
      </c>
      <c r="C670" s="24">
        <v>45735</v>
      </c>
      <c r="D670" t="s">
        <v>5</v>
      </c>
      <c r="E670" t="s">
        <v>6</v>
      </c>
      <c r="G670" t="s">
        <v>3052</v>
      </c>
      <c r="H670" t="s">
        <v>509</v>
      </c>
      <c r="I670" t="s">
        <v>510</v>
      </c>
      <c r="J670" s="11" t="str">
        <f>+LEFT(U670,4)</f>
        <v>SHTS</v>
      </c>
      <c r="K670" t="s">
        <v>10</v>
      </c>
      <c r="L670">
        <v>1010</v>
      </c>
      <c r="M670" t="s">
        <v>1472</v>
      </c>
      <c r="N670" t="s">
        <v>11</v>
      </c>
      <c r="O670">
        <v>2.46</v>
      </c>
      <c r="P670" s="12">
        <f>ROUND(O670*L670,2)</f>
        <v>2484.6</v>
      </c>
      <c r="Q670" s="13">
        <f>IF(N670="HKD",7.8,IF(N670="CNY",7.30034,1))</f>
        <v>7.3003400000000003</v>
      </c>
      <c r="R670" s="15">
        <f>+ROUND(O670/Q670,4)</f>
        <v>0.33700000000000002</v>
      </c>
      <c r="S670" s="14">
        <f>ROUND(R670*L670,2)</f>
        <v>340.37</v>
      </c>
      <c r="T670" s="15" t="s">
        <v>349</v>
      </c>
      <c r="U670" t="s">
        <v>9</v>
      </c>
    </row>
    <row r="671" spans="1:21" x14ac:dyDescent="0.2">
      <c r="A671" t="s">
        <v>2809</v>
      </c>
      <c r="B671" s="24">
        <v>45742</v>
      </c>
      <c r="C671" s="24">
        <v>45737</v>
      </c>
      <c r="D671" t="s">
        <v>268</v>
      </c>
      <c r="E671" t="s">
        <v>269</v>
      </c>
      <c r="G671" t="s">
        <v>3055</v>
      </c>
      <c r="H671" t="s">
        <v>1686</v>
      </c>
      <c r="I671" t="s">
        <v>1687</v>
      </c>
      <c r="J671" s="11" t="str">
        <f>+LEFT(U671,4)</f>
        <v>MISC</v>
      </c>
      <c r="K671" t="s">
        <v>10</v>
      </c>
      <c r="L671">
        <v>3500</v>
      </c>
      <c r="M671" t="s">
        <v>1472</v>
      </c>
      <c r="N671" t="s">
        <v>11</v>
      </c>
      <c r="O671">
        <v>2.5</v>
      </c>
      <c r="P671" s="12">
        <f>ROUND(O671*L671,2)</f>
        <v>8750</v>
      </c>
      <c r="Q671" s="13">
        <f>IF(N671="HKD",7.8,IF(N671="CNY",7.30034,1))</f>
        <v>7.3003400000000003</v>
      </c>
      <c r="R671" s="15">
        <f>+ROUND(O671/Q671,4)</f>
        <v>0.34239999999999998</v>
      </c>
      <c r="S671" s="14">
        <f>ROUND(R671*L671,2)</f>
        <v>1198.4000000000001</v>
      </c>
      <c r="T671" s="15" t="s">
        <v>349</v>
      </c>
      <c r="U671" t="s">
        <v>25</v>
      </c>
    </row>
    <row r="672" spans="1:21" x14ac:dyDescent="0.2">
      <c r="A672" t="s">
        <v>2744</v>
      </c>
      <c r="B672" s="24">
        <v>45733</v>
      </c>
      <c r="C672" s="24">
        <v>45729</v>
      </c>
      <c r="D672" t="s">
        <v>5</v>
      </c>
      <c r="E672" t="s">
        <v>6</v>
      </c>
      <c r="G672" t="s">
        <v>3044</v>
      </c>
      <c r="H672" t="s">
        <v>380</v>
      </c>
      <c r="I672" t="s">
        <v>381</v>
      </c>
      <c r="J672" s="11" t="str">
        <f>+LEFT(U672,4)</f>
        <v>BOX-</v>
      </c>
      <c r="K672" t="s">
        <v>10</v>
      </c>
      <c r="L672">
        <v>1210</v>
      </c>
      <c r="M672" t="s">
        <v>1472</v>
      </c>
      <c r="N672" t="s">
        <v>11</v>
      </c>
      <c r="O672">
        <v>2.52</v>
      </c>
      <c r="P672" s="12">
        <f>ROUND(O672*L672,2)</f>
        <v>3049.2</v>
      </c>
      <c r="Q672" s="13">
        <f>IF(N672="HKD",7.8,IF(N672="CNY",7.30034,1))</f>
        <v>7.3003400000000003</v>
      </c>
      <c r="R672" s="15">
        <f>+ROUND(O672/Q672,4)</f>
        <v>0.34520000000000001</v>
      </c>
      <c r="S672" s="14">
        <f>ROUND(R672*L672,2)</f>
        <v>417.69</v>
      </c>
      <c r="T672" s="15" t="s">
        <v>349</v>
      </c>
      <c r="U672" t="s">
        <v>1</v>
      </c>
    </row>
    <row r="673" spans="1:21" x14ac:dyDescent="0.2">
      <c r="A673" t="s">
        <v>2745</v>
      </c>
      <c r="B673" s="24">
        <v>45733</v>
      </c>
      <c r="C673" s="24">
        <v>45729</v>
      </c>
      <c r="D673" t="s">
        <v>5</v>
      </c>
      <c r="E673" t="s">
        <v>6</v>
      </c>
      <c r="G673" t="s">
        <v>3044</v>
      </c>
      <c r="H673" t="s">
        <v>380</v>
      </c>
      <c r="I673" t="s">
        <v>381</v>
      </c>
      <c r="J673" s="11" t="str">
        <f>+LEFT(U673,4)</f>
        <v>BOX-</v>
      </c>
      <c r="K673" t="s">
        <v>10</v>
      </c>
      <c r="L673">
        <v>100</v>
      </c>
      <c r="M673" t="s">
        <v>1472</v>
      </c>
      <c r="N673" t="s">
        <v>11</v>
      </c>
      <c r="O673">
        <v>2.52</v>
      </c>
      <c r="P673" s="12">
        <f>ROUND(O673*L673,2)</f>
        <v>252</v>
      </c>
      <c r="Q673" s="13">
        <f>IF(N673="HKD",7.8,IF(N673="CNY",7.30034,1))</f>
        <v>7.3003400000000003</v>
      </c>
      <c r="R673" s="15">
        <f>+ROUND(O673/Q673,4)</f>
        <v>0.34520000000000001</v>
      </c>
      <c r="S673" s="14">
        <f>ROUND(R673*L673,2)</f>
        <v>34.520000000000003</v>
      </c>
      <c r="T673" s="15" t="s">
        <v>349</v>
      </c>
      <c r="U673" t="s">
        <v>1</v>
      </c>
    </row>
    <row r="674" spans="1:21" x14ac:dyDescent="0.2">
      <c r="A674" t="s">
        <v>2550</v>
      </c>
      <c r="B674" s="24">
        <v>45736</v>
      </c>
      <c r="C674" s="24">
        <v>45716</v>
      </c>
      <c r="D674" t="s">
        <v>149</v>
      </c>
      <c r="E674" t="s">
        <v>150</v>
      </c>
      <c r="G674" t="s">
        <v>2994</v>
      </c>
      <c r="H674" t="s">
        <v>1688</v>
      </c>
      <c r="I674" t="s">
        <v>1188</v>
      </c>
      <c r="J674" s="11" t="str">
        <f>+LEFT(U674,4)</f>
        <v>GLID</v>
      </c>
      <c r="K674" t="s">
        <v>10</v>
      </c>
      <c r="L674">
        <v>1020</v>
      </c>
      <c r="M674" t="s">
        <v>1472</v>
      </c>
      <c r="N674" t="s">
        <v>11</v>
      </c>
      <c r="O674">
        <v>2.5366</v>
      </c>
      <c r="P674" s="12">
        <f>ROUND(O674*L674,2)</f>
        <v>2587.33</v>
      </c>
      <c r="Q674" s="13">
        <f>IF(N674="HKD",7.8,IF(N674="CNY",7.30034,1))</f>
        <v>7.3003400000000003</v>
      </c>
      <c r="R674" s="15">
        <f>+ROUND(O674/Q674,4)</f>
        <v>0.34749999999999998</v>
      </c>
      <c r="S674" s="14">
        <f>ROUND(R674*L674,2)</f>
        <v>354.45</v>
      </c>
      <c r="T674" s="15" t="s">
        <v>349</v>
      </c>
      <c r="U674" t="s">
        <v>78</v>
      </c>
    </row>
    <row r="675" spans="1:21" x14ac:dyDescent="0.2">
      <c r="A675" t="s">
        <v>2558</v>
      </c>
      <c r="B675" s="24">
        <v>45736</v>
      </c>
      <c r="C675" s="24">
        <v>45716</v>
      </c>
      <c r="D675" t="s">
        <v>149</v>
      </c>
      <c r="E675" t="s">
        <v>150</v>
      </c>
      <c r="G675" t="s">
        <v>2994</v>
      </c>
      <c r="H675" t="s">
        <v>1187</v>
      </c>
      <c r="I675" t="s">
        <v>1188</v>
      </c>
      <c r="J675" s="11" t="str">
        <f>+LEFT(U675,4)</f>
        <v>GLID</v>
      </c>
      <c r="K675" t="s">
        <v>10</v>
      </c>
      <c r="L675">
        <v>1000</v>
      </c>
      <c r="M675" t="s">
        <v>1472</v>
      </c>
      <c r="N675" t="s">
        <v>11</v>
      </c>
      <c r="O675">
        <v>2.5366</v>
      </c>
      <c r="P675" s="12">
        <f>ROUND(O675*L675,2)</f>
        <v>2536.6</v>
      </c>
      <c r="Q675" s="13">
        <f>IF(N675="HKD",7.8,IF(N675="CNY",7.30034,1))</f>
        <v>7.3003400000000003</v>
      </c>
      <c r="R675" s="15">
        <f>+ROUND(O675/Q675,4)</f>
        <v>0.34749999999999998</v>
      </c>
      <c r="S675" s="14">
        <f>ROUND(R675*L675,2)</f>
        <v>347.5</v>
      </c>
      <c r="T675" s="15" t="s">
        <v>349</v>
      </c>
      <c r="U675" t="s">
        <v>78</v>
      </c>
    </row>
    <row r="676" spans="1:21" x14ac:dyDescent="0.2">
      <c r="A676" t="s">
        <v>2792</v>
      </c>
      <c r="B676" s="24">
        <v>45736</v>
      </c>
      <c r="C676" s="24">
        <v>45735</v>
      </c>
      <c r="D676" t="s">
        <v>5</v>
      </c>
      <c r="E676" t="s">
        <v>6</v>
      </c>
      <c r="G676" t="s">
        <v>3052</v>
      </c>
      <c r="H676" t="s">
        <v>512</v>
      </c>
      <c r="I676" t="s">
        <v>513</v>
      </c>
      <c r="J676" s="11" t="str">
        <f>+LEFT(U676,4)</f>
        <v>SHTS</v>
      </c>
      <c r="K676" t="s">
        <v>10</v>
      </c>
      <c r="L676">
        <v>1010</v>
      </c>
      <c r="M676" t="s">
        <v>1472</v>
      </c>
      <c r="N676" t="s">
        <v>11</v>
      </c>
      <c r="O676">
        <v>2.56</v>
      </c>
      <c r="P676" s="12">
        <f>ROUND(O676*L676,2)</f>
        <v>2585.6</v>
      </c>
      <c r="Q676" s="13">
        <f>IF(N676="HKD",7.8,IF(N676="CNY",7.30034,1))</f>
        <v>7.3003400000000003</v>
      </c>
      <c r="R676" s="15">
        <f>+ROUND(O676/Q676,4)</f>
        <v>0.35070000000000001</v>
      </c>
      <c r="S676" s="14">
        <f>ROUND(R676*L676,2)</f>
        <v>354.21</v>
      </c>
      <c r="T676" s="15" t="s">
        <v>349</v>
      </c>
      <c r="U676" t="s">
        <v>9</v>
      </c>
    </row>
    <row r="677" spans="1:21" x14ac:dyDescent="0.2">
      <c r="A677" t="s">
        <v>2580</v>
      </c>
      <c r="B677" s="24">
        <v>45723</v>
      </c>
      <c r="C677" s="24">
        <v>45716</v>
      </c>
      <c r="D677" t="s">
        <v>268</v>
      </c>
      <c r="E677" t="s">
        <v>269</v>
      </c>
      <c r="G677" t="s">
        <v>3003</v>
      </c>
      <c r="H677" t="s">
        <v>3184</v>
      </c>
      <c r="I677" t="s">
        <v>3391</v>
      </c>
      <c r="J677" s="11" t="str">
        <f>+LEFT(U677,4)</f>
        <v>MISC</v>
      </c>
      <c r="K677" t="s">
        <v>10</v>
      </c>
      <c r="L677">
        <v>50</v>
      </c>
      <c r="M677" t="s">
        <v>136</v>
      </c>
      <c r="N677" t="s">
        <v>11</v>
      </c>
      <c r="O677">
        <v>2.57</v>
      </c>
      <c r="P677" s="12">
        <f>ROUND(O677*L677,2)</f>
        <v>128.5</v>
      </c>
      <c r="Q677" s="13">
        <f>IF(N677="HKD",7.8,IF(N677="CNY",7.30034,1))</f>
        <v>7.3003400000000003</v>
      </c>
      <c r="R677" s="15">
        <f>+ROUND(O677/Q677,4)</f>
        <v>0.35199999999999998</v>
      </c>
      <c r="S677" s="14">
        <f>ROUND(R677*L677,2)</f>
        <v>17.600000000000001</v>
      </c>
      <c r="T677" s="15" t="s">
        <v>349</v>
      </c>
      <c r="U677" t="s">
        <v>25</v>
      </c>
    </row>
    <row r="678" spans="1:21" x14ac:dyDescent="0.2">
      <c r="A678" t="s">
        <v>2399</v>
      </c>
      <c r="B678" s="24">
        <v>45719</v>
      </c>
      <c r="C678" s="24">
        <v>45698</v>
      </c>
      <c r="D678" t="s">
        <v>651</v>
      </c>
      <c r="E678" t="s">
        <v>652</v>
      </c>
      <c r="G678" t="s">
        <v>2922</v>
      </c>
      <c r="H678" t="s">
        <v>3098</v>
      </c>
      <c r="I678" t="s">
        <v>3313</v>
      </c>
      <c r="J678" s="11" t="str">
        <f>+LEFT(U678,4)</f>
        <v>HDL-</v>
      </c>
      <c r="K678" t="s">
        <v>10</v>
      </c>
      <c r="L678">
        <v>1000</v>
      </c>
      <c r="M678" t="s">
        <v>1472</v>
      </c>
      <c r="N678" t="s">
        <v>11</v>
      </c>
      <c r="O678">
        <v>2.5788000000000002</v>
      </c>
      <c r="P678" s="12">
        <f>ROUND(O678*L678,2)</f>
        <v>2578.8000000000002</v>
      </c>
      <c r="Q678" s="13">
        <f>IF(N678="HKD",7.8,IF(N678="CNY",7.30034,1))</f>
        <v>7.3003400000000003</v>
      </c>
      <c r="R678" s="15">
        <f>+ROUND(O678/Q678,4)</f>
        <v>0.35320000000000001</v>
      </c>
      <c r="S678" s="14">
        <f>ROUND(R678*L678,2)</f>
        <v>353.2</v>
      </c>
      <c r="T678" s="15" t="s">
        <v>349</v>
      </c>
      <c r="U678" t="s">
        <v>228</v>
      </c>
    </row>
    <row r="679" spans="1:21" x14ac:dyDescent="0.2">
      <c r="A679" t="s">
        <v>2426</v>
      </c>
      <c r="B679" s="24">
        <v>45747</v>
      </c>
      <c r="C679" s="24">
        <v>45702</v>
      </c>
      <c r="D679" t="s">
        <v>651</v>
      </c>
      <c r="E679" t="s">
        <v>652</v>
      </c>
      <c r="G679" t="s">
        <v>2906</v>
      </c>
      <c r="H679" t="s">
        <v>3115</v>
      </c>
      <c r="I679" t="s">
        <v>3329</v>
      </c>
      <c r="J679" s="11" t="str">
        <f>+LEFT(U679,4)</f>
        <v>HDL-</v>
      </c>
      <c r="K679" t="s">
        <v>10</v>
      </c>
      <c r="L679">
        <v>1020</v>
      </c>
      <c r="M679" t="s">
        <v>1472</v>
      </c>
      <c r="N679" t="s">
        <v>11</v>
      </c>
      <c r="O679">
        <v>2.5788000000000002</v>
      </c>
      <c r="P679" s="12">
        <f>ROUND(O679*L679,2)</f>
        <v>2630.38</v>
      </c>
      <c r="Q679" s="13">
        <f>IF(N679="HKD",7.8,IF(N679="CNY",7.30034,1))</f>
        <v>7.3003400000000003</v>
      </c>
      <c r="R679" s="15">
        <f>+ROUND(O679/Q679,4)</f>
        <v>0.35320000000000001</v>
      </c>
      <c r="S679" s="14">
        <f>ROUND(R679*L679,2)</f>
        <v>360.26</v>
      </c>
      <c r="T679" s="15" t="s">
        <v>349</v>
      </c>
      <c r="U679" t="s">
        <v>228</v>
      </c>
    </row>
    <row r="680" spans="1:21" x14ac:dyDescent="0.2">
      <c r="A680" t="s">
        <v>1965</v>
      </c>
      <c r="B680" s="24">
        <v>45721</v>
      </c>
      <c r="C680" s="24">
        <v>45660</v>
      </c>
      <c r="D680" t="s">
        <v>709</v>
      </c>
      <c r="E680" t="s">
        <v>710</v>
      </c>
      <c r="G680" t="s">
        <v>2869</v>
      </c>
      <c r="H680" t="s">
        <v>1684</v>
      </c>
      <c r="I680" t="s">
        <v>1685</v>
      </c>
      <c r="J680" s="11" t="str">
        <f>+LEFT(U680,4)</f>
        <v>SHDL</v>
      </c>
      <c r="K680" t="s">
        <v>10</v>
      </c>
      <c r="L680">
        <v>1260</v>
      </c>
      <c r="M680" t="s">
        <v>1472</v>
      </c>
      <c r="N680" t="s">
        <v>11</v>
      </c>
      <c r="O680">
        <v>2.6659999999999999</v>
      </c>
      <c r="P680" s="12">
        <f>ROUND(O680*L680,2)</f>
        <v>3359.16</v>
      </c>
      <c r="Q680" s="13">
        <f>IF(N680="HKD",7.8,IF(N680="CNY",7.30034,1))</f>
        <v>7.3003400000000003</v>
      </c>
      <c r="R680" s="15">
        <f>+ROUND(O680/Q680,4)</f>
        <v>0.36520000000000002</v>
      </c>
      <c r="S680" s="14">
        <f>ROUND(R680*L680,2)</f>
        <v>460.15</v>
      </c>
      <c r="T680" s="15" t="s">
        <v>349</v>
      </c>
      <c r="U680" t="s">
        <v>722</v>
      </c>
    </row>
    <row r="681" spans="1:21" x14ac:dyDescent="0.2">
      <c r="A681" t="s">
        <v>2421</v>
      </c>
      <c r="B681" s="24">
        <v>45741</v>
      </c>
      <c r="C681" s="24">
        <v>45702</v>
      </c>
      <c r="D681" t="s">
        <v>709</v>
      </c>
      <c r="E681" t="s">
        <v>710</v>
      </c>
      <c r="G681" t="s">
        <v>2930</v>
      </c>
      <c r="H681" t="s">
        <v>3112</v>
      </c>
      <c r="I681" t="s">
        <v>3327</v>
      </c>
      <c r="J681" s="11" t="str">
        <f>+LEFT(U681,4)</f>
        <v>SHDL</v>
      </c>
      <c r="K681" t="s">
        <v>10</v>
      </c>
      <c r="L681">
        <v>2040</v>
      </c>
      <c r="M681" t="s">
        <v>1472</v>
      </c>
      <c r="N681" t="s">
        <v>11</v>
      </c>
      <c r="O681">
        <v>2.6659999999999999</v>
      </c>
      <c r="P681" s="12">
        <f>ROUND(O681*L681,2)</f>
        <v>5438.64</v>
      </c>
      <c r="Q681" s="13">
        <f>IF(N681="HKD",7.8,IF(N681="CNY",7.30034,1))</f>
        <v>7.3003400000000003</v>
      </c>
      <c r="R681" s="15">
        <f>+ROUND(O681/Q681,4)</f>
        <v>0.36520000000000002</v>
      </c>
      <c r="S681" s="14">
        <f>ROUND(R681*L681,2)</f>
        <v>745.01</v>
      </c>
      <c r="T681" s="15" t="s">
        <v>349</v>
      </c>
      <c r="U681" t="s">
        <v>722</v>
      </c>
    </row>
    <row r="682" spans="1:21" x14ac:dyDescent="0.2">
      <c r="A682" t="s">
        <v>2551</v>
      </c>
      <c r="B682" s="24">
        <v>45743</v>
      </c>
      <c r="C682" s="24">
        <v>45716</v>
      </c>
      <c r="D682" t="s">
        <v>149</v>
      </c>
      <c r="E682" t="s">
        <v>150</v>
      </c>
      <c r="G682" t="s">
        <v>2993</v>
      </c>
      <c r="H682" t="s">
        <v>3170</v>
      </c>
      <c r="I682" t="s">
        <v>787</v>
      </c>
      <c r="J682" s="11" t="str">
        <f>+LEFT(U682,4)</f>
        <v>GLID</v>
      </c>
      <c r="K682" t="s">
        <v>10</v>
      </c>
      <c r="L682">
        <v>1020</v>
      </c>
      <c r="M682" t="s">
        <v>1472</v>
      </c>
      <c r="N682" t="s">
        <v>11</v>
      </c>
      <c r="O682">
        <v>2.7372999999999998</v>
      </c>
      <c r="P682" s="12">
        <f>ROUND(O682*L682,2)</f>
        <v>2792.05</v>
      </c>
      <c r="Q682" s="13">
        <f>IF(N682="HKD",7.8,IF(N682="CNY",7.30034,1))</f>
        <v>7.3003400000000003</v>
      </c>
      <c r="R682" s="15">
        <f>+ROUND(O682/Q682,4)</f>
        <v>0.375</v>
      </c>
      <c r="S682" s="14">
        <f>ROUND(R682*L682,2)</f>
        <v>382.5</v>
      </c>
      <c r="T682" s="15" t="s">
        <v>349</v>
      </c>
      <c r="U682" t="s">
        <v>78</v>
      </c>
    </row>
    <row r="683" spans="1:21" x14ac:dyDescent="0.2">
      <c r="A683" t="s">
        <v>1970</v>
      </c>
      <c r="B683" s="24">
        <v>45722</v>
      </c>
      <c r="C683" s="24">
        <v>45698</v>
      </c>
      <c r="D683" t="s">
        <v>149</v>
      </c>
      <c r="E683" t="s">
        <v>150</v>
      </c>
      <c r="G683" t="s">
        <v>2918</v>
      </c>
      <c r="H683" t="s">
        <v>786</v>
      </c>
      <c r="I683" t="s">
        <v>787</v>
      </c>
      <c r="J683" s="11" t="str">
        <f>+LEFT(U683,4)</f>
        <v>GLID</v>
      </c>
      <c r="K683" t="s">
        <v>10</v>
      </c>
      <c r="L683">
        <v>200</v>
      </c>
      <c r="M683" t="s">
        <v>1472</v>
      </c>
      <c r="N683" t="s">
        <v>11</v>
      </c>
      <c r="O683">
        <v>2.7494000000000001</v>
      </c>
      <c r="P683" s="12">
        <f>ROUND(O683*L683,2)</f>
        <v>549.88</v>
      </c>
      <c r="Q683" s="13">
        <f>IF(N683="HKD",7.8,IF(N683="CNY",7.30034,1))</f>
        <v>7.3003400000000003</v>
      </c>
      <c r="R683" s="15">
        <f>+ROUND(O683/Q683,4)</f>
        <v>0.37659999999999999</v>
      </c>
      <c r="S683" s="14">
        <f>ROUND(R683*L683,2)</f>
        <v>75.319999999999993</v>
      </c>
      <c r="T683" s="15" t="s">
        <v>349</v>
      </c>
      <c r="U683" t="s">
        <v>78</v>
      </c>
    </row>
    <row r="684" spans="1:21" x14ac:dyDescent="0.2">
      <c r="A684" t="s">
        <v>2301</v>
      </c>
      <c r="B684" s="24">
        <v>45719</v>
      </c>
      <c r="C684" s="24">
        <v>45660</v>
      </c>
      <c r="D684" t="s">
        <v>569</v>
      </c>
      <c r="E684" t="s">
        <v>570</v>
      </c>
      <c r="G684" t="s">
        <v>2870</v>
      </c>
      <c r="H684" t="s">
        <v>1508</v>
      </c>
      <c r="I684" t="s">
        <v>1509</v>
      </c>
      <c r="J684" s="11" t="s">
        <v>1505</v>
      </c>
      <c r="K684" t="s">
        <v>10</v>
      </c>
      <c r="L684">
        <v>1000</v>
      </c>
      <c r="M684" t="s">
        <v>1472</v>
      </c>
      <c r="N684" t="s">
        <v>11</v>
      </c>
      <c r="O684">
        <v>2.75</v>
      </c>
      <c r="P684" s="12">
        <f>ROUND(O684*L684,2)</f>
        <v>2750</v>
      </c>
      <c r="Q684" s="13">
        <f>IF(N684="HKD",7.8,IF(N684="CNY",7.30034,1))</f>
        <v>7.3003400000000003</v>
      </c>
      <c r="R684" s="15">
        <f>+ROUND(O684/Q684,4)</f>
        <v>0.37669999999999998</v>
      </c>
      <c r="S684" s="14">
        <f>ROUND(R684*L684,2)</f>
        <v>376.7</v>
      </c>
      <c r="T684" s="15" t="s">
        <v>349</v>
      </c>
      <c r="U684" t="s">
        <v>36</v>
      </c>
    </row>
    <row r="685" spans="1:21" x14ac:dyDescent="0.2">
      <c r="A685" t="s">
        <v>2364</v>
      </c>
      <c r="B685" s="24">
        <v>45730</v>
      </c>
      <c r="C685" s="24">
        <v>45680</v>
      </c>
      <c r="D685" t="s">
        <v>569</v>
      </c>
      <c r="E685" t="s">
        <v>570</v>
      </c>
      <c r="G685" t="s">
        <v>2903</v>
      </c>
      <c r="H685" t="s">
        <v>1508</v>
      </c>
      <c r="I685" t="s">
        <v>1509</v>
      </c>
      <c r="J685" s="11" t="s">
        <v>1505</v>
      </c>
      <c r="K685" t="s">
        <v>10</v>
      </c>
      <c r="L685">
        <v>1500</v>
      </c>
      <c r="M685" t="s">
        <v>1472</v>
      </c>
      <c r="N685" t="s">
        <v>11</v>
      </c>
      <c r="O685">
        <v>2.75</v>
      </c>
      <c r="P685" s="12">
        <f>ROUND(O685*L685,2)</f>
        <v>4125</v>
      </c>
      <c r="Q685" s="13">
        <f>IF(N685="HKD",7.8,IF(N685="CNY",7.30034,1))</f>
        <v>7.3003400000000003</v>
      </c>
      <c r="R685" s="15">
        <f>+ROUND(O685/Q685,4)</f>
        <v>0.37669999999999998</v>
      </c>
      <c r="S685" s="14">
        <f>ROUND(R685*L685,2)</f>
        <v>565.04999999999995</v>
      </c>
      <c r="T685" s="15" t="s">
        <v>349</v>
      </c>
      <c r="U685" t="s">
        <v>36</v>
      </c>
    </row>
    <row r="686" spans="1:21" x14ac:dyDescent="0.2">
      <c r="A686" t="s">
        <v>2816</v>
      </c>
      <c r="B686" s="24">
        <v>45743</v>
      </c>
      <c r="C686" s="24">
        <v>45743</v>
      </c>
      <c r="D686" t="s">
        <v>5</v>
      </c>
      <c r="E686" t="s">
        <v>6</v>
      </c>
      <c r="G686" t="s">
        <v>3057</v>
      </c>
      <c r="H686" t="s">
        <v>3274</v>
      </c>
      <c r="I686" t="s">
        <v>3480</v>
      </c>
      <c r="J686" s="11" t="str">
        <f>+LEFT(U686,4)</f>
        <v>BOX-</v>
      </c>
      <c r="K686" t="s">
        <v>10</v>
      </c>
      <c r="L686">
        <v>1530</v>
      </c>
      <c r="M686" t="s">
        <v>1472</v>
      </c>
      <c r="N686" t="s">
        <v>11</v>
      </c>
      <c r="O686">
        <v>2.76</v>
      </c>
      <c r="P686" s="12">
        <f>ROUND(O686*L686,2)</f>
        <v>4222.8</v>
      </c>
      <c r="Q686" s="13">
        <f>IF(N686="HKD",7.8,IF(N686="CNY",7.30034,1))</f>
        <v>7.3003400000000003</v>
      </c>
      <c r="R686" s="15">
        <f>+ROUND(O686/Q686,4)</f>
        <v>0.37809999999999999</v>
      </c>
      <c r="S686" s="14">
        <f>ROUND(R686*L686,2)</f>
        <v>578.49</v>
      </c>
      <c r="T686" s="15" t="s">
        <v>349</v>
      </c>
      <c r="U686" t="s">
        <v>1</v>
      </c>
    </row>
    <row r="687" spans="1:21" x14ac:dyDescent="0.2">
      <c r="A687" t="s">
        <v>2811</v>
      </c>
      <c r="B687" s="24">
        <v>45743</v>
      </c>
      <c r="C687" s="24">
        <v>45743</v>
      </c>
      <c r="D687" t="s">
        <v>5</v>
      </c>
      <c r="E687" t="s">
        <v>6</v>
      </c>
      <c r="G687" t="s">
        <v>3057</v>
      </c>
      <c r="H687" t="s">
        <v>3271</v>
      </c>
      <c r="I687" t="s">
        <v>428</v>
      </c>
      <c r="J687" s="11" t="str">
        <f>+LEFT(U687,4)</f>
        <v>BOX-</v>
      </c>
      <c r="K687" t="s">
        <v>10</v>
      </c>
      <c r="L687">
        <v>3600</v>
      </c>
      <c r="M687" t="s">
        <v>1472</v>
      </c>
      <c r="N687" t="s">
        <v>11</v>
      </c>
      <c r="O687">
        <v>2.79</v>
      </c>
      <c r="P687" s="12">
        <f>ROUND(O687*L687,2)</f>
        <v>10044</v>
      </c>
      <c r="Q687" s="13">
        <f>IF(N687="HKD",7.8,IF(N687="CNY",7.30034,1))</f>
        <v>7.3003400000000003</v>
      </c>
      <c r="R687" s="15">
        <f>+ROUND(O687/Q687,4)</f>
        <v>0.38219999999999998</v>
      </c>
      <c r="S687" s="14">
        <f>ROUND(R687*L687,2)</f>
        <v>1375.92</v>
      </c>
      <c r="T687" s="15" t="s">
        <v>349</v>
      </c>
      <c r="U687" t="s">
        <v>1</v>
      </c>
    </row>
    <row r="688" spans="1:21" x14ac:dyDescent="0.2">
      <c r="A688" t="s">
        <v>2812</v>
      </c>
      <c r="B688" s="24">
        <v>45743</v>
      </c>
      <c r="C688" s="24">
        <v>45743</v>
      </c>
      <c r="D688" t="s">
        <v>5</v>
      </c>
      <c r="E688" t="s">
        <v>6</v>
      </c>
      <c r="G688" t="s">
        <v>3057</v>
      </c>
      <c r="H688" t="s">
        <v>3271</v>
      </c>
      <c r="I688" t="s">
        <v>428</v>
      </c>
      <c r="J688" s="11" t="str">
        <f>+LEFT(U688,4)</f>
        <v>BOX-</v>
      </c>
      <c r="K688" t="s">
        <v>10</v>
      </c>
      <c r="L688">
        <v>50</v>
      </c>
      <c r="M688" t="s">
        <v>1472</v>
      </c>
      <c r="N688" t="s">
        <v>11</v>
      </c>
      <c r="O688">
        <v>2.79</v>
      </c>
      <c r="P688" s="12">
        <f>ROUND(O688*L688,2)</f>
        <v>139.5</v>
      </c>
      <c r="Q688" s="13">
        <f>IF(N688="HKD",7.8,IF(N688="CNY",7.30034,1))</f>
        <v>7.3003400000000003</v>
      </c>
      <c r="R688" s="15">
        <f>+ROUND(O688/Q688,4)</f>
        <v>0.38219999999999998</v>
      </c>
      <c r="S688" s="14">
        <f>ROUND(R688*L688,2)</f>
        <v>19.11</v>
      </c>
      <c r="T688" s="15" t="s">
        <v>349</v>
      </c>
      <c r="U688" t="s">
        <v>1</v>
      </c>
    </row>
    <row r="689" spans="1:21" x14ac:dyDescent="0.2">
      <c r="A689" t="s">
        <v>2365</v>
      </c>
      <c r="B689" s="24">
        <v>45719</v>
      </c>
      <c r="C689" s="24">
        <v>45694</v>
      </c>
      <c r="D689" t="s">
        <v>169</v>
      </c>
      <c r="E689" t="s">
        <v>170</v>
      </c>
      <c r="G689" t="s">
        <v>2904</v>
      </c>
      <c r="H689" t="s">
        <v>3088</v>
      </c>
      <c r="I689" t="s">
        <v>3304</v>
      </c>
      <c r="J689" s="11" t="str">
        <f>+LEFT(U689,4)</f>
        <v>SKU-</v>
      </c>
      <c r="K689" t="s">
        <v>98</v>
      </c>
      <c r="L689">
        <v>3000</v>
      </c>
      <c r="M689" t="s">
        <v>1472</v>
      </c>
      <c r="N689" t="s">
        <v>11</v>
      </c>
      <c r="O689">
        <v>2.79</v>
      </c>
      <c r="P689" s="12">
        <f>ROUND(O689*L689,2)</f>
        <v>8370</v>
      </c>
      <c r="Q689" s="13">
        <f>IF(N689="HKD",7.8,IF(N689="CNY",7.30034,1))</f>
        <v>7.3003400000000003</v>
      </c>
      <c r="R689" s="15">
        <f>+ROUND(O689/Q689,4)</f>
        <v>0.38219999999999998</v>
      </c>
      <c r="S689" s="14">
        <f>ROUND(R689*L689,2)</f>
        <v>1146.5999999999999</v>
      </c>
      <c r="T689" s="15" t="s">
        <v>349</v>
      </c>
      <c r="U689" t="s">
        <v>2</v>
      </c>
    </row>
    <row r="690" spans="1:21" x14ac:dyDescent="0.2">
      <c r="A690" t="s">
        <v>2795</v>
      </c>
      <c r="B690" s="24">
        <v>45736</v>
      </c>
      <c r="C690" s="24">
        <v>45735</v>
      </c>
      <c r="D690" t="s">
        <v>5</v>
      </c>
      <c r="E690" t="s">
        <v>6</v>
      </c>
      <c r="G690" t="s">
        <v>3052</v>
      </c>
      <c r="H690" t="s">
        <v>503</v>
      </c>
      <c r="I690" t="s">
        <v>504</v>
      </c>
      <c r="J690" s="11" t="str">
        <f>+LEFT(U690,4)</f>
        <v>SHTS</v>
      </c>
      <c r="K690" t="s">
        <v>10</v>
      </c>
      <c r="L690">
        <v>1010</v>
      </c>
      <c r="M690" t="s">
        <v>1472</v>
      </c>
      <c r="N690" t="s">
        <v>11</v>
      </c>
      <c r="O690">
        <v>2.84</v>
      </c>
      <c r="P690" s="12">
        <f>ROUND(O690*L690,2)</f>
        <v>2868.4</v>
      </c>
      <c r="Q690" s="13">
        <f>IF(N690="HKD",7.8,IF(N690="CNY",7.30034,1))</f>
        <v>7.3003400000000003</v>
      </c>
      <c r="R690" s="15">
        <f>+ROUND(O690/Q690,4)</f>
        <v>0.38900000000000001</v>
      </c>
      <c r="S690" s="14">
        <f>ROUND(R690*L690,2)</f>
        <v>392.89</v>
      </c>
      <c r="T690" s="15" t="s">
        <v>349</v>
      </c>
      <c r="U690" t="s">
        <v>9</v>
      </c>
    </row>
    <row r="691" spans="1:21" x14ac:dyDescent="0.2">
      <c r="A691" t="s">
        <v>2794</v>
      </c>
      <c r="B691" s="24">
        <v>45736</v>
      </c>
      <c r="C691" s="24">
        <v>45735</v>
      </c>
      <c r="D691" t="s">
        <v>5</v>
      </c>
      <c r="E691" t="s">
        <v>6</v>
      </c>
      <c r="G691" t="s">
        <v>3052</v>
      </c>
      <c r="H691" t="s">
        <v>506</v>
      </c>
      <c r="I691" t="s">
        <v>507</v>
      </c>
      <c r="J691" s="11" t="str">
        <f>+LEFT(U691,4)</f>
        <v>SHTS</v>
      </c>
      <c r="K691" t="s">
        <v>10</v>
      </c>
      <c r="L691">
        <v>1010</v>
      </c>
      <c r="M691" t="s">
        <v>1472</v>
      </c>
      <c r="N691" t="s">
        <v>11</v>
      </c>
      <c r="O691">
        <v>2.86</v>
      </c>
      <c r="P691" s="12">
        <f>ROUND(O691*L691,2)</f>
        <v>2888.6</v>
      </c>
      <c r="Q691" s="13">
        <f>IF(N691="HKD",7.8,IF(N691="CNY",7.30034,1))</f>
        <v>7.3003400000000003</v>
      </c>
      <c r="R691" s="15">
        <f>+ROUND(O691/Q691,4)</f>
        <v>0.39179999999999998</v>
      </c>
      <c r="S691" s="14">
        <f>ROUND(R691*L691,2)</f>
        <v>395.72</v>
      </c>
      <c r="T691" s="15" t="s">
        <v>349</v>
      </c>
      <c r="U691" t="s">
        <v>9</v>
      </c>
    </row>
    <row r="692" spans="1:21" x14ac:dyDescent="0.2">
      <c r="A692" t="s">
        <v>2605</v>
      </c>
      <c r="B692" s="24">
        <v>45736</v>
      </c>
      <c r="C692" s="24">
        <v>45720</v>
      </c>
      <c r="D692" t="s">
        <v>1006</v>
      </c>
      <c r="E692" t="s">
        <v>1007</v>
      </c>
      <c r="G692" t="s">
        <v>3012</v>
      </c>
      <c r="H692" t="s">
        <v>3195</v>
      </c>
      <c r="I692" t="s">
        <v>3402</v>
      </c>
      <c r="J692" s="11" t="str">
        <f>+LEFT(U692,4)</f>
        <v>ALM-</v>
      </c>
      <c r="K692" t="s">
        <v>98</v>
      </c>
      <c r="L692">
        <v>534</v>
      </c>
      <c r="M692" t="s">
        <v>186</v>
      </c>
      <c r="N692" t="s">
        <v>11</v>
      </c>
      <c r="O692">
        <v>2.9203999999999999</v>
      </c>
      <c r="P692" s="12">
        <f>ROUND(O692*L692,2)</f>
        <v>1559.49</v>
      </c>
      <c r="Q692" s="13">
        <f>IF(N692="HKD",7.8,IF(N692="CNY",7.30034,1))</f>
        <v>7.3003400000000003</v>
      </c>
      <c r="R692" s="15">
        <f>+ROUND(O692/Q692,4)</f>
        <v>0.4</v>
      </c>
      <c r="S692" s="14">
        <f>ROUND(R692*L692,2)</f>
        <v>213.6</v>
      </c>
      <c r="T692" s="15" t="s">
        <v>349</v>
      </c>
      <c r="U692" t="s">
        <v>191</v>
      </c>
    </row>
    <row r="693" spans="1:21" x14ac:dyDescent="0.2">
      <c r="A693" t="s">
        <v>2606</v>
      </c>
      <c r="B693" s="24">
        <v>45736</v>
      </c>
      <c r="C693" s="24">
        <v>45720</v>
      </c>
      <c r="D693" t="s">
        <v>1006</v>
      </c>
      <c r="E693" t="s">
        <v>1007</v>
      </c>
      <c r="G693" t="s">
        <v>3012</v>
      </c>
      <c r="H693" t="s">
        <v>3196</v>
      </c>
      <c r="I693" t="s">
        <v>3403</v>
      </c>
      <c r="J693" s="11" t="str">
        <f>+LEFT(U693,4)</f>
        <v>ALM-</v>
      </c>
      <c r="K693" t="s">
        <v>98</v>
      </c>
      <c r="L693">
        <v>1072</v>
      </c>
      <c r="M693" t="s">
        <v>186</v>
      </c>
      <c r="N693" t="s">
        <v>11</v>
      </c>
      <c r="O693">
        <v>2.9203999999999999</v>
      </c>
      <c r="P693" s="12">
        <f>ROUND(O693*L693,2)</f>
        <v>3130.67</v>
      </c>
      <c r="Q693" s="13">
        <f>IF(N693="HKD",7.8,IF(N693="CNY",7.30034,1))</f>
        <v>7.3003400000000003</v>
      </c>
      <c r="R693" s="15">
        <f>+ROUND(O693/Q693,4)</f>
        <v>0.4</v>
      </c>
      <c r="S693" s="14">
        <f>ROUND(R693*L693,2)</f>
        <v>428.8</v>
      </c>
      <c r="T693" s="15" t="s">
        <v>349</v>
      </c>
      <c r="U693" t="s">
        <v>191</v>
      </c>
    </row>
    <row r="694" spans="1:21" x14ac:dyDescent="0.2">
      <c r="A694" t="s">
        <v>2607</v>
      </c>
      <c r="B694" s="24">
        <v>45736</v>
      </c>
      <c r="C694" s="24">
        <v>45720</v>
      </c>
      <c r="D694" t="s">
        <v>1006</v>
      </c>
      <c r="E694" t="s">
        <v>1007</v>
      </c>
      <c r="G694" t="s">
        <v>3012</v>
      </c>
      <c r="H694" t="s">
        <v>1004</v>
      </c>
      <c r="I694" t="s">
        <v>1005</v>
      </c>
      <c r="J694" s="11" t="str">
        <f>+LEFT(U694,4)</f>
        <v>ALM-</v>
      </c>
      <c r="K694" t="s">
        <v>98</v>
      </c>
      <c r="L694">
        <v>572</v>
      </c>
      <c r="M694" t="s">
        <v>186</v>
      </c>
      <c r="N694" t="s">
        <v>11</v>
      </c>
      <c r="O694">
        <v>2.9203999999999999</v>
      </c>
      <c r="P694" s="12">
        <f>ROUND(O694*L694,2)</f>
        <v>1670.47</v>
      </c>
      <c r="Q694" s="13">
        <f>IF(N694="HKD",7.8,IF(N694="CNY",7.30034,1))</f>
        <v>7.3003400000000003</v>
      </c>
      <c r="R694" s="15">
        <f>+ROUND(O694/Q694,4)</f>
        <v>0.4</v>
      </c>
      <c r="S694" s="14">
        <f>ROUND(R694*L694,2)</f>
        <v>228.8</v>
      </c>
      <c r="T694" s="15" t="s">
        <v>349</v>
      </c>
      <c r="U694" t="s">
        <v>191</v>
      </c>
    </row>
    <row r="695" spans="1:21" x14ac:dyDescent="0.2">
      <c r="A695" t="s">
        <v>2608</v>
      </c>
      <c r="B695" s="24">
        <v>45736</v>
      </c>
      <c r="C695" s="24">
        <v>45720</v>
      </c>
      <c r="D695" t="s">
        <v>1006</v>
      </c>
      <c r="E695" t="s">
        <v>1007</v>
      </c>
      <c r="G695" t="s">
        <v>3012</v>
      </c>
      <c r="H695" t="s">
        <v>3197</v>
      </c>
      <c r="I695" t="s">
        <v>3404</v>
      </c>
      <c r="J695" s="11" t="str">
        <f>+LEFT(U695,4)</f>
        <v>ALM-</v>
      </c>
      <c r="K695" t="s">
        <v>98</v>
      </c>
      <c r="L695">
        <v>1206</v>
      </c>
      <c r="M695" t="s">
        <v>186</v>
      </c>
      <c r="N695" t="s">
        <v>11</v>
      </c>
      <c r="O695">
        <v>2.9203999999999999</v>
      </c>
      <c r="P695" s="12">
        <f>ROUND(O695*L695,2)</f>
        <v>3522</v>
      </c>
      <c r="Q695" s="13">
        <f>IF(N695="HKD",7.8,IF(N695="CNY",7.30034,1))</f>
        <v>7.3003400000000003</v>
      </c>
      <c r="R695" s="15">
        <f>+ROUND(O695/Q695,4)</f>
        <v>0.4</v>
      </c>
      <c r="S695" s="14">
        <f>ROUND(R695*L695,2)</f>
        <v>482.4</v>
      </c>
      <c r="T695" s="15" t="s">
        <v>349</v>
      </c>
      <c r="U695" t="s">
        <v>191</v>
      </c>
    </row>
    <row r="696" spans="1:21" x14ac:dyDescent="0.2">
      <c r="A696" t="s">
        <v>2609</v>
      </c>
      <c r="B696" s="24">
        <v>45736</v>
      </c>
      <c r="C696" s="24">
        <v>45720</v>
      </c>
      <c r="D696" t="s">
        <v>1006</v>
      </c>
      <c r="E696" t="s">
        <v>1007</v>
      </c>
      <c r="G696" t="s">
        <v>3012</v>
      </c>
      <c r="H696" t="s">
        <v>3198</v>
      </c>
      <c r="I696" t="s">
        <v>3405</v>
      </c>
      <c r="J696" s="11" t="str">
        <f>+LEFT(U696,4)</f>
        <v>ALM-</v>
      </c>
      <c r="K696" t="s">
        <v>98</v>
      </c>
      <c r="L696">
        <v>828</v>
      </c>
      <c r="M696" t="s">
        <v>186</v>
      </c>
      <c r="N696" t="s">
        <v>11</v>
      </c>
      <c r="O696">
        <v>2.9203999999999999</v>
      </c>
      <c r="P696" s="12">
        <f>ROUND(O696*L696,2)</f>
        <v>2418.09</v>
      </c>
      <c r="Q696" s="13">
        <f>IF(N696="HKD",7.8,IF(N696="CNY",7.30034,1))</f>
        <v>7.3003400000000003</v>
      </c>
      <c r="R696" s="15">
        <f>+ROUND(O696/Q696,4)</f>
        <v>0.4</v>
      </c>
      <c r="S696" s="14">
        <f>ROUND(R696*L696,2)</f>
        <v>331.2</v>
      </c>
      <c r="T696" s="15" t="s">
        <v>349</v>
      </c>
      <c r="U696" t="s">
        <v>191</v>
      </c>
    </row>
    <row r="697" spans="1:21" x14ac:dyDescent="0.2">
      <c r="A697" t="s">
        <v>2652</v>
      </c>
      <c r="B697" s="24">
        <v>45736</v>
      </c>
      <c r="C697" s="24">
        <v>45722</v>
      </c>
      <c r="D697" t="s">
        <v>2831</v>
      </c>
      <c r="E697" t="s">
        <v>1007</v>
      </c>
      <c r="G697" t="s">
        <v>3012</v>
      </c>
      <c r="H697" t="s">
        <v>3198</v>
      </c>
      <c r="I697" t="s">
        <v>3405</v>
      </c>
      <c r="J697" s="11" t="str">
        <f>+LEFT(U697,4)</f>
        <v>ALM-</v>
      </c>
      <c r="K697" t="s">
        <v>98</v>
      </c>
      <c r="L697">
        <v>576</v>
      </c>
      <c r="M697" t="s">
        <v>186</v>
      </c>
      <c r="N697" t="s">
        <v>11</v>
      </c>
      <c r="O697">
        <v>2.9203999999999999</v>
      </c>
      <c r="P697" s="12">
        <f>ROUND(O697*L697,2)</f>
        <v>1682.15</v>
      </c>
      <c r="Q697" s="13">
        <f>IF(N697="HKD",7.8,IF(N697="CNY",7.30034,1))</f>
        <v>7.3003400000000003</v>
      </c>
      <c r="R697" s="15">
        <f>+ROUND(O697/Q697,4)</f>
        <v>0.4</v>
      </c>
      <c r="S697" s="14">
        <f>ROUND(R697*L697,2)</f>
        <v>230.4</v>
      </c>
      <c r="T697" s="15" t="s">
        <v>349</v>
      </c>
      <c r="U697" t="s">
        <v>191</v>
      </c>
    </row>
    <row r="698" spans="1:21" x14ac:dyDescent="0.2">
      <c r="A698" t="s">
        <v>2675</v>
      </c>
      <c r="B698" s="24">
        <v>45736</v>
      </c>
      <c r="C698" s="24">
        <v>45726</v>
      </c>
      <c r="D698" t="s">
        <v>1006</v>
      </c>
      <c r="E698" t="s">
        <v>1007</v>
      </c>
      <c r="G698" t="s">
        <v>3012</v>
      </c>
      <c r="H698" t="s">
        <v>3219</v>
      </c>
      <c r="I698" t="s">
        <v>3426</v>
      </c>
      <c r="J698" s="11" t="str">
        <f>+LEFT(U698,4)</f>
        <v>ALM-</v>
      </c>
      <c r="K698" t="s">
        <v>98</v>
      </c>
      <c r="L698">
        <v>556</v>
      </c>
      <c r="M698" t="s">
        <v>186</v>
      </c>
      <c r="N698" t="s">
        <v>11</v>
      </c>
      <c r="O698">
        <v>2.9203999999999999</v>
      </c>
      <c r="P698" s="12">
        <f>ROUND(O698*L698,2)</f>
        <v>1623.74</v>
      </c>
      <c r="Q698" s="13">
        <f>IF(N698="HKD",7.8,IF(N698="CNY",7.30034,1))</f>
        <v>7.3003400000000003</v>
      </c>
      <c r="R698" s="15">
        <f>+ROUND(O698/Q698,4)</f>
        <v>0.4</v>
      </c>
      <c r="S698" s="14">
        <f>ROUND(R698*L698,2)</f>
        <v>222.4</v>
      </c>
      <c r="T698" s="15" t="s">
        <v>349</v>
      </c>
      <c r="U698" t="s">
        <v>191</v>
      </c>
    </row>
    <row r="699" spans="1:21" x14ac:dyDescent="0.2">
      <c r="A699" t="s">
        <v>2678</v>
      </c>
      <c r="B699" s="24">
        <v>45736</v>
      </c>
      <c r="C699" s="24">
        <v>45726</v>
      </c>
      <c r="D699" t="s">
        <v>1006</v>
      </c>
      <c r="E699" t="s">
        <v>1007</v>
      </c>
      <c r="G699" t="s">
        <v>3012</v>
      </c>
      <c r="H699" t="s">
        <v>1019</v>
      </c>
      <c r="I699" t="s">
        <v>1020</v>
      </c>
      <c r="J699" s="11" t="str">
        <f>+LEFT(U699,4)</f>
        <v>ALM-</v>
      </c>
      <c r="K699" t="s">
        <v>98</v>
      </c>
      <c r="L699">
        <v>2040</v>
      </c>
      <c r="M699" t="s">
        <v>186</v>
      </c>
      <c r="N699" t="s">
        <v>11</v>
      </c>
      <c r="O699">
        <v>2.9203999999999999</v>
      </c>
      <c r="P699" s="12">
        <f>ROUND(O699*L699,2)</f>
        <v>5957.62</v>
      </c>
      <c r="Q699" s="13">
        <f>IF(N699="HKD",7.8,IF(N699="CNY",7.30034,1))</f>
        <v>7.3003400000000003</v>
      </c>
      <c r="R699" s="15">
        <f>+ROUND(O699/Q699,4)</f>
        <v>0.4</v>
      </c>
      <c r="S699" s="14">
        <f>ROUND(R699*L699,2)</f>
        <v>816</v>
      </c>
      <c r="T699" s="15" t="s">
        <v>349</v>
      </c>
      <c r="U699" t="s">
        <v>191</v>
      </c>
    </row>
    <row r="700" spans="1:21" x14ac:dyDescent="0.2">
      <c r="A700" t="s">
        <v>2674</v>
      </c>
      <c r="B700" s="24">
        <v>45743</v>
      </c>
      <c r="C700" s="24">
        <v>45726</v>
      </c>
      <c r="D700" t="s">
        <v>1006</v>
      </c>
      <c r="E700" t="s">
        <v>1007</v>
      </c>
      <c r="G700" t="s">
        <v>3028</v>
      </c>
      <c r="H700" t="s">
        <v>3218</v>
      </c>
      <c r="I700" t="s">
        <v>3425</v>
      </c>
      <c r="J700" s="11" t="str">
        <f>+LEFT(U700,4)</f>
        <v>ALM-</v>
      </c>
      <c r="K700" t="s">
        <v>98</v>
      </c>
      <c r="L700">
        <v>1007</v>
      </c>
      <c r="M700" t="s">
        <v>186</v>
      </c>
      <c r="N700" t="s">
        <v>11</v>
      </c>
      <c r="O700">
        <v>2.9203999999999999</v>
      </c>
      <c r="P700" s="12">
        <f>ROUND(O700*L700,2)</f>
        <v>2940.84</v>
      </c>
      <c r="Q700" s="13">
        <f>IF(N700="HKD",7.8,IF(N700="CNY",7.30034,1))</f>
        <v>7.3003400000000003</v>
      </c>
      <c r="R700" s="15">
        <f>+ROUND(O700/Q700,4)</f>
        <v>0.4</v>
      </c>
      <c r="S700" s="14">
        <f>ROUND(R700*L700,2)</f>
        <v>402.8</v>
      </c>
      <c r="T700" s="15" t="s">
        <v>349</v>
      </c>
      <c r="U700" t="s">
        <v>191</v>
      </c>
    </row>
    <row r="701" spans="1:21" x14ac:dyDescent="0.2">
      <c r="A701" t="s">
        <v>2676</v>
      </c>
      <c r="B701" s="24">
        <v>45743</v>
      </c>
      <c r="C701" s="24">
        <v>45726</v>
      </c>
      <c r="D701" t="s">
        <v>1006</v>
      </c>
      <c r="E701" t="s">
        <v>1007</v>
      </c>
      <c r="G701" t="s">
        <v>3028</v>
      </c>
      <c r="H701" t="s">
        <v>3220</v>
      </c>
      <c r="I701" t="s">
        <v>3427</v>
      </c>
      <c r="J701" s="11" t="str">
        <f>+LEFT(U701,4)</f>
        <v>ALM-</v>
      </c>
      <c r="K701" t="s">
        <v>98</v>
      </c>
      <c r="L701">
        <v>683</v>
      </c>
      <c r="M701" t="s">
        <v>186</v>
      </c>
      <c r="N701" t="s">
        <v>11</v>
      </c>
      <c r="O701">
        <v>2.9203999999999999</v>
      </c>
      <c r="P701" s="12">
        <f>ROUND(O701*L701,2)</f>
        <v>1994.63</v>
      </c>
      <c r="Q701" s="13">
        <f>IF(N701="HKD",7.8,IF(N701="CNY",7.30034,1))</f>
        <v>7.3003400000000003</v>
      </c>
      <c r="R701" s="15">
        <f>+ROUND(O701/Q701,4)</f>
        <v>0.4</v>
      </c>
      <c r="S701" s="14">
        <f>ROUND(R701*L701,2)</f>
        <v>273.2</v>
      </c>
      <c r="T701" s="15" t="s">
        <v>349</v>
      </c>
      <c r="U701" t="s">
        <v>191</v>
      </c>
    </row>
    <row r="702" spans="1:21" x14ac:dyDescent="0.2">
      <c r="A702" t="s">
        <v>2678</v>
      </c>
      <c r="B702" s="24">
        <v>45743</v>
      </c>
      <c r="C702" s="24">
        <v>45726</v>
      </c>
      <c r="D702" t="s">
        <v>1006</v>
      </c>
      <c r="E702" t="s">
        <v>1007</v>
      </c>
      <c r="G702" t="s">
        <v>3028</v>
      </c>
      <c r="H702" t="s">
        <v>1019</v>
      </c>
      <c r="I702" t="s">
        <v>1020</v>
      </c>
      <c r="J702" s="11" t="str">
        <f>+LEFT(U702,4)</f>
        <v>ALM-</v>
      </c>
      <c r="K702" t="s">
        <v>98</v>
      </c>
      <c r="L702">
        <v>269</v>
      </c>
      <c r="M702" t="s">
        <v>186</v>
      </c>
      <c r="N702" t="s">
        <v>11</v>
      </c>
      <c r="O702">
        <v>2.9203999999999999</v>
      </c>
      <c r="P702" s="12">
        <f>ROUND(O702*L702,2)</f>
        <v>785.59</v>
      </c>
      <c r="Q702" s="13">
        <f>IF(N702="HKD",7.8,IF(N702="CNY",7.30034,1))</f>
        <v>7.3003400000000003</v>
      </c>
      <c r="R702" s="15">
        <f>+ROUND(O702/Q702,4)</f>
        <v>0.4</v>
      </c>
      <c r="S702" s="14">
        <f>ROUND(R702*L702,2)</f>
        <v>107.6</v>
      </c>
      <c r="T702" s="15" t="s">
        <v>349</v>
      </c>
      <c r="U702" t="s">
        <v>191</v>
      </c>
    </row>
    <row r="703" spans="1:21" x14ac:dyDescent="0.2">
      <c r="A703" t="s">
        <v>2780</v>
      </c>
      <c r="B703" s="24">
        <v>45743</v>
      </c>
      <c r="C703" s="24">
        <v>45730</v>
      </c>
      <c r="D703" t="s">
        <v>1006</v>
      </c>
      <c r="E703" t="s">
        <v>1007</v>
      </c>
      <c r="G703" t="s">
        <v>3028</v>
      </c>
      <c r="H703" t="s">
        <v>3197</v>
      </c>
      <c r="I703" t="s">
        <v>3404</v>
      </c>
      <c r="J703" s="11" t="str">
        <f>+LEFT(U703,4)</f>
        <v>ALM-</v>
      </c>
      <c r="K703" t="s">
        <v>98</v>
      </c>
      <c r="L703">
        <v>700</v>
      </c>
      <c r="M703" t="s">
        <v>186</v>
      </c>
      <c r="N703" t="s">
        <v>11</v>
      </c>
      <c r="O703">
        <v>2.9203999999999999</v>
      </c>
      <c r="P703" s="12">
        <f>ROUND(O703*L703,2)</f>
        <v>2044.28</v>
      </c>
      <c r="Q703" s="13">
        <f>IF(N703="HKD",7.8,IF(N703="CNY",7.30034,1))</f>
        <v>7.3003400000000003</v>
      </c>
      <c r="R703" s="15">
        <f>+ROUND(O703/Q703,4)</f>
        <v>0.4</v>
      </c>
      <c r="S703" s="14">
        <f>ROUND(R703*L703,2)</f>
        <v>280</v>
      </c>
      <c r="T703" s="15" t="s">
        <v>349</v>
      </c>
      <c r="U703" t="s">
        <v>191</v>
      </c>
    </row>
    <row r="704" spans="1:21" x14ac:dyDescent="0.2">
      <c r="A704" t="s">
        <v>2781</v>
      </c>
      <c r="B704" s="24">
        <v>45743</v>
      </c>
      <c r="C704" s="24">
        <v>45730</v>
      </c>
      <c r="D704" t="s">
        <v>1006</v>
      </c>
      <c r="E704" t="s">
        <v>1007</v>
      </c>
      <c r="G704" t="s">
        <v>3028</v>
      </c>
      <c r="H704" t="s">
        <v>1010</v>
      </c>
      <c r="I704" t="s">
        <v>1011</v>
      </c>
      <c r="J704" s="11" t="str">
        <f>+LEFT(U704,4)</f>
        <v>ALM-</v>
      </c>
      <c r="K704" t="s">
        <v>98</v>
      </c>
      <c r="L704">
        <v>1902</v>
      </c>
      <c r="M704" t="s">
        <v>186</v>
      </c>
      <c r="N704" t="s">
        <v>11</v>
      </c>
      <c r="O704">
        <v>2.9203999999999999</v>
      </c>
      <c r="P704" s="12">
        <f>ROUND(O704*L704,2)</f>
        <v>5554.6</v>
      </c>
      <c r="Q704" s="13">
        <f>IF(N704="HKD",7.8,IF(N704="CNY",7.30034,1))</f>
        <v>7.3003400000000003</v>
      </c>
      <c r="R704" s="15">
        <f>+ROUND(O704/Q704,4)</f>
        <v>0.4</v>
      </c>
      <c r="S704" s="14">
        <f>ROUND(R704*L704,2)</f>
        <v>760.8</v>
      </c>
      <c r="T704" s="15" t="s">
        <v>349</v>
      </c>
      <c r="U704" t="s">
        <v>191</v>
      </c>
    </row>
    <row r="705" spans="1:21" x14ac:dyDescent="0.2">
      <c r="A705" t="s">
        <v>2782</v>
      </c>
      <c r="B705" s="24">
        <v>45743</v>
      </c>
      <c r="C705" s="24">
        <v>45730</v>
      </c>
      <c r="D705" t="s">
        <v>1006</v>
      </c>
      <c r="E705" t="s">
        <v>1007</v>
      </c>
      <c r="G705" t="s">
        <v>3028</v>
      </c>
      <c r="H705" t="s">
        <v>3257</v>
      </c>
      <c r="I705" t="s">
        <v>3464</v>
      </c>
      <c r="J705" s="11" t="str">
        <f>+LEFT(U705,4)</f>
        <v>ALM-</v>
      </c>
      <c r="K705" t="s">
        <v>98</v>
      </c>
      <c r="L705">
        <v>527</v>
      </c>
      <c r="M705" t="s">
        <v>186</v>
      </c>
      <c r="N705" t="s">
        <v>11</v>
      </c>
      <c r="O705">
        <v>2.9203999999999999</v>
      </c>
      <c r="P705" s="12">
        <f>ROUND(O705*L705,2)</f>
        <v>1539.05</v>
      </c>
      <c r="Q705" s="13">
        <f>IF(N705="HKD",7.8,IF(N705="CNY",7.30034,1))</f>
        <v>7.3003400000000003</v>
      </c>
      <c r="R705" s="15">
        <f>+ROUND(O705/Q705,4)</f>
        <v>0.4</v>
      </c>
      <c r="S705" s="14">
        <f>ROUND(R705*L705,2)</f>
        <v>210.8</v>
      </c>
      <c r="T705" s="15" t="s">
        <v>349</v>
      </c>
      <c r="U705" t="s">
        <v>191</v>
      </c>
    </row>
    <row r="706" spans="1:21" x14ac:dyDescent="0.2">
      <c r="A706" t="s">
        <v>2783</v>
      </c>
      <c r="B706" s="24">
        <v>45743</v>
      </c>
      <c r="C706" s="24">
        <v>45730</v>
      </c>
      <c r="D706" t="s">
        <v>1006</v>
      </c>
      <c r="E706" t="s">
        <v>1007</v>
      </c>
      <c r="G706" t="s">
        <v>3028</v>
      </c>
      <c r="H706" t="s">
        <v>3258</v>
      </c>
      <c r="I706" t="s">
        <v>3465</v>
      </c>
      <c r="J706" s="11" t="str">
        <f>+LEFT(U706,4)</f>
        <v>ALM-</v>
      </c>
      <c r="K706" t="s">
        <v>98</v>
      </c>
      <c r="L706">
        <v>942</v>
      </c>
      <c r="M706" t="s">
        <v>186</v>
      </c>
      <c r="N706" t="s">
        <v>11</v>
      </c>
      <c r="O706">
        <v>2.9203999999999999</v>
      </c>
      <c r="P706" s="12">
        <f>ROUND(O706*L706,2)</f>
        <v>2751.02</v>
      </c>
      <c r="Q706" s="13">
        <f>IF(N706="HKD",7.8,IF(N706="CNY",7.30034,1))</f>
        <v>7.3003400000000003</v>
      </c>
      <c r="R706" s="15">
        <f>+ROUND(O706/Q706,4)</f>
        <v>0.4</v>
      </c>
      <c r="S706" s="14">
        <f>ROUND(R706*L706,2)</f>
        <v>376.8</v>
      </c>
      <c r="T706" s="15" t="s">
        <v>349</v>
      </c>
      <c r="U706" t="s">
        <v>191</v>
      </c>
    </row>
    <row r="707" spans="1:21" x14ac:dyDescent="0.2">
      <c r="A707" t="s">
        <v>2784</v>
      </c>
      <c r="B707" s="24">
        <v>45743</v>
      </c>
      <c r="C707" s="24">
        <v>45730</v>
      </c>
      <c r="D707" t="s">
        <v>1006</v>
      </c>
      <c r="E707" t="s">
        <v>1007</v>
      </c>
      <c r="G707" t="s">
        <v>3028</v>
      </c>
      <c r="H707" t="s">
        <v>3196</v>
      </c>
      <c r="I707" t="s">
        <v>3403</v>
      </c>
      <c r="J707" s="11" t="str">
        <f>+LEFT(U707,4)</f>
        <v>ALM-</v>
      </c>
      <c r="K707" t="s">
        <v>98</v>
      </c>
      <c r="L707">
        <v>885</v>
      </c>
      <c r="M707" t="s">
        <v>186</v>
      </c>
      <c r="N707" t="s">
        <v>11</v>
      </c>
      <c r="O707">
        <v>2.9203999999999999</v>
      </c>
      <c r="P707" s="12">
        <f>ROUND(O707*L707,2)</f>
        <v>2584.5500000000002</v>
      </c>
      <c r="Q707" s="13">
        <f>IF(N707="HKD",7.8,IF(N707="CNY",7.30034,1))</f>
        <v>7.3003400000000003</v>
      </c>
      <c r="R707" s="15">
        <f>+ROUND(O707/Q707,4)</f>
        <v>0.4</v>
      </c>
      <c r="S707" s="14">
        <f>ROUND(R707*L707,2)</f>
        <v>354</v>
      </c>
      <c r="T707" s="15" t="s">
        <v>349</v>
      </c>
      <c r="U707" t="s">
        <v>191</v>
      </c>
    </row>
    <row r="708" spans="1:21" x14ac:dyDescent="0.2">
      <c r="A708" t="s">
        <v>2785</v>
      </c>
      <c r="B708" s="24">
        <v>45743</v>
      </c>
      <c r="C708" s="24">
        <v>45730</v>
      </c>
      <c r="D708" t="s">
        <v>1006</v>
      </c>
      <c r="E708" t="s">
        <v>1007</v>
      </c>
      <c r="G708" t="s">
        <v>3028</v>
      </c>
      <c r="H708" t="s">
        <v>3259</v>
      </c>
      <c r="I708" t="s">
        <v>3466</v>
      </c>
      <c r="J708" s="11" t="str">
        <f>+LEFT(U708,4)</f>
        <v>ALM-</v>
      </c>
      <c r="K708" t="s">
        <v>98</v>
      </c>
      <c r="L708">
        <v>817</v>
      </c>
      <c r="M708" t="s">
        <v>186</v>
      </c>
      <c r="N708" t="s">
        <v>11</v>
      </c>
      <c r="O708">
        <v>2.9203999999999999</v>
      </c>
      <c r="P708" s="12">
        <f>ROUND(O708*L708,2)</f>
        <v>2385.9699999999998</v>
      </c>
      <c r="Q708" s="13">
        <f>IF(N708="HKD",7.8,IF(N708="CNY",7.30034,1))</f>
        <v>7.3003400000000003</v>
      </c>
      <c r="R708" s="15">
        <f>+ROUND(O708/Q708,4)</f>
        <v>0.4</v>
      </c>
      <c r="S708" s="14">
        <f>ROUND(R708*L708,2)</f>
        <v>326.8</v>
      </c>
      <c r="T708" s="15" t="s">
        <v>349</v>
      </c>
      <c r="U708" t="s">
        <v>191</v>
      </c>
    </row>
    <row r="709" spans="1:21" x14ac:dyDescent="0.2">
      <c r="A709" t="s">
        <v>2786</v>
      </c>
      <c r="B709" s="24">
        <v>45743</v>
      </c>
      <c r="C709" s="24">
        <v>45730</v>
      </c>
      <c r="D709" t="s">
        <v>1006</v>
      </c>
      <c r="E709" t="s">
        <v>1007</v>
      </c>
      <c r="G709" t="s">
        <v>3028</v>
      </c>
      <c r="H709" t="s">
        <v>3260</v>
      </c>
      <c r="I709" t="s">
        <v>3467</v>
      </c>
      <c r="J709" s="11" t="str">
        <f>+LEFT(U709,4)</f>
        <v>ALM-</v>
      </c>
      <c r="K709" t="s">
        <v>98</v>
      </c>
      <c r="L709">
        <v>601</v>
      </c>
      <c r="M709" t="s">
        <v>186</v>
      </c>
      <c r="N709" t="s">
        <v>11</v>
      </c>
      <c r="O709">
        <v>2.9203999999999999</v>
      </c>
      <c r="P709" s="12">
        <f>ROUND(O709*L709,2)</f>
        <v>1755.16</v>
      </c>
      <c r="Q709" s="13">
        <f>IF(N709="HKD",7.8,IF(N709="CNY",7.30034,1))</f>
        <v>7.3003400000000003</v>
      </c>
      <c r="R709" s="15">
        <f>+ROUND(O709/Q709,4)</f>
        <v>0.4</v>
      </c>
      <c r="S709" s="14">
        <f>ROUND(R709*L709,2)</f>
        <v>240.4</v>
      </c>
      <c r="T709" s="15" t="s">
        <v>349</v>
      </c>
      <c r="U709" t="s">
        <v>191</v>
      </c>
    </row>
    <row r="710" spans="1:21" x14ac:dyDescent="0.2">
      <c r="A710" t="s">
        <v>2803</v>
      </c>
      <c r="B710" s="24">
        <v>45743</v>
      </c>
      <c r="C710" s="24">
        <v>45735</v>
      </c>
      <c r="D710" t="s">
        <v>1006</v>
      </c>
      <c r="E710" t="s">
        <v>1007</v>
      </c>
      <c r="G710" t="s">
        <v>3028</v>
      </c>
      <c r="H710" t="s">
        <v>3268</v>
      </c>
      <c r="I710" t="s">
        <v>3475</v>
      </c>
      <c r="J710" s="11" t="str">
        <f>+LEFT(U710,4)</f>
        <v>ALM-</v>
      </c>
      <c r="K710" t="s">
        <v>98</v>
      </c>
      <c r="L710">
        <v>563</v>
      </c>
      <c r="M710" t="s">
        <v>186</v>
      </c>
      <c r="N710" t="s">
        <v>11</v>
      </c>
      <c r="O710">
        <v>2.9203999999999999</v>
      </c>
      <c r="P710" s="12">
        <f>ROUND(O710*L710,2)</f>
        <v>1644.19</v>
      </c>
      <c r="Q710" s="13">
        <f>IF(N710="HKD",7.8,IF(N710="CNY",7.30034,1))</f>
        <v>7.3003400000000003</v>
      </c>
      <c r="R710" s="15">
        <f>+ROUND(O710/Q710,4)</f>
        <v>0.4</v>
      </c>
      <c r="S710" s="14">
        <f>ROUND(R710*L710,2)</f>
        <v>225.2</v>
      </c>
      <c r="T710" s="15" t="s">
        <v>349</v>
      </c>
      <c r="U710" t="s">
        <v>191</v>
      </c>
    </row>
    <row r="711" spans="1:21" x14ac:dyDescent="0.2">
      <c r="A711" t="s">
        <v>2661</v>
      </c>
      <c r="B711" s="24">
        <v>45734</v>
      </c>
      <c r="C711" s="24">
        <v>45723</v>
      </c>
      <c r="D711" t="s">
        <v>121</v>
      </c>
      <c r="E711" t="s">
        <v>122</v>
      </c>
      <c r="G711" t="s">
        <v>2935</v>
      </c>
      <c r="H711" t="s">
        <v>3213</v>
      </c>
      <c r="I711" t="s">
        <v>3420</v>
      </c>
      <c r="J711" s="11" t="str">
        <f>+LEFT(U711,4)</f>
        <v>HDL-</v>
      </c>
      <c r="K711" t="s">
        <v>10</v>
      </c>
      <c r="L711">
        <v>1520</v>
      </c>
      <c r="M711" t="s">
        <v>1472</v>
      </c>
      <c r="N711" t="s">
        <v>11</v>
      </c>
      <c r="O711">
        <v>2.9203999999999999</v>
      </c>
      <c r="P711" s="12">
        <f>ROUND(O711*L711,2)</f>
        <v>4439.01</v>
      </c>
      <c r="Q711" s="13">
        <f>IF(N711="HKD",7.8,IF(N711="CNY",7.30034,1))</f>
        <v>7.3003400000000003</v>
      </c>
      <c r="R711" s="15">
        <f>+ROUND(O711/Q711,4)</f>
        <v>0.4</v>
      </c>
      <c r="S711" s="14">
        <f>ROUND(R711*L711,2)</f>
        <v>608</v>
      </c>
      <c r="T711" s="15" t="s">
        <v>349</v>
      </c>
      <c r="U711" t="s">
        <v>228</v>
      </c>
    </row>
    <row r="712" spans="1:21" x14ac:dyDescent="0.2">
      <c r="A712" t="s">
        <v>2434</v>
      </c>
      <c r="B712" s="24">
        <v>45734</v>
      </c>
      <c r="C712" s="24">
        <v>45702</v>
      </c>
      <c r="D712" t="s">
        <v>121</v>
      </c>
      <c r="E712" t="s">
        <v>122</v>
      </c>
      <c r="G712" t="s">
        <v>2935</v>
      </c>
      <c r="H712" t="s">
        <v>3123</v>
      </c>
      <c r="I712" t="s">
        <v>3333</v>
      </c>
      <c r="J712" s="11" t="str">
        <f>+LEFT(U712,4)</f>
        <v>LHDL</v>
      </c>
      <c r="K712" t="s">
        <v>10</v>
      </c>
      <c r="L712">
        <v>900</v>
      </c>
      <c r="M712" t="s">
        <v>1472</v>
      </c>
      <c r="N712" t="s">
        <v>11</v>
      </c>
      <c r="O712">
        <v>2.9552</v>
      </c>
      <c r="P712" s="12">
        <f>ROUND(O712*L712,2)</f>
        <v>2659.68</v>
      </c>
      <c r="Q712" s="13">
        <f>IF(N712="HKD",7.8,IF(N712="CNY",7.30034,1))</f>
        <v>7.3003400000000003</v>
      </c>
      <c r="R712" s="15">
        <f>+ROUND(O712/Q712,4)</f>
        <v>0.40479999999999999</v>
      </c>
      <c r="S712" s="14">
        <f>ROUND(R712*L712,2)</f>
        <v>364.32</v>
      </c>
      <c r="T712" s="15" t="s">
        <v>349</v>
      </c>
      <c r="U712" t="s">
        <v>125</v>
      </c>
    </row>
    <row r="713" spans="1:21" x14ac:dyDescent="0.2">
      <c r="A713" t="s">
        <v>2435</v>
      </c>
      <c r="B713" s="24">
        <v>45734</v>
      </c>
      <c r="C713" s="24">
        <v>45702</v>
      </c>
      <c r="D713" t="s">
        <v>121</v>
      </c>
      <c r="E713" t="s">
        <v>122</v>
      </c>
      <c r="G713" t="s">
        <v>2935</v>
      </c>
      <c r="H713" t="s">
        <v>3124</v>
      </c>
      <c r="I713" t="s">
        <v>3334</v>
      </c>
      <c r="J713" s="11" t="str">
        <f>+LEFT(U713,4)</f>
        <v>LHDL</v>
      </c>
      <c r="K713" t="s">
        <v>10</v>
      </c>
      <c r="L713">
        <v>950</v>
      </c>
      <c r="M713" t="s">
        <v>1472</v>
      </c>
      <c r="N713" t="s">
        <v>11</v>
      </c>
      <c r="O713">
        <v>2.9552</v>
      </c>
      <c r="P713" s="12">
        <f>ROUND(O713*L713,2)</f>
        <v>2807.44</v>
      </c>
      <c r="Q713" s="13">
        <f>IF(N713="HKD",7.8,IF(N713="CNY",7.30034,1))</f>
        <v>7.3003400000000003</v>
      </c>
      <c r="R713" s="15">
        <f>+ROUND(O713/Q713,4)</f>
        <v>0.40479999999999999</v>
      </c>
      <c r="S713" s="14">
        <f>ROUND(R713*L713,2)</f>
        <v>384.56</v>
      </c>
      <c r="T713" s="15" t="s">
        <v>349</v>
      </c>
      <c r="U713" t="s">
        <v>125</v>
      </c>
    </row>
    <row r="714" spans="1:21" x14ac:dyDescent="0.2">
      <c r="A714" t="s">
        <v>2436</v>
      </c>
      <c r="B714" s="24">
        <v>45734</v>
      </c>
      <c r="C714" s="24">
        <v>45702</v>
      </c>
      <c r="D714" t="s">
        <v>121</v>
      </c>
      <c r="E714" t="s">
        <v>122</v>
      </c>
      <c r="G714" t="s">
        <v>2935</v>
      </c>
      <c r="H714" t="s">
        <v>3125</v>
      </c>
      <c r="I714" t="s">
        <v>3335</v>
      </c>
      <c r="J714" s="11" t="str">
        <f>+LEFT(U714,4)</f>
        <v>LHDL</v>
      </c>
      <c r="K714" t="s">
        <v>10</v>
      </c>
      <c r="L714">
        <v>1950</v>
      </c>
      <c r="M714" t="s">
        <v>1472</v>
      </c>
      <c r="N714" t="s">
        <v>11</v>
      </c>
      <c r="O714">
        <v>2.9552</v>
      </c>
      <c r="P714" s="12">
        <f>ROUND(O714*L714,2)</f>
        <v>5762.64</v>
      </c>
      <c r="Q714" s="13">
        <f>IF(N714="HKD",7.8,IF(N714="CNY",7.30034,1))</f>
        <v>7.3003400000000003</v>
      </c>
      <c r="R714" s="15">
        <f>+ROUND(O714/Q714,4)</f>
        <v>0.40479999999999999</v>
      </c>
      <c r="S714" s="14">
        <f>ROUND(R714*L714,2)</f>
        <v>789.36</v>
      </c>
      <c r="T714" s="15" t="s">
        <v>349</v>
      </c>
      <c r="U714" t="s">
        <v>125</v>
      </c>
    </row>
    <row r="715" spans="1:21" x14ac:dyDescent="0.2">
      <c r="A715" t="s">
        <v>2798</v>
      </c>
      <c r="B715" s="24">
        <v>45736</v>
      </c>
      <c r="C715" s="24">
        <v>45735</v>
      </c>
      <c r="D715" t="s">
        <v>5</v>
      </c>
      <c r="E715" t="s">
        <v>6</v>
      </c>
      <c r="G715" t="s">
        <v>3052</v>
      </c>
      <c r="H715" t="s">
        <v>3265</v>
      </c>
      <c r="I715" t="s">
        <v>3472</v>
      </c>
      <c r="J715" s="11" t="str">
        <f>+LEFT(U715,4)</f>
        <v>SHTS</v>
      </c>
      <c r="K715" t="s">
        <v>10</v>
      </c>
      <c r="L715">
        <v>1010</v>
      </c>
      <c r="M715" t="s">
        <v>1472</v>
      </c>
      <c r="N715" t="s">
        <v>11</v>
      </c>
      <c r="O715">
        <v>3.02</v>
      </c>
      <c r="P715" s="12">
        <f>ROUND(O715*L715,2)</f>
        <v>3050.2</v>
      </c>
      <c r="Q715" s="13">
        <f>IF(N715="HKD",7.8,IF(N715="CNY",7.30034,1))</f>
        <v>7.3003400000000003</v>
      </c>
      <c r="R715" s="15">
        <f>+ROUND(O715/Q715,4)</f>
        <v>0.41370000000000001</v>
      </c>
      <c r="S715" s="14">
        <f>ROUND(R715*L715,2)</f>
        <v>417.84</v>
      </c>
      <c r="T715" s="15" t="s">
        <v>349</v>
      </c>
      <c r="U715" t="s">
        <v>9</v>
      </c>
    </row>
    <row r="716" spans="1:21" x14ac:dyDescent="0.2">
      <c r="A716" t="s">
        <v>2665</v>
      </c>
      <c r="B716" s="24">
        <v>45737</v>
      </c>
      <c r="C716" s="24">
        <v>45723</v>
      </c>
      <c r="D716" t="s">
        <v>569</v>
      </c>
      <c r="E716" t="s">
        <v>570</v>
      </c>
      <c r="G716" t="s">
        <v>2871</v>
      </c>
      <c r="H716" t="s">
        <v>1521</v>
      </c>
      <c r="I716" t="s">
        <v>1522</v>
      </c>
      <c r="J716" s="11" t="s">
        <v>1505</v>
      </c>
      <c r="K716" t="s">
        <v>10</v>
      </c>
      <c r="L716">
        <v>2050</v>
      </c>
      <c r="M716" t="s">
        <v>1472</v>
      </c>
      <c r="N716" t="s">
        <v>11</v>
      </c>
      <c r="O716">
        <v>3.0379999999999998</v>
      </c>
      <c r="P716" s="12">
        <f>ROUND(O716*L716,2)</f>
        <v>6227.9</v>
      </c>
      <c r="Q716" s="13">
        <f>IF(N716="HKD",7.8,IF(N716="CNY",7.30034,1))</f>
        <v>7.3003400000000003</v>
      </c>
      <c r="R716" s="15">
        <f>+ROUND(O716/Q716,4)</f>
        <v>0.41610000000000003</v>
      </c>
      <c r="S716" s="14">
        <f>ROUND(R716*L716,2)</f>
        <v>853.01</v>
      </c>
      <c r="T716" s="15" t="s">
        <v>349</v>
      </c>
      <c r="U716" t="s">
        <v>36</v>
      </c>
    </row>
    <row r="717" spans="1:21" x14ac:dyDescent="0.2">
      <c r="A717" t="s">
        <v>2646</v>
      </c>
      <c r="B717" s="24">
        <v>45736</v>
      </c>
      <c r="C717" s="24">
        <v>45721</v>
      </c>
      <c r="D717" t="s">
        <v>1006</v>
      </c>
      <c r="E717" t="s">
        <v>1007</v>
      </c>
      <c r="G717" t="s">
        <v>3012</v>
      </c>
      <c r="H717" t="s">
        <v>1013</v>
      </c>
      <c r="I717" t="s">
        <v>1014</v>
      </c>
      <c r="J717" s="11" t="str">
        <f>+LEFT(U717,4)</f>
        <v>ALM-</v>
      </c>
      <c r="K717" t="s">
        <v>98</v>
      </c>
      <c r="L717">
        <v>485</v>
      </c>
      <c r="M717" t="s">
        <v>186</v>
      </c>
      <c r="N717" t="s">
        <v>11</v>
      </c>
      <c r="O717">
        <v>3.0973000000000002</v>
      </c>
      <c r="P717" s="12">
        <f>ROUND(O717*L717,2)</f>
        <v>1502.19</v>
      </c>
      <c r="Q717" s="13">
        <f>IF(N717="HKD",7.8,IF(N717="CNY",7.30034,1))</f>
        <v>7.3003400000000003</v>
      </c>
      <c r="R717" s="15">
        <f>+ROUND(O717/Q717,4)</f>
        <v>0.42430000000000001</v>
      </c>
      <c r="S717" s="14">
        <f>ROUND(R717*L717,2)</f>
        <v>205.79</v>
      </c>
      <c r="T717" s="15" t="s">
        <v>349</v>
      </c>
      <c r="U717" t="s">
        <v>191</v>
      </c>
    </row>
    <row r="718" spans="1:21" x14ac:dyDescent="0.2">
      <c r="A718" t="s">
        <v>2677</v>
      </c>
      <c r="B718" s="24">
        <v>45736</v>
      </c>
      <c r="C718" s="24">
        <v>45726</v>
      </c>
      <c r="D718" t="s">
        <v>1006</v>
      </c>
      <c r="E718" t="s">
        <v>1007</v>
      </c>
      <c r="G718" t="s">
        <v>3012</v>
      </c>
      <c r="H718" t="s">
        <v>1016</v>
      </c>
      <c r="I718" t="s">
        <v>1017</v>
      </c>
      <c r="J718" s="11" t="str">
        <f>+LEFT(U718,4)</f>
        <v>ALM-</v>
      </c>
      <c r="K718" t="s">
        <v>98</v>
      </c>
      <c r="L718">
        <v>786</v>
      </c>
      <c r="M718" t="s">
        <v>186</v>
      </c>
      <c r="N718" t="s">
        <v>11</v>
      </c>
      <c r="O718">
        <v>3.0973000000000002</v>
      </c>
      <c r="P718" s="12">
        <f>ROUND(O718*L718,2)</f>
        <v>2434.48</v>
      </c>
      <c r="Q718" s="13">
        <f>IF(N718="HKD",7.8,IF(N718="CNY",7.30034,1))</f>
        <v>7.3003400000000003</v>
      </c>
      <c r="R718" s="15">
        <f>+ROUND(O718/Q718,4)</f>
        <v>0.42430000000000001</v>
      </c>
      <c r="S718" s="14">
        <f>ROUND(R718*L718,2)</f>
        <v>333.5</v>
      </c>
      <c r="T718" s="15" t="s">
        <v>349</v>
      </c>
      <c r="U718" t="s">
        <v>191</v>
      </c>
    </row>
    <row r="719" spans="1:21" x14ac:dyDescent="0.2">
      <c r="A719" t="s">
        <v>2679</v>
      </c>
      <c r="B719" s="24">
        <v>45743</v>
      </c>
      <c r="C719" s="24">
        <v>45726</v>
      </c>
      <c r="D719" t="s">
        <v>1006</v>
      </c>
      <c r="E719" t="s">
        <v>1007</v>
      </c>
      <c r="G719" t="s">
        <v>3028</v>
      </c>
      <c r="H719" t="s">
        <v>3221</v>
      </c>
      <c r="I719" t="s">
        <v>3428</v>
      </c>
      <c r="J719" s="11" t="str">
        <f>+LEFT(U719,4)</f>
        <v>ALM-</v>
      </c>
      <c r="K719" t="s">
        <v>98</v>
      </c>
      <c r="L719">
        <v>510</v>
      </c>
      <c r="M719" t="s">
        <v>186</v>
      </c>
      <c r="N719" t="s">
        <v>11</v>
      </c>
      <c r="O719">
        <v>3.0973000000000002</v>
      </c>
      <c r="P719" s="12">
        <f>ROUND(O719*L719,2)</f>
        <v>1579.62</v>
      </c>
      <c r="Q719" s="13">
        <f>IF(N719="HKD",7.8,IF(N719="CNY",7.30034,1))</f>
        <v>7.3003400000000003</v>
      </c>
      <c r="R719" s="15">
        <f>+ROUND(O719/Q719,4)</f>
        <v>0.42430000000000001</v>
      </c>
      <c r="S719" s="14">
        <f>ROUND(R719*L719,2)</f>
        <v>216.39</v>
      </c>
      <c r="T719" s="15" t="s">
        <v>349</v>
      </c>
      <c r="U719" t="s">
        <v>191</v>
      </c>
    </row>
    <row r="720" spans="1:21" x14ac:dyDescent="0.2">
      <c r="A720" t="s">
        <v>2779</v>
      </c>
      <c r="B720" s="24">
        <v>45743</v>
      </c>
      <c r="C720" s="24">
        <v>45730</v>
      </c>
      <c r="D720" t="s">
        <v>1006</v>
      </c>
      <c r="E720" t="s">
        <v>1007</v>
      </c>
      <c r="G720" t="s">
        <v>3028</v>
      </c>
      <c r="H720" t="s">
        <v>1013</v>
      </c>
      <c r="I720" t="s">
        <v>1014</v>
      </c>
      <c r="J720" s="11" t="str">
        <f>+LEFT(U720,4)</f>
        <v>ALM-</v>
      </c>
      <c r="K720" t="s">
        <v>98</v>
      </c>
      <c r="L720">
        <v>982</v>
      </c>
      <c r="M720" t="s">
        <v>186</v>
      </c>
      <c r="N720" t="s">
        <v>11</v>
      </c>
      <c r="O720">
        <v>3.0973000000000002</v>
      </c>
      <c r="P720" s="12">
        <f>ROUND(O720*L720,2)</f>
        <v>3041.55</v>
      </c>
      <c r="Q720" s="13">
        <f>IF(N720="HKD",7.8,IF(N720="CNY",7.30034,1))</f>
        <v>7.3003400000000003</v>
      </c>
      <c r="R720" s="15">
        <f>+ROUND(O720/Q720,4)</f>
        <v>0.42430000000000001</v>
      </c>
      <c r="S720" s="14">
        <f>ROUND(R720*L720,2)</f>
        <v>416.66</v>
      </c>
      <c r="T720" s="15" t="s">
        <v>349</v>
      </c>
      <c r="U720" t="s">
        <v>191</v>
      </c>
    </row>
    <row r="721" spans="1:21" x14ac:dyDescent="0.2">
      <c r="A721" t="s">
        <v>2804</v>
      </c>
      <c r="B721" s="24">
        <v>45743</v>
      </c>
      <c r="C721" s="24">
        <v>45735</v>
      </c>
      <c r="D721" t="s">
        <v>1006</v>
      </c>
      <c r="E721" t="s">
        <v>1007</v>
      </c>
      <c r="G721" t="s">
        <v>3028</v>
      </c>
      <c r="H721" t="s">
        <v>1013</v>
      </c>
      <c r="I721" t="s">
        <v>1014</v>
      </c>
      <c r="J721" s="11" t="str">
        <f>+LEFT(U721,4)</f>
        <v>ALM-</v>
      </c>
      <c r="K721" t="s">
        <v>98</v>
      </c>
      <c r="L721">
        <v>643</v>
      </c>
      <c r="M721" t="s">
        <v>186</v>
      </c>
      <c r="N721" t="s">
        <v>11</v>
      </c>
      <c r="O721">
        <v>3.0973000000000002</v>
      </c>
      <c r="P721" s="12">
        <f>ROUND(O721*L721,2)</f>
        <v>1991.56</v>
      </c>
      <c r="Q721" s="13">
        <f>IF(N721="HKD",7.8,IF(N721="CNY",7.30034,1))</f>
        <v>7.3003400000000003</v>
      </c>
      <c r="R721" s="15">
        <f>+ROUND(O721/Q721,4)</f>
        <v>0.42430000000000001</v>
      </c>
      <c r="S721" s="14">
        <f>ROUND(R721*L721,2)</f>
        <v>272.82</v>
      </c>
      <c r="T721" s="15" t="s">
        <v>349</v>
      </c>
      <c r="U721" t="s">
        <v>191</v>
      </c>
    </row>
    <row r="722" spans="1:21" x14ac:dyDescent="0.2">
      <c r="A722" t="s">
        <v>2302</v>
      </c>
      <c r="B722" s="24">
        <v>45719</v>
      </c>
      <c r="C722" s="24">
        <v>45660</v>
      </c>
      <c r="D722" t="s">
        <v>569</v>
      </c>
      <c r="E722" t="s">
        <v>570</v>
      </c>
      <c r="G722" t="s">
        <v>2870</v>
      </c>
      <c r="H722" t="s">
        <v>1521</v>
      </c>
      <c r="I722" t="s">
        <v>1522</v>
      </c>
      <c r="J722" s="11" t="s">
        <v>1505</v>
      </c>
      <c r="K722" t="s">
        <v>10</v>
      </c>
      <c r="L722">
        <v>1000</v>
      </c>
      <c r="M722" t="s">
        <v>1472</v>
      </c>
      <c r="N722" t="s">
        <v>11</v>
      </c>
      <c r="O722">
        <v>3.1</v>
      </c>
      <c r="P722" s="12">
        <f>ROUND(O722*L722,2)</f>
        <v>3100</v>
      </c>
      <c r="Q722" s="13">
        <f>IF(N722="HKD",7.8,IF(N722="CNY",7.30034,1))</f>
        <v>7.3003400000000003</v>
      </c>
      <c r="R722" s="15">
        <f>+ROUND(O722/Q722,4)</f>
        <v>0.42459999999999998</v>
      </c>
      <c r="S722" s="14">
        <f>ROUND(R722*L722,2)</f>
        <v>424.6</v>
      </c>
      <c r="T722" s="15" t="s">
        <v>349</v>
      </c>
      <c r="U722" t="s">
        <v>36</v>
      </c>
    </row>
    <row r="723" spans="1:21" x14ac:dyDescent="0.2">
      <c r="A723" t="s">
        <v>2356</v>
      </c>
      <c r="B723" s="24">
        <v>45730</v>
      </c>
      <c r="C723" s="24">
        <v>45680</v>
      </c>
      <c r="D723" t="s">
        <v>569</v>
      </c>
      <c r="E723" t="s">
        <v>570</v>
      </c>
      <c r="G723" t="s">
        <v>2903</v>
      </c>
      <c r="H723" t="s">
        <v>1521</v>
      </c>
      <c r="I723" t="s">
        <v>1522</v>
      </c>
      <c r="J723" s="11" t="s">
        <v>1505</v>
      </c>
      <c r="K723" t="s">
        <v>10</v>
      </c>
      <c r="L723">
        <v>1600</v>
      </c>
      <c r="M723" t="s">
        <v>1472</v>
      </c>
      <c r="N723" t="s">
        <v>11</v>
      </c>
      <c r="O723">
        <v>3.1</v>
      </c>
      <c r="P723" s="12">
        <f>ROUND(O723*L723,2)</f>
        <v>4960</v>
      </c>
      <c r="Q723" s="13">
        <f>IF(N723="HKD",7.8,IF(N723="CNY",7.30034,1))</f>
        <v>7.3003400000000003</v>
      </c>
      <c r="R723" s="15">
        <f>+ROUND(O723/Q723,4)</f>
        <v>0.42459999999999998</v>
      </c>
      <c r="S723" s="14">
        <f>ROUND(R723*L723,2)</f>
        <v>679.36</v>
      </c>
      <c r="T723" s="15" t="s">
        <v>349</v>
      </c>
      <c r="U723" t="s">
        <v>36</v>
      </c>
    </row>
    <row r="724" spans="1:21" x14ac:dyDescent="0.2">
      <c r="A724" t="s">
        <v>2644</v>
      </c>
      <c r="B724" s="24">
        <v>45744</v>
      </c>
      <c r="C724" s="24">
        <v>45721</v>
      </c>
      <c r="D724" t="s">
        <v>149</v>
      </c>
      <c r="E724" t="s">
        <v>150</v>
      </c>
      <c r="G724" t="s">
        <v>2995</v>
      </c>
      <c r="H724" t="s">
        <v>781</v>
      </c>
      <c r="I724" t="s">
        <v>782</v>
      </c>
      <c r="J724" s="11" t="str">
        <f>+LEFT(U724,4)</f>
        <v>GLID</v>
      </c>
      <c r="K724" t="s">
        <v>10</v>
      </c>
      <c r="L724">
        <v>1010</v>
      </c>
      <c r="M724" t="s">
        <v>1472</v>
      </c>
      <c r="N724" t="s">
        <v>11</v>
      </c>
      <c r="O724">
        <v>3.1166</v>
      </c>
      <c r="P724" s="12">
        <f>ROUND(O724*L724,2)</f>
        <v>3147.77</v>
      </c>
      <c r="Q724" s="13">
        <f>IF(N724="HKD",7.8,IF(N724="CNY",7.30034,1))</f>
        <v>7.3003400000000003</v>
      </c>
      <c r="R724" s="15">
        <f>+ROUND(O724/Q724,4)</f>
        <v>0.4269</v>
      </c>
      <c r="S724" s="14">
        <f>ROUND(R724*L724,2)</f>
        <v>431.17</v>
      </c>
      <c r="T724" s="15" t="s">
        <v>349</v>
      </c>
      <c r="U724" t="s">
        <v>78</v>
      </c>
    </row>
    <row r="725" spans="1:21" x14ac:dyDescent="0.2">
      <c r="A725" t="s">
        <v>2392</v>
      </c>
      <c r="B725" s="24">
        <v>45722</v>
      </c>
      <c r="C725" s="24">
        <v>45695</v>
      </c>
      <c r="D725" t="s">
        <v>149</v>
      </c>
      <c r="E725" t="s">
        <v>150</v>
      </c>
      <c r="G725" t="s">
        <v>2918</v>
      </c>
      <c r="H725" t="s">
        <v>3093</v>
      </c>
      <c r="I725" t="s">
        <v>3309</v>
      </c>
      <c r="J725" s="11" t="str">
        <f>+LEFT(U725,4)</f>
        <v>GLID</v>
      </c>
      <c r="K725" t="s">
        <v>10</v>
      </c>
      <c r="L725">
        <v>1000</v>
      </c>
      <c r="M725" t="s">
        <v>1472</v>
      </c>
      <c r="N725" t="s">
        <v>11</v>
      </c>
      <c r="O725">
        <v>3.1193</v>
      </c>
      <c r="P725" s="12">
        <f>ROUND(O725*L725,2)</f>
        <v>3119.3</v>
      </c>
      <c r="Q725" s="13">
        <f>IF(N725="HKD",7.8,IF(N725="CNY",7.30034,1))</f>
        <v>7.3003400000000003</v>
      </c>
      <c r="R725" s="15">
        <f>+ROUND(O725/Q725,4)</f>
        <v>0.42730000000000001</v>
      </c>
      <c r="S725" s="14">
        <f>ROUND(R725*L725,2)</f>
        <v>427.3</v>
      </c>
      <c r="T725" s="15" t="s">
        <v>349</v>
      </c>
      <c r="U725" t="s">
        <v>78</v>
      </c>
    </row>
    <row r="726" spans="1:21" x14ac:dyDescent="0.2">
      <c r="A726" t="s">
        <v>2585</v>
      </c>
      <c r="B726" s="24">
        <v>45740</v>
      </c>
      <c r="C726" s="24">
        <v>45716</v>
      </c>
      <c r="D726" t="s">
        <v>187</v>
      </c>
      <c r="E726" t="s">
        <v>188</v>
      </c>
      <c r="G726" t="s">
        <v>3006</v>
      </c>
      <c r="H726" t="s">
        <v>3188</v>
      </c>
      <c r="I726" t="s">
        <v>3395</v>
      </c>
      <c r="J726" s="11" t="str">
        <f>+LEFT(U726,4)</f>
        <v>ALM-</v>
      </c>
      <c r="K726" t="s">
        <v>98</v>
      </c>
      <c r="L726">
        <v>200</v>
      </c>
      <c r="M726" t="s">
        <v>186</v>
      </c>
      <c r="N726" t="s">
        <v>11</v>
      </c>
      <c r="O726">
        <v>3.1415999999999999</v>
      </c>
      <c r="P726" s="12">
        <f>ROUND(O726*L726,2)</f>
        <v>628.32000000000005</v>
      </c>
      <c r="Q726" s="13">
        <f>IF(N726="HKD",7.8,IF(N726="CNY",7.30034,1))</f>
        <v>7.3003400000000003</v>
      </c>
      <c r="R726" s="15">
        <f>+ROUND(O726/Q726,4)</f>
        <v>0.43030000000000002</v>
      </c>
      <c r="S726" s="14">
        <f>ROUND(R726*L726,2)</f>
        <v>86.06</v>
      </c>
      <c r="T726" s="15" t="s">
        <v>349</v>
      </c>
      <c r="U726" t="s">
        <v>191</v>
      </c>
    </row>
    <row r="727" spans="1:21" x14ac:dyDescent="0.2">
      <c r="A727" t="s">
        <v>2586</v>
      </c>
      <c r="B727" s="24">
        <v>45740</v>
      </c>
      <c r="C727" s="24">
        <v>45716</v>
      </c>
      <c r="D727" t="s">
        <v>187</v>
      </c>
      <c r="E727" t="s">
        <v>188</v>
      </c>
      <c r="G727" t="s">
        <v>3006</v>
      </c>
      <c r="H727" t="s">
        <v>3189</v>
      </c>
      <c r="I727" t="s">
        <v>3396</v>
      </c>
      <c r="J727" s="11" t="str">
        <f>+LEFT(U727,4)</f>
        <v>ALM-</v>
      </c>
      <c r="K727" t="s">
        <v>98</v>
      </c>
      <c r="L727">
        <v>50</v>
      </c>
      <c r="M727" t="s">
        <v>186</v>
      </c>
      <c r="N727" t="s">
        <v>11</v>
      </c>
      <c r="O727">
        <v>3.1415999999999999</v>
      </c>
      <c r="P727" s="12">
        <f>ROUND(O727*L727,2)</f>
        <v>157.08000000000001</v>
      </c>
      <c r="Q727" s="13">
        <f>IF(N727="HKD",7.8,IF(N727="CNY",7.30034,1))</f>
        <v>7.3003400000000003</v>
      </c>
      <c r="R727" s="15">
        <f>+ROUND(O727/Q727,4)</f>
        <v>0.43030000000000002</v>
      </c>
      <c r="S727" s="14">
        <f>ROUND(R727*L727,2)</f>
        <v>21.52</v>
      </c>
      <c r="T727" s="15" t="s">
        <v>349</v>
      </c>
      <c r="U727" t="s">
        <v>191</v>
      </c>
    </row>
    <row r="728" spans="1:21" x14ac:dyDescent="0.2">
      <c r="A728" t="s">
        <v>2587</v>
      </c>
      <c r="B728" s="24">
        <v>45740</v>
      </c>
      <c r="C728" s="24">
        <v>45716</v>
      </c>
      <c r="D728" t="s">
        <v>187</v>
      </c>
      <c r="E728" t="s">
        <v>188</v>
      </c>
      <c r="G728" t="s">
        <v>3006</v>
      </c>
      <c r="H728" t="s">
        <v>1217</v>
      </c>
      <c r="I728" t="s">
        <v>1218</v>
      </c>
      <c r="J728" s="11" t="str">
        <f>+LEFT(U728,4)</f>
        <v>ALM-</v>
      </c>
      <c r="K728" t="s">
        <v>98</v>
      </c>
      <c r="L728">
        <v>225</v>
      </c>
      <c r="M728" t="s">
        <v>186</v>
      </c>
      <c r="N728" t="s">
        <v>11</v>
      </c>
      <c r="O728">
        <v>3.1415999999999999</v>
      </c>
      <c r="P728" s="12">
        <f>ROUND(O728*L728,2)</f>
        <v>706.86</v>
      </c>
      <c r="Q728" s="13">
        <f>IF(N728="HKD",7.8,IF(N728="CNY",7.30034,1))</f>
        <v>7.3003400000000003</v>
      </c>
      <c r="R728" s="15">
        <f>+ROUND(O728/Q728,4)</f>
        <v>0.43030000000000002</v>
      </c>
      <c r="S728" s="14">
        <f>ROUND(R728*L728,2)</f>
        <v>96.82</v>
      </c>
      <c r="T728" s="15" t="s">
        <v>349</v>
      </c>
      <c r="U728" t="s">
        <v>191</v>
      </c>
    </row>
    <row r="729" spans="1:21" x14ac:dyDescent="0.2">
      <c r="A729" t="s">
        <v>2589</v>
      </c>
      <c r="B729" s="24">
        <v>45740</v>
      </c>
      <c r="C729" s="24">
        <v>45716</v>
      </c>
      <c r="D729" t="s">
        <v>187</v>
      </c>
      <c r="E729" t="s">
        <v>188</v>
      </c>
      <c r="G729" t="s">
        <v>3006</v>
      </c>
      <c r="H729" t="s">
        <v>211</v>
      </c>
      <c r="I729" t="s">
        <v>212</v>
      </c>
      <c r="J729" s="11" t="str">
        <f>+LEFT(U729,4)</f>
        <v>ALM-</v>
      </c>
      <c r="K729" t="s">
        <v>98</v>
      </c>
      <c r="L729">
        <v>50</v>
      </c>
      <c r="M729" t="s">
        <v>186</v>
      </c>
      <c r="N729" t="s">
        <v>11</v>
      </c>
      <c r="O729">
        <v>3.1415999999999999</v>
      </c>
      <c r="P729" s="12">
        <f>ROUND(O729*L729,2)</f>
        <v>157.08000000000001</v>
      </c>
      <c r="Q729" s="13">
        <f>IF(N729="HKD",7.8,IF(N729="CNY",7.30034,1))</f>
        <v>7.3003400000000003</v>
      </c>
      <c r="R729" s="15">
        <f>+ROUND(O729/Q729,4)</f>
        <v>0.43030000000000002</v>
      </c>
      <c r="S729" s="14">
        <f>ROUND(R729*L729,2)</f>
        <v>21.52</v>
      </c>
      <c r="T729" s="15" t="s">
        <v>349</v>
      </c>
      <c r="U729" t="s">
        <v>191</v>
      </c>
    </row>
    <row r="730" spans="1:21" x14ac:dyDescent="0.2">
      <c r="A730" t="s">
        <v>2590</v>
      </c>
      <c r="B730" s="24">
        <v>45740</v>
      </c>
      <c r="C730" s="24">
        <v>45716</v>
      </c>
      <c r="D730" t="s">
        <v>187</v>
      </c>
      <c r="E730" t="s">
        <v>188</v>
      </c>
      <c r="G730" t="s">
        <v>3006</v>
      </c>
      <c r="H730" t="s">
        <v>205</v>
      </c>
      <c r="I730" t="s">
        <v>206</v>
      </c>
      <c r="J730" s="11" t="str">
        <f>+LEFT(U730,4)</f>
        <v>ALM-</v>
      </c>
      <c r="K730" t="s">
        <v>98</v>
      </c>
      <c r="L730">
        <v>200</v>
      </c>
      <c r="M730" t="s">
        <v>186</v>
      </c>
      <c r="N730" t="s">
        <v>11</v>
      </c>
      <c r="O730">
        <v>3.1415999999999999</v>
      </c>
      <c r="P730" s="12">
        <f>ROUND(O730*L730,2)</f>
        <v>628.32000000000005</v>
      </c>
      <c r="Q730" s="13">
        <f>IF(N730="HKD",7.8,IF(N730="CNY",7.30034,1))</f>
        <v>7.3003400000000003</v>
      </c>
      <c r="R730" s="15">
        <f>+ROUND(O730/Q730,4)</f>
        <v>0.43030000000000002</v>
      </c>
      <c r="S730" s="14">
        <f>ROUND(R730*L730,2)</f>
        <v>86.06</v>
      </c>
      <c r="T730" s="15" t="s">
        <v>349</v>
      </c>
      <c r="U730" t="s">
        <v>191</v>
      </c>
    </row>
    <row r="731" spans="1:21" x14ac:dyDescent="0.2">
      <c r="A731" t="s">
        <v>2591</v>
      </c>
      <c r="B731" s="24">
        <v>45740</v>
      </c>
      <c r="C731" s="24">
        <v>45716</v>
      </c>
      <c r="D731" t="s">
        <v>187</v>
      </c>
      <c r="E731" t="s">
        <v>188</v>
      </c>
      <c r="G731" t="s">
        <v>3006</v>
      </c>
      <c r="H731" t="s">
        <v>3191</v>
      </c>
      <c r="I731" t="s">
        <v>3398</v>
      </c>
      <c r="J731" s="11" t="str">
        <f>+LEFT(U731,4)</f>
        <v>ALM-</v>
      </c>
      <c r="K731" t="s">
        <v>98</v>
      </c>
      <c r="L731">
        <v>410</v>
      </c>
      <c r="M731" t="s">
        <v>186</v>
      </c>
      <c r="N731" t="s">
        <v>11</v>
      </c>
      <c r="O731">
        <v>3.1415999999999999</v>
      </c>
      <c r="P731" s="12">
        <f>ROUND(O731*L731,2)</f>
        <v>1288.06</v>
      </c>
      <c r="Q731" s="13">
        <f>IF(N731="HKD",7.8,IF(N731="CNY",7.30034,1))</f>
        <v>7.3003400000000003</v>
      </c>
      <c r="R731" s="15">
        <f>+ROUND(O731/Q731,4)</f>
        <v>0.43030000000000002</v>
      </c>
      <c r="S731" s="14">
        <f>ROUND(R731*L731,2)</f>
        <v>176.42</v>
      </c>
      <c r="T731" s="15" t="s">
        <v>349</v>
      </c>
      <c r="U731" t="s">
        <v>191</v>
      </c>
    </row>
    <row r="732" spans="1:21" x14ac:dyDescent="0.2">
      <c r="A732" t="s">
        <v>2654</v>
      </c>
      <c r="B732" s="24">
        <v>45740</v>
      </c>
      <c r="C732" s="24">
        <v>45722</v>
      </c>
      <c r="D732" t="s">
        <v>187</v>
      </c>
      <c r="E732" t="s">
        <v>188</v>
      </c>
      <c r="G732" t="s">
        <v>3006</v>
      </c>
      <c r="H732" t="s">
        <v>211</v>
      </c>
      <c r="I732" t="s">
        <v>212</v>
      </c>
      <c r="J732" s="11" t="str">
        <f>+LEFT(U732,4)</f>
        <v>ALM-</v>
      </c>
      <c r="K732" t="s">
        <v>98</v>
      </c>
      <c r="L732">
        <v>100</v>
      </c>
      <c r="M732" t="s">
        <v>186</v>
      </c>
      <c r="N732" t="s">
        <v>11</v>
      </c>
      <c r="O732">
        <v>3.1415999999999999</v>
      </c>
      <c r="P732" s="12">
        <f>ROUND(O732*L732,2)</f>
        <v>314.16000000000003</v>
      </c>
      <c r="Q732" s="13">
        <f>IF(N732="HKD",7.8,IF(N732="CNY",7.30034,1))</f>
        <v>7.3003400000000003</v>
      </c>
      <c r="R732" s="15">
        <f>+ROUND(O732/Q732,4)</f>
        <v>0.43030000000000002</v>
      </c>
      <c r="S732" s="14">
        <f>ROUND(R732*L732,2)</f>
        <v>43.03</v>
      </c>
      <c r="T732" s="15" t="s">
        <v>349</v>
      </c>
      <c r="U732" t="s">
        <v>191</v>
      </c>
    </row>
    <row r="733" spans="1:21" x14ac:dyDescent="0.2">
      <c r="A733" t="s">
        <v>2655</v>
      </c>
      <c r="B733" s="24">
        <v>45740</v>
      </c>
      <c r="C733" s="24">
        <v>45722</v>
      </c>
      <c r="D733" t="s">
        <v>187</v>
      </c>
      <c r="E733" t="s">
        <v>188</v>
      </c>
      <c r="G733" t="s">
        <v>3006</v>
      </c>
      <c r="H733" t="s">
        <v>202</v>
      </c>
      <c r="I733" t="s">
        <v>203</v>
      </c>
      <c r="J733" s="11" t="str">
        <f>+LEFT(U733,4)</f>
        <v>ALM-</v>
      </c>
      <c r="K733" t="s">
        <v>98</v>
      </c>
      <c r="L733">
        <v>50</v>
      </c>
      <c r="M733" t="s">
        <v>186</v>
      </c>
      <c r="N733" t="s">
        <v>11</v>
      </c>
      <c r="O733">
        <v>3.1415999999999999</v>
      </c>
      <c r="P733" s="12">
        <f>ROUND(O733*L733,2)</f>
        <v>157.08000000000001</v>
      </c>
      <c r="Q733" s="13">
        <f>IF(N733="HKD",7.8,IF(N733="CNY",7.30034,1))</f>
        <v>7.3003400000000003</v>
      </c>
      <c r="R733" s="15">
        <f>+ROUND(O733/Q733,4)</f>
        <v>0.43030000000000002</v>
      </c>
      <c r="S733" s="14">
        <f>ROUND(R733*L733,2)</f>
        <v>21.52</v>
      </c>
      <c r="T733" s="15" t="s">
        <v>349</v>
      </c>
      <c r="U733" t="s">
        <v>191</v>
      </c>
    </row>
    <row r="734" spans="1:21" x14ac:dyDescent="0.2">
      <c r="A734" t="s">
        <v>2682</v>
      </c>
      <c r="B734" s="24">
        <v>45740</v>
      </c>
      <c r="C734" s="24">
        <v>45726</v>
      </c>
      <c r="D734" t="s">
        <v>187</v>
      </c>
      <c r="E734" t="s">
        <v>188</v>
      </c>
      <c r="G734" t="s">
        <v>3006</v>
      </c>
      <c r="H734" t="s">
        <v>1210</v>
      </c>
      <c r="I734" t="s">
        <v>1211</v>
      </c>
      <c r="J734" s="11" t="str">
        <f>+LEFT(U734,4)</f>
        <v>ALM-</v>
      </c>
      <c r="K734" t="s">
        <v>98</v>
      </c>
      <c r="L734">
        <v>450</v>
      </c>
      <c r="M734" t="s">
        <v>186</v>
      </c>
      <c r="N734" t="s">
        <v>11</v>
      </c>
      <c r="O734">
        <v>3.1415999999999999</v>
      </c>
      <c r="P734" s="12">
        <f>ROUND(O734*L734,2)</f>
        <v>1413.72</v>
      </c>
      <c r="Q734" s="13">
        <f>IF(N734="HKD",7.8,IF(N734="CNY",7.30034,1))</f>
        <v>7.3003400000000003</v>
      </c>
      <c r="R734" s="15">
        <f>+ROUND(O734/Q734,4)</f>
        <v>0.43030000000000002</v>
      </c>
      <c r="S734" s="14">
        <f>ROUND(R734*L734,2)</f>
        <v>193.64</v>
      </c>
      <c r="T734" s="15" t="s">
        <v>349</v>
      </c>
      <c r="U734" t="s">
        <v>191</v>
      </c>
    </row>
    <row r="735" spans="1:21" x14ac:dyDescent="0.2">
      <c r="A735" s="19" t="s">
        <v>1243</v>
      </c>
      <c r="B735" s="20">
        <v>45663</v>
      </c>
      <c r="C735" s="20">
        <v>45638</v>
      </c>
      <c r="D735" s="19" t="s">
        <v>311</v>
      </c>
      <c r="E735" s="19" t="s">
        <v>312</v>
      </c>
      <c r="G735" s="19" t="s">
        <v>1244</v>
      </c>
      <c r="H735" s="19" t="s">
        <v>662</v>
      </c>
      <c r="I735" s="19" t="s">
        <v>663</v>
      </c>
      <c r="J735" s="11" t="str">
        <f>+LEFT(U735,4)</f>
        <v>INM-</v>
      </c>
      <c r="K735" s="19" t="s">
        <v>10</v>
      </c>
      <c r="L735" s="19">
        <v>50</v>
      </c>
      <c r="M735" s="19" t="s">
        <v>186</v>
      </c>
      <c r="N735" s="19" t="s">
        <v>11</v>
      </c>
      <c r="O735" s="26">
        <v>92.743399999999994</v>
      </c>
      <c r="P735" s="12">
        <f>ROUND(O735*L735,2)</f>
        <v>4637.17</v>
      </c>
      <c r="Q735" s="13">
        <f>IF(N735="HKD",7.8,IF(N735="CNY",7.30034,1))</f>
        <v>7.3003400000000003</v>
      </c>
      <c r="R735" s="15">
        <f>+ROUND(O735/Q735,4)</f>
        <v>12.704000000000001</v>
      </c>
      <c r="S735" s="14">
        <f>ROUND(R735*L735,2)</f>
        <v>635.20000000000005</v>
      </c>
      <c r="T735" s="15" t="s">
        <v>349</v>
      </c>
      <c r="U735" s="19" t="s">
        <v>327</v>
      </c>
    </row>
    <row r="736" spans="1:21" x14ac:dyDescent="0.2">
      <c r="A736" s="19" t="s">
        <v>676</v>
      </c>
      <c r="B736" s="20">
        <v>45667</v>
      </c>
      <c r="C736" s="20">
        <v>45638</v>
      </c>
      <c r="D736" s="19" t="s">
        <v>311</v>
      </c>
      <c r="E736" s="19" t="s">
        <v>312</v>
      </c>
      <c r="G736" s="19" t="s">
        <v>675</v>
      </c>
      <c r="H736" s="19" t="s">
        <v>341</v>
      </c>
      <c r="I736" s="19" t="s">
        <v>342</v>
      </c>
      <c r="J736" s="11" t="str">
        <f>+LEFT(U736,4)</f>
        <v>INM-</v>
      </c>
      <c r="K736" s="19" t="s">
        <v>10</v>
      </c>
      <c r="L736" s="19">
        <v>25</v>
      </c>
      <c r="M736" s="19" t="s">
        <v>186</v>
      </c>
      <c r="N736" s="19" t="s">
        <v>11</v>
      </c>
      <c r="O736" s="26">
        <v>63.008800000000001</v>
      </c>
      <c r="P736" s="12">
        <f>ROUND(O736*L736,2)</f>
        <v>1575.22</v>
      </c>
      <c r="Q736" s="13">
        <f>IF(N736="HKD",7.8,IF(N736="CNY",7.30034,1))</f>
        <v>7.3003400000000003</v>
      </c>
      <c r="R736" s="15">
        <f>+ROUND(O736/Q736,4)</f>
        <v>8.6309000000000005</v>
      </c>
      <c r="S736" s="14">
        <f>ROUND(R736*L736,2)</f>
        <v>215.77</v>
      </c>
      <c r="T736" s="15" t="s">
        <v>349</v>
      </c>
      <c r="U736" s="19" t="s">
        <v>327</v>
      </c>
    </row>
    <row r="737" spans="1:21" x14ac:dyDescent="0.2">
      <c r="A737" s="19" t="s">
        <v>677</v>
      </c>
      <c r="B737" s="20">
        <v>45667</v>
      </c>
      <c r="C737" s="20">
        <v>45638</v>
      </c>
      <c r="D737" s="19" t="s">
        <v>311</v>
      </c>
      <c r="E737" s="19" t="s">
        <v>312</v>
      </c>
      <c r="G737" s="19" t="s">
        <v>675</v>
      </c>
      <c r="H737" s="19" t="s">
        <v>328</v>
      </c>
      <c r="I737" s="19" t="s">
        <v>329</v>
      </c>
      <c r="J737" s="11" t="str">
        <f>+LEFT(U737,4)</f>
        <v>INM-</v>
      </c>
      <c r="K737" s="19" t="s">
        <v>10</v>
      </c>
      <c r="L737" s="19">
        <v>25</v>
      </c>
      <c r="M737" s="19" t="s">
        <v>186</v>
      </c>
      <c r="N737" s="19" t="s">
        <v>11</v>
      </c>
      <c r="O737" s="26">
        <v>69.026499999999999</v>
      </c>
      <c r="P737" s="12">
        <f>ROUND(O737*L737,2)</f>
        <v>1725.66</v>
      </c>
      <c r="Q737" s="13">
        <f>IF(N737="HKD",7.8,IF(N737="CNY",7.30034,1))</f>
        <v>7.3003400000000003</v>
      </c>
      <c r="R737" s="15">
        <f>+ROUND(O737/Q737,4)</f>
        <v>9.4551999999999996</v>
      </c>
      <c r="S737" s="14">
        <f>ROUND(R737*L737,2)</f>
        <v>236.38</v>
      </c>
      <c r="T737" s="15" t="s">
        <v>349</v>
      </c>
      <c r="U737" s="19" t="s">
        <v>327</v>
      </c>
    </row>
    <row r="738" spans="1:21" x14ac:dyDescent="0.2">
      <c r="A738" s="19" t="s">
        <v>674</v>
      </c>
      <c r="B738" s="20">
        <v>45667</v>
      </c>
      <c r="C738" s="20">
        <v>45638</v>
      </c>
      <c r="D738" s="19" t="s">
        <v>311</v>
      </c>
      <c r="E738" s="19" t="s">
        <v>312</v>
      </c>
      <c r="G738" s="19" t="s">
        <v>675</v>
      </c>
      <c r="H738" s="19" t="s">
        <v>323</v>
      </c>
      <c r="I738" s="19" t="s">
        <v>324</v>
      </c>
      <c r="J738" s="11" t="str">
        <f>+LEFT(U738,4)</f>
        <v>INM-</v>
      </c>
      <c r="K738" s="19" t="s">
        <v>10</v>
      </c>
      <c r="L738" s="19">
        <v>50</v>
      </c>
      <c r="M738" s="19" t="s">
        <v>186</v>
      </c>
      <c r="N738" s="19" t="s">
        <v>11</v>
      </c>
      <c r="O738" s="26">
        <v>69.026499999999999</v>
      </c>
      <c r="P738" s="12">
        <f>ROUND(O738*L738,2)</f>
        <v>3451.33</v>
      </c>
      <c r="Q738" s="13">
        <f>IF(N738="HKD",7.8,IF(N738="CNY",7.30034,1))</f>
        <v>7.3003400000000003</v>
      </c>
      <c r="R738" s="15">
        <f>+ROUND(O738/Q738,4)</f>
        <v>9.4551999999999996</v>
      </c>
      <c r="S738" s="14">
        <f>ROUND(R738*L738,2)</f>
        <v>472.76</v>
      </c>
      <c r="T738" s="15" t="s">
        <v>349</v>
      </c>
      <c r="U738" s="19" t="s">
        <v>327</v>
      </c>
    </row>
    <row r="739" spans="1:21" x14ac:dyDescent="0.2">
      <c r="A739" s="19" t="s">
        <v>672</v>
      </c>
      <c r="B739" s="20">
        <v>45667</v>
      </c>
      <c r="C739" s="20">
        <v>45643</v>
      </c>
      <c r="D739" s="19" t="s">
        <v>311</v>
      </c>
      <c r="E739" s="19" t="s">
        <v>312</v>
      </c>
      <c r="G739" s="19" t="s">
        <v>665</v>
      </c>
      <c r="H739" s="19" t="s">
        <v>662</v>
      </c>
      <c r="I739" s="19" t="s">
        <v>663</v>
      </c>
      <c r="J739" s="11" t="str">
        <f>+LEFT(U739,4)</f>
        <v>INM-</v>
      </c>
      <c r="K739" s="19" t="s">
        <v>10</v>
      </c>
      <c r="L739" s="19">
        <v>50</v>
      </c>
      <c r="M739" s="19" t="s">
        <v>186</v>
      </c>
      <c r="N739" s="19" t="s">
        <v>11</v>
      </c>
      <c r="O739" s="26">
        <v>92.743399999999994</v>
      </c>
      <c r="P739" s="12">
        <f>ROUND(O739*L739,2)</f>
        <v>4637.17</v>
      </c>
      <c r="Q739" s="13">
        <f>IF(N739="HKD",7.8,IF(N739="CNY",7.30034,1))</f>
        <v>7.3003400000000003</v>
      </c>
      <c r="R739" s="15">
        <f>+ROUND(O739/Q739,4)</f>
        <v>12.704000000000001</v>
      </c>
      <c r="S739" s="14">
        <f>ROUND(R739*L739,2)</f>
        <v>635.20000000000005</v>
      </c>
      <c r="T739" s="15" t="s">
        <v>349</v>
      </c>
      <c r="U739" s="19" t="s">
        <v>327</v>
      </c>
    </row>
    <row r="740" spans="1:21" x14ac:dyDescent="0.2">
      <c r="A740" s="19" t="s">
        <v>664</v>
      </c>
      <c r="B740" s="20">
        <v>45667</v>
      </c>
      <c r="C740" s="20">
        <v>45643</v>
      </c>
      <c r="D740" s="19" t="s">
        <v>311</v>
      </c>
      <c r="E740" s="19" t="s">
        <v>312</v>
      </c>
      <c r="G740" s="19" t="s">
        <v>665</v>
      </c>
      <c r="H740" s="19" t="s">
        <v>662</v>
      </c>
      <c r="I740" s="19" t="s">
        <v>663</v>
      </c>
      <c r="J740" s="11" t="str">
        <f>+LEFT(U740,4)</f>
        <v>INM-</v>
      </c>
      <c r="K740" s="19" t="s">
        <v>10</v>
      </c>
      <c r="L740" s="19">
        <v>100</v>
      </c>
      <c r="M740" s="19" t="s">
        <v>186</v>
      </c>
      <c r="N740" s="19" t="s">
        <v>11</v>
      </c>
      <c r="O740" s="26">
        <v>92.743399999999994</v>
      </c>
      <c r="P740" s="12">
        <f>ROUND(O740*L740,2)</f>
        <v>9274.34</v>
      </c>
      <c r="Q740" s="13">
        <f>IF(N740="HKD",7.8,IF(N740="CNY",7.30034,1))</f>
        <v>7.3003400000000003</v>
      </c>
      <c r="R740" s="15">
        <f>+ROUND(O740/Q740,4)</f>
        <v>12.704000000000001</v>
      </c>
      <c r="S740" s="14">
        <f>ROUND(R740*L740,2)</f>
        <v>1270.4000000000001</v>
      </c>
      <c r="T740" s="15" t="s">
        <v>349</v>
      </c>
      <c r="U740" s="19" t="s">
        <v>327</v>
      </c>
    </row>
    <row r="741" spans="1:21" x14ac:dyDescent="0.2">
      <c r="A741" s="19" t="s">
        <v>668</v>
      </c>
      <c r="B741" s="20">
        <v>45667</v>
      </c>
      <c r="C741" s="20">
        <v>45643</v>
      </c>
      <c r="D741" s="19" t="s">
        <v>311</v>
      </c>
      <c r="E741" s="19" t="s">
        <v>312</v>
      </c>
      <c r="G741" s="19" t="s">
        <v>665</v>
      </c>
      <c r="H741" s="19" t="s">
        <v>666</v>
      </c>
      <c r="I741" s="19" t="s">
        <v>667</v>
      </c>
      <c r="J741" s="11" t="str">
        <f>+LEFT(U741,4)</f>
        <v>INM-</v>
      </c>
      <c r="K741" s="19" t="s">
        <v>10</v>
      </c>
      <c r="L741" s="19">
        <v>50</v>
      </c>
      <c r="M741" s="19" t="s">
        <v>186</v>
      </c>
      <c r="N741" s="19" t="s">
        <v>11</v>
      </c>
      <c r="O741" s="26">
        <v>105.0442</v>
      </c>
      <c r="P741" s="12">
        <f>ROUND(O741*L741,2)</f>
        <v>5252.21</v>
      </c>
      <c r="Q741" s="13">
        <f>IF(N741="HKD",7.8,IF(N741="CNY",7.30034,1))</f>
        <v>7.3003400000000003</v>
      </c>
      <c r="R741" s="15">
        <f>+ROUND(O741/Q741,4)</f>
        <v>14.3889</v>
      </c>
      <c r="S741" s="14">
        <f>ROUND(R741*L741,2)</f>
        <v>719.45</v>
      </c>
      <c r="T741" s="15" t="s">
        <v>349</v>
      </c>
      <c r="U741" s="19" t="s">
        <v>327</v>
      </c>
    </row>
    <row r="742" spans="1:21" x14ac:dyDescent="0.2">
      <c r="A742" s="19" t="s">
        <v>673</v>
      </c>
      <c r="B742" s="20">
        <v>45667</v>
      </c>
      <c r="C742" s="20">
        <v>45643</v>
      </c>
      <c r="D742" s="19" t="s">
        <v>311</v>
      </c>
      <c r="E742" s="19" t="s">
        <v>312</v>
      </c>
      <c r="G742" s="19" t="s">
        <v>665</v>
      </c>
      <c r="H742" s="19" t="s">
        <v>669</v>
      </c>
      <c r="I742" s="19" t="s">
        <v>670</v>
      </c>
      <c r="J742" s="11" t="str">
        <f>+LEFT(U742,4)</f>
        <v>INM-</v>
      </c>
      <c r="K742" s="19" t="s">
        <v>10</v>
      </c>
      <c r="L742" s="19">
        <v>25</v>
      </c>
      <c r="M742" s="19" t="s">
        <v>186</v>
      </c>
      <c r="N742" s="19" t="s">
        <v>11</v>
      </c>
      <c r="O742" s="26">
        <v>110.17700000000001</v>
      </c>
      <c r="P742" s="12">
        <f>ROUND(O742*L742,2)</f>
        <v>2754.43</v>
      </c>
      <c r="Q742" s="13">
        <f>IF(N742="HKD",7.8,IF(N742="CNY",7.30034,1))</f>
        <v>7.3003400000000003</v>
      </c>
      <c r="R742" s="15">
        <f>+ROUND(O742/Q742,4)</f>
        <v>15.092000000000001</v>
      </c>
      <c r="S742" s="14">
        <f>ROUND(R742*L742,2)</f>
        <v>377.3</v>
      </c>
      <c r="T742" s="15" t="s">
        <v>349</v>
      </c>
      <c r="U742" s="19" t="s">
        <v>327</v>
      </c>
    </row>
    <row r="743" spans="1:21" x14ac:dyDescent="0.2">
      <c r="A743" s="19" t="s">
        <v>671</v>
      </c>
      <c r="B743" s="20">
        <v>45667</v>
      </c>
      <c r="C743" s="20">
        <v>45643</v>
      </c>
      <c r="D743" s="19" t="s">
        <v>311</v>
      </c>
      <c r="E743" s="19" t="s">
        <v>312</v>
      </c>
      <c r="G743" s="19" t="s">
        <v>665</v>
      </c>
      <c r="H743" s="19" t="s">
        <v>669</v>
      </c>
      <c r="I743" s="19" t="s">
        <v>670</v>
      </c>
      <c r="J743" s="11" t="str">
        <f>+LEFT(U743,4)</f>
        <v>INM-</v>
      </c>
      <c r="K743" s="19" t="s">
        <v>10</v>
      </c>
      <c r="L743" s="19">
        <v>75</v>
      </c>
      <c r="M743" s="19" t="s">
        <v>186</v>
      </c>
      <c r="N743" s="19" t="s">
        <v>11</v>
      </c>
      <c r="O743" s="26">
        <v>110.17700000000001</v>
      </c>
      <c r="P743" s="12">
        <f>ROUND(O743*L743,2)</f>
        <v>8263.2800000000007</v>
      </c>
      <c r="Q743" s="13">
        <f>IF(N743="HKD",7.8,IF(N743="CNY",7.30034,1))</f>
        <v>7.3003400000000003</v>
      </c>
      <c r="R743" s="15">
        <f>+ROUND(O743/Q743,4)</f>
        <v>15.092000000000001</v>
      </c>
      <c r="S743" s="14">
        <f>ROUND(R743*L743,2)</f>
        <v>1131.9000000000001</v>
      </c>
      <c r="T743" s="15" t="s">
        <v>349</v>
      </c>
      <c r="U743" s="19" t="s">
        <v>327</v>
      </c>
    </row>
    <row r="744" spans="1:21" x14ac:dyDescent="0.2">
      <c r="A744" s="19" t="s">
        <v>661</v>
      </c>
      <c r="B744" s="20">
        <v>45667</v>
      </c>
      <c r="C744" s="20">
        <v>45651</v>
      </c>
      <c r="D744" s="19" t="s">
        <v>311</v>
      </c>
      <c r="E744" s="19" t="s">
        <v>312</v>
      </c>
      <c r="G744" s="19" t="s">
        <v>658</v>
      </c>
      <c r="H744" s="19" t="s">
        <v>659</v>
      </c>
      <c r="I744" s="19" t="s">
        <v>660</v>
      </c>
      <c r="J744" s="11" t="str">
        <f>+LEFT(U744,4)</f>
        <v>INM-</v>
      </c>
      <c r="K744" s="19" t="s">
        <v>10</v>
      </c>
      <c r="L744" s="19">
        <v>25</v>
      </c>
      <c r="M744" s="19" t="s">
        <v>186</v>
      </c>
      <c r="N744" s="19" t="s">
        <v>11</v>
      </c>
      <c r="O744" s="26">
        <v>197.3451</v>
      </c>
      <c r="P744" s="12">
        <f>ROUND(O744*L744,2)</f>
        <v>4933.63</v>
      </c>
      <c r="Q744" s="13">
        <f>IF(N744="HKD",7.8,IF(N744="CNY",7.30034,1))</f>
        <v>7.3003400000000003</v>
      </c>
      <c r="R744" s="15">
        <f>+ROUND(O744/Q744,4)</f>
        <v>27.032299999999999</v>
      </c>
      <c r="S744" s="14">
        <f>ROUND(R744*L744,2)</f>
        <v>675.81</v>
      </c>
      <c r="T744" s="15" t="s">
        <v>349</v>
      </c>
      <c r="U744" s="19" t="s">
        <v>327</v>
      </c>
    </row>
    <row r="745" spans="1:21" x14ac:dyDescent="0.2">
      <c r="A745" s="19" t="s">
        <v>657</v>
      </c>
      <c r="B745" s="20">
        <v>45667</v>
      </c>
      <c r="C745" s="20">
        <v>45651</v>
      </c>
      <c r="D745" s="19" t="s">
        <v>311</v>
      </c>
      <c r="E745" s="19" t="s">
        <v>312</v>
      </c>
      <c r="G745" s="19" t="s">
        <v>658</v>
      </c>
      <c r="H745" s="19" t="s">
        <v>655</v>
      </c>
      <c r="I745" s="19" t="s">
        <v>656</v>
      </c>
      <c r="J745" s="11" t="str">
        <f>+LEFT(U745,4)</f>
        <v>INM-</v>
      </c>
      <c r="K745" s="19" t="s">
        <v>10</v>
      </c>
      <c r="L745" s="19">
        <v>25</v>
      </c>
      <c r="M745" s="19" t="s">
        <v>186</v>
      </c>
      <c r="N745" s="19" t="s">
        <v>11</v>
      </c>
      <c r="O745" s="26">
        <v>197.3451</v>
      </c>
      <c r="P745" s="12">
        <f>ROUND(O745*L745,2)</f>
        <v>4933.63</v>
      </c>
      <c r="Q745" s="13">
        <f>IF(N745="HKD",7.8,IF(N745="CNY",7.30034,1))</f>
        <v>7.3003400000000003</v>
      </c>
      <c r="R745" s="15">
        <f>+ROUND(O745/Q745,4)</f>
        <v>27.032299999999999</v>
      </c>
      <c r="S745" s="14">
        <f>ROUND(R745*L745,2)</f>
        <v>675.81</v>
      </c>
      <c r="T745" s="15" t="s">
        <v>349</v>
      </c>
      <c r="U745" s="19" t="s">
        <v>327</v>
      </c>
    </row>
    <row r="746" spans="1:21" x14ac:dyDescent="0.2">
      <c r="A746" s="19" t="s">
        <v>343</v>
      </c>
      <c r="B746" s="20">
        <v>45672</v>
      </c>
      <c r="C746" s="20">
        <v>45652</v>
      </c>
      <c r="D746" s="19" t="s">
        <v>311</v>
      </c>
      <c r="E746" s="19" t="s">
        <v>312</v>
      </c>
      <c r="G746" s="19" t="s">
        <v>344</v>
      </c>
      <c r="H746" s="19" t="s">
        <v>341</v>
      </c>
      <c r="I746" s="19" t="s">
        <v>342</v>
      </c>
      <c r="J746" s="11" t="str">
        <f>+LEFT(U746,4)</f>
        <v>INM-</v>
      </c>
      <c r="K746" s="19" t="s">
        <v>10</v>
      </c>
      <c r="L746" s="19">
        <v>100</v>
      </c>
      <c r="M746" s="19" t="s">
        <v>186</v>
      </c>
      <c r="N746" s="19" t="s">
        <v>11</v>
      </c>
      <c r="O746" s="26">
        <v>63.008800000000001</v>
      </c>
      <c r="P746" s="12">
        <f>ROUND(O746*L746,2)</f>
        <v>6300.88</v>
      </c>
      <c r="Q746" s="13">
        <f>IF(N746="HKD",7.8,IF(N746="CNY",7.30034,1))</f>
        <v>7.3003400000000003</v>
      </c>
      <c r="R746" s="15">
        <f>+ROUND(O746/Q746,4)</f>
        <v>8.6309000000000005</v>
      </c>
      <c r="S746" s="14">
        <f>ROUND(R746*L746,2)</f>
        <v>863.09</v>
      </c>
      <c r="T746" s="15" t="s">
        <v>349</v>
      </c>
      <c r="U746" s="19" t="s">
        <v>327</v>
      </c>
    </row>
    <row r="747" spans="1:21" x14ac:dyDescent="0.2">
      <c r="A747" s="19" t="s">
        <v>333</v>
      </c>
      <c r="B747" s="20">
        <v>45672</v>
      </c>
      <c r="C747" s="20">
        <v>45657</v>
      </c>
      <c r="D747" s="19" t="s">
        <v>311</v>
      </c>
      <c r="E747" s="19" t="s">
        <v>312</v>
      </c>
      <c r="G747" s="19" t="s">
        <v>326</v>
      </c>
      <c r="H747" s="19" t="s">
        <v>331</v>
      </c>
      <c r="I747" s="19" t="s">
        <v>332</v>
      </c>
      <c r="J747" s="11" t="str">
        <f>+LEFT(U747,4)</f>
        <v>INM-</v>
      </c>
      <c r="K747" s="19" t="s">
        <v>10</v>
      </c>
      <c r="L747" s="19">
        <v>25</v>
      </c>
      <c r="M747" s="19" t="s">
        <v>186</v>
      </c>
      <c r="N747" s="19" t="s">
        <v>11</v>
      </c>
      <c r="O747" s="26">
        <v>64.778800000000004</v>
      </c>
      <c r="P747" s="12">
        <f>ROUND(O747*L747,2)</f>
        <v>1619.47</v>
      </c>
      <c r="Q747" s="13">
        <f>IF(N747="HKD",7.8,IF(N747="CNY",7.30034,1))</f>
        <v>7.3003400000000003</v>
      </c>
      <c r="R747" s="15">
        <f>+ROUND(O747/Q747,4)</f>
        <v>8.8734000000000002</v>
      </c>
      <c r="S747" s="14">
        <f>ROUND(R747*L747,2)</f>
        <v>221.84</v>
      </c>
      <c r="T747" s="15" t="s">
        <v>349</v>
      </c>
      <c r="U747" s="19" t="s">
        <v>327</v>
      </c>
    </row>
    <row r="748" spans="1:21" x14ac:dyDescent="0.2">
      <c r="A748" s="19" t="s">
        <v>340</v>
      </c>
      <c r="B748" s="20">
        <v>45672</v>
      </c>
      <c r="C748" s="20">
        <v>45657</v>
      </c>
      <c r="D748" s="19" t="s">
        <v>311</v>
      </c>
      <c r="E748" s="19" t="s">
        <v>312</v>
      </c>
      <c r="G748" s="19" t="s">
        <v>326</v>
      </c>
      <c r="H748" s="19" t="s">
        <v>328</v>
      </c>
      <c r="I748" s="19" t="s">
        <v>329</v>
      </c>
      <c r="J748" s="11" t="str">
        <f>+LEFT(U748,4)</f>
        <v>INM-</v>
      </c>
      <c r="K748" s="19" t="s">
        <v>10</v>
      </c>
      <c r="L748" s="19">
        <v>25</v>
      </c>
      <c r="M748" s="19" t="s">
        <v>186</v>
      </c>
      <c r="N748" s="19" t="s">
        <v>11</v>
      </c>
      <c r="O748" s="26">
        <v>69.026499999999999</v>
      </c>
      <c r="P748" s="12">
        <f>ROUND(O748*L748,2)</f>
        <v>1725.66</v>
      </c>
      <c r="Q748" s="13">
        <f>IF(N748="HKD",7.8,IF(N748="CNY",7.30034,1))</f>
        <v>7.3003400000000003</v>
      </c>
      <c r="R748" s="15">
        <f>+ROUND(O748/Q748,4)</f>
        <v>9.4551999999999996</v>
      </c>
      <c r="S748" s="14">
        <f>ROUND(R748*L748,2)</f>
        <v>236.38</v>
      </c>
      <c r="T748" s="15" t="s">
        <v>349</v>
      </c>
      <c r="U748" s="19" t="s">
        <v>327</v>
      </c>
    </row>
    <row r="749" spans="1:21" x14ac:dyDescent="0.2">
      <c r="A749" s="19" t="s">
        <v>330</v>
      </c>
      <c r="B749" s="20">
        <v>45672</v>
      </c>
      <c r="C749" s="20">
        <v>45657</v>
      </c>
      <c r="D749" s="19" t="s">
        <v>311</v>
      </c>
      <c r="E749" s="19" t="s">
        <v>312</v>
      </c>
      <c r="G749" s="19" t="s">
        <v>326</v>
      </c>
      <c r="H749" s="19" t="s">
        <v>328</v>
      </c>
      <c r="I749" s="19" t="s">
        <v>329</v>
      </c>
      <c r="J749" s="11" t="str">
        <f>+LEFT(U749,4)</f>
        <v>INM-</v>
      </c>
      <c r="K749" s="19" t="s">
        <v>10</v>
      </c>
      <c r="L749" s="19">
        <v>75</v>
      </c>
      <c r="M749" s="19" t="s">
        <v>186</v>
      </c>
      <c r="N749" s="19" t="s">
        <v>11</v>
      </c>
      <c r="O749" s="26">
        <v>69.026499999999999</v>
      </c>
      <c r="P749" s="12">
        <f>ROUND(O749*L749,2)</f>
        <v>5176.99</v>
      </c>
      <c r="Q749" s="13">
        <f>IF(N749="HKD",7.8,IF(N749="CNY",7.30034,1))</f>
        <v>7.3003400000000003</v>
      </c>
      <c r="R749" s="15">
        <f>+ROUND(O749/Q749,4)</f>
        <v>9.4551999999999996</v>
      </c>
      <c r="S749" s="14">
        <f>ROUND(R749*L749,2)</f>
        <v>709.14</v>
      </c>
      <c r="T749" s="15" t="s">
        <v>349</v>
      </c>
      <c r="U749" s="19" t="s">
        <v>327</v>
      </c>
    </row>
    <row r="750" spans="1:21" x14ac:dyDescent="0.2">
      <c r="A750" s="19" t="s">
        <v>325</v>
      </c>
      <c r="B750" s="20">
        <v>45672</v>
      </c>
      <c r="C750" s="20">
        <v>45657</v>
      </c>
      <c r="D750" s="19" t="s">
        <v>311</v>
      </c>
      <c r="E750" s="19" t="s">
        <v>312</v>
      </c>
      <c r="G750" s="19" t="s">
        <v>326</v>
      </c>
      <c r="H750" s="19" t="s">
        <v>323</v>
      </c>
      <c r="I750" s="19" t="s">
        <v>324</v>
      </c>
      <c r="J750" s="11" t="str">
        <f>+LEFT(U750,4)</f>
        <v>INM-</v>
      </c>
      <c r="K750" s="19" t="s">
        <v>10</v>
      </c>
      <c r="L750" s="19">
        <v>25</v>
      </c>
      <c r="M750" s="19" t="s">
        <v>186</v>
      </c>
      <c r="N750" s="19" t="s">
        <v>11</v>
      </c>
      <c r="O750" s="26">
        <v>69.026499999999999</v>
      </c>
      <c r="P750" s="12">
        <f>ROUND(O750*L750,2)</f>
        <v>1725.66</v>
      </c>
      <c r="Q750" s="13">
        <f>IF(N750="HKD",7.8,IF(N750="CNY",7.30034,1))</f>
        <v>7.3003400000000003</v>
      </c>
      <c r="R750" s="15">
        <f>+ROUND(O750/Q750,4)</f>
        <v>9.4551999999999996</v>
      </c>
      <c r="S750" s="14">
        <f>ROUND(R750*L750,2)</f>
        <v>236.38</v>
      </c>
      <c r="T750" s="15" t="s">
        <v>349</v>
      </c>
      <c r="U750" s="19" t="s">
        <v>327</v>
      </c>
    </row>
    <row r="751" spans="1:21" x14ac:dyDescent="0.2">
      <c r="A751" t="s">
        <v>2122</v>
      </c>
      <c r="B751" s="24">
        <v>45699</v>
      </c>
      <c r="C751" s="24">
        <v>45664</v>
      </c>
      <c r="D751" t="s">
        <v>2263</v>
      </c>
      <c r="E751" t="s">
        <v>2264</v>
      </c>
      <c r="G751" t="s">
        <v>2234</v>
      </c>
      <c r="H751" s="19" t="s">
        <v>1821</v>
      </c>
      <c r="I751" s="19" t="s">
        <v>1822</v>
      </c>
      <c r="J751" s="11" t="str">
        <f>+LEFT(U751,4)</f>
        <v>INM-</v>
      </c>
      <c r="K751" t="s">
        <v>10</v>
      </c>
      <c r="L751" s="19">
        <v>113.29300000000001</v>
      </c>
      <c r="M751" t="s">
        <v>186</v>
      </c>
      <c r="N751" t="s">
        <v>2246</v>
      </c>
      <c r="O751" s="26">
        <v>21.21</v>
      </c>
      <c r="P751" s="12">
        <f>ROUND(O751*L751,2)</f>
        <v>2402.94</v>
      </c>
      <c r="Q751" s="13">
        <f>IF(N751="HKD",7.8,IF(N751="CNY",7.30034,1))</f>
        <v>1</v>
      </c>
      <c r="R751" s="15">
        <f>+ROUND(O751/Q751,4)</f>
        <v>21.21</v>
      </c>
      <c r="S751" s="14">
        <f>ROUND(R751*L751,2)</f>
        <v>2402.94</v>
      </c>
      <c r="T751" s="15" t="s">
        <v>349</v>
      </c>
      <c r="U751" t="s">
        <v>327</v>
      </c>
    </row>
    <row r="752" spans="1:21" x14ac:dyDescent="0.2">
      <c r="A752" t="s">
        <v>2125</v>
      </c>
      <c r="B752" s="24">
        <v>45705</v>
      </c>
      <c r="C752" s="24">
        <v>45672</v>
      </c>
      <c r="D752" t="s">
        <v>311</v>
      </c>
      <c r="E752" t="s">
        <v>312</v>
      </c>
      <c r="G752" t="s">
        <v>2237</v>
      </c>
      <c r="H752" s="19" t="s">
        <v>323</v>
      </c>
      <c r="I752" s="19" t="s">
        <v>324</v>
      </c>
      <c r="J752" s="11" t="str">
        <f>+LEFT(U752,4)</f>
        <v>INM-</v>
      </c>
      <c r="K752" t="s">
        <v>10</v>
      </c>
      <c r="L752" s="19">
        <v>25</v>
      </c>
      <c r="M752" t="s">
        <v>186</v>
      </c>
      <c r="N752" t="s">
        <v>11</v>
      </c>
      <c r="O752" s="26">
        <v>69.026499999999999</v>
      </c>
      <c r="P752" s="12">
        <f>ROUND(O752*L752,2)</f>
        <v>1725.66</v>
      </c>
      <c r="Q752" s="13">
        <f>IF(N752="HKD",7.8,IF(N752="CNY",7.30034,1))</f>
        <v>7.3003400000000003</v>
      </c>
      <c r="R752" s="15">
        <f>+ROUND(O752/Q752,4)</f>
        <v>9.4551999999999996</v>
      </c>
      <c r="S752" s="14">
        <f>ROUND(R752*L752,2)</f>
        <v>236.38</v>
      </c>
      <c r="T752" s="15" t="s">
        <v>349</v>
      </c>
      <c r="U752" t="s">
        <v>327</v>
      </c>
    </row>
    <row r="753" spans="1:21" x14ac:dyDescent="0.2">
      <c r="A753" t="s">
        <v>2123</v>
      </c>
      <c r="B753" s="24">
        <v>45712</v>
      </c>
      <c r="C753" s="24">
        <v>45671</v>
      </c>
      <c r="D753" t="s">
        <v>311</v>
      </c>
      <c r="E753" t="s">
        <v>312</v>
      </c>
      <c r="G753" t="s">
        <v>2235</v>
      </c>
      <c r="H753" s="19" t="s">
        <v>341</v>
      </c>
      <c r="I753" s="19" t="s">
        <v>342</v>
      </c>
      <c r="J753" s="11" t="str">
        <f>+LEFT(U753,4)</f>
        <v>INM-</v>
      </c>
      <c r="K753" t="s">
        <v>10</v>
      </c>
      <c r="L753" s="19">
        <v>50</v>
      </c>
      <c r="M753" t="s">
        <v>186</v>
      </c>
      <c r="N753" t="s">
        <v>11</v>
      </c>
      <c r="O753" s="26">
        <v>63.008800000000001</v>
      </c>
      <c r="P753" s="12">
        <f>ROUND(O753*L753,2)</f>
        <v>3150.44</v>
      </c>
      <c r="Q753" s="13">
        <f>IF(N753="HKD",7.8,IF(N753="CNY",7.30034,1))</f>
        <v>7.3003400000000003</v>
      </c>
      <c r="R753" s="15">
        <f>+ROUND(O753/Q753,4)</f>
        <v>8.6309000000000005</v>
      </c>
      <c r="S753" s="14">
        <f>ROUND(R753*L753,2)</f>
        <v>431.55</v>
      </c>
      <c r="T753" s="15" t="s">
        <v>349</v>
      </c>
      <c r="U753" t="s">
        <v>327</v>
      </c>
    </row>
    <row r="754" spans="1:21" x14ac:dyDescent="0.2">
      <c r="A754" t="s">
        <v>2124</v>
      </c>
      <c r="B754" s="24">
        <v>45712</v>
      </c>
      <c r="C754" s="24">
        <v>45699</v>
      </c>
      <c r="D754" t="s">
        <v>311</v>
      </c>
      <c r="E754" t="s">
        <v>312</v>
      </c>
      <c r="G754" t="s">
        <v>2236</v>
      </c>
      <c r="H754" s="19" t="s">
        <v>341</v>
      </c>
      <c r="I754" s="19" t="s">
        <v>342</v>
      </c>
      <c r="J754" s="11" t="str">
        <f>+LEFT(U754,4)</f>
        <v>INM-</v>
      </c>
      <c r="K754" t="s">
        <v>10</v>
      </c>
      <c r="L754" s="19">
        <v>50</v>
      </c>
      <c r="M754" t="s">
        <v>186</v>
      </c>
      <c r="N754" t="s">
        <v>11</v>
      </c>
      <c r="O754" s="26">
        <v>63.008800000000001</v>
      </c>
      <c r="P754" s="12">
        <f>ROUND(O754*L754,2)</f>
        <v>3150.44</v>
      </c>
      <c r="Q754" s="13">
        <f>IF(N754="HKD",7.8,IF(N754="CNY",7.30034,1))</f>
        <v>7.3003400000000003</v>
      </c>
      <c r="R754" s="15">
        <f>+ROUND(O754/Q754,4)</f>
        <v>8.6309000000000005</v>
      </c>
      <c r="S754" s="14">
        <f>ROUND(R754*L754,2)</f>
        <v>431.55</v>
      </c>
      <c r="T754" s="15" t="s">
        <v>349</v>
      </c>
      <c r="U754" t="s">
        <v>327</v>
      </c>
    </row>
    <row r="755" spans="1:21" x14ac:dyDescent="0.2">
      <c r="A755" t="s">
        <v>2127</v>
      </c>
      <c r="B755" s="24">
        <v>45712</v>
      </c>
      <c r="C755" s="24">
        <v>45671</v>
      </c>
      <c r="D755" t="s">
        <v>311</v>
      </c>
      <c r="E755" t="s">
        <v>312</v>
      </c>
      <c r="G755" t="s">
        <v>2235</v>
      </c>
      <c r="H755" s="19" t="s">
        <v>662</v>
      </c>
      <c r="I755" s="19" t="s">
        <v>663</v>
      </c>
      <c r="J755" s="11" t="str">
        <f>+LEFT(U755,4)</f>
        <v>INM-</v>
      </c>
      <c r="K755" t="s">
        <v>10</v>
      </c>
      <c r="L755" s="19">
        <v>75</v>
      </c>
      <c r="M755" t="s">
        <v>186</v>
      </c>
      <c r="N755" t="s">
        <v>11</v>
      </c>
      <c r="O755" s="26">
        <v>92.743399999999994</v>
      </c>
      <c r="P755" s="12">
        <f>ROUND(O755*L755,2)</f>
        <v>6955.76</v>
      </c>
      <c r="Q755" s="13">
        <f>IF(N755="HKD",7.8,IF(N755="CNY",7.30034,1))</f>
        <v>7.3003400000000003</v>
      </c>
      <c r="R755" s="15">
        <f>+ROUND(O755/Q755,4)</f>
        <v>12.704000000000001</v>
      </c>
      <c r="S755" s="14">
        <f>ROUND(R755*L755,2)</f>
        <v>952.8</v>
      </c>
      <c r="T755" s="15" t="s">
        <v>349</v>
      </c>
      <c r="U755" t="s">
        <v>327</v>
      </c>
    </row>
    <row r="756" spans="1:21" x14ac:dyDescent="0.2">
      <c r="A756" t="s">
        <v>2128</v>
      </c>
      <c r="B756" s="24">
        <v>45712</v>
      </c>
      <c r="C756" s="24">
        <v>45678</v>
      </c>
      <c r="D756" t="s">
        <v>311</v>
      </c>
      <c r="E756" t="s">
        <v>312</v>
      </c>
      <c r="G756" t="s">
        <v>2239</v>
      </c>
      <c r="H756" s="19" t="s">
        <v>662</v>
      </c>
      <c r="I756" s="19" t="s">
        <v>663</v>
      </c>
      <c r="J756" s="11" t="str">
        <f>+LEFT(U756,4)</f>
        <v>INM-</v>
      </c>
      <c r="K756" t="s">
        <v>10</v>
      </c>
      <c r="L756" s="19">
        <v>25</v>
      </c>
      <c r="M756" t="s">
        <v>186</v>
      </c>
      <c r="N756" t="s">
        <v>11</v>
      </c>
      <c r="O756" s="26">
        <v>92.743399999999994</v>
      </c>
      <c r="P756" s="12">
        <f>ROUND(O756*L756,2)</f>
        <v>2318.59</v>
      </c>
      <c r="Q756" s="13">
        <f>IF(N756="HKD",7.8,IF(N756="CNY",7.30034,1))</f>
        <v>7.3003400000000003</v>
      </c>
      <c r="R756" s="15">
        <f>+ROUND(O756/Q756,4)</f>
        <v>12.704000000000001</v>
      </c>
      <c r="S756" s="14">
        <f>ROUND(R756*L756,2)</f>
        <v>317.60000000000002</v>
      </c>
      <c r="T756" s="15" t="s">
        <v>349</v>
      </c>
      <c r="U756" t="s">
        <v>327</v>
      </c>
    </row>
    <row r="757" spans="1:21" x14ac:dyDescent="0.2">
      <c r="A757" t="s">
        <v>2129</v>
      </c>
      <c r="B757" s="24">
        <v>45712</v>
      </c>
      <c r="C757" s="24">
        <v>45695</v>
      </c>
      <c r="D757" t="s">
        <v>311</v>
      </c>
      <c r="E757" t="s">
        <v>312</v>
      </c>
      <c r="G757" t="s">
        <v>2240</v>
      </c>
      <c r="H757" s="19" t="s">
        <v>662</v>
      </c>
      <c r="I757" s="19" t="s">
        <v>663</v>
      </c>
      <c r="J757" s="11" t="str">
        <f>+LEFT(U757,4)</f>
        <v>INM-</v>
      </c>
      <c r="K757" t="s">
        <v>10</v>
      </c>
      <c r="L757" s="19">
        <v>100</v>
      </c>
      <c r="M757" t="s">
        <v>186</v>
      </c>
      <c r="N757" t="s">
        <v>11</v>
      </c>
      <c r="O757" s="26">
        <v>92.743399999999994</v>
      </c>
      <c r="P757" s="12">
        <f>ROUND(O757*L757,2)</f>
        <v>9274.34</v>
      </c>
      <c r="Q757" s="13">
        <f>IF(N757="HKD",7.8,IF(N757="CNY",7.30034,1))</f>
        <v>7.3003400000000003</v>
      </c>
      <c r="R757" s="15">
        <f>+ROUND(O757/Q757,4)</f>
        <v>12.704000000000001</v>
      </c>
      <c r="S757" s="14">
        <f>ROUND(R757*L757,2)</f>
        <v>1270.4000000000001</v>
      </c>
      <c r="T757" s="15" t="s">
        <v>349</v>
      </c>
      <c r="U757" t="s">
        <v>327</v>
      </c>
    </row>
    <row r="758" spans="1:21" x14ac:dyDescent="0.2">
      <c r="A758" t="s">
        <v>2130</v>
      </c>
      <c r="B758" s="24">
        <v>45712</v>
      </c>
      <c r="C758" s="24">
        <v>45699</v>
      </c>
      <c r="D758" t="s">
        <v>311</v>
      </c>
      <c r="E758" t="s">
        <v>312</v>
      </c>
      <c r="G758" t="s">
        <v>2236</v>
      </c>
      <c r="H758" s="19" t="s">
        <v>662</v>
      </c>
      <c r="I758" s="19" t="s">
        <v>663</v>
      </c>
      <c r="J758" s="11" t="str">
        <f>+LEFT(U758,4)</f>
        <v>INM-</v>
      </c>
      <c r="K758" t="s">
        <v>10</v>
      </c>
      <c r="L758" s="19">
        <v>100</v>
      </c>
      <c r="M758" t="s">
        <v>186</v>
      </c>
      <c r="N758" t="s">
        <v>11</v>
      </c>
      <c r="O758" s="26">
        <v>92.743399999999994</v>
      </c>
      <c r="P758" s="12">
        <f>ROUND(O758*L758,2)</f>
        <v>9274.34</v>
      </c>
      <c r="Q758" s="13">
        <f>IF(N758="HKD",7.8,IF(N758="CNY",7.30034,1))</f>
        <v>7.3003400000000003</v>
      </c>
      <c r="R758" s="15">
        <f>+ROUND(O758/Q758,4)</f>
        <v>12.704000000000001</v>
      </c>
      <c r="S758" s="14">
        <f>ROUND(R758*L758,2)</f>
        <v>1270.4000000000001</v>
      </c>
      <c r="T758" s="15" t="s">
        <v>349</v>
      </c>
      <c r="U758" t="s">
        <v>327</v>
      </c>
    </row>
    <row r="759" spans="1:21" x14ac:dyDescent="0.2">
      <c r="A759" t="s">
        <v>2683</v>
      </c>
      <c r="B759" s="24">
        <v>45740</v>
      </c>
      <c r="C759" s="24">
        <v>45726</v>
      </c>
      <c r="D759" t="s">
        <v>187</v>
      </c>
      <c r="E759" t="s">
        <v>188</v>
      </c>
      <c r="G759" t="s">
        <v>3006</v>
      </c>
      <c r="H759" t="s">
        <v>1217</v>
      </c>
      <c r="I759" t="s">
        <v>1218</v>
      </c>
      <c r="J759" s="11" t="str">
        <f>+LEFT(U759,4)</f>
        <v>ALM-</v>
      </c>
      <c r="K759" t="s">
        <v>98</v>
      </c>
      <c r="L759">
        <v>100</v>
      </c>
      <c r="M759" t="s">
        <v>186</v>
      </c>
      <c r="N759" t="s">
        <v>11</v>
      </c>
      <c r="O759">
        <v>3.1415999999999999</v>
      </c>
      <c r="P759" s="12">
        <f>ROUND(O759*L759,2)</f>
        <v>314.16000000000003</v>
      </c>
      <c r="Q759" s="13">
        <f>IF(N759="HKD",7.8,IF(N759="CNY",7.30034,1))</f>
        <v>7.3003400000000003</v>
      </c>
      <c r="R759" s="15">
        <f>+ROUND(O759/Q759,4)</f>
        <v>0.43030000000000002</v>
      </c>
      <c r="S759" s="14">
        <f>ROUND(R759*L759,2)</f>
        <v>43.03</v>
      </c>
      <c r="T759" s="15" t="s">
        <v>349</v>
      </c>
      <c r="U759" t="s">
        <v>191</v>
      </c>
    </row>
    <row r="760" spans="1:21" x14ac:dyDescent="0.2">
      <c r="A760" t="s">
        <v>2684</v>
      </c>
      <c r="B760" s="24">
        <v>45740</v>
      </c>
      <c r="C760" s="24">
        <v>45726</v>
      </c>
      <c r="D760" t="s">
        <v>187</v>
      </c>
      <c r="E760" t="s">
        <v>188</v>
      </c>
      <c r="G760" t="s">
        <v>3006</v>
      </c>
      <c r="H760" t="s">
        <v>196</v>
      </c>
      <c r="I760" t="s">
        <v>197</v>
      </c>
      <c r="J760" s="11" t="str">
        <f>+LEFT(U760,4)</f>
        <v>ALM-</v>
      </c>
      <c r="K760" t="s">
        <v>98</v>
      </c>
      <c r="L760">
        <v>50</v>
      </c>
      <c r="M760" t="s">
        <v>186</v>
      </c>
      <c r="N760" t="s">
        <v>11</v>
      </c>
      <c r="O760">
        <v>3.1415999999999999</v>
      </c>
      <c r="P760" s="12">
        <f>ROUND(O760*L760,2)</f>
        <v>157.08000000000001</v>
      </c>
      <c r="Q760" s="13">
        <f>IF(N760="HKD",7.8,IF(N760="CNY",7.30034,1))</f>
        <v>7.3003400000000003</v>
      </c>
      <c r="R760" s="15">
        <f>+ROUND(O760/Q760,4)</f>
        <v>0.43030000000000002</v>
      </c>
      <c r="S760" s="14">
        <f>ROUND(R760*L760,2)</f>
        <v>21.52</v>
      </c>
      <c r="T760" s="15" t="s">
        <v>349</v>
      </c>
      <c r="U760" t="s">
        <v>191</v>
      </c>
    </row>
    <row r="761" spans="1:21" x14ac:dyDescent="0.2">
      <c r="A761" t="s">
        <v>2690</v>
      </c>
      <c r="B761" s="24">
        <v>45740</v>
      </c>
      <c r="C761" s="24">
        <v>45727</v>
      </c>
      <c r="D761" t="s">
        <v>187</v>
      </c>
      <c r="E761" t="s">
        <v>188</v>
      </c>
      <c r="G761" t="s">
        <v>3006</v>
      </c>
      <c r="H761" t="s">
        <v>3226</v>
      </c>
      <c r="I761" t="s">
        <v>3433</v>
      </c>
      <c r="J761" s="11" t="str">
        <f>+LEFT(U761,4)</f>
        <v>ALM-</v>
      </c>
      <c r="K761" t="s">
        <v>98</v>
      </c>
      <c r="L761">
        <v>50</v>
      </c>
      <c r="M761" t="s">
        <v>186</v>
      </c>
      <c r="N761" t="s">
        <v>11</v>
      </c>
      <c r="O761">
        <v>3.1415999999999999</v>
      </c>
      <c r="P761" s="12">
        <f>ROUND(O761*L761,2)</f>
        <v>157.08000000000001</v>
      </c>
      <c r="Q761" s="13">
        <f>IF(N761="HKD",7.8,IF(N761="CNY",7.30034,1))</f>
        <v>7.3003400000000003</v>
      </c>
      <c r="R761" s="15">
        <f>+ROUND(O761/Q761,4)</f>
        <v>0.43030000000000002</v>
      </c>
      <c r="S761" s="14">
        <f>ROUND(R761*L761,2)</f>
        <v>21.52</v>
      </c>
      <c r="T761" s="15" t="s">
        <v>349</v>
      </c>
      <c r="U761" t="s">
        <v>191</v>
      </c>
    </row>
    <row r="762" spans="1:21" x14ac:dyDescent="0.2">
      <c r="A762" t="s">
        <v>2772</v>
      </c>
      <c r="B762" s="24">
        <v>45740</v>
      </c>
      <c r="C762" s="24">
        <v>45730</v>
      </c>
      <c r="D762" t="s">
        <v>187</v>
      </c>
      <c r="E762" t="s">
        <v>188</v>
      </c>
      <c r="G762" t="s">
        <v>3006</v>
      </c>
      <c r="H762" t="s">
        <v>208</v>
      </c>
      <c r="I762" t="s">
        <v>209</v>
      </c>
      <c r="J762" s="11" t="str">
        <f>+LEFT(U762,4)</f>
        <v>ALM-</v>
      </c>
      <c r="K762" t="s">
        <v>98</v>
      </c>
      <c r="L762">
        <v>300</v>
      </c>
      <c r="M762" t="s">
        <v>186</v>
      </c>
      <c r="N762" t="s">
        <v>11</v>
      </c>
      <c r="O762">
        <v>3.1415999999999999</v>
      </c>
      <c r="P762" s="12">
        <f>ROUND(O762*L762,2)</f>
        <v>942.48</v>
      </c>
      <c r="Q762" s="13">
        <f>IF(N762="HKD",7.8,IF(N762="CNY",7.30034,1))</f>
        <v>7.3003400000000003</v>
      </c>
      <c r="R762" s="15">
        <f>+ROUND(O762/Q762,4)</f>
        <v>0.43030000000000002</v>
      </c>
      <c r="S762" s="14">
        <f>ROUND(R762*L762,2)</f>
        <v>129.09</v>
      </c>
      <c r="T762" s="15" t="s">
        <v>349</v>
      </c>
      <c r="U762" t="s">
        <v>191</v>
      </c>
    </row>
    <row r="763" spans="1:21" x14ac:dyDescent="0.2">
      <c r="A763" t="s">
        <v>2773</v>
      </c>
      <c r="B763" s="24">
        <v>45740</v>
      </c>
      <c r="C763" s="24">
        <v>45730</v>
      </c>
      <c r="D763" t="s">
        <v>187</v>
      </c>
      <c r="E763" t="s">
        <v>188</v>
      </c>
      <c r="G763" t="s">
        <v>3006</v>
      </c>
      <c r="H763" t="s">
        <v>1715</v>
      </c>
      <c r="I763" t="s">
        <v>1716</v>
      </c>
      <c r="J763" s="11" t="str">
        <f>+LEFT(U763,4)</f>
        <v>ALM-</v>
      </c>
      <c r="K763" t="s">
        <v>98</v>
      </c>
      <c r="L763">
        <v>110</v>
      </c>
      <c r="M763" t="s">
        <v>186</v>
      </c>
      <c r="N763" t="s">
        <v>11</v>
      </c>
      <c r="O763">
        <v>3.1415999999999999</v>
      </c>
      <c r="P763" s="12">
        <f>ROUND(O763*L763,2)</f>
        <v>345.58</v>
      </c>
      <c r="Q763" s="13">
        <f>IF(N763="HKD",7.8,IF(N763="CNY",7.30034,1))</f>
        <v>7.3003400000000003</v>
      </c>
      <c r="R763" s="15">
        <f>+ROUND(O763/Q763,4)</f>
        <v>0.43030000000000002</v>
      </c>
      <c r="S763" s="14">
        <f>ROUND(R763*L763,2)</f>
        <v>47.33</v>
      </c>
      <c r="T763" s="15" t="s">
        <v>349</v>
      </c>
      <c r="U763" t="s">
        <v>191</v>
      </c>
    </row>
    <row r="764" spans="1:21" x14ac:dyDescent="0.2">
      <c r="A764" t="s">
        <v>2774</v>
      </c>
      <c r="B764" s="24">
        <v>45740</v>
      </c>
      <c r="C764" s="24">
        <v>45730</v>
      </c>
      <c r="D764" t="s">
        <v>187</v>
      </c>
      <c r="E764" t="s">
        <v>188</v>
      </c>
      <c r="G764" t="s">
        <v>3006</v>
      </c>
      <c r="H764" t="s">
        <v>202</v>
      </c>
      <c r="I764" t="s">
        <v>203</v>
      </c>
      <c r="J764" s="11" t="str">
        <f>+LEFT(U764,4)</f>
        <v>ALM-</v>
      </c>
      <c r="K764" t="s">
        <v>98</v>
      </c>
      <c r="L764">
        <v>300</v>
      </c>
      <c r="M764" t="s">
        <v>186</v>
      </c>
      <c r="N764" t="s">
        <v>11</v>
      </c>
      <c r="O764">
        <v>3.1415999999999999</v>
      </c>
      <c r="P764" s="12">
        <f>ROUND(O764*L764,2)</f>
        <v>942.48</v>
      </c>
      <c r="Q764" s="13">
        <f>IF(N764="HKD",7.8,IF(N764="CNY",7.30034,1))</f>
        <v>7.3003400000000003</v>
      </c>
      <c r="R764" s="15">
        <f>+ROUND(O764/Q764,4)</f>
        <v>0.43030000000000002</v>
      </c>
      <c r="S764" s="14">
        <f>ROUND(R764*L764,2)</f>
        <v>129.09</v>
      </c>
      <c r="T764" s="15" t="s">
        <v>349</v>
      </c>
      <c r="U764" t="s">
        <v>191</v>
      </c>
    </row>
    <row r="765" spans="1:21" x14ac:dyDescent="0.2">
      <c r="A765" t="s">
        <v>2775</v>
      </c>
      <c r="B765" s="24">
        <v>45740</v>
      </c>
      <c r="C765" s="24">
        <v>45730</v>
      </c>
      <c r="D765" t="s">
        <v>187</v>
      </c>
      <c r="E765" t="s">
        <v>188</v>
      </c>
      <c r="G765" t="s">
        <v>3006</v>
      </c>
      <c r="H765" t="s">
        <v>199</v>
      </c>
      <c r="I765" t="s">
        <v>200</v>
      </c>
      <c r="J765" s="11" t="str">
        <f>+LEFT(U765,4)</f>
        <v>ALM-</v>
      </c>
      <c r="K765" t="s">
        <v>98</v>
      </c>
      <c r="L765">
        <v>50</v>
      </c>
      <c r="M765" t="s">
        <v>186</v>
      </c>
      <c r="N765" t="s">
        <v>11</v>
      </c>
      <c r="O765">
        <v>3.1415999999999999</v>
      </c>
      <c r="P765" s="12">
        <f>ROUND(O765*L765,2)</f>
        <v>157.08000000000001</v>
      </c>
      <c r="Q765" s="13">
        <f>IF(N765="HKD",7.8,IF(N765="CNY",7.30034,1))</f>
        <v>7.3003400000000003</v>
      </c>
      <c r="R765" s="15">
        <f>+ROUND(O765/Q765,4)</f>
        <v>0.43030000000000002</v>
      </c>
      <c r="S765" s="14">
        <f>ROUND(R765*L765,2)</f>
        <v>21.52</v>
      </c>
      <c r="T765" s="15" t="s">
        <v>349</v>
      </c>
      <c r="U765" t="s">
        <v>191</v>
      </c>
    </row>
    <row r="766" spans="1:21" x14ac:dyDescent="0.2">
      <c r="A766" t="s">
        <v>2552</v>
      </c>
      <c r="B766" s="24">
        <v>45744</v>
      </c>
      <c r="C766" s="24">
        <v>45716</v>
      </c>
      <c r="D766" t="s">
        <v>149</v>
      </c>
      <c r="E766" t="s">
        <v>150</v>
      </c>
      <c r="G766" t="s">
        <v>2995</v>
      </c>
      <c r="H766" t="s">
        <v>1726</v>
      </c>
      <c r="I766" t="s">
        <v>1727</v>
      </c>
      <c r="J766" s="11" t="str">
        <f>+LEFT(U766,4)</f>
        <v>GLID</v>
      </c>
      <c r="K766" t="s">
        <v>10</v>
      </c>
      <c r="L766">
        <v>1020</v>
      </c>
      <c r="M766" t="s">
        <v>1472</v>
      </c>
      <c r="N766" t="s">
        <v>11</v>
      </c>
      <c r="O766">
        <v>3.1461000000000001</v>
      </c>
      <c r="P766" s="12">
        <f>ROUND(O766*L766,2)</f>
        <v>3209.02</v>
      </c>
      <c r="Q766" s="13">
        <f>IF(N766="HKD",7.8,IF(N766="CNY",7.30034,1))</f>
        <v>7.3003400000000003</v>
      </c>
      <c r="R766" s="15">
        <f>+ROUND(O766/Q766,4)</f>
        <v>0.43099999999999999</v>
      </c>
      <c r="S766" s="14">
        <f>ROUND(R766*L766,2)</f>
        <v>439.62</v>
      </c>
      <c r="T766" s="15" t="s">
        <v>349</v>
      </c>
      <c r="U766" t="s">
        <v>78</v>
      </c>
    </row>
    <row r="767" spans="1:21" x14ac:dyDescent="0.2">
      <c r="A767" t="s">
        <v>2692</v>
      </c>
      <c r="B767" s="24">
        <v>45747</v>
      </c>
      <c r="C767" s="24">
        <v>45728</v>
      </c>
      <c r="D767" t="s">
        <v>280</v>
      </c>
      <c r="E767" t="s">
        <v>281</v>
      </c>
      <c r="G767" t="s">
        <v>3032</v>
      </c>
      <c r="H767" t="s">
        <v>284</v>
      </c>
      <c r="I767" t="s">
        <v>285</v>
      </c>
      <c r="J767" s="11" t="str">
        <f>+LEFT(U767,4)</f>
        <v>BOX-</v>
      </c>
      <c r="K767" t="s">
        <v>10</v>
      </c>
      <c r="L767">
        <v>3000</v>
      </c>
      <c r="M767" t="s">
        <v>1472</v>
      </c>
      <c r="N767" t="s">
        <v>11</v>
      </c>
      <c r="O767">
        <v>3.18</v>
      </c>
      <c r="P767" s="12">
        <f>ROUND(O767*L767,2)</f>
        <v>9540</v>
      </c>
      <c r="Q767" s="13">
        <f>IF(N767="HKD",7.8,IF(N767="CNY",7.30034,1))</f>
        <v>7.3003400000000003</v>
      </c>
      <c r="R767" s="15">
        <f>+ROUND(O767/Q767,4)</f>
        <v>0.43559999999999999</v>
      </c>
      <c r="S767" s="14">
        <f>ROUND(R767*L767,2)</f>
        <v>1306.8</v>
      </c>
      <c r="T767" s="15" t="s">
        <v>349</v>
      </c>
      <c r="U767" t="s">
        <v>1</v>
      </c>
    </row>
    <row r="768" spans="1:21" x14ac:dyDescent="0.2">
      <c r="A768" t="s">
        <v>2279</v>
      </c>
      <c r="B768" s="24">
        <v>45720</v>
      </c>
      <c r="C768" s="24">
        <v>45576</v>
      </c>
      <c r="D768" t="s">
        <v>94</v>
      </c>
      <c r="E768" t="s">
        <v>95</v>
      </c>
      <c r="G768" t="s">
        <v>2846</v>
      </c>
      <c r="H768" t="s">
        <v>3060</v>
      </c>
      <c r="I768" t="s">
        <v>3276</v>
      </c>
      <c r="J768" s="11" t="str">
        <f>+LEFT(U768,4)</f>
        <v>LID-</v>
      </c>
      <c r="K768" t="s">
        <v>98</v>
      </c>
      <c r="L768">
        <v>1620</v>
      </c>
      <c r="M768" t="s">
        <v>1472</v>
      </c>
      <c r="N768" t="s">
        <v>11</v>
      </c>
      <c r="O768">
        <v>3.2</v>
      </c>
      <c r="P768" s="12">
        <f>ROUND(O768*L768,2)</f>
        <v>5184</v>
      </c>
      <c r="Q768" s="13">
        <f>IF(N768="HKD",7.8,IF(N768="CNY",7.30034,1))</f>
        <v>7.3003400000000003</v>
      </c>
      <c r="R768" s="15">
        <f>+ROUND(O768/Q768,4)</f>
        <v>0.43830000000000002</v>
      </c>
      <c r="S768" s="14">
        <f>ROUND(R768*L768,2)</f>
        <v>710.05</v>
      </c>
      <c r="T768" s="15" t="s">
        <v>349</v>
      </c>
      <c r="U768" t="s">
        <v>368</v>
      </c>
    </row>
    <row r="769" spans="1:21" x14ac:dyDescent="0.2">
      <c r="A769" t="s">
        <v>2329</v>
      </c>
      <c r="B769" s="24">
        <v>45719</v>
      </c>
      <c r="C769" s="24">
        <v>45671</v>
      </c>
      <c r="D769" t="s">
        <v>128</v>
      </c>
      <c r="E769" t="s">
        <v>129</v>
      </c>
      <c r="G769" t="s">
        <v>2868</v>
      </c>
      <c r="H769" t="s">
        <v>3084</v>
      </c>
      <c r="I769" t="s">
        <v>3300</v>
      </c>
      <c r="J769" s="11" t="str">
        <f>+LEFT(U769,4)</f>
        <v>HDL-</v>
      </c>
      <c r="K769" t="s">
        <v>10</v>
      </c>
      <c r="L769">
        <v>960</v>
      </c>
      <c r="M769" t="s">
        <v>1472</v>
      </c>
      <c r="N769" t="s">
        <v>11</v>
      </c>
      <c r="O769">
        <v>3.2145000000000001</v>
      </c>
      <c r="P769" s="12">
        <f>ROUND(O769*L769,2)</f>
        <v>3085.92</v>
      </c>
      <c r="Q769" s="13">
        <f>IF(N769="HKD",7.8,IF(N769="CNY",7.30034,1))</f>
        <v>7.3003400000000003</v>
      </c>
      <c r="R769" s="15">
        <f>+ROUND(O769/Q769,4)</f>
        <v>0.44030000000000002</v>
      </c>
      <c r="S769" s="14">
        <f>ROUND(R769*L769,2)</f>
        <v>422.69</v>
      </c>
      <c r="T769" s="15" t="s">
        <v>349</v>
      </c>
      <c r="U769" t="s">
        <v>228</v>
      </c>
    </row>
    <row r="770" spans="1:21" x14ac:dyDescent="0.2">
      <c r="A770" t="s">
        <v>2329</v>
      </c>
      <c r="B770" s="24">
        <v>45720</v>
      </c>
      <c r="C770" s="24">
        <v>45671</v>
      </c>
      <c r="D770" t="s">
        <v>128</v>
      </c>
      <c r="E770" t="s">
        <v>129</v>
      </c>
      <c r="G770" t="s">
        <v>2886</v>
      </c>
      <c r="H770" t="s">
        <v>3084</v>
      </c>
      <c r="I770" t="s">
        <v>3300</v>
      </c>
      <c r="J770" s="11" t="str">
        <f>+LEFT(U770,4)</f>
        <v>HDL-</v>
      </c>
      <c r="K770" t="s">
        <v>10</v>
      </c>
      <c r="L770">
        <v>1080</v>
      </c>
      <c r="M770" t="s">
        <v>1472</v>
      </c>
      <c r="N770" t="s">
        <v>11</v>
      </c>
      <c r="O770">
        <v>3.2145000000000001</v>
      </c>
      <c r="P770" s="12">
        <f>ROUND(O770*L770,2)</f>
        <v>3471.66</v>
      </c>
      <c r="Q770" s="13">
        <f>IF(N770="HKD",7.8,IF(N770="CNY",7.30034,1))</f>
        <v>7.3003400000000003</v>
      </c>
      <c r="R770" s="15">
        <f>+ROUND(O770/Q770,4)</f>
        <v>0.44030000000000002</v>
      </c>
      <c r="S770" s="14">
        <f>ROUND(R770*L770,2)</f>
        <v>475.52</v>
      </c>
      <c r="T770" s="15" t="s">
        <v>349</v>
      </c>
      <c r="U770" t="s">
        <v>228</v>
      </c>
    </row>
    <row r="771" spans="1:21" x14ac:dyDescent="0.2">
      <c r="A771" t="s">
        <v>2732</v>
      </c>
      <c r="B771" s="24">
        <v>45733</v>
      </c>
      <c r="C771" s="24">
        <v>45729</v>
      </c>
      <c r="D771" t="s">
        <v>5</v>
      </c>
      <c r="E771" t="s">
        <v>6</v>
      </c>
      <c r="G771" t="s">
        <v>3042</v>
      </c>
      <c r="H771" t="s">
        <v>3241</v>
      </c>
      <c r="I771" t="s">
        <v>3448</v>
      </c>
      <c r="J771" s="11" t="str">
        <f>+LEFT(U771,4)</f>
        <v>SHTS</v>
      </c>
      <c r="K771" t="s">
        <v>10</v>
      </c>
      <c r="L771">
        <v>1010</v>
      </c>
      <c r="M771" t="s">
        <v>1472</v>
      </c>
      <c r="N771" t="s">
        <v>11</v>
      </c>
      <c r="O771">
        <v>3.22</v>
      </c>
      <c r="P771" s="12">
        <f>ROUND(O771*L771,2)</f>
        <v>3252.2</v>
      </c>
      <c r="Q771" s="13">
        <f>IF(N771="HKD",7.8,IF(N771="CNY",7.30034,1))</f>
        <v>7.3003400000000003</v>
      </c>
      <c r="R771" s="15">
        <f>+ROUND(O771/Q771,4)</f>
        <v>0.44109999999999999</v>
      </c>
      <c r="S771" s="14">
        <f>ROUND(R771*L771,2)</f>
        <v>445.51</v>
      </c>
      <c r="T771" s="15" t="s">
        <v>349</v>
      </c>
      <c r="U771" t="s">
        <v>9</v>
      </c>
    </row>
    <row r="772" spans="1:21" x14ac:dyDescent="0.2">
      <c r="A772" t="s">
        <v>2688</v>
      </c>
      <c r="B772" s="24">
        <v>45733</v>
      </c>
      <c r="C772" s="24">
        <v>45727</v>
      </c>
      <c r="D772" t="s">
        <v>5</v>
      </c>
      <c r="E772" t="s">
        <v>6</v>
      </c>
      <c r="G772" t="s">
        <v>3031</v>
      </c>
      <c r="H772" t="s">
        <v>403</v>
      </c>
      <c r="I772" t="s">
        <v>404</v>
      </c>
      <c r="J772" s="11" t="str">
        <f>+LEFT(U772,4)</f>
        <v>BOX-</v>
      </c>
      <c r="K772" t="s">
        <v>10</v>
      </c>
      <c r="L772">
        <v>1010</v>
      </c>
      <c r="M772" t="s">
        <v>1472</v>
      </c>
      <c r="N772" t="s">
        <v>11</v>
      </c>
      <c r="O772">
        <v>3.23</v>
      </c>
      <c r="P772" s="12">
        <f>ROUND(O772*L772,2)</f>
        <v>3262.3</v>
      </c>
      <c r="Q772" s="13">
        <f>IF(N772="HKD",7.8,IF(N772="CNY",7.30034,1))</f>
        <v>7.3003400000000003</v>
      </c>
      <c r="R772" s="15">
        <f>+ROUND(O772/Q772,4)</f>
        <v>0.44240000000000002</v>
      </c>
      <c r="S772" s="14">
        <f>ROUND(R772*L772,2)</f>
        <v>446.82</v>
      </c>
      <c r="T772" s="15" t="s">
        <v>349</v>
      </c>
      <c r="U772" t="s">
        <v>1</v>
      </c>
    </row>
    <row r="773" spans="1:21" x14ac:dyDescent="0.2">
      <c r="A773" t="s">
        <v>2815</v>
      </c>
      <c r="B773" s="24">
        <v>45743</v>
      </c>
      <c r="C773" s="24">
        <v>45743</v>
      </c>
      <c r="D773" t="s">
        <v>5</v>
      </c>
      <c r="E773" t="s">
        <v>6</v>
      </c>
      <c r="G773" t="s">
        <v>3057</v>
      </c>
      <c r="H773" t="s">
        <v>3273</v>
      </c>
      <c r="I773" t="s">
        <v>3479</v>
      </c>
      <c r="J773" s="11" t="str">
        <f>+LEFT(U773,4)</f>
        <v>BOX-</v>
      </c>
      <c r="K773" t="s">
        <v>10</v>
      </c>
      <c r="L773">
        <v>1010</v>
      </c>
      <c r="M773" t="s">
        <v>1472</v>
      </c>
      <c r="N773" t="s">
        <v>11</v>
      </c>
      <c r="O773">
        <v>3.23</v>
      </c>
      <c r="P773" s="12">
        <f>ROUND(O773*L773,2)</f>
        <v>3262.3</v>
      </c>
      <c r="Q773" s="13">
        <f>IF(N773="HKD",7.8,IF(N773="CNY",7.30034,1))</f>
        <v>7.3003400000000003</v>
      </c>
      <c r="R773" s="15">
        <f>+ROUND(O773/Q773,4)</f>
        <v>0.44240000000000002</v>
      </c>
      <c r="S773" s="14">
        <f>ROUND(R773*L773,2)</f>
        <v>446.82</v>
      </c>
      <c r="T773" s="15" t="s">
        <v>349</v>
      </c>
      <c r="U773" t="s">
        <v>1</v>
      </c>
    </row>
    <row r="774" spans="1:21" x14ac:dyDescent="0.2">
      <c r="A774" t="s">
        <v>2013</v>
      </c>
      <c r="B774" s="24">
        <v>45719</v>
      </c>
      <c r="C774" s="24">
        <v>45576</v>
      </c>
      <c r="D774" t="s">
        <v>94</v>
      </c>
      <c r="E774" t="s">
        <v>95</v>
      </c>
      <c r="G774" t="s">
        <v>2847</v>
      </c>
      <c r="H774" t="s">
        <v>1728</v>
      </c>
      <c r="I774" t="s">
        <v>1729</v>
      </c>
      <c r="J774" s="11" t="str">
        <f>+LEFT(U774,4)</f>
        <v>LID-</v>
      </c>
      <c r="K774" t="s">
        <v>98</v>
      </c>
      <c r="L774">
        <v>755</v>
      </c>
      <c r="M774" t="s">
        <v>1472</v>
      </c>
      <c r="N774" t="s">
        <v>11</v>
      </c>
      <c r="O774">
        <v>3.3</v>
      </c>
      <c r="P774" s="12">
        <f>ROUND(O774*L774,2)</f>
        <v>2491.5</v>
      </c>
      <c r="Q774" s="13">
        <f>IF(N774="HKD",7.8,IF(N774="CNY",7.30034,1))</f>
        <v>7.3003400000000003</v>
      </c>
      <c r="R774" s="15">
        <f>+ROUND(O774/Q774,4)</f>
        <v>0.45200000000000001</v>
      </c>
      <c r="S774" s="14">
        <f>ROUND(R774*L774,2)</f>
        <v>341.26</v>
      </c>
      <c r="T774" s="15" t="s">
        <v>349</v>
      </c>
      <c r="U774" t="s">
        <v>368</v>
      </c>
    </row>
    <row r="775" spans="1:21" x14ac:dyDescent="0.2">
      <c r="A775" t="s">
        <v>2805</v>
      </c>
      <c r="B775" s="24">
        <v>45736</v>
      </c>
      <c r="C775" s="24">
        <v>45735</v>
      </c>
      <c r="D775" t="s">
        <v>149</v>
      </c>
      <c r="E775" t="s">
        <v>150</v>
      </c>
      <c r="G775" t="s">
        <v>2994</v>
      </c>
      <c r="H775" t="s">
        <v>157</v>
      </c>
      <c r="I775" t="s">
        <v>158</v>
      </c>
      <c r="J775" s="11" t="str">
        <f>+LEFT(U775,4)</f>
        <v>GLID</v>
      </c>
      <c r="K775" t="s">
        <v>10</v>
      </c>
      <c r="L775">
        <v>220</v>
      </c>
      <c r="M775" t="s">
        <v>1472</v>
      </c>
      <c r="N775" t="s">
        <v>11</v>
      </c>
      <c r="O775">
        <v>3.3437000000000001</v>
      </c>
      <c r="P775" s="12">
        <f>ROUND(O775*L775,2)</f>
        <v>735.61</v>
      </c>
      <c r="Q775" s="13">
        <f>IF(N775="HKD",7.8,IF(N775="CNY",7.30034,1))</f>
        <v>7.3003400000000003</v>
      </c>
      <c r="R775" s="15">
        <f>+ROUND(O775/Q775,4)</f>
        <v>0.45800000000000002</v>
      </c>
      <c r="S775" s="14">
        <f>ROUND(R775*L775,2)</f>
        <v>100.76</v>
      </c>
      <c r="T775" s="15" t="s">
        <v>349</v>
      </c>
      <c r="U775" t="s">
        <v>78</v>
      </c>
    </row>
    <row r="776" spans="1:21" x14ac:dyDescent="0.2">
      <c r="A776" s="19" t="s">
        <v>1308</v>
      </c>
      <c r="B776" s="20">
        <v>45660</v>
      </c>
      <c r="C776" s="20">
        <v>45646</v>
      </c>
      <c r="D776" s="19" t="s">
        <v>121</v>
      </c>
      <c r="E776" s="19" t="s">
        <v>122</v>
      </c>
      <c r="G776" s="19" t="s">
        <v>1302</v>
      </c>
      <c r="H776" s="19" t="s">
        <v>1306</v>
      </c>
      <c r="I776" s="19" t="s">
        <v>1307</v>
      </c>
      <c r="J776" s="11" t="s">
        <v>1527</v>
      </c>
      <c r="K776" s="19" t="s">
        <v>10</v>
      </c>
      <c r="L776" s="19">
        <v>3000</v>
      </c>
      <c r="M776" s="19" t="s">
        <v>1472</v>
      </c>
      <c r="N776" s="19" t="s">
        <v>11</v>
      </c>
      <c r="O776" s="26">
        <v>0.8</v>
      </c>
      <c r="P776" s="12">
        <f>ROUND(O776*L776,2)</f>
        <v>2400</v>
      </c>
      <c r="Q776" s="13">
        <f>IF(N776="HKD",7.8,IF(N776="CNY",7.30034,1))</f>
        <v>7.3003400000000003</v>
      </c>
      <c r="R776" s="15">
        <f>+ROUND(O776/Q776,4)</f>
        <v>0.1096</v>
      </c>
      <c r="S776" s="14">
        <f>ROUND(R776*L776,2)</f>
        <v>328.8</v>
      </c>
      <c r="T776" s="15" t="s">
        <v>349</v>
      </c>
      <c r="U776" s="19" t="s">
        <v>36</v>
      </c>
    </row>
    <row r="777" spans="1:21" x14ac:dyDescent="0.2">
      <c r="A777" s="19" t="s">
        <v>249</v>
      </c>
      <c r="B777" s="20">
        <v>45660</v>
      </c>
      <c r="C777" s="20">
        <v>45639</v>
      </c>
      <c r="D777" s="19" t="s">
        <v>143</v>
      </c>
      <c r="E777" s="19" t="s">
        <v>144</v>
      </c>
      <c r="G777" s="19" t="s">
        <v>1287</v>
      </c>
      <c r="H777" s="19" t="s">
        <v>141</v>
      </c>
      <c r="I777" s="19" t="s">
        <v>142</v>
      </c>
      <c r="J777" s="11" t="str">
        <f>+LEFT(U777,4)</f>
        <v>KNOB</v>
      </c>
      <c r="K777" s="19" t="s">
        <v>10</v>
      </c>
      <c r="L777" s="19">
        <v>60</v>
      </c>
      <c r="M777" s="19" t="s">
        <v>1472</v>
      </c>
      <c r="N777" s="19" t="s">
        <v>11</v>
      </c>
      <c r="O777" s="26">
        <v>5.0999999999999996</v>
      </c>
      <c r="P777" s="12">
        <f>ROUND(O777*L777,2)</f>
        <v>306</v>
      </c>
      <c r="Q777" s="13">
        <f>IF(N777="HKD",7.8,IF(N777="CNY",7.30034,1))</f>
        <v>7.3003400000000003</v>
      </c>
      <c r="R777" s="15">
        <f>+ROUND(O777/Q777,4)</f>
        <v>0.6986</v>
      </c>
      <c r="S777" s="14">
        <f>ROUND(R777*L777,2)</f>
        <v>41.92</v>
      </c>
      <c r="T777" s="15" t="s">
        <v>349</v>
      </c>
      <c r="U777" s="19" t="s">
        <v>32</v>
      </c>
    </row>
    <row r="778" spans="1:21" x14ac:dyDescent="0.2">
      <c r="A778" s="19" t="s">
        <v>1288</v>
      </c>
      <c r="B778" s="20">
        <v>45660</v>
      </c>
      <c r="C778" s="20">
        <v>45644</v>
      </c>
      <c r="D778" s="19" t="s">
        <v>143</v>
      </c>
      <c r="E778" s="19" t="s">
        <v>144</v>
      </c>
      <c r="G778" s="19" t="s">
        <v>1287</v>
      </c>
      <c r="H778" s="19" t="s">
        <v>141</v>
      </c>
      <c r="I778" s="19" t="s">
        <v>142</v>
      </c>
      <c r="J778" s="11" t="str">
        <f>+LEFT(U778,4)</f>
        <v>KNOB</v>
      </c>
      <c r="K778" s="19" t="s">
        <v>10</v>
      </c>
      <c r="L778" s="19">
        <v>9740</v>
      </c>
      <c r="M778" s="19" t="s">
        <v>1472</v>
      </c>
      <c r="N778" s="19" t="s">
        <v>11</v>
      </c>
      <c r="O778" s="26">
        <v>5.0999999999999996</v>
      </c>
      <c r="P778" s="12">
        <f>ROUND(O778*L778,2)</f>
        <v>49674</v>
      </c>
      <c r="Q778" s="13">
        <f>IF(N778="HKD",7.8,IF(N778="CNY",7.30034,1))</f>
        <v>7.3003400000000003</v>
      </c>
      <c r="R778" s="15">
        <f>+ROUND(O778/Q778,4)</f>
        <v>0.6986</v>
      </c>
      <c r="S778" s="14">
        <f>ROUND(R778*L778,2)</f>
        <v>6804.36</v>
      </c>
      <c r="T778" s="15" t="s">
        <v>349</v>
      </c>
      <c r="U778" s="19" t="s">
        <v>32</v>
      </c>
    </row>
    <row r="779" spans="1:21" x14ac:dyDescent="0.2">
      <c r="A779" s="19" t="s">
        <v>1024</v>
      </c>
      <c r="B779" s="20">
        <v>45663</v>
      </c>
      <c r="C779" s="20">
        <v>45646</v>
      </c>
      <c r="D779" s="19" t="s">
        <v>252</v>
      </c>
      <c r="E779" s="19" t="s">
        <v>253</v>
      </c>
      <c r="G779" s="19" t="s">
        <v>1025</v>
      </c>
      <c r="H779" s="19" t="s">
        <v>1022</v>
      </c>
      <c r="I779" s="19" t="s">
        <v>1023</v>
      </c>
      <c r="J779" s="11" t="s">
        <v>1527</v>
      </c>
      <c r="K779" s="19" t="s">
        <v>10</v>
      </c>
      <c r="L779" s="19">
        <v>1000</v>
      </c>
      <c r="M779" s="19" t="s">
        <v>1472</v>
      </c>
      <c r="N779" s="19" t="s">
        <v>11</v>
      </c>
      <c r="O779" s="26">
        <v>1.31</v>
      </c>
      <c r="P779" s="12">
        <f>ROUND(O779*L779,2)</f>
        <v>1310</v>
      </c>
      <c r="Q779" s="13">
        <f>IF(N779="HKD",7.8,IF(N779="CNY",7.30034,1))</f>
        <v>7.3003400000000003</v>
      </c>
      <c r="R779" s="15">
        <f>+ROUND(O779/Q779,4)</f>
        <v>0.1794</v>
      </c>
      <c r="S779" s="14">
        <f>ROUND(R779*L779,2)</f>
        <v>179.4</v>
      </c>
      <c r="T779" s="15" t="s">
        <v>349</v>
      </c>
      <c r="U779" s="19" t="s">
        <v>36</v>
      </c>
    </row>
    <row r="780" spans="1:21" x14ac:dyDescent="0.2">
      <c r="A780" s="19" t="s">
        <v>690</v>
      </c>
      <c r="B780" s="20">
        <v>45663</v>
      </c>
      <c r="C780" s="20">
        <v>45638</v>
      </c>
      <c r="D780" s="19" t="s">
        <v>252</v>
      </c>
      <c r="E780" s="19" t="s">
        <v>253</v>
      </c>
      <c r="G780" s="19" t="s">
        <v>1025</v>
      </c>
      <c r="H780" s="19" t="s">
        <v>688</v>
      </c>
      <c r="I780" s="19" t="s">
        <v>689</v>
      </c>
      <c r="J780" s="11" t="s">
        <v>1527</v>
      </c>
      <c r="K780" s="19" t="s">
        <v>10</v>
      </c>
      <c r="L780" s="19">
        <v>10800</v>
      </c>
      <c r="M780" s="19" t="s">
        <v>1472</v>
      </c>
      <c r="N780" s="19" t="s">
        <v>11</v>
      </c>
      <c r="O780" s="26">
        <v>0.873</v>
      </c>
      <c r="P780" s="12">
        <f>ROUND(O780*L780,2)</f>
        <v>9428.4</v>
      </c>
      <c r="Q780" s="13">
        <f>IF(N780="HKD",7.8,IF(N780="CNY",7.30034,1))</f>
        <v>7.3003400000000003</v>
      </c>
      <c r="R780" s="15">
        <f>+ROUND(O780/Q780,4)</f>
        <v>0.1196</v>
      </c>
      <c r="S780" s="14">
        <f>ROUND(R780*L780,2)</f>
        <v>1291.68</v>
      </c>
      <c r="T780" s="15" t="s">
        <v>349</v>
      </c>
      <c r="U780" s="19" t="s">
        <v>36</v>
      </c>
    </row>
    <row r="781" spans="1:21" x14ac:dyDescent="0.2">
      <c r="A781" s="19" t="s">
        <v>1028</v>
      </c>
      <c r="B781" s="20">
        <v>45663</v>
      </c>
      <c r="C781" s="20">
        <v>45638</v>
      </c>
      <c r="D781" s="19" t="s">
        <v>252</v>
      </c>
      <c r="E781" s="19" t="s">
        <v>253</v>
      </c>
      <c r="G781" s="19" t="s">
        <v>1025</v>
      </c>
      <c r="H781" s="19" t="s">
        <v>1026</v>
      </c>
      <c r="I781" s="19" t="s">
        <v>1027</v>
      </c>
      <c r="J781" s="11" t="s">
        <v>1527</v>
      </c>
      <c r="K781" s="19" t="s">
        <v>10</v>
      </c>
      <c r="L781" s="19">
        <v>16200</v>
      </c>
      <c r="M781" s="19" t="s">
        <v>1472</v>
      </c>
      <c r="N781" s="19" t="s">
        <v>11</v>
      </c>
      <c r="O781" s="26">
        <v>0.873</v>
      </c>
      <c r="P781" s="12">
        <f>ROUND(O781*L781,2)</f>
        <v>14142.6</v>
      </c>
      <c r="Q781" s="13">
        <f>IF(N781="HKD",7.8,IF(N781="CNY",7.30034,1))</f>
        <v>7.3003400000000003</v>
      </c>
      <c r="R781" s="15">
        <f>+ROUND(O781/Q781,4)</f>
        <v>0.1196</v>
      </c>
      <c r="S781" s="14">
        <f>ROUND(R781*L781,2)</f>
        <v>1937.52</v>
      </c>
      <c r="T781" s="15" t="s">
        <v>349</v>
      </c>
      <c r="U781" s="19" t="s">
        <v>36</v>
      </c>
    </row>
    <row r="782" spans="1:21" x14ac:dyDescent="0.2">
      <c r="A782" s="19" t="s">
        <v>1048</v>
      </c>
      <c r="B782" s="20">
        <v>45663</v>
      </c>
      <c r="C782" s="20">
        <v>45629</v>
      </c>
      <c r="D782" s="19" t="s">
        <v>372</v>
      </c>
      <c r="E782" s="19" t="s">
        <v>373</v>
      </c>
      <c r="G782" s="19" t="s">
        <v>1036</v>
      </c>
      <c r="H782" s="19" t="s">
        <v>1046</v>
      </c>
      <c r="I782" s="19" t="s">
        <v>1047</v>
      </c>
      <c r="J782" s="11" t="str">
        <f>+LEFT(U782,4)</f>
        <v>KNOB</v>
      </c>
      <c r="K782" s="19" t="s">
        <v>98</v>
      </c>
      <c r="L782" s="19">
        <v>3000</v>
      </c>
      <c r="M782" s="19" t="s">
        <v>1472</v>
      </c>
      <c r="N782" s="19" t="s">
        <v>11</v>
      </c>
      <c r="O782" s="26">
        <v>0.6411</v>
      </c>
      <c r="P782" s="12">
        <f>ROUND(O782*L782,2)</f>
        <v>1923.3</v>
      </c>
      <c r="Q782" s="13">
        <f>IF(N782="HKD",7.8,IF(N782="CNY",7.30034,1))</f>
        <v>7.3003400000000003</v>
      </c>
      <c r="R782" s="15">
        <f>+ROUND(O782/Q782,4)</f>
        <v>8.7800000000000003E-2</v>
      </c>
      <c r="S782" s="14">
        <f>ROUND(R782*L782,2)</f>
        <v>263.39999999999998</v>
      </c>
      <c r="T782" s="15" t="s">
        <v>349</v>
      </c>
      <c r="U782" s="19" t="s">
        <v>32</v>
      </c>
    </row>
    <row r="783" spans="1:21" x14ac:dyDescent="0.2">
      <c r="A783" s="19" t="s">
        <v>1049</v>
      </c>
      <c r="B783" s="20">
        <v>45663</v>
      </c>
      <c r="C783" s="20">
        <v>45636</v>
      </c>
      <c r="D783" s="19" t="s">
        <v>372</v>
      </c>
      <c r="E783" s="19" t="s">
        <v>373</v>
      </c>
      <c r="G783" s="19" t="s">
        <v>1036</v>
      </c>
      <c r="H783" s="19" t="s">
        <v>1046</v>
      </c>
      <c r="I783" s="19" t="s">
        <v>1047</v>
      </c>
      <c r="J783" s="11" t="str">
        <f>+LEFT(U783,4)</f>
        <v>KNOB</v>
      </c>
      <c r="K783" s="19" t="s">
        <v>98</v>
      </c>
      <c r="L783" s="19">
        <v>1020</v>
      </c>
      <c r="M783" s="19" t="s">
        <v>1472</v>
      </c>
      <c r="N783" s="19" t="s">
        <v>11</v>
      </c>
      <c r="O783" s="26">
        <v>0.6542</v>
      </c>
      <c r="P783" s="12">
        <f>ROUND(O783*L783,2)</f>
        <v>667.28</v>
      </c>
      <c r="Q783" s="13">
        <f>IF(N783="HKD",7.8,IF(N783="CNY",7.30034,1))</f>
        <v>7.3003400000000003</v>
      </c>
      <c r="R783" s="15">
        <f>+ROUND(O783/Q783,4)</f>
        <v>8.9599999999999999E-2</v>
      </c>
      <c r="S783" s="14">
        <f>ROUND(R783*L783,2)</f>
        <v>91.39</v>
      </c>
      <c r="T783" s="15" t="s">
        <v>349</v>
      </c>
      <c r="U783" s="19" t="s">
        <v>32</v>
      </c>
    </row>
    <row r="784" spans="1:21" x14ac:dyDescent="0.2">
      <c r="A784" s="19" t="s">
        <v>1157</v>
      </c>
      <c r="B784" s="20">
        <v>45663</v>
      </c>
      <c r="C784" s="20">
        <v>45609</v>
      </c>
      <c r="D784" s="19" t="s">
        <v>28</v>
      </c>
      <c r="E784" s="19" t="s">
        <v>29</v>
      </c>
      <c r="G784" s="19" t="s">
        <v>1144</v>
      </c>
      <c r="H784" s="19" t="s">
        <v>1155</v>
      </c>
      <c r="I784" s="19" t="s">
        <v>1156</v>
      </c>
      <c r="J784" s="11" t="str">
        <f>+LEFT(U784,4)</f>
        <v>KNOB</v>
      </c>
      <c r="K784" s="19" t="s">
        <v>10</v>
      </c>
      <c r="L784" s="19">
        <v>520</v>
      </c>
      <c r="M784" s="19" t="s">
        <v>1472</v>
      </c>
      <c r="N784" s="19" t="s">
        <v>11</v>
      </c>
      <c r="O784" s="26">
        <v>3.3721999999999999</v>
      </c>
      <c r="P784" s="12">
        <f>ROUND(O784*L784,2)</f>
        <v>1753.54</v>
      </c>
      <c r="Q784" s="13">
        <f>IF(N784="HKD",7.8,IF(N784="CNY",7.30034,1))</f>
        <v>7.3003400000000003</v>
      </c>
      <c r="R784" s="15">
        <f>+ROUND(O784/Q784,4)</f>
        <v>0.46189999999999998</v>
      </c>
      <c r="S784" s="14">
        <f>ROUND(R784*L784,2)</f>
        <v>240.19</v>
      </c>
      <c r="T784" s="15" t="s">
        <v>349</v>
      </c>
      <c r="U784" s="19" t="s">
        <v>32</v>
      </c>
    </row>
    <row r="785" spans="1:21" x14ac:dyDescent="0.2">
      <c r="A785" s="19" t="s">
        <v>687</v>
      </c>
      <c r="B785" s="20">
        <v>45667</v>
      </c>
      <c r="C785" s="20">
        <v>45653</v>
      </c>
      <c r="D785" s="19" t="s">
        <v>252</v>
      </c>
      <c r="E785" s="19" t="s">
        <v>253</v>
      </c>
      <c r="G785" s="19" t="s">
        <v>681</v>
      </c>
      <c r="H785" s="19" t="s">
        <v>685</v>
      </c>
      <c r="I785" s="19" t="s">
        <v>686</v>
      </c>
      <c r="J785" s="11" t="s">
        <v>1527</v>
      </c>
      <c r="K785" s="19" t="s">
        <v>10</v>
      </c>
      <c r="L785" s="19">
        <v>1000</v>
      </c>
      <c r="M785" s="19" t="s">
        <v>1472</v>
      </c>
      <c r="N785" s="19" t="s">
        <v>11</v>
      </c>
      <c r="O785" s="26">
        <v>1.31</v>
      </c>
      <c r="P785" s="12">
        <f>ROUND(O785*L785,2)</f>
        <v>1310</v>
      </c>
      <c r="Q785" s="13">
        <f>IF(N785="HKD",7.8,IF(N785="CNY",7.30034,1))</f>
        <v>7.3003400000000003</v>
      </c>
      <c r="R785" s="15">
        <f>+ROUND(O785/Q785,4)</f>
        <v>0.1794</v>
      </c>
      <c r="S785" s="14">
        <f>ROUND(R785*L785,2)</f>
        <v>179.4</v>
      </c>
      <c r="T785" s="15" t="s">
        <v>349</v>
      </c>
      <c r="U785" s="19" t="s">
        <v>36</v>
      </c>
    </row>
    <row r="786" spans="1:21" x14ac:dyDescent="0.2">
      <c r="A786" s="19" t="s">
        <v>684</v>
      </c>
      <c r="B786" s="20">
        <v>45667</v>
      </c>
      <c r="C786" s="20">
        <v>45653</v>
      </c>
      <c r="D786" s="19" t="s">
        <v>252</v>
      </c>
      <c r="E786" s="19" t="s">
        <v>253</v>
      </c>
      <c r="G786" s="19" t="s">
        <v>681</v>
      </c>
      <c r="H786" s="19" t="s">
        <v>682</v>
      </c>
      <c r="I786" s="19" t="s">
        <v>683</v>
      </c>
      <c r="J786" s="11" t="s">
        <v>1527</v>
      </c>
      <c r="K786" s="19" t="s">
        <v>10</v>
      </c>
      <c r="L786" s="19">
        <v>1000</v>
      </c>
      <c r="M786" s="19" t="s">
        <v>1472</v>
      </c>
      <c r="N786" s="19" t="s">
        <v>11</v>
      </c>
      <c r="O786" s="26">
        <v>1.38</v>
      </c>
      <c r="P786" s="12">
        <f>ROUND(O786*L786,2)</f>
        <v>1380</v>
      </c>
      <c r="Q786" s="13">
        <f>IF(N786="HKD",7.8,IF(N786="CNY",7.30034,1))</f>
        <v>7.3003400000000003</v>
      </c>
      <c r="R786" s="15">
        <f>+ROUND(O786/Q786,4)</f>
        <v>0.189</v>
      </c>
      <c r="S786" s="14">
        <f>ROUND(R786*L786,2)</f>
        <v>189</v>
      </c>
      <c r="T786" s="15" t="s">
        <v>349</v>
      </c>
      <c r="U786" s="19" t="s">
        <v>36</v>
      </c>
    </row>
    <row r="787" spans="1:21" x14ac:dyDescent="0.2">
      <c r="A787" s="19" t="s">
        <v>680</v>
      </c>
      <c r="B787" s="20">
        <v>45667</v>
      </c>
      <c r="C787" s="20">
        <v>45653</v>
      </c>
      <c r="D787" s="19" t="s">
        <v>252</v>
      </c>
      <c r="E787" s="19" t="s">
        <v>253</v>
      </c>
      <c r="G787" s="19" t="s">
        <v>681</v>
      </c>
      <c r="H787" s="19" t="s">
        <v>678</v>
      </c>
      <c r="I787" s="19" t="s">
        <v>679</v>
      </c>
      <c r="J787" s="11" t="s">
        <v>1527</v>
      </c>
      <c r="K787" s="19" t="s">
        <v>10</v>
      </c>
      <c r="L787" s="19">
        <v>1000</v>
      </c>
      <c r="M787" s="19" t="s">
        <v>1472</v>
      </c>
      <c r="N787" s="19" t="s">
        <v>11</v>
      </c>
      <c r="O787" s="26">
        <v>1.38</v>
      </c>
      <c r="P787" s="12">
        <f>ROUND(O787*L787,2)</f>
        <v>1380</v>
      </c>
      <c r="Q787" s="13">
        <f>IF(N787="HKD",7.8,IF(N787="CNY",7.30034,1))</f>
        <v>7.3003400000000003</v>
      </c>
      <c r="R787" s="15">
        <f>+ROUND(O787/Q787,4)</f>
        <v>0.189</v>
      </c>
      <c r="S787" s="14">
        <f>ROUND(R787*L787,2)</f>
        <v>189</v>
      </c>
      <c r="T787" s="15" t="s">
        <v>349</v>
      </c>
      <c r="U787" s="19" t="s">
        <v>36</v>
      </c>
    </row>
    <row r="788" spans="1:21" x14ac:dyDescent="0.2">
      <c r="A788" s="19" t="s">
        <v>690</v>
      </c>
      <c r="B788" s="20">
        <v>45667</v>
      </c>
      <c r="C788" s="20">
        <v>45638</v>
      </c>
      <c r="D788" s="19" t="s">
        <v>252</v>
      </c>
      <c r="E788" s="19" t="s">
        <v>253</v>
      </c>
      <c r="G788" s="19" t="s">
        <v>681</v>
      </c>
      <c r="H788" s="19" t="s">
        <v>688</v>
      </c>
      <c r="I788" s="19" t="s">
        <v>689</v>
      </c>
      <c r="J788" s="11" t="s">
        <v>1527</v>
      </c>
      <c r="K788" s="19" t="s">
        <v>10</v>
      </c>
      <c r="L788" s="19">
        <v>5400</v>
      </c>
      <c r="M788" s="19" t="s">
        <v>1472</v>
      </c>
      <c r="N788" s="19" t="s">
        <v>11</v>
      </c>
      <c r="O788" s="26">
        <v>0.873</v>
      </c>
      <c r="P788" s="12">
        <f>ROUND(O788*L788,2)</f>
        <v>4714.2</v>
      </c>
      <c r="Q788" s="13">
        <f>IF(N788="HKD",7.8,IF(N788="CNY",7.30034,1))</f>
        <v>7.3003400000000003</v>
      </c>
      <c r="R788" s="15">
        <f>+ROUND(O788/Q788,4)</f>
        <v>0.1196</v>
      </c>
      <c r="S788" s="14">
        <f>ROUND(R788*L788,2)</f>
        <v>645.84</v>
      </c>
      <c r="T788" s="15" t="s">
        <v>349</v>
      </c>
      <c r="U788" s="19" t="s">
        <v>36</v>
      </c>
    </row>
    <row r="789" spans="1:21" x14ac:dyDescent="0.2">
      <c r="A789" s="19" t="s">
        <v>737</v>
      </c>
      <c r="B789" s="20">
        <v>45667</v>
      </c>
      <c r="C789" s="20">
        <v>45653</v>
      </c>
      <c r="D789" s="19" t="s">
        <v>709</v>
      </c>
      <c r="E789" s="19" t="s">
        <v>710</v>
      </c>
      <c r="G789" s="19" t="s">
        <v>712</v>
      </c>
      <c r="H789" s="19" t="s">
        <v>735</v>
      </c>
      <c r="I789" s="19" t="s">
        <v>736</v>
      </c>
      <c r="J789" s="11" t="str">
        <f>+LEFT(U789,4)</f>
        <v>KNOB</v>
      </c>
      <c r="K789" s="19" t="s">
        <v>10</v>
      </c>
      <c r="L789" s="19">
        <v>750</v>
      </c>
      <c r="M789" s="19" t="s">
        <v>1472</v>
      </c>
      <c r="N789" s="19" t="s">
        <v>11</v>
      </c>
      <c r="O789" s="26">
        <v>0.39329999999999998</v>
      </c>
      <c r="P789" s="12">
        <f>ROUND(O789*L789,2)</f>
        <v>294.98</v>
      </c>
      <c r="Q789" s="13">
        <f>IF(N789="HKD",7.8,IF(N789="CNY",7.30034,1))</f>
        <v>7.3003400000000003</v>
      </c>
      <c r="R789" s="15">
        <f>+ROUND(O789/Q789,4)</f>
        <v>5.3900000000000003E-2</v>
      </c>
      <c r="S789" s="14">
        <f>ROUND(R789*L789,2)</f>
        <v>40.43</v>
      </c>
      <c r="T789" s="15" t="s">
        <v>349</v>
      </c>
      <c r="U789" s="19" t="s">
        <v>32</v>
      </c>
    </row>
    <row r="790" spans="1:21" x14ac:dyDescent="0.2">
      <c r="A790" s="19" t="s">
        <v>728</v>
      </c>
      <c r="B790" s="20">
        <v>45667</v>
      </c>
      <c r="C790" s="20">
        <v>45646</v>
      </c>
      <c r="D790" s="19" t="s">
        <v>709</v>
      </c>
      <c r="E790" s="19" t="s">
        <v>710</v>
      </c>
      <c r="G790" s="19" t="s">
        <v>712</v>
      </c>
      <c r="H790" s="19" t="s">
        <v>726</v>
      </c>
      <c r="I790" s="19" t="s">
        <v>727</v>
      </c>
      <c r="J790" s="11" t="str">
        <f>+LEFT(U790,4)</f>
        <v>KNOB</v>
      </c>
      <c r="K790" s="19" t="s">
        <v>10</v>
      </c>
      <c r="L790" s="19">
        <v>6750</v>
      </c>
      <c r="M790" s="19" t="s">
        <v>1472</v>
      </c>
      <c r="N790" s="19" t="s">
        <v>11</v>
      </c>
      <c r="O790" s="26">
        <v>0.54969999999999997</v>
      </c>
      <c r="P790" s="12">
        <f>ROUND(O790*L790,2)</f>
        <v>3710.48</v>
      </c>
      <c r="Q790" s="13">
        <f>IF(N790="HKD",7.8,IF(N790="CNY",7.30034,1))</f>
        <v>7.3003400000000003</v>
      </c>
      <c r="R790" s="15">
        <f>+ROUND(O790/Q790,4)</f>
        <v>7.5300000000000006E-2</v>
      </c>
      <c r="S790" s="14">
        <f>ROUND(R790*L790,2)</f>
        <v>508.28</v>
      </c>
      <c r="T790" s="15" t="s">
        <v>349</v>
      </c>
      <c r="U790" s="19" t="s">
        <v>32</v>
      </c>
    </row>
    <row r="791" spans="1:21" x14ac:dyDescent="0.2">
      <c r="A791" s="19" t="s">
        <v>715</v>
      </c>
      <c r="B791" s="20">
        <v>45667</v>
      </c>
      <c r="C791" s="20">
        <v>45659</v>
      </c>
      <c r="D791" s="19" t="s">
        <v>709</v>
      </c>
      <c r="E791" s="19" t="s">
        <v>710</v>
      </c>
      <c r="G791" s="19" t="s">
        <v>712</v>
      </c>
      <c r="H791" s="19" t="s">
        <v>713</v>
      </c>
      <c r="I791" s="19" t="s">
        <v>714</v>
      </c>
      <c r="J791" s="11" t="str">
        <f>+LEFT(U791,4)</f>
        <v>KNOB</v>
      </c>
      <c r="K791" s="19" t="s">
        <v>10</v>
      </c>
      <c r="L791" s="19">
        <v>500</v>
      </c>
      <c r="M791" s="19" t="s">
        <v>1472</v>
      </c>
      <c r="N791" s="19" t="s">
        <v>11</v>
      </c>
      <c r="O791" s="26">
        <v>0.63100000000000001</v>
      </c>
      <c r="P791" s="12">
        <f>ROUND(O791*L791,2)</f>
        <v>315.5</v>
      </c>
      <c r="Q791" s="13">
        <f>IF(N791="HKD",7.8,IF(N791="CNY",7.30034,1))</f>
        <v>7.3003400000000003</v>
      </c>
      <c r="R791" s="15">
        <f>+ROUND(O791/Q791,4)</f>
        <v>8.6400000000000005E-2</v>
      </c>
      <c r="S791" s="14">
        <f>ROUND(R791*L791,2)</f>
        <v>43.2</v>
      </c>
      <c r="T791" s="15" t="s">
        <v>349</v>
      </c>
      <c r="U791" s="19" t="s">
        <v>32</v>
      </c>
    </row>
    <row r="792" spans="1:21" x14ac:dyDescent="0.2">
      <c r="A792" s="19" t="s">
        <v>718</v>
      </c>
      <c r="B792" s="20">
        <v>45667</v>
      </c>
      <c r="C792" s="20">
        <v>45659</v>
      </c>
      <c r="D792" s="19" t="s">
        <v>709</v>
      </c>
      <c r="E792" s="19" t="s">
        <v>710</v>
      </c>
      <c r="G792" s="19" t="s">
        <v>712</v>
      </c>
      <c r="H792" s="19" t="s">
        <v>716</v>
      </c>
      <c r="I792" s="19" t="s">
        <v>717</v>
      </c>
      <c r="J792" s="11" t="str">
        <f>+LEFT(U792,4)</f>
        <v>KNOB</v>
      </c>
      <c r="K792" s="19" t="s">
        <v>10</v>
      </c>
      <c r="L792" s="19">
        <v>500</v>
      </c>
      <c r="M792" s="19" t="s">
        <v>1472</v>
      </c>
      <c r="N792" s="19" t="s">
        <v>11</v>
      </c>
      <c r="O792" s="26">
        <v>0.86950000000000005</v>
      </c>
      <c r="P792" s="12">
        <f>ROUND(O792*L792,2)</f>
        <v>434.75</v>
      </c>
      <c r="Q792" s="13">
        <f>IF(N792="HKD",7.8,IF(N792="CNY",7.30034,1))</f>
        <v>7.3003400000000003</v>
      </c>
      <c r="R792" s="15">
        <f>+ROUND(O792/Q792,4)</f>
        <v>0.1191</v>
      </c>
      <c r="S792" s="14">
        <f>ROUND(R792*L792,2)</f>
        <v>59.55</v>
      </c>
      <c r="T792" s="15" t="s">
        <v>349</v>
      </c>
      <c r="U792" s="19" t="s">
        <v>32</v>
      </c>
    </row>
    <row r="793" spans="1:21" x14ac:dyDescent="0.2">
      <c r="A793" s="19" t="s">
        <v>740</v>
      </c>
      <c r="B793" s="20">
        <v>45667</v>
      </c>
      <c r="C793" s="20">
        <v>45650</v>
      </c>
      <c r="D793" s="19" t="s">
        <v>709</v>
      </c>
      <c r="E793" s="19" t="s">
        <v>710</v>
      </c>
      <c r="G793" s="19" t="s">
        <v>712</v>
      </c>
      <c r="H793" s="19" t="s">
        <v>738</v>
      </c>
      <c r="I793" s="19" t="s">
        <v>739</v>
      </c>
      <c r="J793" s="11" t="str">
        <f>+LEFT(U793,4)</f>
        <v>KNOB</v>
      </c>
      <c r="K793" s="19" t="s">
        <v>10</v>
      </c>
      <c r="L793" s="19">
        <v>510</v>
      </c>
      <c r="M793" s="19" t="s">
        <v>1472</v>
      </c>
      <c r="N793" s="19" t="s">
        <v>11</v>
      </c>
      <c r="O793" s="26">
        <v>1.0463</v>
      </c>
      <c r="P793" s="12">
        <f>ROUND(O793*L793,2)</f>
        <v>533.61</v>
      </c>
      <c r="Q793" s="13">
        <f>IF(N793="HKD",7.8,IF(N793="CNY",7.30034,1))</f>
        <v>7.3003400000000003</v>
      </c>
      <c r="R793" s="15">
        <f>+ROUND(O793/Q793,4)</f>
        <v>0.14330000000000001</v>
      </c>
      <c r="S793" s="14">
        <f>ROUND(R793*L793,2)</f>
        <v>73.08</v>
      </c>
      <c r="T793" s="15" t="s">
        <v>349</v>
      </c>
      <c r="U793" s="19" t="s">
        <v>32</v>
      </c>
    </row>
    <row r="794" spans="1:21" x14ac:dyDescent="0.2">
      <c r="A794" s="19" t="s">
        <v>249</v>
      </c>
      <c r="B794" s="20">
        <v>45667</v>
      </c>
      <c r="C794" s="20">
        <v>45639</v>
      </c>
      <c r="D794" s="19" t="s">
        <v>143</v>
      </c>
      <c r="E794" s="19" t="s">
        <v>144</v>
      </c>
      <c r="G794" s="19" t="s">
        <v>691</v>
      </c>
      <c r="H794" s="19" t="s">
        <v>141</v>
      </c>
      <c r="I794" s="19" t="s">
        <v>142</v>
      </c>
      <c r="J794" s="11" t="str">
        <f>+LEFT(U794,4)</f>
        <v>KNOB</v>
      </c>
      <c r="K794" s="19" t="s">
        <v>10</v>
      </c>
      <c r="L794" s="19">
        <v>7840</v>
      </c>
      <c r="M794" s="19" t="s">
        <v>1472</v>
      </c>
      <c r="N794" s="19" t="s">
        <v>11</v>
      </c>
      <c r="O794" s="26">
        <v>5.0999999999999996</v>
      </c>
      <c r="P794" s="12">
        <f>ROUND(O794*L794,2)</f>
        <v>39984</v>
      </c>
      <c r="Q794" s="13">
        <f>IF(N794="HKD",7.8,IF(N794="CNY",7.30034,1))</f>
        <v>7.3003400000000003</v>
      </c>
      <c r="R794" s="15">
        <f>+ROUND(O794/Q794,4)</f>
        <v>0.6986</v>
      </c>
      <c r="S794" s="14">
        <f>ROUND(R794*L794,2)</f>
        <v>5477.02</v>
      </c>
      <c r="T794" s="15" t="s">
        <v>349</v>
      </c>
      <c r="U794" s="19" t="s">
        <v>32</v>
      </c>
    </row>
    <row r="795" spans="1:21" x14ac:dyDescent="0.2">
      <c r="A795" s="19" t="s">
        <v>446</v>
      </c>
      <c r="B795" s="20">
        <v>45670</v>
      </c>
      <c r="C795" s="20">
        <v>45639</v>
      </c>
      <c r="D795" s="19" t="s">
        <v>128</v>
      </c>
      <c r="E795" s="19" t="s">
        <v>129</v>
      </c>
      <c r="G795" s="19" t="s">
        <v>437</v>
      </c>
      <c r="H795" s="19" t="s">
        <v>26</v>
      </c>
      <c r="I795" s="19" t="s">
        <v>27</v>
      </c>
      <c r="J795" s="11" t="str">
        <f>+LEFT(U795,4)</f>
        <v>KNOB</v>
      </c>
      <c r="K795" s="19" t="s">
        <v>10</v>
      </c>
      <c r="L795" s="19">
        <v>2040</v>
      </c>
      <c r="M795" s="19" t="s">
        <v>1472</v>
      </c>
      <c r="N795" s="19" t="s">
        <v>11</v>
      </c>
      <c r="O795" s="26">
        <v>2.3193999999999999</v>
      </c>
      <c r="P795" s="12">
        <f>ROUND(O795*L795,2)</f>
        <v>4731.58</v>
      </c>
      <c r="Q795" s="13">
        <f>IF(N795="HKD",7.8,IF(N795="CNY",7.30034,1))</f>
        <v>7.3003400000000003</v>
      </c>
      <c r="R795" s="15">
        <f>+ROUND(O795/Q795,4)</f>
        <v>0.31769999999999998</v>
      </c>
      <c r="S795" s="14">
        <f>ROUND(R795*L795,2)</f>
        <v>648.11</v>
      </c>
      <c r="T795" s="15" t="s">
        <v>349</v>
      </c>
      <c r="U795" s="19" t="s">
        <v>32</v>
      </c>
    </row>
    <row r="796" spans="1:21" x14ac:dyDescent="0.2">
      <c r="A796" s="19" t="s">
        <v>223</v>
      </c>
      <c r="B796" s="20">
        <v>45674</v>
      </c>
      <c r="C796" s="20">
        <v>45653</v>
      </c>
      <c r="D796" s="19" t="s">
        <v>61</v>
      </c>
      <c r="E796" s="19" t="s">
        <v>61</v>
      </c>
      <c r="G796" s="19" t="s">
        <v>224</v>
      </c>
      <c r="H796" s="19" t="s">
        <v>221</v>
      </c>
      <c r="I796" s="19" t="s">
        <v>222</v>
      </c>
      <c r="J796" s="11" t="str">
        <f>+LEFT(U796,4)</f>
        <v>KNOB</v>
      </c>
      <c r="K796" s="19" t="s">
        <v>10</v>
      </c>
      <c r="L796" s="19">
        <v>1350</v>
      </c>
      <c r="M796" s="19" t="s">
        <v>1472</v>
      </c>
      <c r="N796" s="19" t="s">
        <v>11</v>
      </c>
      <c r="O796" s="26">
        <v>1.2455000000000001</v>
      </c>
      <c r="P796" s="12">
        <f>ROUND(O796*L796,2)</f>
        <v>1681.43</v>
      </c>
      <c r="Q796" s="13">
        <f>IF(N796="HKD",7.8,IF(N796="CNY",7.30034,1))</f>
        <v>7.3003400000000003</v>
      </c>
      <c r="R796" s="15">
        <f>+ROUND(O796/Q796,4)</f>
        <v>0.1706</v>
      </c>
      <c r="S796" s="14">
        <f>ROUND(R796*L796,2)</f>
        <v>230.31</v>
      </c>
      <c r="T796" s="15" t="s">
        <v>349</v>
      </c>
      <c r="U796" s="19" t="s">
        <v>32</v>
      </c>
    </row>
    <row r="797" spans="1:21" x14ac:dyDescent="0.2">
      <c r="A797" s="19" t="s">
        <v>249</v>
      </c>
      <c r="B797" s="20">
        <v>45674</v>
      </c>
      <c r="C797" s="20">
        <v>45639</v>
      </c>
      <c r="D797" s="19" t="s">
        <v>143</v>
      </c>
      <c r="E797" s="19" t="s">
        <v>144</v>
      </c>
      <c r="G797" s="19" t="s">
        <v>182</v>
      </c>
      <c r="H797" s="19" t="s">
        <v>141</v>
      </c>
      <c r="I797" s="19" t="s">
        <v>142</v>
      </c>
      <c r="J797" s="11" t="str">
        <f>+LEFT(U797,4)</f>
        <v>KNOB</v>
      </c>
      <c r="K797" s="19" t="s">
        <v>10</v>
      </c>
      <c r="L797" s="19">
        <v>5100</v>
      </c>
      <c r="M797" s="19" t="s">
        <v>1472</v>
      </c>
      <c r="N797" s="19" t="s">
        <v>11</v>
      </c>
      <c r="O797" s="26">
        <v>5.0999999999999996</v>
      </c>
      <c r="P797" s="12">
        <f>ROUND(O797*L797,2)</f>
        <v>26010</v>
      </c>
      <c r="Q797" s="13">
        <f>IF(N797="HKD",7.8,IF(N797="CNY",7.30034,1))</f>
        <v>7.3003400000000003</v>
      </c>
      <c r="R797" s="15">
        <f>+ROUND(O797/Q797,4)</f>
        <v>0.6986</v>
      </c>
      <c r="S797" s="14">
        <f>ROUND(R797*L797,2)</f>
        <v>3562.86</v>
      </c>
      <c r="T797" s="15" t="s">
        <v>349</v>
      </c>
      <c r="U797" s="19" t="s">
        <v>32</v>
      </c>
    </row>
    <row r="798" spans="1:21" x14ac:dyDescent="0.2">
      <c r="A798" s="19" t="s">
        <v>145</v>
      </c>
      <c r="B798" s="20">
        <v>45674</v>
      </c>
      <c r="C798" s="20">
        <v>45646</v>
      </c>
      <c r="D798" s="19" t="s">
        <v>143</v>
      </c>
      <c r="E798" s="19" t="s">
        <v>144</v>
      </c>
      <c r="G798" s="19" t="s">
        <v>182</v>
      </c>
      <c r="H798" s="19" t="s">
        <v>141</v>
      </c>
      <c r="I798" s="19" t="s">
        <v>142</v>
      </c>
      <c r="J798" s="11" t="str">
        <f>+LEFT(U798,4)</f>
        <v>KNOB</v>
      </c>
      <c r="K798" s="19" t="s">
        <v>10</v>
      </c>
      <c r="L798" s="19">
        <v>4000</v>
      </c>
      <c r="M798" s="19" t="s">
        <v>1472</v>
      </c>
      <c r="N798" s="19" t="s">
        <v>11</v>
      </c>
      <c r="O798" s="26">
        <v>5.0999999999999996</v>
      </c>
      <c r="P798" s="12">
        <f>ROUND(O798*L798,2)</f>
        <v>20400</v>
      </c>
      <c r="Q798" s="13">
        <f>IF(N798="HKD",7.8,IF(N798="CNY",7.30034,1))</f>
        <v>7.3003400000000003</v>
      </c>
      <c r="R798" s="15">
        <f>+ROUND(O798/Q798,4)</f>
        <v>0.6986</v>
      </c>
      <c r="S798" s="14">
        <f>ROUND(R798*L798,2)</f>
        <v>2794.4</v>
      </c>
      <c r="T798" s="15" t="s">
        <v>349</v>
      </c>
      <c r="U798" s="19" t="s">
        <v>32</v>
      </c>
    </row>
    <row r="799" spans="1:21" x14ac:dyDescent="0.2">
      <c r="A799" s="19" t="s">
        <v>145</v>
      </c>
      <c r="B799" s="20">
        <v>45674</v>
      </c>
      <c r="C799" s="20">
        <v>45646</v>
      </c>
      <c r="D799" s="19" t="s">
        <v>143</v>
      </c>
      <c r="E799" s="19" t="s">
        <v>144</v>
      </c>
      <c r="G799" s="19" t="s">
        <v>183</v>
      </c>
      <c r="H799" s="19" t="s">
        <v>141</v>
      </c>
      <c r="I799" s="19" t="s">
        <v>142</v>
      </c>
      <c r="J799" s="11" t="str">
        <f>+LEFT(U799,4)</f>
        <v>KNOB</v>
      </c>
      <c r="K799" s="19" t="s">
        <v>10</v>
      </c>
      <c r="L799" s="19">
        <v>-400</v>
      </c>
      <c r="M799" s="19" t="s">
        <v>1472</v>
      </c>
      <c r="N799" s="19" t="s">
        <v>11</v>
      </c>
      <c r="O799" s="26">
        <v>5.0999999999999996</v>
      </c>
      <c r="P799" s="12">
        <f>ROUND(O799*L799,2)</f>
        <v>-2040</v>
      </c>
      <c r="Q799" s="13">
        <f>IF(N799="HKD",7.8,IF(N799="CNY",7.30034,1))</f>
        <v>7.3003400000000003</v>
      </c>
      <c r="R799" s="15">
        <f>+ROUND(O799/Q799,4)</f>
        <v>0.6986</v>
      </c>
      <c r="S799" s="14">
        <f>ROUND(R799*L799,2)</f>
        <v>-279.44</v>
      </c>
      <c r="T799" s="15" t="s">
        <v>349</v>
      </c>
      <c r="U799" s="19" t="s">
        <v>32</v>
      </c>
    </row>
    <row r="800" spans="1:21" x14ac:dyDescent="0.2">
      <c r="A800" s="19" t="s">
        <v>145</v>
      </c>
      <c r="B800" s="20">
        <v>45674</v>
      </c>
      <c r="C800" s="20">
        <v>45646</v>
      </c>
      <c r="D800" s="19" t="s">
        <v>143</v>
      </c>
      <c r="E800" s="19" t="s">
        <v>144</v>
      </c>
      <c r="G800" s="19" t="s">
        <v>182</v>
      </c>
      <c r="H800" s="19" t="s">
        <v>141</v>
      </c>
      <c r="I800" s="19" t="s">
        <v>142</v>
      </c>
      <c r="J800" s="11" t="str">
        <f>+LEFT(U800,4)</f>
        <v>KNOB</v>
      </c>
      <c r="K800" s="19" t="s">
        <v>10</v>
      </c>
      <c r="L800" s="19">
        <v>400</v>
      </c>
      <c r="M800" s="19" t="s">
        <v>1472</v>
      </c>
      <c r="N800" s="19" t="s">
        <v>11</v>
      </c>
      <c r="O800" s="26">
        <v>5.0999999999999996</v>
      </c>
      <c r="P800" s="12">
        <f>ROUND(O800*L800,2)</f>
        <v>2040</v>
      </c>
      <c r="Q800" s="13">
        <f>IF(N800="HKD",7.8,IF(N800="CNY",7.30034,1))</f>
        <v>7.3003400000000003</v>
      </c>
      <c r="R800" s="15">
        <f>+ROUND(O800/Q800,4)</f>
        <v>0.6986</v>
      </c>
      <c r="S800" s="14">
        <f>ROUND(R800*L800,2)</f>
        <v>279.44</v>
      </c>
      <c r="T800" s="15" t="s">
        <v>349</v>
      </c>
      <c r="U800" s="19" t="s">
        <v>32</v>
      </c>
    </row>
    <row r="801" spans="1:21" x14ac:dyDescent="0.2">
      <c r="A801" s="19" t="s">
        <v>145</v>
      </c>
      <c r="B801" s="20">
        <v>45675</v>
      </c>
      <c r="C801" s="20">
        <v>45646</v>
      </c>
      <c r="D801" s="19" t="s">
        <v>143</v>
      </c>
      <c r="E801" s="19" t="s">
        <v>144</v>
      </c>
      <c r="G801" s="19" t="s">
        <v>146</v>
      </c>
      <c r="H801" s="19" t="s">
        <v>141</v>
      </c>
      <c r="I801" s="19" t="s">
        <v>142</v>
      </c>
      <c r="J801" s="11" t="str">
        <f>+LEFT(U801,4)</f>
        <v>KNOB</v>
      </c>
      <c r="K801" s="19" t="s">
        <v>10</v>
      </c>
      <c r="L801" s="19">
        <v>9500</v>
      </c>
      <c r="M801" s="19" t="s">
        <v>1472</v>
      </c>
      <c r="N801" s="19" t="s">
        <v>11</v>
      </c>
      <c r="O801" s="26">
        <v>5.0999999999999996</v>
      </c>
      <c r="P801" s="12">
        <f>ROUND(O801*L801,2)</f>
        <v>48450</v>
      </c>
      <c r="Q801" s="13">
        <f>IF(N801="HKD",7.8,IF(N801="CNY",7.30034,1))</f>
        <v>7.3003400000000003</v>
      </c>
      <c r="R801" s="15">
        <f>+ROUND(O801/Q801,4)</f>
        <v>0.6986</v>
      </c>
      <c r="S801" s="14">
        <f>ROUND(R801*L801,2)</f>
        <v>6636.7</v>
      </c>
      <c r="T801" s="15" t="s">
        <v>349</v>
      </c>
      <c r="U801" s="19" t="s">
        <v>32</v>
      </c>
    </row>
    <row r="802" spans="1:21" x14ac:dyDescent="0.2">
      <c r="A802" s="19" t="s">
        <v>30</v>
      </c>
      <c r="B802" s="20">
        <v>45680</v>
      </c>
      <c r="C802" s="20">
        <v>45646</v>
      </c>
      <c r="D802" s="19" t="s">
        <v>28</v>
      </c>
      <c r="E802" s="19" t="s">
        <v>29</v>
      </c>
      <c r="G802" s="19" t="s">
        <v>31</v>
      </c>
      <c r="H802" s="19" t="s">
        <v>26</v>
      </c>
      <c r="I802" s="19" t="s">
        <v>27</v>
      </c>
      <c r="J802" s="11" t="str">
        <f>+LEFT(U802,4)</f>
        <v>KNOB</v>
      </c>
      <c r="K802" s="19" t="s">
        <v>10</v>
      </c>
      <c r="L802" s="19">
        <v>9250</v>
      </c>
      <c r="M802" s="19" t="s">
        <v>1472</v>
      </c>
      <c r="N802" s="19" t="s">
        <v>11</v>
      </c>
      <c r="O802" s="26">
        <v>2.2488000000000001</v>
      </c>
      <c r="P802" s="12">
        <f>ROUND(O802*L802,2)</f>
        <v>20801.400000000001</v>
      </c>
      <c r="Q802" s="13">
        <f>IF(N802="HKD",7.8,IF(N802="CNY",7.30034,1))</f>
        <v>7.3003400000000003</v>
      </c>
      <c r="R802" s="15">
        <f>+ROUND(O802/Q802,4)</f>
        <v>0.308</v>
      </c>
      <c r="S802" s="14">
        <f>ROUND(R802*L802,2)</f>
        <v>2849</v>
      </c>
      <c r="T802" s="15" t="s">
        <v>349</v>
      </c>
      <c r="U802" s="19" t="s">
        <v>32</v>
      </c>
    </row>
    <row r="803" spans="1:21" x14ac:dyDescent="0.2">
      <c r="A803" t="s">
        <v>2049</v>
      </c>
      <c r="B803" s="24">
        <v>45698</v>
      </c>
      <c r="C803" s="24">
        <v>45630</v>
      </c>
      <c r="D803" t="s">
        <v>651</v>
      </c>
      <c r="E803" t="s">
        <v>652</v>
      </c>
      <c r="G803" t="s">
        <v>2204</v>
      </c>
      <c r="H803" s="19" t="s">
        <v>1760</v>
      </c>
      <c r="I803" s="19" t="s">
        <v>1761</v>
      </c>
      <c r="J803" s="11" t="str">
        <f>+LEFT(U803,4)</f>
        <v>KNOB</v>
      </c>
      <c r="K803" t="s">
        <v>10</v>
      </c>
      <c r="L803" s="19">
        <v>19000</v>
      </c>
      <c r="M803" t="s">
        <v>1472</v>
      </c>
      <c r="N803" t="s">
        <v>11</v>
      </c>
      <c r="O803" s="26">
        <v>4.4320000000000004</v>
      </c>
      <c r="P803" s="12">
        <f>ROUND(O803*L803,2)</f>
        <v>84208</v>
      </c>
      <c r="Q803" s="13">
        <f>IF(N803="HKD",7.8,IF(N803="CNY",7.30034,1))</f>
        <v>7.3003400000000003</v>
      </c>
      <c r="R803" s="15">
        <f>+ROUND(O803/Q803,4)</f>
        <v>0.60709999999999997</v>
      </c>
      <c r="S803" s="14">
        <f>ROUND(R803*L803,2)</f>
        <v>11534.9</v>
      </c>
      <c r="T803" s="15" t="s">
        <v>349</v>
      </c>
      <c r="U803" t="s">
        <v>32</v>
      </c>
    </row>
    <row r="804" spans="1:21" x14ac:dyDescent="0.2">
      <c r="A804" t="s">
        <v>2050</v>
      </c>
      <c r="B804" s="24">
        <v>45698</v>
      </c>
      <c r="C804" s="24">
        <v>45646</v>
      </c>
      <c r="D804" t="s">
        <v>651</v>
      </c>
      <c r="E804" t="s">
        <v>652</v>
      </c>
      <c r="G804" t="s">
        <v>2204</v>
      </c>
      <c r="H804" s="19" t="s">
        <v>1760</v>
      </c>
      <c r="I804" s="19" t="s">
        <v>1761</v>
      </c>
      <c r="J804" s="11" t="str">
        <f>+LEFT(U804,4)</f>
        <v>KNOB</v>
      </c>
      <c r="K804" t="s">
        <v>10</v>
      </c>
      <c r="L804" s="19">
        <v>13500</v>
      </c>
      <c r="M804" t="s">
        <v>1472</v>
      </c>
      <c r="N804" t="s">
        <v>11</v>
      </c>
      <c r="O804" s="26">
        <v>4.4320000000000004</v>
      </c>
      <c r="P804" s="12">
        <f>ROUND(O804*L804,2)</f>
        <v>59832</v>
      </c>
      <c r="Q804" s="13">
        <f>IF(N804="HKD",7.8,IF(N804="CNY",7.30034,1))</f>
        <v>7.3003400000000003</v>
      </c>
      <c r="R804" s="15">
        <f>+ROUND(O804/Q804,4)</f>
        <v>0.60709999999999997</v>
      </c>
      <c r="S804" s="14">
        <f>ROUND(R804*L804,2)</f>
        <v>8195.85</v>
      </c>
      <c r="T804" s="15" t="s">
        <v>349</v>
      </c>
      <c r="U804" t="s">
        <v>32</v>
      </c>
    </row>
    <row r="805" spans="1:21" x14ac:dyDescent="0.2">
      <c r="A805" t="s">
        <v>2065</v>
      </c>
      <c r="B805" s="24">
        <v>45702</v>
      </c>
      <c r="C805" s="24">
        <v>45630</v>
      </c>
      <c r="D805" t="s">
        <v>143</v>
      </c>
      <c r="E805" t="s">
        <v>144</v>
      </c>
      <c r="G805" t="s">
        <v>2208</v>
      </c>
      <c r="H805" s="19" t="s">
        <v>141</v>
      </c>
      <c r="I805" s="19" t="s">
        <v>142</v>
      </c>
      <c r="J805" s="11" t="str">
        <f>+LEFT(U805,4)</f>
        <v>KNOB</v>
      </c>
      <c r="K805" t="s">
        <v>10</v>
      </c>
      <c r="L805" s="19">
        <v>8540</v>
      </c>
      <c r="M805" t="s">
        <v>1472</v>
      </c>
      <c r="N805" t="s">
        <v>11</v>
      </c>
      <c r="O805" s="26">
        <v>5.0999999999999996</v>
      </c>
      <c r="P805" s="12">
        <f>ROUND(O805*L805,2)</f>
        <v>43554</v>
      </c>
      <c r="Q805" s="13">
        <f>IF(N805="HKD",7.8,IF(N805="CNY",7.30034,1))</f>
        <v>7.3003400000000003</v>
      </c>
      <c r="R805" s="15">
        <f>+ROUND(O805/Q805,4)</f>
        <v>0.6986</v>
      </c>
      <c r="S805" s="14">
        <f>ROUND(R805*L805,2)</f>
        <v>5966.04</v>
      </c>
      <c r="T805" s="15" t="s">
        <v>349</v>
      </c>
      <c r="U805" t="s">
        <v>32</v>
      </c>
    </row>
    <row r="806" spans="1:21" x14ac:dyDescent="0.2">
      <c r="A806" t="s">
        <v>2065</v>
      </c>
      <c r="B806" s="24">
        <v>45705</v>
      </c>
      <c r="C806" s="24">
        <v>45630</v>
      </c>
      <c r="D806" t="s">
        <v>143</v>
      </c>
      <c r="E806" t="s">
        <v>144</v>
      </c>
      <c r="G806" t="s">
        <v>2147</v>
      </c>
      <c r="H806" s="19" t="s">
        <v>141</v>
      </c>
      <c r="I806" s="19" t="s">
        <v>142</v>
      </c>
      <c r="J806" s="11" t="str">
        <f>+LEFT(U806,4)</f>
        <v>KNOB</v>
      </c>
      <c r="K806" t="s">
        <v>10</v>
      </c>
      <c r="L806" s="19">
        <v>12360</v>
      </c>
      <c r="M806" t="s">
        <v>1472</v>
      </c>
      <c r="N806" t="s">
        <v>11</v>
      </c>
      <c r="O806" s="26">
        <v>5.0999999999999996</v>
      </c>
      <c r="P806" s="12">
        <f>ROUND(O806*L806,2)</f>
        <v>63036</v>
      </c>
      <c r="Q806" s="13">
        <f>IF(N806="HKD",7.8,IF(N806="CNY",7.30034,1))</f>
        <v>7.3003400000000003</v>
      </c>
      <c r="R806" s="15">
        <f>+ROUND(O806/Q806,4)</f>
        <v>0.6986</v>
      </c>
      <c r="S806" s="14">
        <f>ROUND(R806*L806,2)</f>
        <v>8634.7000000000007</v>
      </c>
      <c r="T806" s="15" t="s">
        <v>349</v>
      </c>
      <c r="U806" t="s">
        <v>32</v>
      </c>
    </row>
    <row r="807" spans="1:21" x14ac:dyDescent="0.2">
      <c r="A807" t="s">
        <v>1907</v>
      </c>
      <c r="B807" s="24">
        <v>45706</v>
      </c>
      <c r="C807" s="24">
        <v>45674</v>
      </c>
      <c r="D807" t="s">
        <v>121</v>
      </c>
      <c r="E807" t="s">
        <v>122</v>
      </c>
      <c r="G807" t="s">
        <v>2165</v>
      </c>
      <c r="H807" s="19" t="s">
        <v>1306</v>
      </c>
      <c r="I807" s="19" t="s">
        <v>1307</v>
      </c>
      <c r="J807" s="11" t="s">
        <v>1527</v>
      </c>
      <c r="K807" t="s">
        <v>10</v>
      </c>
      <c r="L807" s="19">
        <v>2000</v>
      </c>
      <c r="M807" t="s">
        <v>1472</v>
      </c>
      <c r="N807" t="s">
        <v>11</v>
      </c>
      <c r="O807" s="26">
        <v>0.8</v>
      </c>
      <c r="P807" s="12">
        <f>ROUND(O807*L807,2)</f>
        <v>1600</v>
      </c>
      <c r="Q807" s="13">
        <f>IF(N807="HKD",7.8,IF(N807="CNY",7.30034,1))</f>
        <v>7.3003400000000003</v>
      </c>
      <c r="R807" s="15">
        <f>+ROUND(O807/Q807,4)</f>
        <v>0.1096</v>
      </c>
      <c r="S807" s="14">
        <f>ROUND(R807*L807,2)</f>
        <v>219.2</v>
      </c>
      <c r="T807" s="15" t="s">
        <v>349</v>
      </c>
      <c r="U807" t="s">
        <v>36</v>
      </c>
    </row>
    <row r="808" spans="1:21" x14ac:dyDescent="0.2">
      <c r="A808" t="s">
        <v>1908</v>
      </c>
      <c r="B808" s="24">
        <v>45706</v>
      </c>
      <c r="C808" s="24">
        <v>45677</v>
      </c>
      <c r="D808" t="s">
        <v>121</v>
      </c>
      <c r="E808" t="s">
        <v>122</v>
      </c>
      <c r="G808" t="s">
        <v>2165</v>
      </c>
      <c r="H808" s="19" t="s">
        <v>1548</v>
      </c>
      <c r="I808" s="19" t="s">
        <v>1549</v>
      </c>
      <c r="J808" s="11" t="s">
        <v>1527</v>
      </c>
      <c r="K808" t="s">
        <v>10</v>
      </c>
      <c r="L808" s="19">
        <v>1020</v>
      </c>
      <c r="M808" t="s">
        <v>1472</v>
      </c>
      <c r="N808" t="s">
        <v>11</v>
      </c>
      <c r="O808" s="26">
        <v>0.8</v>
      </c>
      <c r="P808" s="12">
        <f>ROUND(O808*L808,2)</f>
        <v>816</v>
      </c>
      <c r="Q808" s="13">
        <f>IF(N808="HKD",7.8,IF(N808="CNY",7.30034,1))</f>
        <v>7.3003400000000003</v>
      </c>
      <c r="R808" s="15">
        <f>+ROUND(O808/Q808,4)</f>
        <v>0.1096</v>
      </c>
      <c r="S808" s="14">
        <f>ROUND(R808*L808,2)</f>
        <v>111.79</v>
      </c>
      <c r="T808" s="15" t="s">
        <v>349</v>
      </c>
      <c r="U808" t="s">
        <v>36</v>
      </c>
    </row>
    <row r="809" spans="1:21" x14ac:dyDescent="0.2">
      <c r="A809" t="s">
        <v>1920</v>
      </c>
      <c r="B809" s="24">
        <v>45709</v>
      </c>
      <c r="C809" s="24">
        <v>45674</v>
      </c>
      <c r="D809" t="s">
        <v>252</v>
      </c>
      <c r="E809" t="s">
        <v>253</v>
      </c>
      <c r="G809" t="s">
        <v>2169</v>
      </c>
      <c r="H809" s="19" t="s">
        <v>1022</v>
      </c>
      <c r="I809" s="19" t="s">
        <v>1023</v>
      </c>
      <c r="J809" s="11" t="s">
        <v>1527</v>
      </c>
      <c r="K809" t="s">
        <v>10</v>
      </c>
      <c r="L809" s="19">
        <v>2050</v>
      </c>
      <c r="M809" t="s">
        <v>1472</v>
      </c>
      <c r="N809" t="s">
        <v>11</v>
      </c>
      <c r="O809" s="26">
        <v>1.2838000000000001</v>
      </c>
      <c r="P809" s="12">
        <f>ROUND(O809*L809,2)</f>
        <v>2631.79</v>
      </c>
      <c r="Q809" s="13">
        <f>IF(N809="HKD",7.8,IF(N809="CNY",7.30034,1))</f>
        <v>7.3003400000000003</v>
      </c>
      <c r="R809" s="15">
        <f>+ROUND(O809/Q809,4)</f>
        <v>0.1759</v>
      </c>
      <c r="S809" s="14">
        <f>ROUND(R809*L809,2)</f>
        <v>360.6</v>
      </c>
      <c r="T809" s="15" t="s">
        <v>349</v>
      </c>
      <c r="U809" t="s">
        <v>36</v>
      </c>
    </row>
    <row r="810" spans="1:21" x14ac:dyDescent="0.2">
      <c r="A810" t="s">
        <v>1924</v>
      </c>
      <c r="B810" s="24">
        <v>45709</v>
      </c>
      <c r="C810" s="24">
        <v>45677</v>
      </c>
      <c r="D810" t="s">
        <v>252</v>
      </c>
      <c r="E810" t="s">
        <v>253</v>
      </c>
      <c r="G810" t="s">
        <v>2169</v>
      </c>
      <c r="H810" s="19" t="s">
        <v>1022</v>
      </c>
      <c r="I810" s="19" t="s">
        <v>1023</v>
      </c>
      <c r="J810" s="11" t="s">
        <v>1527</v>
      </c>
      <c r="K810" t="s">
        <v>10</v>
      </c>
      <c r="L810" s="19">
        <v>1500</v>
      </c>
      <c r="M810" t="s">
        <v>1472</v>
      </c>
      <c r="N810" t="s">
        <v>11</v>
      </c>
      <c r="O810" s="26">
        <v>1.31</v>
      </c>
      <c r="P810" s="12">
        <f>ROUND(O810*L810,2)</f>
        <v>1965</v>
      </c>
      <c r="Q810" s="13">
        <f>IF(N810="HKD",7.8,IF(N810="CNY",7.30034,1))</f>
        <v>7.3003400000000003</v>
      </c>
      <c r="R810" s="15">
        <f>+ROUND(O810/Q810,4)</f>
        <v>0.1794</v>
      </c>
      <c r="S810" s="14">
        <f>ROUND(R810*L810,2)</f>
        <v>269.10000000000002</v>
      </c>
      <c r="T810" s="15" t="s">
        <v>349</v>
      </c>
      <c r="U810" t="s">
        <v>36</v>
      </c>
    </row>
    <row r="811" spans="1:21" x14ac:dyDescent="0.2">
      <c r="A811" t="s">
        <v>1925</v>
      </c>
      <c r="B811" s="24">
        <v>45709</v>
      </c>
      <c r="C811" s="24">
        <v>45674</v>
      </c>
      <c r="D811" t="s">
        <v>252</v>
      </c>
      <c r="E811" t="s">
        <v>253</v>
      </c>
      <c r="G811" t="s">
        <v>2169</v>
      </c>
      <c r="H811" s="19" t="s">
        <v>682</v>
      </c>
      <c r="I811" s="19" t="s">
        <v>683</v>
      </c>
      <c r="J811" s="11" t="s">
        <v>1527</v>
      </c>
      <c r="K811" t="s">
        <v>10</v>
      </c>
      <c r="L811" s="19">
        <v>3050</v>
      </c>
      <c r="M811" t="s">
        <v>1472</v>
      </c>
      <c r="N811" t="s">
        <v>11</v>
      </c>
      <c r="O811" s="26">
        <v>1.3524</v>
      </c>
      <c r="P811" s="12">
        <f>ROUND(O811*L811,2)</f>
        <v>4124.82</v>
      </c>
      <c r="Q811" s="13">
        <f>IF(N811="HKD",7.8,IF(N811="CNY",7.30034,1))</f>
        <v>7.3003400000000003</v>
      </c>
      <c r="R811" s="15">
        <f>+ROUND(O811/Q811,4)</f>
        <v>0.18529999999999999</v>
      </c>
      <c r="S811" s="14">
        <f>ROUND(R811*L811,2)</f>
        <v>565.16999999999996</v>
      </c>
      <c r="T811" s="15" t="s">
        <v>349</v>
      </c>
      <c r="U811" t="s">
        <v>36</v>
      </c>
    </row>
    <row r="812" spans="1:21" x14ac:dyDescent="0.2">
      <c r="A812" t="s">
        <v>1927</v>
      </c>
      <c r="B812" s="24">
        <v>45709</v>
      </c>
      <c r="C812" s="24">
        <v>45674</v>
      </c>
      <c r="D812" t="s">
        <v>252</v>
      </c>
      <c r="E812" t="s">
        <v>253</v>
      </c>
      <c r="G812" t="s">
        <v>2169</v>
      </c>
      <c r="H812" s="19" t="s">
        <v>678</v>
      </c>
      <c r="I812" s="19" t="s">
        <v>679</v>
      </c>
      <c r="J812" s="11" t="s">
        <v>1527</v>
      </c>
      <c r="K812" t="s">
        <v>10</v>
      </c>
      <c r="L812" s="19">
        <v>1000</v>
      </c>
      <c r="M812" t="s">
        <v>1472</v>
      </c>
      <c r="N812" t="s">
        <v>11</v>
      </c>
      <c r="O812" s="26">
        <v>1.38</v>
      </c>
      <c r="P812" s="12">
        <f>ROUND(O812*L812,2)</f>
        <v>1380</v>
      </c>
      <c r="Q812" s="13">
        <f>IF(N812="HKD",7.8,IF(N812="CNY",7.30034,1))</f>
        <v>7.3003400000000003</v>
      </c>
      <c r="R812" s="15">
        <f>+ROUND(O812/Q812,4)</f>
        <v>0.189</v>
      </c>
      <c r="S812" s="14">
        <f>ROUND(R812*L812,2)</f>
        <v>189</v>
      </c>
      <c r="T812" s="15" t="s">
        <v>349</v>
      </c>
      <c r="U812" t="s">
        <v>36</v>
      </c>
    </row>
    <row r="813" spans="1:21" x14ac:dyDescent="0.2">
      <c r="A813" t="s">
        <v>1928</v>
      </c>
      <c r="B813" s="24">
        <v>45709</v>
      </c>
      <c r="C813" s="24">
        <v>45677</v>
      </c>
      <c r="D813" t="s">
        <v>252</v>
      </c>
      <c r="E813" t="s">
        <v>253</v>
      </c>
      <c r="G813" t="s">
        <v>2169</v>
      </c>
      <c r="H813" s="19" t="s">
        <v>678</v>
      </c>
      <c r="I813" s="19" t="s">
        <v>679</v>
      </c>
      <c r="J813" s="11" t="s">
        <v>1527</v>
      </c>
      <c r="K813" t="s">
        <v>10</v>
      </c>
      <c r="L813" s="19">
        <v>1020</v>
      </c>
      <c r="M813" t="s">
        <v>1472</v>
      </c>
      <c r="N813" t="s">
        <v>11</v>
      </c>
      <c r="O813" s="26">
        <v>1.38</v>
      </c>
      <c r="P813" s="12">
        <f>ROUND(O813*L813,2)</f>
        <v>1407.6</v>
      </c>
      <c r="Q813" s="13">
        <f>IF(N813="HKD",7.8,IF(N813="CNY",7.30034,1))</f>
        <v>7.3003400000000003</v>
      </c>
      <c r="R813" s="15">
        <f>+ROUND(O813/Q813,4)</f>
        <v>0.189</v>
      </c>
      <c r="S813" s="14">
        <f>ROUND(R813*L813,2)</f>
        <v>192.78</v>
      </c>
      <c r="T813" s="15" t="s">
        <v>349</v>
      </c>
      <c r="U813" t="s">
        <v>36</v>
      </c>
    </row>
    <row r="814" spans="1:21" x14ac:dyDescent="0.2">
      <c r="A814" t="s">
        <v>1904</v>
      </c>
      <c r="B814" s="24">
        <v>45712</v>
      </c>
      <c r="C814" s="24">
        <v>45695</v>
      </c>
      <c r="D814" t="s">
        <v>2247</v>
      </c>
      <c r="E814" t="s">
        <v>2248</v>
      </c>
      <c r="G814" t="s">
        <v>2162</v>
      </c>
      <c r="H814" s="19" t="s">
        <v>1635</v>
      </c>
      <c r="I814" s="19" t="s">
        <v>1636</v>
      </c>
      <c r="J814" s="11" t="str">
        <f>+LEFT(U814,4)</f>
        <v>KNOB</v>
      </c>
      <c r="K814" t="s">
        <v>10</v>
      </c>
      <c r="L814" s="19">
        <v>2000</v>
      </c>
      <c r="M814" t="s">
        <v>1472</v>
      </c>
      <c r="N814" t="s">
        <v>11</v>
      </c>
      <c r="O814" s="26">
        <v>0.68910000000000005</v>
      </c>
      <c r="P814" s="12">
        <f>ROUND(O814*L814,2)</f>
        <v>1378.2</v>
      </c>
      <c r="Q814" s="13">
        <f>IF(N814="HKD",7.8,IF(N814="CNY",7.30034,1))</f>
        <v>7.3003400000000003</v>
      </c>
      <c r="R814" s="15">
        <f>+ROUND(O814/Q814,4)</f>
        <v>9.4399999999999998E-2</v>
      </c>
      <c r="S814" s="14">
        <f>ROUND(R814*L814,2)</f>
        <v>188.8</v>
      </c>
      <c r="T814" s="15" t="s">
        <v>349</v>
      </c>
      <c r="U814" t="s">
        <v>32</v>
      </c>
    </row>
    <row r="815" spans="1:21" x14ac:dyDescent="0.2">
      <c r="A815" t="s">
        <v>2015</v>
      </c>
      <c r="B815" s="24">
        <v>45712</v>
      </c>
      <c r="C815" s="24">
        <v>45706</v>
      </c>
      <c r="D815" t="s">
        <v>28</v>
      </c>
      <c r="E815" t="s">
        <v>29</v>
      </c>
      <c r="G815" t="s">
        <v>2158</v>
      </c>
      <c r="H815" s="19" t="s">
        <v>1155</v>
      </c>
      <c r="I815" s="19" t="s">
        <v>1156</v>
      </c>
      <c r="J815" s="11" t="str">
        <f>+LEFT(U815,4)</f>
        <v>KNOB</v>
      </c>
      <c r="K815" t="s">
        <v>10</v>
      </c>
      <c r="L815" s="19">
        <v>15</v>
      </c>
      <c r="M815" t="s">
        <v>1472</v>
      </c>
      <c r="N815" t="s">
        <v>11</v>
      </c>
      <c r="O815" s="26">
        <v>3.3721999999999999</v>
      </c>
      <c r="P815" s="12">
        <f>ROUND(O815*L815,2)</f>
        <v>50.58</v>
      </c>
      <c r="Q815" s="13">
        <f>IF(N815="HKD",7.8,IF(N815="CNY",7.30034,1))</f>
        <v>7.3003400000000003</v>
      </c>
      <c r="R815" s="15">
        <f>+ROUND(O815/Q815,4)</f>
        <v>0.46189999999999998</v>
      </c>
      <c r="S815" s="14">
        <f>ROUND(R815*L815,2)</f>
        <v>6.93</v>
      </c>
      <c r="T815" s="15" t="s">
        <v>349</v>
      </c>
      <c r="U815" t="s">
        <v>32</v>
      </c>
    </row>
    <row r="816" spans="1:21" x14ac:dyDescent="0.2">
      <c r="A816" t="s">
        <v>1894</v>
      </c>
      <c r="B816" s="24">
        <v>45713</v>
      </c>
      <c r="C816" s="24">
        <v>45670</v>
      </c>
      <c r="D816" t="s">
        <v>709</v>
      </c>
      <c r="E816" t="s">
        <v>710</v>
      </c>
      <c r="G816" t="s">
        <v>2159</v>
      </c>
      <c r="H816" s="19" t="s">
        <v>726</v>
      </c>
      <c r="I816" s="19" t="s">
        <v>727</v>
      </c>
      <c r="J816" s="11" t="str">
        <f>+LEFT(U816,4)</f>
        <v>KNOB</v>
      </c>
      <c r="K816" t="s">
        <v>10</v>
      </c>
      <c r="L816" s="19">
        <v>6100</v>
      </c>
      <c r="M816" t="s">
        <v>1472</v>
      </c>
      <c r="N816" t="s">
        <v>11</v>
      </c>
      <c r="O816" s="26">
        <v>0.54969999999999997</v>
      </c>
      <c r="P816" s="12">
        <f>ROUND(O816*L816,2)</f>
        <v>3353.17</v>
      </c>
      <c r="Q816" s="13">
        <f>IF(N816="HKD",7.8,IF(N816="CNY",7.30034,1))</f>
        <v>7.3003400000000003</v>
      </c>
      <c r="R816" s="15">
        <f>+ROUND(O816/Q816,4)</f>
        <v>7.5300000000000006E-2</v>
      </c>
      <c r="S816" s="14">
        <f>ROUND(R816*L816,2)</f>
        <v>459.33</v>
      </c>
      <c r="T816" s="15" t="s">
        <v>349</v>
      </c>
      <c r="U816" t="s">
        <v>32</v>
      </c>
    </row>
    <row r="817" spans="1:21" x14ac:dyDescent="0.2">
      <c r="A817" t="s">
        <v>1895</v>
      </c>
      <c r="B817" s="24">
        <v>45713</v>
      </c>
      <c r="C817" s="24">
        <v>45671</v>
      </c>
      <c r="D817" t="s">
        <v>709</v>
      </c>
      <c r="E817" t="s">
        <v>710</v>
      </c>
      <c r="G817" t="s">
        <v>2159</v>
      </c>
      <c r="H817" s="19" t="s">
        <v>726</v>
      </c>
      <c r="I817" s="19" t="s">
        <v>727</v>
      </c>
      <c r="J817" s="11" t="str">
        <f>+LEFT(U817,4)</f>
        <v>KNOB</v>
      </c>
      <c r="K817" t="s">
        <v>10</v>
      </c>
      <c r="L817" s="19">
        <v>12300</v>
      </c>
      <c r="M817" t="s">
        <v>1472</v>
      </c>
      <c r="N817" t="s">
        <v>11</v>
      </c>
      <c r="O817" s="26">
        <v>0.54969999999999997</v>
      </c>
      <c r="P817" s="12">
        <f>ROUND(O817*L817,2)</f>
        <v>6761.31</v>
      </c>
      <c r="Q817" s="13">
        <f>IF(N817="HKD",7.8,IF(N817="CNY",7.30034,1))</f>
        <v>7.3003400000000003</v>
      </c>
      <c r="R817" s="15">
        <f>+ROUND(O817/Q817,4)</f>
        <v>7.5300000000000006E-2</v>
      </c>
      <c r="S817" s="14">
        <f>ROUND(R817*L817,2)</f>
        <v>926.19</v>
      </c>
      <c r="T817" s="15" t="s">
        <v>349</v>
      </c>
      <c r="U817" t="s">
        <v>32</v>
      </c>
    </row>
    <row r="818" spans="1:21" x14ac:dyDescent="0.2">
      <c r="A818" t="s">
        <v>1896</v>
      </c>
      <c r="B818" s="24">
        <v>45713</v>
      </c>
      <c r="C818" s="24">
        <v>45695</v>
      </c>
      <c r="D818" t="s">
        <v>709</v>
      </c>
      <c r="E818" t="s">
        <v>710</v>
      </c>
      <c r="G818" t="s">
        <v>2159</v>
      </c>
      <c r="H818" s="19" t="s">
        <v>726</v>
      </c>
      <c r="I818" s="19" t="s">
        <v>727</v>
      </c>
      <c r="J818" s="11" t="str">
        <f>+LEFT(U818,4)</f>
        <v>KNOB</v>
      </c>
      <c r="K818" t="s">
        <v>10</v>
      </c>
      <c r="L818" s="19">
        <v>10000</v>
      </c>
      <c r="M818" t="s">
        <v>1472</v>
      </c>
      <c r="N818" t="s">
        <v>11</v>
      </c>
      <c r="O818" s="26">
        <v>0.54969999999999997</v>
      </c>
      <c r="P818" s="12">
        <f>ROUND(O818*L818,2)</f>
        <v>5497</v>
      </c>
      <c r="Q818" s="13">
        <f>IF(N818="HKD",7.8,IF(N818="CNY",7.30034,1))</f>
        <v>7.3003400000000003</v>
      </c>
      <c r="R818" s="15">
        <f>+ROUND(O818/Q818,4)</f>
        <v>7.5300000000000006E-2</v>
      </c>
      <c r="S818" s="14">
        <f>ROUND(R818*L818,2)</f>
        <v>753</v>
      </c>
      <c r="T818" s="15" t="s">
        <v>349</v>
      </c>
      <c r="U818" t="s">
        <v>32</v>
      </c>
    </row>
    <row r="819" spans="1:21" x14ac:dyDescent="0.2">
      <c r="A819" t="s">
        <v>1900</v>
      </c>
      <c r="B819" s="24">
        <v>45713</v>
      </c>
      <c r="C819" s="24">
        <v>45695</v>
      </c>
      <c r="D819" t="s">
        <v>709</v>
      </c>
      <c r="E819" t="s">
        <v>710</v>
      </c>
      <c r="G819" t="s">
        <v>2160</v>
      </c>
      <c r="H819" s="19" t="s">
        <v>713</v>
      </c>
      <c r="I819" s="19" t="s">
        <v>714</v>
      </c>
      <c r="J819" s="11" t="str">
        <f>+LEFT(U819,4)</f>
        <v>KNOB</v>
      </c>
      <c r="K819" t="s">
        <v>10</v>
      </c>
      <c r="L819" s="19">
        <v>1700</v>
      </c>
      <c r="M819" t="s">
        <v>1472</v>
      </c>
      <c r="N819" t="s">
        <v>11</v>
      </c>
      <c r="O819" s="26">
        <v>0.61839999999999995</v>
      </c>
      <c r="P819" s="12">
        <f>ROUND(O819*L819,2)</f>
        <v>1051.28</v>
      </c>
      <c r="Q819" s="13">
        <f>IF(N819="HKD",7.8,IF(N819="CNY",7.30034,1))</f>
        <v>7.3003400000000003</v>
      </c>
      <c r="R819" s="15">
        <f>+ROUND(O819/Q819,4)</f>
        <v>8.4699999999999998E-2</v>
      </c>
      <c r="S819" s="14">
        <f>ROUND(R819*L819,2)</f>
        <v>143.99</v>
      </c>
      <c r="T819" s="15" t="s">
        <v>349</v>
      </c>
      <c r="U819" t="s">
        <v>32</v>
      </c>
    </row>
    <row r="820" spans="1:21" x14ac:dyDescent="0.2">
      <c r="A820" t="s">
        <v>1909</v>
      </c>
      <c r="B820" s="24">
        <v>45713</v>
      </c>
      <c r="C820" s="24">
        <v>45674</v>
      </c>
      <c r="D820" t="s">
        <v>709</v>
      </c>
      <c r="E820" t="s">
        <v>710</v>
      </c>
      <c r="G820" t="s">
        <v>2166</v>
      </c>
      <c r="H820" s="19" t="s">
        <v>1641</v>
      </c>
      <c r="I820" s="19" t="s">
        <v>1642</v>
      </c>
      <c r="J820" s="11" t="str">
        <f>+LEFT(U820,4)</f>
        <v>KNOB</v>
      </c>
      <c r="K820" t="s">
        <v>10</v>
      </c>
      <c r="L820" s="19">
        <v>600</v>
      </c>
      <c r="M820" t="s">
        <v>1472</v>
      </c>
      <c r="N820" t="s">
        <v>11</v>
      </c>
      <c r="O820" s="26">
        <v>0.89419999999999999</v>
      </c>
      <c r="P820" s="12">
        <f>ROUND(O820*L820,2)</f>
        <v>536.52</v>
      </c>
      <c r="Q820" s="13">
        <f>IF(N820="HKD",7.8,IF(N820="CNY",7.30034,1))</f>
        <v>7.3003400000000003</v>
      </c>
      <c r="R820" s="15">
        <f>+ROUND(O820/Q820,4)</f>
        <v>0.1225</v>
      </c>
      <c r="S820" s="14">
        <f>ROUND(R820*L820,2)</f>
        <v>73.5</v>
      </c>
      <c r="T820" s="15" t="s">
        <v>349</v>
      </c>
      <c r="U820" t="s">
        <v>32</v>
      </c>
    </row>
    <row r="821" spans="1:21" x14ac:dyDescent="0.2">
      <c r="A821" t="s">
        <v>1910</v>
      </c>
      <c r="B821" s="24">
        <v>45713</v>
      </c>
      <c r="C821" s="24">
        <v>45674</v>
      </c>
      <c r="D821" t="s">
        <v>709</v>
      </c>
      <c r="E821" t="s">
        <v>710</v>
      </c>
      <c r="G821" t="s">
        <v>2166</v>
      </c>
      <c r="H821" s="19" t="s">
        <v>1641</v>
      </c>
      <c r="I821" s="19" t="s">
        <v>1642</v>
      </c>
      <c r="J821" s="11" t="str">
        <f>+LEFT(U821,4)</f>
        <v>KNOB</v>
      </c>
      <c r="K821" t="s">
        <v>10</v>
      </c>
      <c r="L821" s="19">
        <v>200</v>
      </c>
      <c r="M821" t="s">
        <v>1472</v>
      </c>
      <c r="N821" t="s">
        <v>11</v>
      </c>
      <c r="O821" s="26">
        <v>0.89419999999999999</v>
      </c>
      <c r="P821" s="12">
        <f>ROUND(O821*L821,2)</f>
        <v>178.84</v>
      </c>
      <c r="Q821" s="13">
        <f>IF(N821="HKD",7.8,IF(N821="CNY",7.30034,1))</f>
        <v>7.3003400000000003</v>
      </c>
      <c r="R821" s="15">
        <f>+ROUND(O821/Q821,4)</f>
        <v>0.1225</v>
      </c>
      <c r="S821" s="14">
        <f>ROUND(R821*L821,2)</f>
        <v>24.5</v>
      </c>
      <c r="T821" s="15" t="s">
        <v>349</v>
      </c>
      <c r="U821" t="s">
        <v>32</v>
      </c>
    </row>
    <row r="822" spans="1:21" x14ac:dyDescent="0.2">
      <c r="A822" t="s">
        <v>1915</v>
      </c>
      <c r="B822" s="24">
        <v>45713</v>
      </c>
      <c r="C822" s="24">
        <v>45674</v>
      </c>
      <c r="D822" t="s">
        <v>709</v>
      </c>
      <c r="E822" t="s">
        <v>710</v>
      </c>
      <c r="G822" t="s">
        <v>2166</v>
      </c>
      <c r="H822" s="19" t="s">
        <v>1647</v>
      </c>
      <c r="I822" s="19" t="s">
        <v>1648</v>
      </c>
      <c r="J822" s="11" t="str">
        <f>+LEFT(U822,4)</f>
        <v>KNOB</v>
      </c>
      <c r="K822" t="s">
        <v>10</v>
      </c>
      <c r="L822" s="19">
        <v>510</v>
      </c>
      <c r="M822" t="s">
        <v>1472</v>
      </c>
      <c r="N822" t="s">
        <v>11</v>
      </c>
      <c r="O822" s="26">
        <v>1.0902000000000001</v>
      </c>
      <c r="P822" s="12">
        <f>ROUND(O822*L822,2)</f>
        <v>556</v>
      </c>
      <c r="Q822" s="13">
        <f>IF(N822="HKD",7.8,IF(N822="CNY",7.30034,1))</f>
        <v>7.3003400000000003</v>
      </c>
      <c r="R822" s="15">
        <f>+ROUND(O822/Q822,4)</f>
        <v>0.14929999999999999</v>
      </c>
      <c r="S822" s="14">
        <f>ROUND(R822*L822,2)</f>
        <v>76.14</v>
      </c>
      <c r="T822" s="15" t="s">
        <v>349</v>
      </c>
      <c r="U822" t="s">
        <v>32</v>
      </c>
    </row>
    <row r="823" spans="1:21" x14ac:dyDescent="0.2">
      <c r="A823" t="s">
        <v>2806</v>
      </c>
      <c r="B823" s="24">
        <v>45737</v>
      </c>
      <c r="C823" s="24">
        <v>45736</v>
      </c>
      <c r="D823" t="s">
        <v>149</v>
      </c>
      <c r="E823" t="s">
        <v>150</v>
      </c>
      <c r="G823" t="s">
        <v>3053</v>
      </c>
      <c r="H823" t="s">
        <v>157</v>
      </c>
      <c r="I823" t="s">
        <v>158</v>
      </c>
      <c r="J823" s="11" t="str">
        <f>+LEFT(U823,4)</f>
        <v>GLID</v>
      </c>
      <c r="K823" t="s">
        <v>10</v>
      </c>
      <c r="L823">
        <v>1300</v>
      </c>
      <c r="M823" t="s">
        <v>1472</v>
      </c>
      <c r="N823" t="s">
        <v>11</v>
      </c>
      <c r="O823">
        <v>3.3437000000000001</v>
      </c>
      <c r="P823" s="12">
        <f>ROUND(O823*L823,2)</f>
        <v>4346.8100000000004</v>
      </c>
      <c r="Q823" s="13">
        <f>IF(N823="HKD",7.8,IF(N823="CNY",7.30034,1))</f>
        <v>7.3003400000000003</v>
      </c>
      <c r="R823" s="15">
        <f>+ROUND(O823/Q823,4)</f>
        <v>0.45800000000000002</v>
      </c>
      <c r="S823" s="14">
        <f>ROUND(R823*L823,2)</f>
        <v>595.4</v>
      </c>
      <c r="T823" s="15" t="s">
        <v>349</v>
      </c>
      <c r="U823" t="s">
        <v>78</v>
      </c>
    </row>
    <row r="824" spans="1:21" x14ac:dyDescent="0.2">
      <c r="A824" t="s">
        <v>2280</v>
      </c>
      <c r="B824" s="24">
        <v>45719</v>
      </c>
      <c r="C824" s="24">
        <v>45576</v>
      </c>
      <c r="D824" t="s">
        <v>94</v>
      </c>
      <c r="E824" t="s">
        <v>95</v>
      </c>
      <c r="G824" t="s">
        <v>2847</v>
      </c>
      <c r="H824" t="s">
        <v>3061</v>
      </c>
      <c r="I824" t="s">
        <v>3277</v>
      </c>
      <c r="J824" s="11" t="str">
        <f>+LEFT(U824,4)</f>
        <v>LID-</v>
      </c>
      <c r="K824" t="s">
        <v>98</v>
      </c>
      <c r="L824">
        <v>1420</v>
      </c>
      <c r="M824" t="s">
        <v>1472</v>
      </c>
      <c r="N824" t="s">
        <v>11</v>
      </c>
      <c r="O824">
        <v>3.4</v>
      </c>
      <c r="P824" s="12">
        <f>ROUND(O824*L824,2)</f>
        <v>4828</v>
      </c>
      <c r="Q824" s="13">
        <f>IF(N824="HKD",7.8,IF(N824="CNY",7.30034,1))</f>
        <v>7.3003400000000003</v>
      </c>
      <c r="R824" s="15">
        <f>+ROUND(O824/Q824,4)</f>
        <v>0.4657</v>
      </c>
      <c r="S824" s="14">
        <f>ROUND(R824*L824,2)</f>
        <v>661.29</v>
      </c>
      <c r="T824" s="15" t="s">
        <v>349</v>
      </c>
      <c r="U824" t="s">
        <v>368</v>
      </c>
    </row>
    <row r="825" spans="1:21" x14ac:dyDescent="0.2">
      <c r="A825" t="s">
        <v>2019</v>
      </c>
      <c r="B825" s="24">
        <v>45721</v>
      </c>
      <c r="C825" s="24">
        <v>45700</v>
      </c>
      <c r="D825" t="s">
        <v>94</v>
      </c>
      <c r="E825" t="s">
        <v>95</v>
      </c>
      <c r="G825" t="s">
        <v>2880</v>
      </c>
      <c r="H825" t="s">
        <v>1001</v>
      </c>
      <c r="I825" t="s">
        <v>1002</v>
      </c>
      <c r="J825" s="11" t="str">
        <f>+LEFT(U825,4)</f>
        <v>LID-</v>
      </c>
      <c r="K825" t="s">
        <v>3481</v>
      </c>
      <c r="L825">
        <v>699</v>
      </c>
      <c r="M825" t="s">
        <v>1472</v>
      </c>
      <c r="N825" t="s">
        <v>11</v>
      </c>
      <c r="O825">
        <v>3.42</v>
      </c>
      <c r="P825" s="12">
        <f>ROUND(O825*L825,2)</f>
        <v>2390.58</v>
      </c>
      <c r="Q825" s="13">
        <f>IF(N825="HKD",7.8,IF(N825="CNY",7.30034,1))</f>
        <v>7.3003400000000003</v>
      </c>
      <c r="R825" s="15">
        <f>+ROUND(O825/Q825,4)</f>
        <v>0.46850000000000003</v>
      </c>
      <c r="S825" s="14">
        <f>ROUND(R825*L825,2)</f>
        <v>327.48</v>
      </c>
      <c r="T825" s="15" t="s">
        <v>349</v>
      </c>
      <c r="U825" t="s">
        <v>368</v>
      </c>
    </row>
    <row r="826" spans="1:21" x14ac:dyDescent="0.2">
      <c r="A826" t="s">
        <v>2407</v>
      </c>
      <c r="B826" s="24">
        <v>45721</v>
      </c>
      <c r="C826" s="24">
        <v>45700</v>
      </c>
      <c r="D826" t="s">
        <v>94</v>
      </c>
      <c r="E826" t="s">
        <v>95</v>
      </c>
      <c r="G826" t="s">
        <v>2880</v>
      </c>
      <c r="H826" t="s">
        <v>1001</v>
      </c>
      <c r="I826" t="s">
        <v>1002</v>
      </c>
      <c r="J826" s="11" t="str">
        <f>+LEFT(U826,4)</f>
        <v>LID-</v>
      </c>
      <c r="K826" t="s">
        <v>3481</v>
      </c>
      <c r="L826">
        <v>981</v>
      </c>
      <c r="M826" t="s">
        <v>1472</v>
      </c>
      <c r="N826" t="s">
        <v>11</v>
      </c>
      <c r="O826">
        <v>3.42</v>
      </c>
      <c r="P826" s="12">
        <f>ROUND(O826*L826,2)</f>
        <v>3355.02</v>
      </c>
      <c r="Q826" s="13">
        <f>IF(N826="HKD",7.8,IF(N826="CNY",7.30034,1))</f>
        <v>7.3003400000000003</v>
      </c>
      <c r="R826" s="15">
        <f>+ROUND(O826/Q826,4)</f>
        <v>0.46850000000000003</v>
      </c>
      <c r="S826" s="14">
        <f>ROUND(R826*L826,2)</f>
        <v>459.6</v>
      </c>
      <c r="T826" s="15" t="s">
        <v>349</v>
      </c>
      <c r="U826" t="s">
        <v>368</v>
      </c>
    </row>
    <row r="827" spans="1:21" x14ac:dyDescent="0.2">
      <c r="A827" t="s">
        <v>2322</v>
      </c>
      <c r="B827" s="24">
        <v>45722</v>
      </c>
      <c r="C827" s="24">
        <v>45664</v>
      </c>
      <c r="D827" t="s">
        <v>94</v>
      </c>
      <c r="E827" t="s">
        <v>95</v>
      </c>
      <c r="G827" t="s">
        <v>2860</v>
      </c>
      <c r="H827" t="s">
        <v>1001</v>
      </c>
      <c r="I827" t="s">
        <v>1002</v>
      </c>
      <c r="J827" s="11" t="str">
        <f>+LEFT(U827,4)</f>
        <v>LID-</v>
      </c>
      <c r="K827" t="s">
        <v>3481</v>
      </c>
      <c r="L827">
        <v>1022</v>
      </c>
      <c r="M827" t="s">
        <v>1472</v>
      </c>
      <c r="N827" t="s">
        <v>11</v>
      </c>
      <c r="O827">
        <v>3.42</v>
      </c>
      <c r="P827" s="12">
        <f>ROUND(O827*L827,2)</f>
        <v>3495.24</v>
      </c>
      <c r="Q827" s="13">
        <f>IF(N827="HKD",7.8,IF(N827="CNY",7.30034,1))</f>
        <v>7.3003400000000003</v>
      </c>
      <c r="R827" s="15">
        <f>+ROUND(O827/Q827,4)</f>
        <v>0.46850000000000003</v>
      </c>
      <c r="S827" s="14">
        <f>ROUND(R827*L827,2)</f>
        <v>478.81</v>
      </c>
      <c r="T827" s="15" t="s">
        <v>349</v>
      </c>
      <c r="U827" t="s">
        <v>368</v>
      </c>
    </row>
    <row r="828" spans="1:21" x14ac:dyDescent="0.2">
      <c r="A828" t="s">
        <v>2407</v>
      </c>
      <c r="B828" s="24">
        <v>45722</v>
      </c>
      <c r="C828" s="24">
        <v>45700</v>
      </c>
      <c r="D828" t="s">
        <v>94</v>
      </c>
      <c r="E828" t="s">
        <v>95</v>
      </c>
      <c r="G828" t="s">
        <v>2860</v>
      </c>
      <c r="H828" t="s">
        <v>1001</v>
      </c>
      <c r="I828" t="s">
        <v>1002</v>
      </c>
      <c r="J828" s="11" t="str">
        <f>+LEFT(U828,4)</f>
        <v>LID-</v>
      </c>
      <c r="K828" t="s">
        <v>3481</v>
      </c>
      <c r="L828">
        <v>49</v>
      </c>
      <c r="M828" t="s">
        <v>1472</v>
      </c>
      <c r="N828" t="s">
        <v>11</v>
      </c>
      <c r="O828">
        <v>3.42</v>
      </c>
      <c r="P828" s="12">
        <f>ROUND(O828*L828,2)</f>
        <v>167.58</v>
      </c>
      <c r="Q828" s="13">
        <f>IF(N828="HKD",7.8,IF(N828="CNY",7.30034,1))</f>
        <v>7.3003400000000003</v>
      </c>
      <c r="R828" s="15">
        <f>+ROUND(O828/Q828,4)</f>
        <v>0.46850000000000003</v>
      </c>
      <c r="S828" s="14">
        <f>ROUND(R828*L828,2)</f>
        <v>22.96</v>
      </c>
      <c r="T828" s="15" t="s">
        <v>349</v>
      </c>
      <c r="U828" t="s">
        <v>368</v>
      </c>
    </row>
    <row r="829" spans="1:21" x14ac:dyDescent="0.2">
      <c r="A829" t="s">
        <v>2530</v>
      </c>
      <c r="B829" s="24">
        <v>45737</v>
      </c>
      <c r="C829" s="24">
        <v>45713</v>
      </c>
      <c r="D829" t="s">
        <v>569</v>
      </c>
      <c r="E829" t="s">
        <v>570</v>
      </c>
      <c r="G829" t="s">
        <v>2871</v>
      </c>
      <c r="H829" t="s">
        <v>1513</v>
      </c>
      <c r="I829" t="s">
        <v>1514</v>
      </c>
      <c r="J829" s="11" t="s">
        <v>1505</v>
      </c>
      <c r="K829" t="s">
        <v>10</v>
      </c>
      <c r="L829">
        <v>1000</v>
      </c>
      <c r="M829" t="s">
        <v>1472</v>
      </c>
      <c r="N829" t="s">
        <v>11</v>
      </c>
      <c r="O829">
        <v>3.5</v>
      </c>
      <c r="P829" s="12">
        <f>ROUND(O829*L829,2)</f>
        <v>3500</v>
      </c>
      <c r="Q829" s="13">
        <f>IF(N829="HKD",7.8,IF(N829="CNY",7.30034,1))</f>
        <v>7.3003400000000003</v>
      </c>
      <c r="R829" s="15">
        <f>+ROUND(O829/Q829,4)</f>
        <v>0.47939999999999999</v>
      </c>
      <c r="S829" s="14">
        <f>ROUND(R829*L829,2)</f>
        <v>479.4</v>
      </c>
      <c r="T829" s="15" t="s">
        <v>349</v>
      </c>
      <c r="U829" t="s">
        <v>36</v>
      </c>
    </row>
    <row r="830" spans="1:21" x14ac:dyDescent="0.2">
      <c r="A830" t="s">
        <v>2285</v>
      </c>
      <c r="B830" s="24">
        <v>45719</v>
      </c>
      <c r="C830" s="24">
        <v>45611</v>
      </c>
      <c r="D830" t="s">
        <v>94</v>
      </c>
      <c r="E830" t="s">
        <v>95</v>
      </c>
      <c r="G830" t="s">
        <v>2847</v>
      </c>
      <c r="H830" t="s">
        <v>3062</v>
      </c>
      <c r="I830" t="s">
        <v>3278</v>
      </c>
      <c r="J830" s="11" t="str">
        <f>+LEFT(U830,4)</f>
        <v>LID-</v>
      </c>
      <c r="K830" t="s">
        <v>98</v>
      </c>
      <c r="L830">
        <v>1010</v>
      </c>
      <c r="M830" t="s">
        <v>1472</v>
      </c>
      <c r="N830" t="s">
        <v>11</v>
      </c>
      <c r="O830">
        <v>3.5</v>
      </c>
      <c r="P830" s="12">
        <f>ROUND(O830*L830,2)</f>
        <v>3535</v>
      </c>
      <c r="Q830" s="13">
        <f>IF(N830="HKD",7.8,IF(N830="CNY",7.30034,1))</f>
        <v>7.3003400000000003</v>
      </c>
      <c r="R830" s="15">
        <f>+ROUND(O830/Q830,4)</f>
        <v>0.47939999999999999</v>
      </c>
      <c r="S830" s="14">
        <f>ROUND(R830*L830,2)</f>
        <v>484.19</v>
      </c>
      <c r="T830" s="15" t="s">
        <v>349</v>
      </c>
      <c r="U830" t="s">
        <v>368</v>
      </c>
    </row>
    <row r="831" spans="1:21" x14ac:dyDescent="0.2">
      <c r="A831" t="s">
        <v>2281</v>
      </c>
      <c r="B831" s="24">
        <v>45726</v>
      </c>
      <c r="C831" s="24">
        <v>45576</v>
      </c>
      <c r="D831" t="s">
        <v>94</v>
      </c>
      <c r="E831" t="s">
        <v>95</v>
      </c>
      <c r="G831" t="s">
        <v>2848</v>
      </c>
      <c r="H831" t="s">
        <v>3062</v>
      </c>
      <c r="I831" t="s">
        <v>3278</v>
      </c>
      <c r="J831" s="11" t="str">
        <f>+LEFT(U831,4)</f>
        <v>LID-</v>
      </c>
      <c r="K831" t="s">
        <v>98</v>
      </c>
      <c r="L831">
        <v>1010</v>
      </c>
      <c r="M831" t="s">
        <v>1472</v>
      </c>
      <c r="N831" t="s">
        <v>11</v>
      </c>
      <c r="O831">
        <v>3.5</v>
      </c>
      <c r="P831" s="12">
        <f>ROUND(O831*L831,2)</f>
        <v>3535</v>
      </c>
      <c r="Q831" s="13">
        <f>IF(N831="HKD",7.8,IF(N831="CNY",7.30034,1))</f>
        <v>7.3003400000000003</v>
      </c>
      <c r="R831" s="15">
        <f>+ROUND(O831/Q831,4)</f>
        <v>0.47939999999999999</v>
      </c>
      <c r="S831" s="14">
        <f>ROUND(R831*L831,2)</f>
        <v>484.19</v>
      </c>
      <c r="T831" s="15" t="s">
        <v>349</v>
      </c>
      <c r="U831" t="s">
        <v>368</v>
      </c>
    </row>
    <row r="832" spans="1:21" x14ac:dyDescent="0.2">
      <c r="A832" t="s">
        <v>2420</v>
      </c>
      <c r="B832" s="24">
        <v>45741</v>
      </c>
      <c r="C832" s="24">
        <v>45702</v>
      </c>
      <c r="D832" t="s">
        <v>709</v>
      </c>
      <c r="E832" t="s">
        <v>710</v>
      </c>
      <c r="G832" t="s">
        <v>2930</v>
      </c>
      <c r="H832" t="s">
        <v>3111</v>
      </c>
      <c r="I832" t="s">
        <v>3326</v>
      </c>
      <c r="J832" s="11" t="str">
        <f>+LEFT(U832,4)</f>
        <v>SHDL</v>
      </c>
      <c r="K832" t="s">
        <v>10</v>
      </c>
      <c r="L832">
        <v>2060</v>
      </c>
      <c r="M832" t="s">
        <v>1472</v>
      </c>
      <c r="N832" t="s">
        <v>11</v>
      </c>
      <c r="O832">
        <v>3.5226999999999999</v>
      </c>
      <c r="P832" s="12">
        <f>ROUND(O832*L832,2)</f>
        <v>7256.76</v>
      </c>
      <c r="Q832" s="13">
        <f>IF(N832="HKD",7.8,IF(N832="CNY",7.30034,1))</f>
        <v>7.3003400000000003</v>
      </c>
      <c r="R832" s="15">
        <f>+ROUND(O832/Q832,4)</f>
        <v>0.48249999999999998</v>
      </c>
      <c r="S832" s="14">
        <f>ROUND(R832*L832,2)</f>
        <v>993.95</v>
      </c>
      <c r="T832" s="15" t="s">
        <v>349</v>
      </c>
      <c r="U832" t="s">
        <v>722</v>
      </c>
    </row>
    <row r="833" spans="1:21" x14ac:dyDescent="0.2">
      <c r="A833" t="s">
        <v>2406</v>
      </c>
      <c r="B833" s="24">
        <v>45719</v>
      </c>
      <c r="C833" s="24">
        <v>45700</v>
      </c>
      <c r="D833" t="s">
        <v>94</v>
      </c>
      <c r="E833" t="s">
        <v>95</v>
      </c>
      <c r="G833" t="s">
        <v>2847</v>
      </c>
      <c r="H833" t="s">
        <v>1734</v>
      </c>
      <c r="I833" t="s">
        <v>1735</v>
      </c>
      <c r="J833" s="11" t="str">
        <f>+LEFT(U833,4)</f>
        <v>LID-</v>
      </c>
      <c r="K833" t="s">
        <v>3481</v>
      </c>
      <c r="L833">
        <v>1680</v>
      </c>
      <c r="M833" t="s">
        <v>1472</v>
      </c>
      <c r="N833" t="s">
        <v>11</v>
      </c>
      <c r="O833">
        <v>3.53</v>
      </c>
      <c r="P833" s="12">
        <f>ROUND(O833*L833,2)</f>
        <v>5930.4</v>
      </c>
      <c r="Q833" s="13">
        <f>IF(N833="HKD",7.8,IF(N833="CNY",7.30034,1))</f>
        <v>7.3003400000000003</v>
      </c>
      <c r="R833" s="15">
        <f>+ROUND(O833/Q833,4)</f>
        <v>0.48349999999999999</v>
      </c>
      <c r="S833" s="14">
        <f>ROUND(R833*L833,2)</f>
        <v>812.28</v>
      </c>
      <c r="T833" s="15" t="s">
        <v>349</v>
      </c>
      <c r="U833" t="s">
        <v>368</v>
      </c>
    </row>
    <row r="834" spans="1:21" x14ac:dyDescent="0.2">
      <c r="A834" t="s">
        <v>2323</v>
      </c>
      <c r="B834" s="24">
        <v>45720</v>
      </c>
      <c r="C834" s="24">
        <v>45664</v>
      </c>
      <c r="D834" t="s">
        <v>94</v>
      </c>
      <c r="E834" t="s">
        <v>95</v>
      </c>
      <c r="G834" t="s">
        <v>2846</v>
      </c>
      <c r="H834" t="s">
        <v>1734</v>
      </c>
      <c r="I834" t="s">
        <v>1735</v>
      </c>
      <c r="J834" s="11" t="str">
        <f>+LEFT(U834,4)</f>
        <v>LID-</v>
      </c>
      <c r="K834" t="s">
        <v>3481</v>
      </c>
      <c r="L834">
        <v>270</v>
      </c>
      <c r="M834" t="s">
        <v>1472</v>
      </c>
      <c r="N834" t="s">
        <v>11</v>
      </c>
      <c r="O834">
        <v>3.53</v>
      </c>
      <c r="P834" s="12">
        <f>ROUND(O834*L834,2)</f>
        <v>953.1</v>
      </c>
      <c r="Q834" s="13">
        <f>IF(N834="HKD",7.8,IF(N834="CNY",7.30034,1))</f>
        <v>7.3003400000000003</v>
      </c>
      <c r="R834" s="15">
        <f>+ROUND(O834/Q834,4)</f>
        <v>0.48349999999999999</v>
      </c>
      <c r="S834" s="14">
        <f>ROUND(R834*L834,2)</f>
        <v>130.55000000000001</v>
      </c>
      <c r="T834" s="15" t="s">
        <v>349</v>
      </c>
      <c r="U834" t="s">
        <v>368</v>
      </c>
    </row>
    <row r="835" spans="1:21" x14ac:dyDescent="0.2">
      <c r="A835" t="s">
        <v>2406</v>
      </c>
      <c r="B835" s="24">
        <v>45720</v>
      </c>
      <c r="C835" s="24">
        <v>45700</v>
      </c>
      <c r="D835" t="s">
        <v>94</v>
      </c>
      <c r="E835" t="s">
        <v>95</v>
      </c>
      <c r="G835" t="s">
        <v>2846</v>
      </c>
      <c r="H835" t="s">
        <v>1734</v>
      </c>
      <c r="I835" t="s">
        <v>1735</v>
      </c>
      <c r="J835" s="11" t="str">
        <f>+LEFT(U835,4)</f>
        <v>LID-</v>
      </c>
      <c r="K835" t="s">
        <v>3481</v>
      </c>
      <c r="L835">
        <v>380</v>
      </c>
      <c r="M835" t="s">
        <v>1472</v>
      </c>
      <c r="N835" t="s">
        <v>11</v>
      </c>
      <c r="O835">
        <v>3.53</v>
      </c>
      <c r="P835" s="12">
        <f>ROUND(O835*L835,2)</f>
        <v>1341.4</v>
      </c>
      <c r="Q835" s="13">
        <f>IF(N835="HKD",7.8,IF(N835="CNY",7.30034,1))</f>
        <v>7.3003400000000003</v>
      </c>
      <c r="R835" s="15">
        <f>+ROUND(O835/Q835,4)</f>
        <v>0.48349999999999999</v>
      </c>
      <c r="S835" s="14">
        <f>ROUND(R835*L835,2)</f>
        <v>183.73</v>
      </c>
      <c r="T835" s="15" t="s">
        <v>349</v>
      </c>
      <c r="U835" t="s">
        <v>368</v>
      </c>
    </row>
    <row r="836" spans="1:21" x14ac:dyDescent="0.2">
      <c r="A836" t="s">
        <v>2408</v>
      </c>
      <c r="B836" s="24">
        <v>45720</v>
      </c>
      <c r="C836" s="24">
        <v>45700</v>
      </c>
      <c r="D836" t="s">
        <v>94</v>
      </c>
      <c r="E836" t="s">
        <v>95</v>
      </c>
      <c r="G836" t="s">
        <v>2846</v>
      </c>
      <c r="H836" t="s">
        <v>1734</v>
      </c>
      <c r="I836" t="s">
        <v>1735</v>
      </c>
      <c r="J836" s="11" t="str">
        <f>+LEFT(U836,4)</f>
        <v>LID-</v>
      </c>
      <c r="K836" t="s">
        <v>3481</v>
      </c>
      <c r="L836">
        <v>1030</v>
      </c>
      <c r="M836" t="s">
        <v>1472</v>
      </c>
      <c r="N836" t="s">
        <v>11</v>
      </c>
      <c r="O836">
        <v>3.53</v>
      </c>
      <c r="P836" s="12">
        <f>ROUND(O836*L836,2)</f>
        <v>3635.9</v>
      </c>
      <c r="Q836" s="13">
        <f>IF(N836="HKD",7.8,IF(N836="CNY",7.30034,1))</f>
        <v>7.3003400000000003</v>
      </c>
      <c r="R836" s="15">
        <f>+ROUND(O836/Q836,4)</f>
        <v>0.48349999999999999</v>
      </c>
      <c r="S836" s="14">
        <f>ROUND(R836*L836,2)</f>
        <v>498.01</v>
      </c>
      <c r="T836" s="15" t="s">
        <v>349</v>
      </c>
      <c r="U836" t="s">
        <v>368</v>
      </c>
    </row>
    <row r="837" spans="1:21" x14ac:dyDescent="0.2">
      <c r="A837" t="s">
        <v>2323</v>
      </c>
      <c r="B837" s="24">
        <v>45721</v>
      </c>
      <c r="C837" s="24">
        <v>45664</v>
      </c>
      <c r="D837" t="s">
        <v>94</v>
      </c>
      <c r="E837" t="s">
        <v>95</v>
      </c>
      <c r="G837" t="s">
        <v>2880</v>
      </c>
      <c r="H837" t="s">
        <v>1734</v>
      </c>
      <c r="I837" t="s">
        <v>1735</v>
      </c>
      <c r="J837" s="11" t="str">
        <f>+LEFT(U837,4)</f>
        <v>LID-</v>
      </c>
      <c r="K837" t="s">
        <v>3481</v>
      </c>
      <c r="L837">
        <v>1742</v>
      </c>
      <c r="M837" t="s">
        <v>1472</v>
      </c>
      <c r="N837" t="s">
        <v>11</v>
      </c>
      <c r="O837">
        <v>3.53</v>
      </c>
      <c r="P837" s="12">
        <f>ROUND(O837*L837,2)</f>
        <v>6149.26</v>
      </c>
      <c r="Q837" s="13">
        <f>IF(N837="HKD",7.8,IF(N837="CNY",7.30034,1))</f>
        <v>7.3003400000000003</v>
      </c>
      <c r="R837" s="15">
        <f>+ROUND(O837/Q837,4)</f>
        <v>0.48349999999999999</v>
      </c>
      <c r="S837" s="14">
        <f>ROUND(R837*L837,2)</f>
        <v>842.26</v>
      </c>
      <c r="T837" s="15" t="s">
        <v>349</v>
      </c>
      <c r="U837" t="s">
        <v>368</v>
      </c>
    </row>
    <row r="838" spans="1:21" x14ac:dyDescent="0.2">
      <c r="A838" t="s">
        <v>2022</v>
      </c>
      <c r="B838" s="24">
        <v>45721</v>
      </c>
      <c r="C838" s="24">
        <v>45671</v>
      </c>
      <c r="D838" t="s">
        <v>121</v>
      </c>
      <c r="E838" t="s">
        <v>122</v>
      </c>
      <c r="G838" t="s">
        <v>2885</v>
      </c>
      <c r="H838" t="s">
        <v>357</v>
      </c>
      <c r="I838" t="s">
        <v>358</v>
      </c>
      <c r="J838" s="11" t="str">
        <f>+LEFT(U838,4)</f>
        <v>HDL-</v>
      </c>
      <c r="K838" t="s">
        <v>10</v>
      </c>
      <c r="L838">
        <v>1845</v>
      </c>
      <c r="M838" t="s">
        <v>1472</v>
      </c>
      <c r="N838" t="s">
        <v>11</v>
      </c>
      <c r="O838">
        <v>3.5398000000000001</v>
      </c>
      <c r="P838" s="12">
        <f>ROUND(O838*L838,2)</f>
        <v>6530.93</v>
      </c>
      <c r="Q838" s="13">
        <f>IF(N838="HKD",7.8,IF(N838="CNY",7.30034,1))</f>
        <v>7.3003400000000003</v>
      </c>
      <c r="R838" s="15">
        <f>+ROUND(O838/Q838,4)</f>
        <v>0.4849</v>
      </c>
      <c r="S838" s="14">
        <f>ROUND(R838*L838,2)</f>
        <v>894.64</v>
      </c>
      <c r="T838" s="15" t="s">
        <v>349</v>
      </c>
      <c r="U838" t="s">
        <v>228</v>
      </c>
    </row>
    <row r="839" spans="1:21" x14ac:dyDescent="0.2">
      <c r="A839" t="s">
        <v>2588</v>
      </c>
      <c r="B839" s="24">
        <v>45740</v>
      </c>
      <c r="C839" s="24">
        <v>45716</v>
      </c>
      <c r="D839" t="s">
        <v>187</v>
      </c>
      <c r="E839" t="s">
        <v>188</v>
      </c>
      <c r="G839" t="s">
        <v>3006</v>
      </c>
      <c r="H839" t="s">
        <v>3190</v>
      </c>
      <c r="I839" t="s">
        <v>3397</v>
      </c>
      <c r="J839" s="11" t="str">
        <f>+LEFT(U839,4)</f>
        <v>ALM-</v>
      </c>
      <c r="K839" t="s">
        <v>98</v>
      </c>
      <c r="L839">
        <v>140</v>
      </c>
      <c r="M839" t="s">
        <v>186</v>
      </c>
      <c r="N839" t="s">
        <v>11</v>
      </c>
      <c r="O839">
        <v>3.6282999999999999</v>
      </c>
      <c r="P839" s="12">
        <f>ROUND(O839*L839,2)</f>
        <v>507.96</v>
      </c>
      <c r="Q839" s="13">
        <f>IF(N839="HKD",7.8,IF(N839="CNY",7.30034,1))</f>
        <v>7.3003400000000003</v>
      </c>
      <c r="R839" s="15">
        <f>+ROUND(O839/Q839,4)</f>
        <v>0.497</v>
      </c>
      <c r="S839" s="14">
        <f>ROUND(R839*L839,2)</f>
        <v>69.58</v>
      </c>
      <c r="T839" s="15" t="s">
        <v>349</v>
      </c>
      <c r="U839" t="s">
        <v>191</v>
      </c>
    </row>
    <row r="840" spans="1:21" x14ac:dyDescent="0.2">
      <c r="A840" t="s">
        <v>2592</v>
      </c>
      <c r="B840" s="24">
        <v>45740</v>
      </c>
      <c r="C840" s="24">
        <v>45716</v>
      </c>
      <c r="D840" t="s">
        <v>187</v>
      </c>
      <c r="E840" t="s">
        <v>188</v>
      </c>
      <c r="G840" t="s">
        <v>3006</v>
      </c>
      <c r="H840" t="s">
        <v>1226</v>
      </c>
      <c r="I840" t="s">
        <v>1227</v>
      </c>
      <c r="J840" s="11" t="str">
        <f>+LEFT(U840,4)</f>
        <v>ALM-</v>
      </c>
      <c r="K840" t="s">
        <v>98</v>
      </c>
      <c r="L840">
        <v>120</v>
      </c>
      <c r="M840" t="s">
        <v>186</v>
      </c>
      <c r="N840" t="s">
        <v>11</v>
      </c>
      <c r="O840">
        <v>3.6282999999999999</v>
      </c>
      <c r="P840" s="12">
        <f>ROUND(O840*L840,2)</f>
        <v>435.4</v>
      </c>
      <c r="Q840" s="13">
        <f>IF(N840="HKD",7.8,IF(N840="CNY",7.30034,1))</f>
        <v>7.3003400000000003</v>
      </c>
      <c r="R840" s="15">
        <f>+ROUND(O840/Q840,4)</f>
        <v>0.497</v>
      </c>
      <c r="S840" s="14">
        <f>ROUND(R840*L840,2)</f>
        <v>59.64</v>
      </c>
      <c r="T840" s="15" t="s">
        <v>349</v>
      </c>
      <c r="U840" t="s">
        <v>191</v>
      </c>
    </row>
    <row r="841" spans="1:21" x14ac:dyDescent="0.2">
      <c r="A841" t="s">
        <v>2653</v>
      </c>
      <c r="B841" s="24">
        <v>45740</v>
      </c>
      <c r="C841" s="24">
        <v>45722</v>
      </c>
      <c r="D841" t="s">
        <v>187</v>
      </c>
      <c r="E841" t="s">
        <v>188</v>
      </c>
      <c r="G841" t="s">
        <v>3006</v>
      </c>
      <c r="H841" t="s">
        <v>1223</v>
      </c>
      <c r="I841" t="s">
        <v>1224</v>
      </c>
      <c r="J841" s="11" t="str">
        <f>+LEFT(U841,4)</f>
        <v>ALM-</v>
      </c>
      <c r="K841" t="s">
        <v>98</v>
      </c>
      <c r="L841">
        <v>50</v>
      </c>
      <c r="M841" t="s">
        <v>186</v>
      </c>
      <c r="N841" t="s">
        <v>11</v>
      </c>
      <c r="O841">
        <v>3.6282999999999999</v>
      </c>
      <c r="P841" s="12">
        <f>ROUND(O841*L841,2)</f>
        <v>181.42</v>
      </c>
      <c r="Q841" s="13">
        <f>IF(N841="HKD",7.8,IF(N841="CNY",7.30034,1))</f>
        <v>7.3003400000000003</v>
      </c>
      <c r="R841" s="15">
        <f>+ROUND(O841/Q841,4)</f>
        <v>0.497</v>
      </c>
      <c r="S841" s="14">
        <f>ROUND(R841*L841,2)</f>
        <v>24.85</v>
      </c>
      <c r="T841" s="15" t="s">
        <v>349</v>
      </c>
      <c r="U841" t="s">
        <v>191</v>
      </c>
    </row>
    <row r="842" spans="1:21" x14ac:dyDescent="0.2">
      <c r="A842" s="19" t="s">
        <v>628</v>
      </c>
      <c r="B842" s="20">
        <v>45670</v>
      </c>
      <c r="C842" s="20">
        <v>45638</v>
      </c>
      <c r="D842" s="19" t="s">
        <v>169</v>
      </c>
      <c r="E842" s="19" t="s">
        <v>170</v>
      </c>
      <c r="G842" s="19" t="s">
        <v>629</v>
      </c>
      <c r="H842" s="19" t="s">
        <v>626</v>
      </c>
      <c r="I842" s="19" t="s">
        <v>627</v>
      </c>
      <c r="J842" s="11" t="str">
        <f>+LEFT(U842,4)</f>
        <v>LABL</v>
      </c>
      <c r="K842" s="19" t="s">
        <v>10</v>
      </c>
      <c r="L842" s="19">
        <v>1010</v>
      </c>
      <c r="M842" s="19" t="s">
        <v>1472</v>
      </c>
      <c r="N842" s="19" t="s">
        <v>11</v>
      </c>
      <c r="O842" s="26">
        <v>0.68</v>
      </c>
      <c r="P842" s="12">
        <f>ROUND(O842*L842,2)</f>
        <v>686.8</v>
      </c>
      <c r="Q842" s="13">
        <f>IF(N842="HKD",7.8,IF(N842="CNY",7.30034,1))</f>
        <v>7.3003400000000003</v>
      </c>
      <c r="R842" s="15">
        <f>+ROUND(O842/Q842,4)</f>
        <v>9.3100000000000002E-2</v>
      </c>
      <c r="S842" s="14">
        <f>ROUND(R842*L842,2)</f>
        <v>94.03</v>
      </c>
      <c r="T842" s="15" t="s">
        <v>349</v>
      </c>
      <c r="U842" s="19" t="s">
        <v>630</v>
      </c>
    </row>
    <row r="843" spans="1:21" x14ac:dyDescent="0.2">
      <c r="A843" s="19" t="s">
        <v>1301</v>
      </c>
      <c r="B843" s="20">
        <v>45660</v>
      </c>
      <c r="C843" s="20">
        <v>45629</v>
      </c>
      <c r="D843" s="19" t="s">
        <v>121</v>
      </c>
      <c r="E843" s="19" t="s">
        <v>122</v>
      </c>
      <c r="G843" s="19" t="s">
        <v>1302</v>
      </c>
      <c r="H843" s="19" t="s">
        <v>1299</v>
      </c>
      <c r="I843" s="19" t="s">
        <v>1300</v>
      </c>
      <c r="J843" s="11" t="str">
        <f>+LEFT(U843,4)</f>
        <v>LHDL</v>
      </c>
      <c r="K843" s="19" t="s">
        <v>10</v>
      </c>
      <c r="L843" s="19">
        <v>1020</v>
      </c>
      <c r="M843" s="19" t="s">
        <v>1472</v>
      </c>
      <c r="N843" s="19" t="s">
        <v>11</v>
      </c>
      <c r="O843" s="26">
        <v>3.2938000000000001</v>
      </c>
      <c r="P843" s="12">
        <f>ROUND(O843*L843,2)</f>
        <v>3359.68</v>
      </c>
      <c r="Q843" s="13">
        <f>IF(N843="HKD",7.8,IF(N843="CNY",7.30034,1))</f>
        <v>7.3003400000000003</v>
      </c>
      <c r="R843" s="15">
        <f>+ROUND(O843/Q843,4)</f>
        <v>0.45119999999999999</v>
      </c>
      <c r="S843" s="14">
        <f>ROUND(R843*L843,2)</f>
        <v>460.22</v>
      </c>
      <c r="T843" s="15" t="s">
        <v>349</v>
      </c>
      <c r="U843" s="19" t="s">
        <v>125</v>
      </c>
    </row>
    <row r="844" spans="1:21" x14ac:dyDescent="0.2">
      <c r="A844" s="19" t="s">
        <v>1031</v>
      </c>
      <c r="B844" s="20">
        <v>45663</v>
      </c>
      <c r="C844" s="20">
        <v>45639</v>
      </c>
      <c r="D844" s="19" t="s">
        <v>372</v>
      </c>
      <c r="E844" s="19" t="s">
        <v>373</v>
      </c>
      <c r="G844" s="19" t="s">
        <v>1032</v>
      </c>
      <c r="H844" s="19" t="s">
        <v>1029</v>
      </c>
      <c r="I844" s="19" t="s">
        <v>1030</v>
      </c>
      <c r="J844" s="11" t="str">
        <f>+LEFT(U844,4)</f>
        <v>LHDL</v>
      </c>
      <c r="K844" s="19" t="s">
        <v>98</v>
      </c>
      <c r="L844" s="19">
        <v>2040</v>
      </c>
      <c r="M844" s="19" t="s">
        <v>1472</v>
      </c>
      <c r="N844" s="19" t="s">
        <v>11</v>
      </c>
      <c r="O844" s="26">
        <v>0.76559999999999995</v>
      </c>
      <c r="P844" s="12">
        <f>ROUND(O844*L844,2)</f>
        <v>1561.82</v>
      </c>
      <c r="Q844" s="13">
        <f>IF(N844="HKD",7.8,IF(N844="CNY",7.30034,1))</f>
        <v>7.3003400000000003</v>
      </c>
      <c r="R844" s="15">
        <f>+ROUND(O844/Q844,4)</f>
        <v>0.10489999999999999</v>
      </c>
      <c r="S844" s="14">
        <f>ROUND(R844*L844,2)</f>
        <v>214</v>
      </c>
      <c r="T844" s="15" t="s">
        <v>349</v>
      </c>
      <c r="U844" s="19" t="s">
        <v>125</v>
      </c>
    </row>
    <row r="845" spans="1:21" x14ac:dyDescent="0.2">
      <c r="A845" s="19" t="s">
        <v>1050</v>
      </c>
      <c r="B845" s="20">
        <v>45663</v>
      </c>
      <c r="C845" s="20">
        <v>45636</v>
      </c>
      <c r="D845" s="19" t="s">
        <v>372</v>
      </c>
      <c r="E845" s="19" t="s">
        <v>373</v>
      </c>
      <c r="G845" s="19" t="s">
        <v>1036</v>
      </c>
      <c r="H845" s="19" t="s">
        <v>1029</v>
      </c>
      <c r="I845" s="19" t="s">
        <v>1030</v>
      </c>
      <c r="J845" s="11" t="str">
        <f>+LEFT(U845,4)</f>
        <v>LHDL</v>
      </c>
      <c r="K845" s="19" t="s">
        <v>98</v>
      </c>
      <c r="L845" s="19">
        <v>1000</v>
      </c>
      <c r="M845" s="19" t="s">
        <v>1472</v>
      </c>
      <c r="N845" s="19" t="s">
        <v>11</v>
      </c>
      <c r="O845" s="26">
        <v>0.78120000000000001</v>
      </c>
      <c r="P845" s="12">
        <f>ROUND(O845*L845,2)</f>
        <v>781.2</v>
      </c>
      <c r="Q845" s="13">
        <f>IF(N845="HKD",7.8,IF(N845="CNY",7.30034,1))</f>
        <v>7.3003400000000003</v>
      </c>
      <c r="R845" s="15">
        <f>+ROUND(O845/Q845,4)</f>
        <v>0.107</v>
      </c>
      <c r="S845" s="14">
        <f>ROUND(R845*L845,2)</f>
        <v>107</v>
      </c>
      <c r="T845" s="15" t="s">
        <v>349</v>
      </c>
      <c r="U845" s="19" t="s">
        <v>125</v>
      </c>
    </row>
    <row r="846" spans="1:21" x14ac:dyDescent="0.2">
      <c r="A846" s="19" t="s">
        <v>967</v>
      </c>
      <c r="B846" s="20">
        <v>45664</v>
      </c>
      <c r="C846" s="20">
        <v>45610</v>
      </c>
      <c r="D846" s="19" t="s">
        <v>128</v>
      </c>
      <c r="E846" s="19" t="s">
        <v>129</v>
      </c>
      <c r="G846" s="19" t="s">
        <v>953</v>
      </c>
      <c r="H846" s="19" t="s">
        <v>965</v>
      </c>
      <c r="I846" s="19" t="s">
        <v>966</v>
      </c>
      <c r="J846" s="11" t="str">
        <f>+LEFT(U846,4)</f>
        <v>LHDL</v>
      </c>
      <c r="K846" s="19" t="s">
        <v>10</v>
      </c>
      <c r="L846" s="19">
        <v>1020</v>
      </c>
      <c r="M846" s="19" t="s">
        <v>1472</v>
      </c>
      <c r="N846" s="19" t="s">
        <v>11</v>
      </c>
      <c r="O846" s="26">
        <v>1.9986999999999999</v>
      </c>
      <c r="P846" s="12">
        <f>ROUND(O846*L846,2)</f>
        <v>2038.67</v>
      </c>
      <c r="Q846" s="13">
        <f>IF(N846="HKD",7.8,IF(N846="CNY",7.30034,1))</f>
        <v>7.3003400000000003</v>
      </c>
      <c r="R846" s="15">
        <f>+ROUND(O846/Q846,4)</f>
        <v>0.27379999999999999</v>
      </c>
      <c r="S846" s="14">
        <f>ROUND(R846*L846,2)</f>
        <v>279.27999999999997</v>
      </c>
      <c r="T846" s="15" t="s">
        <v>349</v>
      </c>
      <c r="U846" s="19" t="s">
        <v>125</v>
      </c>
    </row>
    <row r="847" spans="1:21" x14ac:dyDescent="0.2">
      <c r="A847" s="19" t="s">
        <v>971</v>
      </c>
      <c r="B847" s="20">
        <v>45664</v>
      </c>
      <c r="C847" s="20">
        <v>45622</v>
      </c>
      <c r="D847" s="19" t="s">
        <v>121</v>
      </c>
      <c r="E847" s="19" t="s">
        <v>122</v>
      </c>
      <c r="G847" s="19" t="s">
        <v>972</v>
      </c>
      <c r="H847" s="19" t="s">
        <v>969</v>
      </c>
      <c r="I847" s="19" t="s">
        <v>970</v>
      </c>
      <c r="J847" s="11" t="str">
        <f>+LEFT(U847,4)</f>
        <v>LHDL</v>
      </c>
      <c r="K847" s="19" t="s">
        <v>10</v>
      </c>
      <c r="L847" s="19">
        <v>1020</v>
      </c>
      <c r="M847" s="19" t="s">
        <v>1472</v>
      </c>
      <c r="N847" s="19" t="s">
        <v>11</v>
      </c>
      <c r="O847" s="26">
        <v>3.2938000000000001</v>
      </c>
      <c r="P847" s="12">
        <f>ROUND(O847*L847,2)</f>
        <v>3359.68</v>
      </c>
      <c r="Q847" s="13">
        <f>IF(N847="HKD",7.8,IF(N847="CNY",7.30034,1))</f>
        <v>7.3003400000000003</v>
      </c>
      <c r="R847" s="15">
        <f>+ROUND(O847/Q847,4)</f>
        <v>0.45119999999999999</v>
      </c>
      <c r="S847" s="14">
        <f>ROUND(R847*L847,2)</f>
        <v>460.22</v>
      </c>
      <c r="T847" s="15" t="s">
        <v>349</v>
      </c>
      <c r="U847" s="19" t="s">
        <v>125</v>
      </c>
    </row>
    <row r="848" spans="1:21" x14ac:dyDescent="0.2">
      <c r="A848" s="19" t="s">
        <v>949</v>
      </c>
      <c r="B848" s="20">
        <v>45664</v>
      </c>
      <c r="C848" s="20">
        <v>45609</v>
      </c>
      <c r="D848" s="19" t="s">
        <v>143</v>
      </c>
      <c r="E848" s="19" t="s">
        <v>144</v>
      </c>
      <c r="G848" s="19" t="s">
        <v>942</v>
      </c>
      <c r="H848" s="19" t="s">
        <v>947</v>
      </c>
      <c r="I848" s="19" t="s">
        <v>948</v>
      </c>
      <c r="J848" s="11" t="str">
        <f>+LEFT(U848,4)</f>
        <v>LHDL</v>
      </c>
      <c r="K848" s="19" t="s">
        <v>10</v>
      </c>
      <c r="L848" s="19">
        <v>1030</v>
      </c>
      <c r="M848" s="19" t="s">
        <v>1472</v>
      </c>
      <c r="N848" s="19" t="s">
        <v>11</v>
      </c>
      <c r="O848" s="26">
        <v>10.730700000000001</v>
      </c>
      <c r="P848" s="12">
        <f>ROUND(O848*L848,2)</f>
        <v>11052.62</v>
      </c>
      <c r="Q848" s="13">
        <f>IF(N848="HKD",7.8,IF(N848="CNY",7.30034,1))</f>
        <v>7.3003400000000003</v>
      </c>
      <c r="R848" s="15">
        <f>+ROUND(O848/Q848,4)</f>
        <v>1.4699</v>
      </c>
      <c r="S848" s="14">
        <f>ROUND(R848*L848,2)</f>
        <v>1514</v>
      </c>
      <c r="T848" s="15" t="s">
        <v>349</v>
      </c>
      <c r="U848" s="19" t="s">
        <v>125</v>
      </c>
    </row>
    <row r="849" spans="1:21" x14ac:dyDescent="0.2">
      <c r="A849" s="19" t="s">
        <v>946</v>
      </c>
      <c r="B849" s="20">
        <v>45664</v>
      </c>
      <c r="C849" s="20">
        <v>45609</v>
      </c>
      <c r="D849" s="19" t="s">
        <v>143</v>
      </c>
      <c r="E849" s="19" t="s">
        <v>144</v>
      </c>
      <c r="G849" s="19" t="s">
        <v>942</v>
      </c>
      <c r="H849" s="19" t="s">
        <v>944</v>
      </c>
      <c r="I849" s="19" t="s">
        <v>945</v>
      </c>
      <c r="J849" s="11" t="str">
        <f>+LEFT(U849,4)</f>
        <v>LHDL</v>
      </c>
      <c r="K849" s="19" t="s">
        <v>10</v>
      </c>
      <c r="L849" s="19">
        <v>1030</v>
      </c>
      <c r="M849" s="19" t="s">
        <v>1472</v>
      </c>
      <c r="N849" s="19" t="s">
        <v>11</v>
      </c>
      <c r="O849" s="26">
        <v>10.730700000000001</v>
      </c>
      <c r="P849" s="12">
        <f>ROUND(O849*L849,2)</f>
        <v>11052.62</v>
      </c>
      <c r="Q849" s="13">
        <f>IF(N849="HKD",7.8,IF(N849="CNY",7.30034,1))</f>
        <v>7.3003400000000003</v>
      </c>
      <c r="R849" s="15">
        <f>+ROUND(O849/Q849,4)</f>
        <v>1.4699</v>
      </c>
      <c r="S849" s="14">
        <f>ROUND(R849*L849,2)</f>
        <v>1514</v>
      </c>
      <c r="T849" s="15" t="s">
        <v>349</v>
      </c>
      <c r="U849" s="19" t="s">
        <v>125</v>
      </c>
    </row>
    <row r="850" spans="1:21" x14ac:dyDescent="0.2">
      <c r="A850" s="19" t="s">
        <v>308</v>
      </c>
      <c r="B850" s="20">
        <v>45672</v>
      </c>
      <c r="C850" s="20">
        <v>45670</v>
      </c>
      <c r="D850" s="19" t="s">
        <v>295</v>
      </c>
      <c r="E850" s="19" t="s">
        <v>296</v>
      </c>
      <c r="G850" s="19" t="s">
        <v>305</v>
      </c>
      <c r="H850" s="19" t="s">
        <v>306</v>
      </c>
      <c r="I850" s="19" t="s">
        <v>307</v>
      </c>
      <c r="J850" s="11" t="str">
        <f>+LEFT(U850,4)</f>
        <v>LHDL</v>
      </c>
      <c r="K850" s="19" t="s">
        <v>10</v>
      </c>
      <c r="L850" s="19">
        <v>52</v>
      </c>
      <c r="M850" s="19" t="s">
        <v>1472</v>
      </c>
      <c r="N850" s="19" t="s">
        <v>11</v>
      </c>
      <c r="O850" s="26">
        <v>1.0327</v>
      </c>
      <c r="P850" s="12">
        <f>ROUND(O850*L850,2)</f>
        <v>53.7</v>
      </c>
      <c r="Q850" s="13">
        <f>IF(N850="HKD",7.8,IF(N850="CNY",7.30034,1))</f>
        <v>7.3003400000000003</v>
      </c>
      <c r="R850" s="15">
        <f>+ROUND(O850/Q850,4)</f>
        <v>0.14149999999999999</v>
      </c>
      <c r="S850" s="14">
        <f>ROUND(R850*L850,2)</f>
        <v>7.36</v>
      </c>
      <c r="T850" s="15" t="s">
        <v>349</v>
      </c>
      <c r="U850" s="19" t="s">
        <v>125</v>
      </c>
    </row>
    <row r="851" spans="1:21" x14ac:dyDescent="0.2">
      <c r="A851" s="19" t="s">
        <v>304</v>
      </c>
      <c r="B851" s="20">
        <v>45672</v>
      </c>
      <c r="C851" s="20">
        <v>45670</v>
      </c>
      <c r="D851" s="19" t="s">
        <v>295</v>
      </c>
      <c r="E851" s="19" t="s">
        <v>296</v>
      </c>
      <c r="G851" s="19" t="s">
        <v>305</v>
      </c>
      <c r="H851" s="19" t="s">
        <v>302</v>
      </c>
      <c r="I851" s="19" t="s">
        <v>303</v>
      </c>
      <c r="J851" s="11" t="str">
        <f>+LEFT(U851,4)</f>
        <v>LHDL</v>
      </c>
      <c r="K851" s="19" t="s">
        <v>10</v>
      </c>
      <c r="L851" s="19">
        <v>38</v>
      </c>
      <c r="M851" s="19" t="s">
        <v>1472</v>
      </c>
      <c r="N851" s="19" t="s">
        <v>11</v>
      </c>
      <c r="O851" s="26">
        <v>1.073</v>
      </c>
      <c r="P851" s="12">
        <f>ROUND(O851*L851,2)</f>
        <v>40.770000000000003</v>
      </c>
      <c r="Q851" s="13">
        <f>IF(N851="HKD",7.8,IF(N851="CNY",7.30034,1))</f>
        <v>7.3003400000000003</v>
      </c>
      <c r="R851" s="15">
        <f>+ROUND(O851/Q851,4)</f>
        <v>0.14699999999999999</v>
      </c>
      <c r="S851" s="14">
        <f>ROUND(R851*L851,2)</f>
        <v>5.59</v>
      </c>
      <c r="T851" s="15" t="s">
        <v>349</v>
      </c>
      <c r="U851" s="19" t="s">
        <v>125</v>
      </c>
    </row>
    <row r="852" spans="1:21" x14ac:dyDescent="0.2">
      <c r="A852" s="19" t="s">
        <v>301</v>
      </c>
      <c r="B852" s="20">
        <v>45672</v>
      </c>
      <c r="C852" s="20">
        <v>45670</v>
      </c>
      <c r="D852" s="19" t="s">
        <v>295</v>
      </c>
      <c r="E852" s="19" t="s">
        <v>296</v>
      </c>
      <c r="G852" s="19" t="s">
        <v>298</v>
      </c>
      <c r="H852" s="19" t="s">
        <v>299</v>
      </c>
      <c r="I852" s="19" t="s">
        <v>300</v>
      </c>
      <c r="J852" s="11" t="str">
        <f>+LEFT(U852,4)</f>
        <v>LHDL</v>
      </c>
      <c r="K852" s="19" t="s">
        <v>10</v>
      </c>
      <c r="L852" s="19">
        <v>75</v>
      </c>
      <c r="M852" s="19" t="s">
        <v>1472</v>
      </c>
      <c r="N852" s="19" t="s">
        <v>11</v>
      </c>
      <c r="O852" s="26">
        <v>1.073</v>
      </c>
      <c r="P852" s="12">
        <f>ROUND(O852*L852,2)</f>
        <v>80.48</v>
      </c>
      <c r="Q852" s="13">
        <f>IF(N852="HKD",7.8,IF(N852="CNY",7.30034,1))</f>
        <v>7.3003400000000003</v>
      </c>
      <c r="R852" s="15">
        <f>+ROUND(O852/Q852,4)</f>
        <v>0.14699999999999999</v>
      </c>
      <c r="S852" s="14">
        <f>ROUND(R852*L852,2)</f>
        <v>11.03</v>
      </c>
      <c r="T852" s="15" t="s">
        <v>349</v>
      </c>
      <c r="U852" s="19" t="s">
        <v>125</v>
      </c>
    </row>
    <row r="853" spans="1:21" x14ac:dyDescent="0.2">
      <c r="A853" s="19" t="s">
        <v>297</v>
      </c>
      <c r="B853" s="20">
        <v>45672</v>
      </c>
      <c r="C853" s="20">
        <v>45670</v>
      </c>
      <c r="D853" s="19" t="s">
        <v>295</v>
      </c>
      <c r="E853" s="19" t="s">
        <v>296</v>
      </c>
      <c r="G853" s="19" t="s">
        <v>298</v>
      </c>
      <c r="H853" s="19" t="s">
        <v>293</v>
      </c>
      <c r="I853" s="19" t="s">
        <v>294</v>
      </c>
      <c r="J853" s="11" t="str">
        <f>+LEFT(U853,4)</f>
        <v>LHDL</v>
      </c>
      <c r="K853" s="19" t="s">
        <v>10</v>
      </c>
      <c r="L853" s="19">
        <v>58</v>
      </c>
      <c r="M853" s="19" t="s">
        <v>1472</v>
      </c>
      <c r="N853" s="19" t="s">
        <v>11</v>
      </c>
      <c r="O853" s="26">
        <v>1.073</v>
      </c>
      <c r="P853" s="12">
        <f>ROUND(O853*L853,2)</f>
        <v>62.23</v>
      </c>
      <c r="Q853" s="13">
        <f>IF(N853="HKD",7.8,IF(N853="CNY",7.30034,1))</f>
        <v>7.3003400000000003</v>
      </c>
      <c r="R853" s="15">
        <f>+ROUND(O853/Q853,4)</f>
        <v>0.14699999999999999</v>
      </c>
      <c r="S853" s="14">
        <f>ROUND(R853*L853,2)</f>
        <v>8.5299999999999994</v>
      </c>
      <c r="T853" s="15" t="s">
        <v>349</v>
      </c>
      <c r="U853" s="19" t="s">
        <v>125</v>
      </c>
    </row>
    <row r="854" spans="1:21" x14ac:dyDescent="0.2">
      <c r="A854" s="19" t="s">
        <v>264</v>
      </c>
      <c r="B854" s="20">
        <v>45673</v>
      </c>
      <c r="C854" s="20">
        <v>45636</v>
      </c>
      <c r="D854" s="19" t="s">
        <v>263</v>
      </c>
      <c r="E854" s="19" t="s">
        <v>0</v>
      </c>
      <c r="G854" s="19" t="s">
        <v>265</v>
      </c>
      <c r="H854" s="19" t="s">
        <v>261</v>
      </c>
      <c r="I854" s="19" t="s">
        <v>262</v>
      </c>
      <c r="J854" s="11" t="str">
        <f>+LEFT(U854,4)</f>
        <v>LHDL</v>
      </c>
      <c r="K854" s="19" t="s">
        <v>10</v>
      </c>
      <c r="L854" s="19">
        <v>1000</v>
      </c>
      <c r="M854" s="19" t="s">
        <v>1472</v>
      </c>
      <c r="N854" s="19" t="s">
        <v>11</v>
      </c>
      <c r="O854" s="26">
        <v>6.492</v>
      </c>
      <c r="P854" s="12">
        <f>ROUND(O854*L854,2)</f>
        <v>6492</v>
      </c>
      <c r="Q854" s="13">
        <f>IF(N854="HKD",7.8,IF(N854="CNY",7.30034,1))</f>
        <v>7.3003400000000003</v>
      </c>
      <c r="R854" s="15">
        <f>+ROUND(O854/Q854,4)</f>
        <v>0.88929999999999998</v>
      </c>
      <c r="S854" s="14">
        <f>ROUND(R854*L854,2)</f>
        <v>889.3</v>
      </c>
      <c r="T854" s="15" t="s">
        <v>349</v>
      </c>
      <c r="U854" s="19" t="s">
        <v>125</v>
      </c>
    </row>
    <row r="855" spans="1:21" x14ac:dyDescent="0.2">
      <c r="A855" s="19" t="s">
        <v>123</v>
      </c>
      <c r="B855" s="20">
        <v>45677</v>
      </c>
      <c r="C855" s="20">
        <v>45672</v>
      </c>
      <c r="D855" s="19" t="s">
        <v>121</v>
      </c>
      <c r="E855" s="19" t="s">
        <v>122</v>
      </c>
      <c r="G855" s="19" t="s">
        <v>124</v>
      </c>
      <c r="H855" s="19" t="s">
        <v>119</v>
      </c>
      <c r="I855" s="19" t="s">
        <v>120</v>
      </c>
      <c r="J855" s="11" t="str">
        <f>+LEFT(U855,4)</f>
        <v>LHDL</v>
      </c>
      <c r="K855" s="19" t="s">
        <v>10</v>
      </c>
      <c r="L855" s="19">
        <v>32</v>
      </c>
      <c r="M855" s="19" t="s">
        <v>1472</v>
      </c>
      <c r="N855" s="19" t="s">
        <v>11</v>
      </c>
      <c r="O855" s="26">
        <v>7.4566999999999997</v>
      </c>
      <c r="P855" s="12">
        <f>ROUND(O855*L855,2)</f>
        <v>238.61</v>
      </c>
      <c r="Q855" s="13">
        <f>IF(N855="HKD",7.8,IF(N855="CNY",7.30034,1))</f>
        <v>7.3003400000000003</v>
      </c>
      <c r="R855" s="15">
        <f>+ROUND(O855/Q855,4)</f>
        <v>1.0214000000000001</v>
      </c>
      <c r="S855" s="14">
        <f>ROUND(R855*L855,2)</f>
        <v>32.68</v>
      </c>
      <c r="T855" s="15" t="s">
        <v>349</v>
      </c>
      <c r="U855" s="19" t="s">
        <v>125</v>
      </c>
    </row>
    <row r="856" spans="1:21" x14ac:dyDescent="0.2">
      <c r="A856" t="s">
        <v>1963</v>
      </c>
      <c r="B856" s="24">
        <v>45713</v>
      </c>
      <c r="C856" s="24">
        <v>45698</v>
      </c>
      <c r="D856" t="s">
        <v>709</v>
      </c>
      <c r="E856" t="s">
        <v>710</v>
      </c>
      <c r="G856" t="s">
        <v>2166</v>
      </c>
      <c r="H856" s="19" t="s">
        <v>1682</v>
      </c>
      <c r="I856" s="19" t="s">
        <v>1683</v>
      </c>
      <c r="J856" s="11" t="str">
        <f>+LEFT(U856,4)</f>
        <v>LHDL</v>
      </c>
      <c r="K856" t="s">
        <v>10</v>
      </c>
      <c r="L856" s="19">
        <v>380</v>
      </c>
      <c r="M856" t="s">
        <v>1472</v>
      </c>
      <c r="N856" t="s">
        <v>11</v>
      </c>
      <c r="O856" s="26">
        <v>2.6436000000000002</v>
      </c>
      <c r="P856" s="12">
        <f>ROUND(O856*L856,2)</f>
        <v>1004.57</v>
      </c>
      <c r="Q856" s="13">
        <f>IF(N856="HKD",7.8,IF(N856="CNY",7.30034,1))</f>
        <v>7.3003400000000003</v>
      </c>
      <c r="R856" s="15">
        <f>+ROUND(O856/Q856,4)</f>
        <v>0.36209999999999998</v>
      </c>
      <c r="S856" s="14">
        <f>ROUND(R856*L856,2)</f>
        <v>137.6</v>
      </c>
      <c r="T856" s="15" t="s">
        <v>349</v>
      </c>
      <c r="U856" t="s">
        <v>125</v>
      </c>
    </row>
    <row r="857" spans="1:21" x14ac:dyDescent="0.2">
      <c r="A857" t="s">
        <v>1964</v>
      </c>
      <c r="B857" s="24">
        <v>45713</v>
      </c>
      <c r="C857" s="24">
        <v>45702</v>
      </c>
      <c r="D857" t="s">
        <v>709</v>
      </c>
      <c r="E857" t="s">
        <v>710</v>
      </c>
      <c r="G857" t="s">
        <v>2166</v>
      </c>
      <c r="H857" s="19" t="s">
        <v>1682</v>
      </c>
      <c r="I857" s="19" t="s">
        <v>1683</v>
      </c>
      <c r="J857" s="11" t="str">
        <f>+LEFT(U857,4)</f>
        <v>LHDL</v>
      </c>
      <c r="K857" t="s">
        <v>10</v>
      </c>
      <c r="L857" s="19">
        <v>150</v>
      </c>
      <c r="M857" t="s">
        <v>1472</v>
      </c>
      <c r="N857" t="s">
        <v>11</v>
      </c>
      <c r="O857" s="26">
        <v>2.6436000000000002</v>
      </c>
      <c r="P857" s="12">
        <f>ROUND(O857*L857,2)</f>
        <v>396.54</v>
      </c>
      <c r="Q857" s="13">
        <f>IF(N857="HKD",7.8,IF(N857="CNY",7.30034,1))</f>
        <v>7.3003400000000003</v>
      </c>
      <c r="R857" s="15">
        <f>+ROUND(O857/Q857,4)</f>
        <v>0.36209999999999998</v>
      </c>
      <c r="S857" s="14">
        <f>ROUND(R857*L857,2)</f>
        <v>54.32</v>
      </c>
      <c r="T857" s="15" t="s">
        <v>349</v>
      </c>
      <c r="U857" t="s">
        <v>125</v>
      </c>
    </row>
    <row r="858" spans="1:21" x14ac:dyDescent="0.2">
      <c r="A858" t="s">
        <v>2092</v>
      </c>
      <c r="B858" s="24">
        <v>45713</v>
      </c>
      <c r="C858" s="24">
        <v>45576</v>
      </c>
      <c r="D858" t="s">
        <v>121</v>
      </c>
      <c r="E858" t="s">
        <v>122</v>
      </c>
      <c r="G858" t="s">
        <v>2195</v>
      </c>
      <c r="H858" s="19" t="s">
        <v>1790</v>
      </c>
      <c r="I858" s="19" t="s">
        <v>1791</v>
      </c>
      <c r="J858" s="11" t="str">
        <f>+LEFT(U858,4)</f>
        <v>LHDL</v>
      </c>
      <c r="K858" t="s">
        <v>10</v>
      </c>
      <c r="L858" s="19">
        <v>1520</v>
      </c>
      <c r="M858" t="s">
        <v>1472</v>
      </c>
      <c r="N858" t="s">
        <v>11</v>
      </c>
      <c r="O858" s="26">
        <v>7.3506999999999998</v>
      </c>
      <c r="P858" s="12">
        <f>ROUND(O858*L858,2)</f>
        <v>11173.06</v>
      </c>
      <c r="Q858" s="13">
        <f>IF(N858="HKD",7.8,IF(N858="CNY",7.30034,1))</f>
        <v>7.3003400000000003</v>
      </c>
      <c r="R858" s="15">
        <f>+ROUND(O858/Q858,4)</f>
        <v>1.0068999999999999</v>
      </c>
      <c r="S858" s="14">
        <f>ROUND(R858*L858,2)</f>
        <v>1530.49</v>
      </c>
      <c r="T858" s="15" t="s">
        <v>349</v>
      </c>
      <c r="U858" t="s">
        <v>125</v>
      </c>
    </row>
    <row r="859" spans="1:21" x14ac:dyDescent="0.2">
      <c r="A859" t="s">
        <v>2093</v>
      </c>
      <c r="B859" s="24">
        <v>45713</v>
      </c>
      <c r="C859" s="24">
        <v>45576</v>
      </c>
      <c r="D859" t="s">
        <v>121</v>
      </c>
      <c r="E859" t="s">
        <v>122</v>
      </c>
      <c r="G859" t="s">
        <v>2195</v>
      </c>
      <c r="H859" s="19" t="s">
        <v>1792</v>
      </c>
      <c r="I859" s="19" t="s">
        <v>1793</v>
      </c>
      <c r="J859" s="11" t="str">
        <f>+LEFT(U859,4)</f>
        <v>LHDL</v>
      </c>
      <c r="K859" t="s">
        <v>10</v>
      </c>
      <c r="L859" s="19">
        <v>1420</v>
      </c>
      <c r="M859" t="s">
        <v>1472</v>
      </c>
      <c r="N859" t="s">
        <v>11</v>
      </c>
      <c r="O859" s="26">
        <v>7.3506999999999998</v>
      </c>
      <c r="P859" s="12">
        <f>ROUND(O859*L859,2)</f>
        <v>10437.99</v>
      </c>
      <c r="Q859" s="13">
        <f>IF(N859="HKD",7.8,IF(N859="CNY",7.30034,1))</f>
        <v>7.3003400000000003</v>
      </c>
      <c r="R859" s="15">
        <f>+ROUND(O859/Q859,4)</f>
        <v>1.0068999999999999</v>
      </c>
      <c r="S859" s="14">
        <f>ROUND(R859*L859,2)</f>
        <v>1429.8</v>
      </c>
      <c r="T859" s="15" t="s">
        <v>349</v>
      </c>
      <c r="U859" t="s">
        <v>125</v>
      </c>
    </row>
    <row r="860" spans="1:21" x14ac:dyDescent="0.2">
      <c r="A860" t="s">
        <v>2096</v>
      </c>
      <c r="B860" s="24">
        <v>45713</v>
      </c>
      <c r="C860" s="24">
        <v>45576</v>
      </c>
      <c r="D860" t="s">
        <v>121</v>
      </c>
      <c r="E860" t="s">
        <v>122</v>
      </c>
      <c r="G860" t="s">
        <v>2195</v>
      </c>
      <c r="H860" s="19" t="s">
        <v>1794</v>
      </c>
      <c r="I860" s="19" t="s">
        <v>1795</v>
      </c>
      <c r="J860" s="11" t="str">
        <f>+LEFT(U860,4)</f>
        <v>LHDL</v>
      </c>
      <c r="K860" t="s">
        <v>10</v>
      </c>
      <c r="L860" s="19">
        <v>1010</v>
      </c>
      <c r="M860" t="s">
        <v>1472</v>
      </c>
      <c r="N860" t="s">
        <v>11</v>
      </c>
      <c r="O860" s="26">
        <v>7.4212999999999996</v>
      </c>
      <c r="P860" s="12">
        <f>ROUND(O860*L860,2)</f>
        <v>7495.51</v>
      </c>
      <c r="Q860" s="13">
        <f>IF(N860="HKD",7.8,IF(N860="CNY",7.30034,1))</f>
        <v>7.3003400000000003</v>
      </c>
      <c r="R860" s="15">
        <f>+ROUND(O860/Q860,4)</f>
        <v>1.0165999999999999</v>
      </c>
      <c r="S860" s="14">
        <f>ROUND(R860*L860,2)</f>
        <v>1026.77</v>
      </c>
      <c r="T860" s="15" t="s">
        <v>349</v>
      </c>
      <c r="U860" t="s">
        <v>125</v>
      </c>
    </row>
    <row r="861" spans="1:21" x14ac:dyDescent="0.2">
      <c r="A861" t="s">
        <v>2681</v>
      </c>
      <c r="B861" s="24">
        <v>45740</v>
      </c>
      <c r="C861" s="24">
        <v>45726</v>
      </c>
      <c r="D861" t="s">
        <v>187</v>
      </c>
      <c r="E861" t="s">
        <v>188</v>
      </c>
      <c r="G861" t="s">
        <v>3006</v>
      </c>
      <c r="H861" t="s">
        <v>3223</v>
      </c>
      <c r="I861" t="s">
        <v>3430</v>
      </c>
      <c r="J861" s="11" t="str">
        <f>+LEFT(U861,4)</f>
        <v>ALM-</v>
      </c>
      <c r="K861" t="s">
        <v>98</v>
      </c>
      <c r="L861">
        <v>100</v>
      </c>
      <c r="M861" t="s">
        <v>186</v>
      </c>
      <c r="N861" t="s">
        <v>11</v>
      </c>
      <c r="O861">
        <v>3.6282999999999999</v>
      </c>
      <c r="P861" s="12">
        <f>ROUND(O861*L861,2)</f>
        <v>362.83</v>
      </c>
      <c r="Q861" s="13">
        <f>IF(N861="HKD",7.8,IF(N861="CNY",7.30034,1))</f>
        <v>7.3003400000000003</v>
      </c>
      <c r="R861" s="15">
        <f>+ROUND(O861/Q861,4)</f>
        <v>0.497</v>
      </c>
      <c r="S861" s="14">
        <f>ROUND(R861*L861,2)</f>
        <v>49.7</v>
      </c>
      <c r="T861" s="15" t="s">
        <v>349</v>
      </c>
      <c r="U861" t="s">
        <v>191</v>
      </c>
    </row>
    <row r="862" spans="1:21" x14ac:dyDescent="0.2">
      <c r="A862" t="s">
        <v>2403</v>
      </c>
      <c r="B862" s="24">
        <v>45722</v>
      </c>
      <c r="C862" s="24">
        <v>45698</v>
      </c>
      <c r="D862" t="s">
        <v>149</v>
      </c>
      <c r="E862" t="s">
        <v>150</v>
      </c>
      <c r="G862" t="s">
        <v>2918</v>
      </c>
      <c r="H862" t="s">
        <v>3101</v>
      </c>
      <c r="I862" t="s">
        <v>3316</v>
      </c>
      <c r="J862" s="11" t="str">
        <f>+LEFT(U862,4)</f>
        <v>GLID</v>
      </c>
      <c r="K862" t="s">
        <v>10</v>
      </c>
      <c r="L862">
        <v>500</v>
      </c>
      <c r="M862" t="s">
        <v>1472</v>
      </c>
      <c r="N862" t="s">
        <v>11</v>
      </c>
      <c r="O862">
        <v>3.6379000000000001</v>
      </c>
      <c r="P862" s="12">
        <f>ROUND(O862*L862,2)</f>
        <v>1818.95</v>
      </c>
      <c r="Q862" s="13">
        <f>IF(N862="HKD",7.8,IF(N862="CNY",7.30034,1))</f>
        <v>7.3003400000000003</v>
      </c>
      <c r="R862" s="15">
        <f>+ROUND(O862/Q862,4)</f>
        <v>0.49830000000000002</v>
      </c>
      <c r="S862" s="14">
        <f>ROUND(R862*L862,2)</f>
        <v>249.15</v>
      </c>
      <c r="T862" s="15" t="s">
        <v>349</v>
      </c>
      <c r="U862" t="s">
        <v>78</v>
      </c>
    </row>
    <row r="863" spans="1:21" x14ac:dyDescent="0.2">
      <c r="A863" t="s">
        <v>2324</v>
      </c>
      <c r="B863" s="24">
        <v>45722</v>
      </c>
      <c r="C863" s="24">
        <v>45664</v>
      </c>
      <c r="D863" t="s">
        <v>94</v>
      </c>
      <c r="E863" t="s">
        <v>95</v>
      </c>
      <c r="G863" t="s">
        <v>2860</v>
      </c>
      <c r="H863" t="s">
        <v>997</v>
      </c>
      <c r="I863" t="s">
        <v>998</v>
      </c>
      <c r="J863" s="11" t="str">
        <f>+LEFT(U863,4)</f>
        <v>LID-</v>
      </c>
      <c r="K863" t="s">
        <v>3481</v>
      </c>
      <c r="L863">
        <v>170</v>
      </c>
      <c r="M863" t="s">
        <v>1472</v>
      </c>
      <c r="N863" t="s">
        <v>11</v>
      </c>
      <c r="O863">
        <v>3.64</v>
      </c>
      <c r="P863" s="12">
        <f>ROUND(O863*L863,2)</f>
        <v>618.79999999999995</v>
      </c>
      <c r="Q863" s="13">
        <f>IF(N863="HKD",7.8,IF(N863="CNY",7.30034,1))</f>
        <v>7.3003400000000003</v>
      </c>
      <c r="R863" s="15">
        <f>+ROUND(O863/Q863,4)</f>
        <v>0.49859999999999999</v>
      </c>
      <c r="S863" s="14">
        <f>ROUND(R863*L863,2)</f>
        <v>84.76</v>
      </c>
      <c r="T863" s="15" t="s">
        <v>349</v>
      </c>
      <c r="U863" t="s">
        <v>368</v>
      </c>
    </row>
    <row r="864" spans="1:21" x14ac:dyDescent="0.2">
      <c r="A864" t="s">
        <v>2409</v>
      </c>
      <c r="B864" s="24">
        <v>45722</v>
      </c>
      <c r="C864" s="24">
        <v>45700</v>
      </c>
      <c r="D864" t="s">
        <v>94</v>
      </c>
      <c r="E864" t="s">
        <v>95</v>
      </c>
      <c r="G864" t="s">
        <v>2860</v>
      </c>
      <c r="H864" t="s">
        <v>997</v>
      </c>
      <c r="I864" t="s">
        <v>998</v>
      </c>
      <c r="J864" s="11" t="str">
        <f>+LEFT(U864,4)</f>
        <v>LID-</v>
      </c>
      <c r="K864" t="s">
        <v>3481</v>
      </c>
      <c r="L864">
        <v>1030</v>
      </c>
      <c r="M864" t="s">
        <v>1472</v>
      </c>
      <c r="N864" t="s">
        <v>11</v>
      </c>
      <c r="O864">
        <v>3.64</v>
      </c>
      <c r="P864" s="12">
        <f>ROUND(O864*L864,2)</f>
        <v>3749.2</v>
      </c>
      <c r="Q864" s="13">
        <f>IF(N864="HKD",7.8,IF(N864="CNY",7.30034,1))</f>
        <v>7.3003400000000003</v>
      </c>
      <c r="R864" s="15">
        <f>+ROUND(O864/Q864,4)</f>
        <v>0.49859999999999999</v>
      </c>
      <c r="S864" s="14">
        <f>ROUND(R864*L864,2)</f>
        <v>513.55999999999995</v>
      </c>
      <c r="T864" s="15" t="s">
        <v>349</v>
      </c>
      <c r="U864" t="s">
        <v>368</v>
      </c>
    </row>
    <row r="865" spans="1:21" x14ac:dyDescent="0.2">
      <c r="A865" t="s">
        <v>2324</v>
      </c>
      <c r="B865" s="24">
        <v>45723</v>
      </c>
      <c r="C865" s="24">
        <v>45664</v>
      </c>
      <c r="D865" t="s">
        <v>94</v>
      </c>
      <c r="E865" t="s">
        <v>95</v>
      </c>
      <c r="G865" t="s">
        <v>2881</v>
      </c>
      <c r="H865" t="s">
        <v>997</v>
      </c>
      <c r="I865" t="s">
        <v>998</v>
      </c>
      <c r="J865" s="11" t="str">
        <f>+LEFT(U865,4)</f>
        <v>LID-</v>
      </c>
      <c r="K865" t="s">
        <v>3481</v>
      </c>
      <c r="L865">
        <v>1234</v>
      </c>
      <c r="M865" t="s">
        <v>1472</v>
      </c>
      <c r="N865" t="s">
        <v>11</v>
      </c>
      <c r="O865">
        <v>3.64</v>
      </c>
      <c r="P865" s="12">
        <f>ROUND(O865*L865,2)</f>
        <v>4491.76</v>
      </c>
      <c r="Q865" s="13">
        <f>IF(N865="HKD",7.8,IF(N865="CNY",7.30034,1))</f>
        <v>7.3003400000000003</v>
      </c>
      <c r="R865" s="15">
        <f>+ROUND(O865/Q865,4)</f>
        <v>0.49859999999999999</v>
      </c>
      <c r="S865" s="14">
        <f>ROUND(R865*L865,2)</f>
        <v>615.27</v>
      </c>
      <c r="T865" s="15" t="s">
        <v>349</v>
      </c>
      <c r="U865" t="s">
        <v>368</v>
      </c>
    </row>
    <row r="866" spans="1:21" x14ac:dyDescent="0.2">
      <c r="A866" t="s">
        <v>2559</v>
      </c>
      <c r="B866" s="24">
        <v>45736</v>
      </c>
      <c r="C866" s="24">
        <v>45716</v>
      </c>
      <c r="D866" t="s">
        <v>149</v>
      </c>
      <c r="E866" t="s">
        <v>150</v>
      </c>
      <c r="G866" t="s">
        <v>2994</v>
      </c>
      <c r="H866" t="s">
        <v>1179</v>
      </c>
      <c r="I866" t="s">
        <v>1180</v>
      </c>
      <c r="J866" s="11" t="str">
        <f>+LEFT(U866,4)</f>
        <v>GLID</v>
      </c>
      <c r="K866" t="s">
        <v>10</v>
      </c>
      <c r="L866">
        <v>2020</v>
      </c>
      <c r="M866" t="s">
        <v>1472</v>
      </c>
      <c r="N866" t="s">
        <v>11</v>
      </c>
      <c r="O866">
        <v>3.6753999999999998</v>
      </c>
      <c r="P866" s="12">
        <f>ROUND(O866*L866,2)</f>
        <v>7424.31</v>
      </c>
      <c r="Q866" s="13">
        <f>IF(N866="HKD",7.8,IF(N866="CNY",7.30034,1))</f>
        <v>7.3003400000000003</v>
      </c>
      <c r="R866" s="15">
        <f>+ROUND(O866/Q866,4)</f>
        <v>0.50349999999999995</v>
      </c>
      <c r="S866" s="14">
        <f>ROUND(R866*L866,2)</f>
        <v>1017.07</v>
      </c>
      <c r="T866" s="15" t="s">
        <v>349</v>
      </c>
      <c r="U866" t="s">
        <v>78</v>
      </c>
    </row>
    <row r="867" spans="1:21" x14ac:dyDescent="0.2">
      <c r="A867" t="s">
        <v>2282</v>
      </c>
      <c r="B867" s="24">
        <v>45740</v>
      </c>
      <c r="C867" s="24">
        <v>45576</v>
      </c>
      <c r="D867" t="s">
        <v>94</v>
      </c>
      <c r="E867" t="s">
        <v>95</v>
      </c>
      <c r="G867" t="s">
        <v>2849</v>
      </c>
      <c r="H867" t="s">
        <v>3063</v>
      </c>
      <c r="I867" t="s">
        <v>3279</v>
      </c>
      <c r="J867" s="11" t="str">
        <f>+LEFT(U867,4)</f>
        <v>LID-</v>
      </c>
      <c r="K867" t="s">
        <v>98</v>
      </c>
      <c r="L867">
        <v>1010</v>
      </c>
      <c r="M867" t="s">
        <v>1472</v>
      </c>
      <c r="N867" t="s">
        <v>11</v>
      </c>
      <c r="O867">
        <v>3.7</v>
      </c>
      <c r="P867" s="12">
        <f>ROUND(O867*L867,2)</f>
        <v>3737</v>
      </c>
      <c r="Q867" s="13">
        <f>IF(N867="HKD",7.8,IF(N867="CNY",7.30034,1))</f>
        <v>7.3003400000000003</v>
      </c>
      <c r="R867" s="15">
        <f>+ROUND(O867/Q867,4)</f>
        <v>0.50680000000000003</v>
      </c>
      <c r="S867" s="14">
        <f>ROUND(R867*L867,2)</f>
        <v>511.87</v>
      </c>
      <c r="T867" s="15" t="s">
        <v>349</v>
      </c>
      <c r="U867" t="s">
        <v>368</v>
      </c>
    </row>
    <row r="868" spans="1:21" x14ac:dyDescent="0.2">
      <c r="A868" t="s">
        <v>2286</v>
      </c>
      <c r="B868" s="24">
        <v>45740</v>
      </c>
      <c r="C868" s="24">
        <v>45611</v>
      </c>
      <c r="D868" t="s">
        <v>94</v>
      </c>
      <c r="E868" t="s">
        <v>95</v>
      </c>
      <c r="G868" t="s">
        <v>2849</v>
      </c>
      <c r="H868" t="s">
        <v>3063</v>
      </c>
      <c r="I868" t="s">
        <v>3279</v>
      </c>
      <c r="J868" s="11" t="str">
        <f>+LEFT(U868,4)</f>
        <v>LID-</v>
      </c>
      <c r="K868" t="s">
        <v>98</v>
      </c>
      <c r="L868">
        <v>510</v>
      </c>
      <c r="M868" t="s">
        <v>1472</v>
      </c>
      <c r="N868" t="s">
        <v>11</v>
      </c>
      <c r="O868">
        <v>3.7</v>
      </c>
      <c r="P868" s="12">
        <f>ROUND(O868*L868,2)</f>
        <v>1887</v>
      </c>
      <c r="Q868" s="13">
        <f>IF(N868="HKD",7.8,IF(N868="CNY",7.30034,1))</f>
        <v>7.3003400000000003</v>
      </c>
      <c r="R868" s="15">
        <f>+ROUND(O868/Q868,4)</f>
        <v>0.50680000000000003</v>
      </c>
      <c r="S868" s="14">
        <f>ROUND(R868*L868,2)</f>
        <v>258.47000000000003</v>
      </c>
      <c r="T868" s="15" t="s">
        <v>349</v>
      </c>
      <c r="U868" t="s">
        <v>368</v>
      </c>
    </row>
    <row r="869" spans="1:21" x14ac:dyDescent="0.2">
      <c r="A869" t="s">
        <v>2553</v>
      </c>
      <c r="B869" s="24">
        <v>45736</v>
      </c>
      <c r="C869" s="24">
        <v>45716</v>
      </c>
      <c r="D869" t="s">
        <v>149</v>
      </c>
      <c r="E869" t="s">
        <v>150</v>
      </c>
      <c r="G869" t="s">
        <v>2994</v>
      </c>
      <c r="H869" t="s">
        <v>3171</v>
      </c>
      <c r="I869" t="s">
        <v>1180</v>
      </c>
      <c r="J869" s="11" t="str">
        <f>+LEFT(U869,4)</f>
        <v>GLID</v>
      </c>
      <c r="K869" t="s">
        <v>10</v>
      </c>
      <c r="L869">
        <v>1030</v>
      </c>
      <c r="M869" t="s">
        <v>1472</v>
      </c>
      <c r="N869" t="s">
        <v>11</v>
      </c>
      <c r="O869">
        <v>3.7364999999999999</v>
      </c>
      <c r="P869" s="12">
        <f>ROUND(O869*L869,2)</f>
        <v>3848.6</v>
      </c>
      <c r="Q869" s="13">
        <f>IF(N869="HKD",7.8,IF(N869="CNY",7.30034,1))</f>
        <v>7.3003400000000003</v>
      </c>
      <c r="R869" s="15">
        <f>+ROUND(O869/Q869,4)</f>
        <v>0.51180000000000003</v>
      </c>
      <c r="S869" s="14">
        <f>ROUND(R869*L869,2)</f>
        <v>527.15</v>
      </c>
      <c r="T869" s="15" t="s">
        <v>349</v>
      </c>
      <c r="U869" t="s">
        <v>78</v>
      </c>
    </row>
    <row r="870" spans="1:21" x14ac:dyDescent="0.2">
      <c r="A870" t="s">
        <v>2601</v>
      </c>
      <c r="B870" s="24">
        <v>45719</v>
      </c>
      <c r="C870" s="24">
        <v>45719</v>
      </c>
      <c r="D870" t="s">
        <v>5</v>
      </c>
      <c r="E870" t="s">
        <v>6</v>
      </c>
      <c r="G870" t="s">
        <v>3008</v>
      </c>
      <c r="H870" t="s">
        <v>3193</v>
      </c>
      <c r="I870" t="s">
        <v>3400</v>
      </c>
      <c r="J870" s="11" t="str">
        <f>+LEFT(U870,4)</f>
        <v>BOX-</v>
      </c>
      <c r="K870" t="s">
        <v>10</v>
      </c>
      <c r="L870">
        <v>9100</v>
      </c>
      <c r="M870" t="s">
        <v>1472</v>
      </c>
      <c r="N870" t="s">
        <v>11</v>
      </c>
      <c r="O870">
        <v>3.75</v>
      </c>
      <c r="P870" s="12">
        <f>ROUND(O870*L870,2)</f>
        <v>34125</v>
      </c>
      <c r="Q870" s="13">
        <f>IF(N870="HKD",7.8,IF(N870="CNY",7.30034,1))</f>
        <v>7.3003400000000003</v>
      </c>
      <c r="R870" s="15">
        <f>+ROUND(O870/Q870,4)</f>
        <v>0.51370000000000005</v>
      </c>
      <c r="S870" s="14">
        <f>ROUND(R870*L870,2)</f>
        <v>4674.67</v>
      </c>
      <c r="T870" s="15" t="s">
        <v>349</v>
      </c>
      <c r="U870" t="s">
        <v>1</v>
      </c>
    </row>
    <row r="871" spans="1:21" x14ac:dyDescent="0.2">
      <c r="A871" t="s">
        <v>2602</v>
      </c>
      <c r="B871" s="24">
        <v>45719</v>
      </c>
      <c r="C871" s="24">
        <v>45719</v>
      </c>
      <c r="D871" t="s">
        <v>5</v>
      </c>
      <c r="E871" t="s">
        <v>6</v>
      </c>
      <c r="G871" t="s">
        <v>3008</v>
      </c>
      <c r="H871" t="s">
        <v>3193</v>
      </c>
      <c r="I871" t="s">
        <v>3400</v>
      </c>
      <c r="J871" s="11" t="str">
        <f>+LEFT(U871,4)</f>
        <v>BOX-</v>
      </c>
      <c r="K871" t="s">
        <v>10</v>
      </c>
      <c r="L871">
        <v>50</v>
      </c>
      <c r="M871" t="s">
        <v>1472</v>
      </c>
      <c r="N871" t="s">
        <v>11</v>
      </c>
      <c r="O871">
        <v>3.75</v>
      </c>
      <c r="P871" s="12">
        <f>ROUND(O871*L871,2)</f>
        <v>187.5</v>
      </c>
      <c r="Q871" s="13">
        <f>IF(N871="HKD",7.8,IF(N871="CNY",7.30034,1))</f>
        <v>7.3003400000000003</v>
      </c>
      <c r="R871" s="15">
        <f>+ROUND(O871/Q871,4)</f>
        <v>0.51370000000000005</v>
      </c>
      <c r="S871" s="14">
        <f>ROUND(R871*L871,2)</f>
        <v>25.69</v>
      </c>
      <c r="T871" s="15" t="s">
        <v>349</v>
      </c>
      <c r="U871" t="s">
        <v>1</v>
      </c>
    </row>
    <row r="872" spans="1:21" x14ac:dyDescent="0.2">
      <c r="A872" t="s">
        <v>2034</v>
      </c>
      <c r="B872" s="24">
        <v>45727</v>
      </c>
      <c r="C872" s="24">
        <v>45609</v>
      </c>
      <c r="D872" t="s">
        <v>128</v>
      </c>
      <c r="E872" t="s">
        <v>129</v>
      </c>
      <c r="G872" t="s">
        <v>2840</v>
      </c>
      <c r="H872" t="s">
        <v>1744</v>
      </c>
      <c r="I872" t="s">
        <v>1745</v>
      </c>
      <c r="J872" s="11" t="str">
        <f>+LEFT(U872,4)</f>
        <v>HDL-</v>
      </c>
      <c r="K872" t="s">
        <v>10</v>
      </c>
      <c r="L872">
        <v>18</v>
      </c>
      <c r="M872" t="s">
        <v>1472</v>
      </c>
      <c r="N872" t="s">
        <v>11</v>
      </c>
      <c r="O872">
        <v>3.7610000000000001</v>
      </c>
      <c r="P872" s="12">
        <f>ROUND(O872*L872,2)</f>
        <v>67.7</v>
      </c>
      <c r="Q872" s="13">
        <f>IF(N872="HKD",7.8,IF(N872="CNY",7.30034,1))</f>
        <v>7.3003400000000003</v>
      </c>
      <c r="R872" s="15">
        <f>+ROUND(O872/Q872,4)</f>
        <v>0.51519999999999999</v>
      </c>
      <c r="S872" s="14">
        <f>ROUND(R872*L872,2)</f>
        <v>9.27</v>
      </c>
      <c r="T872" s="15" t="s">
        <v>349</v>
      </c>
      <c r="U872" t="s">
        <v>228</v>
      </c>
    </row>
    <row r="873" spans="1:21" x14ac:dyDescent="0.2">
      <c r="A873" t="s">
        <v>2357</v>
      </c>
      <c r="B873" s="24">
        <v>45730</v>
      </c>
      <c r="C873" s="24">
        <v>45680</v>
      </c>
      <c r="D873" t="s">
        <v>569</v>
      </c>
      <c r="E873" t="s">
        <v>570</v>
      </c>
      <c r="G873" t="s">
        <v>2903</v>
      </c>
      <c r="H873" t="s">
        <v>567</v>
      </c>
      <c r="I873" t="s">
        <v>568</v>
      </c>
      <c r="J873" s="11" t="s">
        <v>1505</v>
      </c>
      <c r="K873" t="s">
        <v>10</v>
      </c>
      <c r="L873">
        <v>1200</v>
      </c>
      <c r="M873" t="s">
        <v>1472</v>
      </c>
      <c r="N873" t="s">
        <v>11</v>
      </c>
      <c r="O873">
        <v>3.85</v>
      </c>
      <c r="P873" s="12">
        <f>ROUND(O873*L873,2)</f>
        <v>4620</v>
      </c>
      <c r="Q873" s="13">
        <f>IF(N873="HKD",7.8,IF(N873="CNY",7.30034,1))</f>
        <v>7.3003400000000003</v>
      </c>
      <c r="R873" s="15">
        <f>+ROUND(O873/Q873,4)</f>
        <v>0.52739999999999998</v>
      </c>
      <c r="S873" s="14">
        <f>ROUND(R873*L873,2)</f>
        <v>632.88</v>
      </c>
      <c r="T873" s="15" t="s">
        <v>349</v>
      </c>
      <c r="U873" t="s">
        <v>36</v>
      </c>
    </row>
    <row r="874" spans="1:21" x14ac:dyDescent="0.2">
      <c r="A874" t="s">
        <v>2351</v>
      </c>
      <c r="B874" s="24">
        <v>45735</v>
      </c>
      <c r="C874" s="24">
        <v>45680</v>
      </c>
      <c r="D874" t="s">
        <v>696</v>
      </c>
      <c r="E874" t="s">
        <v>697</v>
      </c>
      <c r="G874" t="s">
        <v>2901</v>
      </c>
      <c r="H874" t="s">
        <v>1537</v>
      </c>
      <c r="I874" t="s">
        <v>1538</v>
      </c>
      <c r="J874" s="11" t="s">
        <v>1536</v>
      </c>
      <c r="K874" t="s">
        <v>10</v>
      </c>
      <c r="L874">
        <v>1050</v>
      </c>
      <c r="M874" t="s">
        <v>1472</v>
      </c>
      <c r="N874" t="s">
        <v>11</v>
      </c>
      <c r="O874">
        <v>3.85</v>
      </c>
      <c r="P874" s="12">
        <f>ROUND(O874*L874,2)</f>
        <v>4042.5</v>
      </c>
      <c r="Q874" s="13">
        <f>IF(N874="HKD",7.8,IF(N874="CNY",7.30034,1))</f>
        <v>7.3003400000000003</v>
      </c>
      <c r="R874" s="15">
        <f>+ROUND(O874/Q874,4)</f>
        <v>0.52739999999999998</v>
      </c>
      <c r="S874" s="14">
        <f>ROUND(R874*L874,2)</f>
        <v>553.77</v>
      </c>
      <c r="T874" s="15" t="s">
        <v>349</v>
      </c>
      <c r="U874" t="s">
        <v>36</v>
      </c>
    </row>
    <row r="875" spans="1:21" x14ac:dyDescent="0.2">
      <c r="A875" t="s">
        <v>2379</v>
      </c>
      <c r="B875" s="24">
        <v>45735</v>
      </c>
      <c r="C875" s="24">
        <v>45695</v>
      </c>
      <c r="D875" t="s">
        <v>696</v>
      </c>
      <c r="E875" t="s">
        <v>697</v>
      </c>
      <c r="G875" t="s">
        <v>2901</v>
      </c>
      <c r="H875" t="s">
        <v>1537</v>
      </c>
      <c r="I875" t="s">
        <v>1538</v>
      </c>
      <c r="J875" s="11" t="s">
        <v>1536</v>
      </c>
      <c r="K875" t="s">
        <v>10</v>
      </c>
      <c r="L875">
        <v>1900</v>
      </c>
      <c r="M875" t="s">
        <v>1472</v>
      </c>
      <c r="N875" t="s">
        <v>11</v>
      </c>
      <c r="O875">
        <v>3.85</v>
      </c>
      <c r="P875" s="12">
        <f>ROUND(O875*L875,2)</f>
        <v>7315</v>
      </c>
      <c r="Q875" s="13">
        <f>IF(N875="HKD",7.8,IF(N875="CNY",7.30034,1))</f>
        <v>7.3003400000000003</v>
      </c>
      <c r="R875" s="15">
        <f>+ROUND(O875/Q875,4)</f>
        <v>0.52739999999999998</v>
      </c>
      <c r="S875" s="14">
        <f>ROUND(R875*L875,2)</f>
        <v>1002.06</v>
      </c>
      <c r="T875" s="15" t="s">
        <v>349</v>
      </c>
      <c r="U875" t="s">
        <v>36</v>
      </c>
    </row>
    <row r="876" spans="1:21" x14ac:dyDescent="0.2">
      <c r="A876" t="s">
        <v>2778</v>
      </c>
      <c r="B876" s="24">
        <v>45735</v>
      </c>
      <c r="C876" s="24">
        <v>45730</v>
      </c>
      <c r="D876" t="s">
        <v>696</v>
      </c>
      <c r="E876" t="s">
        <v>697</v>
      </c>
      <c r="G876" t="s">
        <v>2901</v>
      </c>
      <c r="H876" t="s">
        <v>1537</v>
      </c>
      <c r="I876" t="s">
        <v>1538</v>
      </c>
      <c r="J876" s="11" t="s">
        <v>1536</v>
      </c>
      <c r="K876" t="s">
        <v>10</v>
      </c>
      <c r="L876">
        <v>1000</v>
      </c>
      <c r="M876" t="s">
        <v>1472</v>
      </c>
      <c r="N876" t="s">
        <v>11</v>
      </c>
      <c r="O876">
        <v>3.85</v>
      </c>
      <c r="P876" s="12">
        <f>ROUND(O876*L876,2)</f>
        <v>3850</v>
      </c>
      <c r="Q876" s="13">
        <f>IF(N876="HKD",7.8,IF(N876="CNY",7.30034,1))</f>
        <v>7.3003400000000003</v>
      </c>
      <c r="R876" s="15">
        <f>+ROUND(O876/Q876,4)</f>
        <v>0.52739999999999998</v>
      </c>
      <c r="S876" s="14">
        <f>ROUND(R876*L876,2)</f>
        <v>527.4</v>
      </c>
      <c r="T876" s="15" t="s">
        <v>349</v>
      </c>
      <c r="U876" t="s">
        <v>36</v>
      </c>
    </row>
    <row r="877" spans="1:21" x14ac:dyDescent="0.2">
      <c r="A877" t="s">
        <v>2041</v>
      </c>
      <c r="B877" s="24">
        <v>45722</v>
      </c>
      <c r="C877" s="24">
        <v>45636</v>
      </c>
      <c r="D877" t="s">
        <v>94</v>
      </c>
      <c r="E877" t="s">
        <v>95</v>
      </c>
      <c r="G877" t="s">
        <v>2860</v>
      </c>
      <c r="H877" t="s">
        <v>1750</v>
      </c>
      <c r="I877" t="s">
        <v>1751</v>
      </c>
      <c r="J877" s="11" t="str">
        <f>+LEFT(U877,4)</f>
        <v>LID-</v>
      </c>
      <c r="K877" t="s">
        <v>3481</v>
      </c>
      <c r="L877">
        <v>46</v>
      </c>
      <c r="M877" t="s">
        <v>1472</v>
      </c>
      <c r="N877" t="s">
        <v>11</v>
      </c>
      <c r="O877">
        <v>3.92</v>
      </c>
      <c r="P877" s="12">
        <f>ROUND(O877*L877,2)</f>
        <v>180.32</v>
      </c>
      <c r="Q877" s="13">
        <f>IF(N877="HKD",7.8,IF(N877="CNY",7.30034,1))</f>
        <v>7.3003400000000003</v>
      </c>
      <c r="R877" s="15">
        <f>+ROUND(O877/Q877,4)</f>
        <v>0.53700000000000003</v>
      </c>
      <c r="S877" s="14">
        <f>ROUND(R877*L877,2)</f>
        <v>24.7</v>
      </c>
      <c r="T877" s="15" t="s">
        <v>349</v>
      </c>
      <c r="U877" t="s">
        <v>368</v>
      </c>
    </row>
    <row r="878" spans="1:21" x14ac:dyDescent="0.2">
      <c r="A878" t="s">
        <v>2410</v>
      </c>
      <c r="B878" s="24">
        <v>45722</v>
      </c>
      <c r="C878" s="24">
        <v>45700</v>
      </c>
      <c r="D878" t="s">
        <v>94</v>
      </c>
      <c r="E878" t="s">
        <v>95</v>
      </c>
      <c r="G878" t="s">
        <v>2860</v>
      </c>
      <c r="H878" t="s">
        <v>1750</v>
      </c>
      <c r="I878" t="s">
        <v>1751</v>
      </c>
      <c r="J878" s="11" t="str">
        <f>+LEFT(U878,4)</f>
        <v>LID-</v>
      </c>
      <c r="K878" t="s">
        <v>3481</v>
      </c>
      <c r="L878">
        <v>594</v>
      </c>
      <c r="M878" t="s">
        <v>1472</v>
      </c>
      <c r="N878" t="s">
        <v>11</v>
      </c>
      <c r="O878">
        <v>3.92</v>
      </c>
      <c r="P878" s="12">
        <f>ROUND(O878*L878,2)</f>
        <v>2328.48</v>
      </c>
      <c r="Q878" s="13">
        <f>IF(N878="HKD",7.8,IF(N878="CNY",7.30034,1))</f>
        <v>7.3003400000000003</v>
      </c>
      <c r="R878" s="15">
        <f>+ROUND(O878/Q878,4)</f>
        <v>0.53700000000000003</v>
      </c>
      <c r="S878" s="14">
        <f>ROUND(R878*L878,2)</f>
        <v>318.98</v>
      </c>
      <c r="T878" s="15" t="s">
        <v>349</v>
      </c>
      <c r="U878" t="s">
        <v>368</v>
      </c>
    </row>
    <row r="879" spans="1:21" x14ac:dyDescent="0.2">
      <c r="A879" t="s">
        <v>2325</v>
      </c>
      <c r="B879" s="24">
        <v>45723</v>
      </c>
      <c r="C879" s="24">
        <v>45664</v>
      </c>
      <c r="D879" t="s">
        <v>94</v>
      </c>
      <c r="E879" t="s">
        <v>95</v>
      </c>
      <c r="G879" t="s">
        <v>2882</v>
      </c>
      <c r="H879" t="s">
        <v>1750</v>
      </c>
      <c r="I879" t="s">
        <v>1751</v>
      </c>
      <c r="J879" s="11" t="str">
        <f>+LEFT(U879,4)</f>
        <v>LID-</v>
      </c>
      <c r="K879" t="s">
        <v>3481</v>
      </c>
      <c r="L879">
        <v>990</v>
      </c>
      <c r="M879" t="s">
        <v>1472</v>
      </c>
      <c r="N879" t="s">
        <v>11</v>
      </c>
      <c r="O879">
        <v>3.92</v>
      </c>
      <c r="P879" s="12">
        <f>ROUND(O879*L879,2)</f>
        <v>3880.8</v>
      </c>
      <c r="Q879" s="13">
        <f>IF(N879="HKD",7.8,IF(N879="CNY",7.30034,1))</f>
        <v>7.3003400000000003</v>
      </c>
      <c r="R879" s="15">
        <f>+ROUND(O879/Q879,4)</f>
        <v>0.53700000000000003</v>
      </c>
      <c r="S879" s="14">
        <f>ROUND(R879*L879,2)</f>
        <v>531.63</v>
      </c>
      <c r="T879" s="15" t="s">
        <v>349</v>
      </c>
      <c r="U879" t="s">
        <v>368</v>
      </c>
    </row>
    <row r="880" spans="1:21" x14ac:dyDescent="0.2">
      <c r="A880" t="s">
        <v>2410</v>
      </c>
      <c r="B880" s="24">
        <v>45723</v>
      </c>
      <c r="C880" s="24">
        <v>45700</v>
      </c>
      <c r="D880" t="s">
        <v>94</v>
      </c>
      <c r="E880" t="s">
        <v>95</v>
      </c>
      <c r="G880" t="s">
        <v>2882</v>
      </c>
      <c r="H880" t="s">
        <v>1750</v>
      </c>
      <c r="I880" t="s">
        <v>1751</v>
      </c>
      <c r="J880" s="11" t="str">
        <f>+LEFT(U880,4)</f>
        <v>LID-</v>
      </c>
      <c r="K880" t="s">
        <v>3481</v>
      </c>
      <c r="L880">
        <v>436</v>
      </c>
      <c r="M880" t="s">
        <v>1472</v>
      </c>
      <c r="N880" t="s">
        <v>11</v>
      </c>
      <c r="O880">
        <v>3.92</v>
      </c>
      <c r="P880" s="12">
        <f>ROUND(O880*L880,2)</f>
        <v>1709.12</v>
      </c>
      <c r="Q880" s="13">
        <f>IF(N880="HKD",7.8,IF(N880="CNY",7.30034,1))</f>
        <v>7.3003400000000003</v>
      </c>
      <c r="R880" s="15">
        <f>+ROUND(O880/Q880,4)</f>
        <v>0.53700000000000003</v>
      </c>
      <c r="S880" s="14">
        <f>ROUND(R880*L880,2)</f>
        <v>234.13</v>
      </c>
      <c r="T880" s="15" t="s">
        <v>349</v>
      </c>
      <c r="U880" t="s">
        <v>368</v>
      </c>
    </row>
    <row r="881" spans="1:21" x14ac:dyDescent="0.2">
      <c r="A881" t="s">
        <v>2532</v>
      </c>
      <c r="B881" s="24">
        <v>45737</v>
      </c>
      <c r="C881" s="24">
        <v>45714</v>
      </c>
      <c r="D881" t="s">
        <v>94</v>
      </c>
      <c r="E881" t="s">
        <v>95</v>
      </c>
      <c r="G881" t="s">
        <v>2966</v>
      </c>
      <c r="H881" t="s">
        <v>3163</v>
      </c>
      <c r="I881" t="s">
        <v>3373</v>
      </c>
      <c r="J881" s="11" t="str">
        <f>+LEFT(U881,4)</f>
        <v>LID-</v>
      </c>
      <c r="K881" t="s">
        <v>98</v>
      </c>
      <c r="L881">
        <v>856</v>
      </c>
      <c r="M881" t="s">
        <v>1472</v>
      </c>
      <c r="N881" t="s">
        <v>11</v>
      </c>
      <c r="O881">
        <v>3.95</v>
      </c>
      <c r="P881" s="12">
        <f>ROUND(O881*L881,2)</f>
        <v>3381.2</v>
      </c>
      <c r="Q881" s="13">
        <f>IF(N881="HKD",7.8,IF(N881="CNY",7.30034,1))</f>
        <v>7.3003400000000003</v>
      </c>
      <c r="R881" s="15">
        <f>+ROUND(O881/Q881,4)</f>
        <v>0.54110000000000003</v>
      </c>
      <c r="S881" s="14">
        <f>ROUND(R881*L881,2)</f>
        <v>463.18</v>
      </c>
      <c r="T881" s="15" t="s">
        <v>349</v>
      </c>
      <c r="U881" t="s">
        <v>368</v>
      </c>
    </row>
    <row r="882" spans="1:21" x14ac:dyDescent="0.2">
      <c r="A882" t="s">
        <v>2532</v>
      </c>
      <c r="B882" s="24">
        <v>45737</v>
      </c>
      <c r="C882" s="24">
        <v>45714</v>
      </c>
      <c r="D882" t="s">
        <v>94</v>
      </c>
      <c r="E882" t="s">
        <v>95</v>
      </c>
      <c r="G882" t="s">
        <v>2967</v>
      </c>
      <c r="H882" t="s">
        <v>3163</v>
      </c>
      <c r="I882" t="s">
        <v>3373</v>
      </c>
      <c r="J882" s="11" t="str">
        <f>+LEFT(U882,4)</f>
        <v>LID-</v>
      </c>
      <c r="K882" t="s">
        <v>98</v>
      </c>
      <c r="L882">
        <v>900</v>
      </c>
      <c r="M882" t="s">
        <v>1472</v>
      </c>
      <c r="N882" t="s">
        <v>11</v>
      </c>
      <c r="O882">
        <v>3.95</v>
      </c>
      <c r="P882" s="12">
        <f>ROUND(O882*L882,2)</f>
        <v>3555</v>
      </c>
      <c r="Q882" s="13">
        <f>IF(N882="HKD",7.8,IF(N882="CNY",7.30034,1))</f>
        <v>7.3003400000000003</v>
      </c>
      <c r="R882" s="15">
        <f>+ROUND(O882/Q882,4)</f>
        <v>0.54110000000000003</v>
      </c>
      <c r="S882" s="14">
        <f>ROUND(R882*L882,2)</f>
        <v>486.99</v>
      </c>
      <c r="T882" s="15" t="s">
        <v>349</v>
      </c>
      <c r="U882" t="s">
        <v>368</v>
      </c>
    </row>
    <row r="883" spans="1:21" x14ac:dyDescent="0.2">
      <c r="A883" s="19" t="s">
        <v>1003</v>
      </c>
      <c r="B883" s="20">
        <v>45664</v>
      </c>
      <c r="C883" s="20">
        <v>45609</v>
      </c>
      <c r="D883" s="19" t="s">
        <v>94</v>
      </c>
      <c r="E883" s="19" t="s">
        <v>95</v>
      </c>
      <c r="G883" s="19" t="s">
        <v>1000</v>
      </c>
      <c r="H883" s="19" t="s">
        <v>1001</v>
      </c>
      <c r="I883" s="19" t="s">
        <v>1002</v>
      </c>
      <c r="J883" s="11" t="str">
        <f>+LEFT(U883,4)</f>
        <v>LID-</v>
      </c>
      <c r="K883" s="19" t="s">
        <v>98</v>
      </c>
      <c r="L883" s="19">
        <v>1030</v>
      </c>
      <c r="M883" s="19" t="s">
        <v>1472</v>
      </c>
      <c r="N883" s="19" t="s">
        <v>11</v>
      </c>
      <c r="O883" s="26">
        <v>3.42</v>
      </c>
      <c r="P883" s="12">
        <f>ROUND(O883*L883,2)</f>
        <v>3522.6</v>
      </c>
      <c r="Q883" s="13">
        <f>IF(N883="HKD",7.8,IF(N883="CNY",7.30034,1))</f>
        <v>7.3003400000000003</v>
      </c>
      <c r="R883" s="15">
        <f>+ROUND(O883/Q883,4)</f>
        <v>0.46850000000000003</v>
      </c>
      <c r="S883" s="14">
        <f>ROUND(R883*L883,2)</f>
        <v>482.56</v>
      </c>
      <c r="T883" s="15" t="s">
        <v>349</v>
      </c>
      <c r="U883" s="19" t="s">
        <v>368</v>
      </c>
    </row>
    <row r="884" spans="1:21" x14ac:dyDescent="0.2">
      <c r="A884" s="19" t="s">
        <v>999</v>
      </c>
      <c r="B884" s="20">
        <v>45664</v>
      </c>
      <c r="C884" s="20">
        <v>45609</v>
      </c>
      <c r="D884" s="19" t="s">
        <v>94</v>
      </c>
      <c r="E884" s="19" t="s">
        <v>95</v>
      </c>
      <c r="G884" s="19" t="s">
        <v>1000</v>
      </c>
      <c r="H884" s="19" t="s">
        <v>997</v>
      </c>
      <c r="I884" s="19" t="s">
        <v>998</v>
      </c>
      <c r="J884" s="11" t="str">
        <f>+LEFT(U884,4)</f>
        <v>LID-</v>
      </c>
      <c r="K884" s="19" t="s">
        <v>98</v>
      </c>
      <c r="L884" s="19">
        <v>1030</v>
      </c>
      <c r="M884" s="19" t="s">
        <v>1472</v>
      </c>
      <c r="N884" s="19" t="s">
        <v>11</v>
      </c>
      <c r="O884" s="26">
        <v>3.64</v>
      </c>
      <c r="P884" s="12">
        <f>ROUND(O884*L884,2)</f>
        <v>3749.2</v>
      </c>
      <c r="Q884" s="13">
        <f>IF(N884="HKD",7.8,IF(N884="CNY",7.30034,1))</f>
        <v>7.3003400000000003</v>
      </c>
      <c r="R884" s="15">
        <f>+ROUND(O884/Q884,4)</f>
        <v>0.49859999999999999</v>
      </c>
      <c r="S884" s="14">
        <f>ROUND(R884*L884,2)</f>
        <v>513.55999999999995</v>
      </c>
      <c r="T884" s="15" t="s">
        <v>349</v>
      </c>
      <c r="U884" s="19" t="s">
        <v>368</v>
      </c>
    </row>
    <row r="885" spans="1:21" x14ac:dyDescent="0.2">
      <c r="A885" s="19" t="s">
        <v>934</v>
      </c>
      <c r="B885" s="20">
        <v>45665</v>
      </c>
      <c r="C885" s="20">
        <v>45609</v>
      </c>
      <c r="D885" s="19" t="s">
        <v>830</v>
      </c>
      <c r="E885" s="19" t="s">
        <v>831</v>
      </c>
      <c r="G885" s="19" t="s">
        <v>931</v>
      </c>
      <c r="H885" s="19" t="s">
        <v>932</v>
      </c>
      <c r="I885" s="19" t="s">
        <v>933</v>
      </c>
      <c r="J885" s="11" t="str">
        <f>+LEFT(U885,4)</f>
        <v>LID-</v>
      </c>
      <c r="K885" s="19" t="s">
        <v>369</v>
      </c>
      <c r="L885" s="19">
        <v>730</v>
      </c>
      <c r="M885" s="19" t="s">
        <v>1472</v>
      </c>
      <c r="N885" s="19" t="s">
        <v>11</v>
      </c>
      <c r="O885" s="26">
        <v>7.8</v>
      </c>
      <c r="P885" s="12">
        <f>ROUND(O885*L885,2)</f>
        <v>5694</v>
      </c>
      <c r="Q885" s="13">
        <f>IF(N885="HKD",7.8,IF(N885="CNY",7.30034,1))</f>
        <v>7.3003400000000003</v>
      </c>
      <c r="R885" s="15">
        <f>+ROUND(O885/Q885,4)</f>
        <v>1.0684</v>
      </c>
      <c r="S885" s="14">
        <f>ROUND(R885*L885,2)</f>
        <v>779.93</v>
      </c>
      <c r="T885" s="15" t="s">
        <v>349</v>
      </c>
      <c r="U885" s="19" t="s">
        <v>368</v>
      </c>
    </row>
    <row r="886" spans="1:21" x14ac:dyDescent="0.2">
      <c r="A886" s="19" t="s">
        <v>930</v>
      </c>
      <c r="B886" s="20">
        <v>45665</v>
      </c>
      <c r="C886" s="20">
        <v>45609</v>
      </c>
      <c r="D886" s="19" t="s">
        <v>830</v>
      </c>
      <c r="E886" s="19" t="s">
        <v>831</v>
      </c>
      <c r="G886" s="19" t="s">
        <v>931</v>
      </c>
      <c r="H886" s="19" t="s">
        <v>928</v>
      </c>
      <c r="I886" s="19" t="s">
        <v>929</v>
      </c>
      <c r="J886" s="11" t="str">
        <f>+LEFT(U886,4)</f>
        <v>LID-</v>
      </c>
      <c r="K886" s="19" t="s">
        <v>369</v>
      </c>
      <c r="L886" s="19">
        <v>1330</v>
      </c>
      <c r="M886" s="19" t="s">
        <v>1472</v>
      </c>
      <c r="N886" s="19" t="s">
        <v>11</v>
      </c>
      <c r="O886" s="26">
        <v>7.8</v>
      </c>
      <c r="P886" s="12">
        <f>ROUND(O886*L886,2)</f>
        <v>10374</v>
      </c>
      <c r="Q886" s="13">
        <f>IF(N886="HKD",7.8,IF(N886="CNY",7.30034,1))</f>
        <v>7.3003400000000003</v>
      </c>
      <c r="R886" s="15">
        <f>+ROUND(O886/Q886,4)</f>
        <v>1.0684</v>
      </c>
      <c r="S886" s="14">
        <f>ROUND(R886*L886,2)</f>
        <v>1420.97</v>
      </c>
      <c r="T886" s="15" t="s">
        <v>349</v>
      </c>
      <c r="U886" s="19" t="s">
        <v>368</v>
      </c>
    </row>
    <row r="887" spans="1:21" x14ac:dyDescent="0.2">
      <c r="A887" s="19" t="s">
        <v>366</v>
      </c>
      <c r="B887" s="20">
        <v>45671</v>
      </c>
      <c r="C887" s="20">
        <v>45638</v>
      </c>
      <c r="D887" s="19" t="s">
        <v>94</v>
      </c>
      <c r="E887" s="19" t="s">
        <v>95</v>
      </c>
      <c r="G887" s="19" t="s">
        <v>367</v>
      </c>
      <c r="H887" s="19" t="s">
        <v>364</v>
      </c>
      <c r="I887" s="19" t="s">
        <v>365</v>
      </c>
      <c r="J887" s="11" t="str">
        <f>+LEFT(U887,4)</f>
        <v>LID-</v>
      </c>
      <c r="K887" s="19" t="s">
        <v>369</v>
      </c>
      <c r="L887" s="19">
        <v>1030</v>
      </c>
      <c r="M887" s="19" t="s">
        <v>1472</v>
      </c>
      <c r="N887" s="19" t="s">
        <v>11</v>
      </c>
      <c r="O887" s="26">
        <v>3.32</v>
      </c>
      <c r="P887" s="12">
        <f>ROUND(O887*L887,2)</f>
        <v>3419.6</v>
      </c>
      <c r="Q887" s="13">
        <f>IF(N887="HKD",7.8,IF(N887="CNY",7.30034,1))</f>
        <v>7.3003400000000003</v>
      </c>
      <c r="R887" s="15">
        <f>+ROUND(O887/Q887,4)</f>
        <v>0.45479999999999998</v>
      </c>
      <c r="S887" s="14">
        <f>ROUND(R887*L887,2)</f>
        <v>468.44</v>
      </c>
      <c r="T887" s="15" t="s">
        <v>349</v>
      </c>
      <c r="U887" s="19" t="s">
        <v>368</v>
      </c>
    </row>
    <row r="888" spans="1:21" x14ac:dyDescent="0.2">
      <c r="A888" t="s">
        <v>2032</v>
      </c>
      <c r="B888" s="24">
        <v>45698</v>
      </c>
      <c r="C888" s="24">
        <v>45636</v>
      </c>
      <c r="D888" t="s">
        <v>94</v>
      </c>
      <c r="E888" t="s">
        <v>95</v>
      </c>
      <c r="G888" t="s">
        <v>2198</v>
      </c>
      <c r="H888" s="19" t="s">
        <v>1742</v>
      </c>
      <c r="I888" s="19" t="s">
        <v>1743</v>
      </c>
      <c r="J888" s="11" t="str">
        <f>+LEFT(U888,4)</f>
        <v>LID-</v>
      </c>
      <c r="K888" t="s">
        <v>369</v>
      </c>
      <c r="L888" s="19">
        <v>3090</v>
      </c>
      <c r="M888" t="s">
        <v>1472</v>
      </c>
      <c r="N888" t="s">
        <v>11</v>
      </c>
      <c r="O888" s="26">
        <v>3.75</v>
      </c>
      <c r="P888" s="12">
        <f>ROUND(O888*L888,2)</f>
        <v>11587.5</v>
      </c>
      <c r="Q888" s="13">
        <f>IF(N888="HKD",7.8,IF(N888="CNY",7.30034,1))</f>
        <v>7.3003400000000003</v>
      </c>
      <c r="R888" s="15">
        <f>+ROUND(O888/Q888,4)</f>
        <v>0.51370000000000005</v>
      </c>
      <c r="S888" s="14">
        <f>ROUND(R888*L888,2)</f>
        <v>1587.33</v>
      </c>
      <c r="T888" s="15" t="s">
        <v>349</v>
      </c>
      <c r="U888" t="s">
        <v>368</v>
      </c>
    </row>
    <row r="889" spans="1:21" x14ac:dyDescent="0.2">
      <c r="A889" t="s">
        <v>2033</v>
      </c>
      <c r="B889" s="24">
        <v>45698</v>
      </c>
      <c r="C889" s="24">
        <v>45636</v>
      </c>
      <c r="D889" t="s">
        <v>94</v>
      </c>
      <c r="E889" t="s">
        <v>95</v>
      </c>
      <c r="G889" t="s">
        <v>2198</v>
      </c>
      <c r="H889" s="19" t="s">
        <v>1742</v>
      </c>
      <c r="I889" s="19" t="s">
        <v>1743</v>
      </c>
      <c r="J889" s="11" t="str">
        <f>+LEFT(U889,4)</f>
        <v>LID-</v>
      </c>
      <c r="K889" t="s">
        <v>369</v>
      </c>
      <c r="L889" s="19">
        <v>1030</v>
      </c>
      <c r="M889" t="s">
        <v>1472</v>
      </c>
      <c r="N889" t="s">
        <v>11</v>
      </c>
      <c r="O889" s="26">
        <v>3.75</v>
      </c>
      <c r="P889" s="12">
        <f>ROUND(O889*L889,2)</f>
        <v>3862.5</v>
      </c>
      <c r="Q889" s="13">
        <f>IF(N889="HKD",7.8,IF(N889="CNY",7.30034,1))</f>
        <v>7.3003400000000003</v>
      </c>
      <c r="R889" s="15">
        <f>+ROUND(O889/Q889,4)</f>
        <v>0.51370000000000005</v>
      </c>
      <c r="S889" s="14">
        <f>ROUND(R889*L889,2)</f>
        <v>529.11</v>
      </c>
      <c r="T889" s="15" t="s">
        <v>349</v>
      </c>
      <c r="U889" t="s">
        <v>368</v>
      </c>
    </row>
    <row r="890" spans="1:21" x14ac:dyDescent="0.2">
      <c r="A890" t="s">
        <v>2017</v>
      </c>
      <c r="B890" s="24">
        <v>45705</v>
      </c>
      <c r="C890" s="24">
        <v>45636</v>
      </c>
      <c r="D890" t="s">
        <v>94</v>
      </c>
      <c r="E890" t="s">
        <v>95</v>
      </c>
      <c r="G890" t="s">
        <v>2193</v>
      </c>
      <c r="H890" s="19" t="s">
        <v>1001</v>
      </c>
      <c r="I890" s="19" t="s">
        <v>1002</v>
      </c>
      <c r="J890" s="11" t="str">
        <f>+LEFT(U890,4)</f>
        <v>LID-</v>
      </c>
      <c r="K890" t="s">
        <v>369</v>
      </c>
      <c r="L890" s="19">
        <v>3360</v>
      </c>
      <c r="M890" t="s">
        <v>1472</v>
      </c>
      <c r="N890" t="s">
        <v>11</v>
      </c>
      <c r="O890" s="26">
        <v>3.42</v>
      </c>
      <c r="P890" s="12">
        <f>ROUND(O890*L890,2)</f>
        <v>11491.2</v>
      </c>
      <c r="Q890" s="13">
        <f>IF(N890="HKD",7.8,IF(N890="CNY",7.30034,1))</f>
        <v>7.3003400000000003</v>
      </c>
      <c r="R890" s="15">
        <f>+ROUND(O890/Q890,4)</f>
        <v>0.46850000000000003</v>
      </c>
      <c r="S890" s="14">
        <f>ROUND(R890*L890,2)</f>
        <v>1574.16</v>
      </c>
      <c r="T890" s="15" t="s">
        <v>349</v>
      </c>
      <c r="U890" t="s">
        <v>368</v>
      </c>
    </row>
    <row r="891" spans="1:21" x14ac:dyDescent="0.2">
      <c r="A891" t="s">
        <v>2017</v>
      </c>
      <c r="B891" s="24">
        <v>45707</v>
      </c>
      <c r="C891" s="24">
        <v>45636</v>
      </c>
      <c r="D891" t="s">
        <v>94</v>
      </c>
      <c r="E891" t="s">
        <v>95</v>
      </c>
      <c r="G891" t="s">
        <v>2192</v>
      </c>
      <c r="H891" s="19" t="s">
        <v>1001</v>
      </c>
      <c r="I891" s="19" t="s">
        <v>1002</v>
      </c>
      <c r="J891" s="11" t="str">
        <f>+LEFT(U891,4)</f>
        <v>LID-</v>
      </c>
      <c r="K891" t="s">
        <v>369</v>
      </c>
      <c r="L891" s="19">
        <v>760</v>
      </c>
      <c r="M891" t="s">
        <v>1472</v>
      </c>
      <c r="N891" t="s">
        <v>11</v>
      </c>
      <c r="O891" s="26">
        <v>3.42</v>
      </c>
      <c r="P891" s="12">
        <f>ROUND(O891*L891,2)</f>
        <v>2599.1999999999998</v>
      </c>
      <c r="Q891" s="13">
        <f>IF(N891="HKD",7.8,IF(N891="CNY",7.30034,1))</f>
        <v>7.3003400000000003</v>
      </c>
      <c r="R891" s="15">
        <f>+ROUND(O891/Q891,4)</f>
        <v>0.46850000000000003</v>
      </c>
      <c r="S891" s="14">
        <f>ROUND(R891*L891,2)</f>
        <v>356.06</v>
      </c>
      <c r="T891" s="15" t="s">
        <v>349</v>
      </c>
      <c r="U891" t="s">
        <v>368</v>
      </c>
    </row>
    <row r="892" spans="1:21" x14ac:dyDescent="0.2">
      <c r="A892" t="s">
        <v>2018</v>
      </c>
      <c r="B892" s="24">
        <v>45707</v>
      </c>
      <c r="C892" s="24">
        <v>45636</v>
      </c>
      <c r="D892" t="s">
        <v>94</v>
      </c>
      <c r="E892" t="s">
        <v>95</v>
      </c>
      <c r="G892" t="s">
        <v>2192</v>
      </c>
      <c r="H892" s="19" t="s">
        <v>1001</v>
      </c>
      <c r="I892" s="19" t="s">
        <v>1002</v>
      </c>
      <c r="J892" s="11" t="str">
        <f>+LEFT(U892,4)</f>
        <v>LID-</v>
      </c>
      <c r="K892" t="s">
        <v>369</v>
      </c>
      <c r="L892" s="19">
        <v>1030</v>
      </c>
      <c r="M892" t="s">
        <v>1472</v>
      </c>
      <c r="N892" t="s">
        <v>11</v>
      </c>
      <c r="O892" s="26">
        <v>3.42</v>
      </c>
      <c r="P892" s="12">
        <f>ROUND(O892*L892,2)</f>
        <v>3522.6</v>
      </c>
      <c r="Q892" s="13">
        <f>IF(N892="HKD",7.8,IF(N892="CNY",7.30034,1))</f>
        <v>7.3003400000000003</v>
      </c>
      <c r="R892" s="15">
        <f>+ROUND(O892/Q892,4)</f>
        <v>0.46850000000000003</v>
      </c>
      <c r="S892" s="14">
        <f>ROUND(R892*L892,2)</f>
        <v>482.56</v>
      </c>
      <c r="T892" s="15" t="s">
        <v>349</v>
      </c>
      <c r="U892" t="s">
        <v>368</v>
      </c>
    </row>
    <row r="893" spans="1:21" x14ac:dyDescent="0.2">
      <c r="A893" t="s">
        <v>2020</v>
      </c>
      <c r="B893" s="24">
        <v>45707</v>
      </c>
      <c r="C893" s="24">
        <v>45636</v>
      </c>
      <c r="D893" t="s">
        <v>94</v>
      </c>
      <c r="E893" t="s">
        <v>95</v>
      </c>
      <c r="G893" t="s">
        <v>2192</v>
      </c>
      <c r="H893" s="19" t="s">
        <v>1734</v>
      </c>
      <c r="I893" s="19" t="s">
        <v>1735</v>
      </c>
      <c r="J893" s="11" t="str">
        <f>+LEFT(U893,4)</f>
        <v>LID-</v>
      </c>
      <c r="K893" t="s">
        <v>369</v>
      </c>
      <c r="L893" s="19">
        <v>1680</v>
      </c>
      <c r="M893" t="s">
        <v>1472</v>
      </c>
      <c r="N893" t="s">
        <v>11</v>
      </c>
      <c r="O893" s="26">
        <v>3.53</v>
      </c>
      <c r="P893" s="12">
        <f>ROUND(O893*L893,2)</f>
        <v>5930.4</v>
      </c>
      <c r="Q893" s="13">
        <f>IF(N893="HKD",7.8,IF(N893="CNY",7.30034,1))</f>
        <v>7.3003400000000003</v>
      </c>
      <c r="R893" s="15">
        <f>+ROUND(O893/Q893,4)</f>
        <v>0.48349999999999999</v>
      </c>
      <c r="S893" s="14">
        <f>ROUND(R893*L893,2)</f>
        <v>812.28</v>
      </c>
      <c r="T893" s="15" t="s">
        <v>349</v>
      </c>
      <c r="U893" t="s">
        <v>368</v>
      </c>
    </row>
    <row r="894" spans="1:21" x14ac:dyDescent="0.2">
      <c r="A894" t="s">
        <v>2030</v>
      </c>
      <c r="B894" s="24">
        <v>45707</v>
      </c>
      <c r="C894" s="24">
        <v>45636</v>
      </c>
      <c r="D894" t="s">
        <v>94</v>
      </c>
      <c r="E894" t="s">
        <v>95</v>
      </c>
      <c r="G894" t="s">
        <v>2192</v>
      </c>
      <c r="H894" s="19" t="s">
        <v>997</v>
      </c>
      <c r="I894" s="19" t="s">
        <v>998</v>
      </c>
      <c r="J894" s="11" t="str">
        <f>+LEFT(U894,4)</f>
        <v>LID-</v>
      </c>
      <c r="K894" t="s">
        <v>369</v>
      </c>
      <c r="L894" s="19">
        <v>1200</v>
      </c>
      <c r="M894" t="s">
        <v>1472</v>
      </c>
      <c r="N894" t="s">
        <v>11</v>
      </c>
      <c r="O894" s="26">
        <v>3.64</v>
      </c>
      <c r="P894" s="12">
        <f>ROUND(O894*L894,2)</f>
        <v>4368</v>
      </c>
      <c r="Q894" s="13">
        <f>IF(N894="HKD",7.8,IF(N894="CNY",7.30034,1))</f>
        <v>7.3003400000000003</v>
      </c>
      <c r="R894" s="15">
        <f>+ROUND(O894/Q894,4)</f>
        <v>0.49859999999999999</v>
      </c>
      <c r="S894" s="14">
        <f>ROUND(R894*L894,2)</f>
        <v>598.32000000000005</v>
      </c>
      <c r="T894" s="15" t="s">
        <v>349</v>
      </c>
      <c r="U894" t="s">
        <v>368</v>
      </c>
    </row>
    <row r="895" spans="1:21" x14ac:dyDescent="0.2">
      <c r="A895" t="s">
        <v>2020</v>
      </c>
      <c r="B895" s="24">
        <v>45708</v>
      </c>
      <c r="C895" s="24">
        <v>45636</v>
      </c>
      <c r="D895" t="s">
        <v>94</v>
      </c>
      <c r="E895" t="s">
        <v>95</v>
      </c>
      <c r="G895" t="s">
        <v>2194</v>
      </c>
      <c r="H895" s="19" t="s">
        <v>1734</v>
      </c>
      <c r="I895" s="19" t="s">
        <v>1735</v>
      </c>
      <c r="J895" s="11" t="str">
        <f>+LEFT(U895,4)</f>
        <v>LID-</v>
      </c>
      <c r="K895" t="s">
        <v>369</v>
      </c>
      <c r="L895" s="19">
        <v>1410</v>
      </c>
      <c r="M895" t="s">
        <v>1472</v>
      </c>
      <c r="N895" t="s">
        <v>11</v>
      </c>
      <c r="O895" s="26">
        <v>3.53</v>
      </c>
      <c r="P895" s="12">
        <f>ROUND(O895*L895,2)</f>
        <v>4977.3</v>
      </c>
      <c r="Q895" s="13">
        <f>IF(N895="HKD",7.8,IF(N895="CNY",7.30034,1))</f>
        <v>7.3003400000000003</v>
      </c>
      <c r="R895" s="15">
        <f>+ROUND(O895/Q895,4)</f>
        <v>0.48349999999999999</v>
      </c>
      <c r="S895" s="14">
        <f>ROUND(R895*L895,2)</f>
        <v>681.74</v>
      </c>
      <c r="T895" s="15" t="s">
        <v>349</v>
      </c>
      <c r="U895" t="s">
        <v>368</v>
      </c>
    </row>
    <row r="896" spans="1:21" x14ac:dyDescent="0.2">
      <c r="A896" t="s">
        <v>2021</v>
      </c>
      <c r="B896" s="24">
        <v>45708</v>
      </c>
      <c r="C896" s="24">
        <v>45636</v>
      </c>
      <c r="D896" t="s">
        <v>94</v>
      </c>
      <c r="E896" t="s">
        <v>95</v>
      </c>
      <c r="G896" t="s">
        <v>2194</v>
      </c>
      <c r="H896" s="19" t="s">
        <v>1734</v>
      </c>
      <c r="I896" s="19" t="s">
        <v>1735</v>
      </c>
      <c r="J896" s="11" t="str">
        <f>+LEFT(U896,4)</f>
        <v>LID-</v>
      </c>
      <c r="K896" t="s">
        <v>369</v>
      </c>
      <c r="L896" s="19">
        <v>1030</v>
      </c>
      <c r="M896" t="s">
        <v>1472</v>
      </c>
      <c r="N896" t="s">
        <v>11</v>
      </c>
      <c r="O896" s="26">
        <v>3.53</v>
      </c>
      <c r="P896" s="12">
        <f>ROUND(O896*L896,2)</f>
        <v>3635.9</v>
      </c>
      <c r="Q896" s="13">
        <f>IF(N896="HKD",7.8,IF(N896="CNY",7.30034,1))</f>
        <v>7.3003400000000003</v>
      </c>
      <c r="R896" s="15">
        <f>+ROUND(O896/Q896,4)</f>
        <v>0.48349999999999999</v>
      </c>
      <c r="S896" s="14">
        <f>ROUND(R896*L896,2)</f>
        <v>498.01</v>
      </c>
      <c r="T896" s="15" t="s">
        <v>349</v>
      </c>
      <c r="U896" t="s">
        <v>368</v>
      </c>
    </row>
    <row r="897" spans="1:21" x14ac:dyDescent="0.2">
      <c r="A897" t="s">
        <v>2030</v>
      </c>
      <c r="B897" s="24">
        <v>45709</v>
      </c>
      <c r="C897" s="24">
        <v>45636</v>
      </c>
      <c r="D897" t="s">
        <v>94</v>
      </c>
      <c r="E897" t="s">
        <v>95</v>
      </c>
      <c r="G897" t="s">
        <v>2196</v>
      </c>
      <c r="H897" s="19" t="s">
        <v>997</v>
      </c>
      <c r="I897" s="19" t="s">
        <v>998</v>
      </c>
      <c r="J897" s="11" t="str">
        <f>+LEFT(U897,4)</f>
        <v>LID-</v>
      </c>
      <c r="K897" t="s">
        <v>369</v>
      </c>
      <c r="L897" s="19">
        <v>860</v>
      </c>
      <c r="M897" t="s">
        <v>1472</v>
      </c>
      <c r="N897" t="s">
        <v>11</v>
      </c>
      <c r="O897" s="26">
        <v>3.64</v>
      </c>
      <c r="P897" s="12">
        <f>ROUND(O897*L897,2)</f>
        <v>3130.4</v>
      </c>
      <c r="Q897" s="13">
        <f>IF(N897="HKD",7.8,IF(N897="CNY",7.30034,1))</f>
        <v>7.3003400000000003</v>
      </c>
      <c r="R897" s="15">
        <f>+ROUND(O897/Q897,4)</f>
        <v>0.49859999999999999</v>
      </c>
      <c r="S897" s="14">
        <f>ROUND(R897*L897,2)</f>
        <v>428.8</v>
      </c>
      <c r="T897" s="15" t="s">
        <v>349</v>
      </c>
      <c r="U897" t="s">
        <v>368</v>
      </c>
    </row>
    <row r="898" spans="1:21" x14ac:dyDescent="0.2">
      <c r="A898" t="s">
        <v>2031</v>
      </c>
      <c r="B898" s="24">
        <v>45709</v>
      </c>
      <c r="C898" s="24">
        <v>45636</v>
      </c>
      <c r="D898" t="s">
        <v>94</v>
      </c>
      <c r="E898" t="s">
        <v>95</v>
      </c>
      <c r="G898" t="s">
        <v>2196</v>
      </c>
      <c r="H898" s="19" t="s">
        <v>997</v>
      </c>
      <c r="I898" s="19" t="s">
        <v>998</v>
      </c>
      <c r="J898" s="11" t="str">
        <f>+LEFT(U898,4)</f>
        <v>LID-</v>
      </c>
      <c r="K898" t="s">
        <v>369</v>
      </c>
      <c r="L898" s="19">
        <v>1840</v>
      </c>
      <c r="M898" t="s">
        <v>1472</v>
      </c>
      <c r="N898" t="s">
        <v>11</v>
      </c>
      <c r="O898" s="26">
        <v>3.64</v>
      </c>
      <c r="P898" s="12">
        <f>ROUND(O898*L898,2)</f>
        <v>6697.6</v>
      </c>
      <c r="Q898" s="13">
        <f>IF(N898="HKD",7.8,IF(N898="CNY",7.30034,1))</f>
        <v>7.3003400000000003</v>
      </c>
      <c r="R898" s="15">
        <f>+ROUND(O898/Q898,4)</f>
        <v>0.49859999999999999</v>
      </c>
      <c r="S898" s="14">
        <f>ROUND(R898*L898,2)</f>
        <v>917.42</v>
      </c>
      <c r="T898" s="15" t="s">
        <v>349</v>
      </c>
      <c r="U898" t="s">
        <v>368</v>
      </c>
    </row>
    <row r="899" spans="1:21" x14ac:dyDescent="0.2">
      <c r="A899" t="s">
        <v>2031</v>
      </c>
      <c r="B899" s="24">
        <v>45712</v>
      </c>
      <c r="C899" s="24">
        <v>45636</v>
      </c>
      <c r="D899" t="s">
        <v>94</v>
      </c>
      <c r="E899" t="s">
        <v>95</v>
      </c>
      <c r="G899" t="s">
        <v>2197</v>
      </c>
      <c r="H899" s="19" t="s">
        <v>997</v>
      </c>
      <c r="I899" s="19" t="s">
        <v>998</v>
      </c>
      <c r="J899" s="11" t="str">
        <f>+LEFT(U899,4)</f>
        <v>LID-</v>
      </c>
      <c r="K899" t="s">
        <v>369</v>
      </c>
      <c r="L899" s="19">
        <v>1250</v>
      </c>
      <c r="M899" t="s">
        <v>1472</v>
      </c>
      <c r="N899" t="s">
        <v>11</v>
      </c>
      <c r="O899" s="26">
        <v>3.64</v>
      </c>
      <c r="P899" s="12">
        <f>ROUND(O899*L899,2)</f>
        <v>4550</v>
      </c>
      <c r="Q899" s="13">
        <f>IF(N899="HKD",7.8,IF(N899="CNY",7.30034,1))</f>
        <v>7.3003400000000003</v>
      </c>
      <c r="R899" s="15">
        <f>+ROUND(O899/Q899,4)</f>
        <v>0.49859999999999999</v>
      </c>
      <c r="S899" s="14">
        <f>ROUND(R899*L899,2)</f>
        <v>623.25</v>
      </c>
      <c r="T899" s="15" t="s">
        <v>349</v>
      </c>
      <c r="U899" t="s">
        <v>368</v>
      </c>
    </row>
    <row r="900" spans="1:21" x14ac:dyDescent="0.2">
      <c r="A900" t="s">
        <v>2040</v>
      </c>
      <c r="B900" s="24">
        <v>45714</v>
      </c>
      <c r="C900" s="24">
        <v>45636</v>
      </c>
      <c r="D900" t="s">
        <v>94</v>
      </c>
      <c r="E900" t="s">
        <v>95</v>
      </c>
      <c r="G900" t="s">
        <v>2203</v>
      </c>
      <c r="H900" s="19" t="s">
        <v>1750</v>
      </c>
      <c r="I900" s="19" t="s">
        <v>1751</v>
      </c>
      <c r="J900" s="11" t="str">
        <f>+LEFT(U900,4)</f>
        <v>LID-</v>
      </c>
      <c r="K900" t="s">
        <v>369</v>
      </c>
      <c r="L900" s="19">
        <v>640</v>
      </c>
      <c r="M900" t="s">
        <v>1472</v>
      </c>
      <c r="N900" t="s">
        <v>11</v>
      </c>
      <c r="O900" s="26">
        <v>3.92</v>
      </c>
      <c r="P900" s="12">
        <f>ROUND(O900*L900,2)</f>
        <v>2508.8000000000002</v>
      </c>
      <c r="Q900" s="13">
        <f>IF(N900="HKD",7.8,IF(N900="CNY",7.30034,1))</f>
        <v>7.3003400000000003</v>
      </c>
      <c r="R900" s="15">
        <f>+ROUND(O900/Q900,4)</f>
        <v>0.53700000000000003</v>
      </c>
      <c r="S900" s="14">
        <f>ROUND(R900*L900,2)</f>
        <v>343.68</v>
      </c>
      <c r="T900" s="15" t="s">
        <v>349</v>
      </c>
      <c r="U900" t="s">
        <v>368</v>
      </c>
    </row>
    <row r="901" spans="1:21" x14ac:dyDescent="0.2">
      <c r="A901" t="s">
        <v>2042</v>
      </c>
      <c r="B901" s="24">
        <v>45714</v>
      </c>
      <c r="C901" s="24">
        <v>45576</v>
      </c>
      <c r="D901" t="s">
        <v>94</v>
      </c>
      <c r="E901" t="s">
        <v>95</v>
      </c>
      <c r="G901" t="s">
        <v>2203</v>
      </c>
      <c r="H901" s="19" t="s">
        <v>1752</v>
      </c>
      <c r="I901" s="19" t="s">
        <v>1753</v>
      </c>
      <c r="J901" s="11" t="str">
        <f>+LEFT(U901,4)</f>
        <v>LID-</v>
      </c>
      <c r="K901" t="s">
        <v>98</v>
      </c>
      <c r="L901" s="19">
        <v>427</v>
      </c>
      <c r="M901" t="s">
        <v>1472</v>
      </c>
      <c r="N901" t="s">
        <v>11</v>
      </c>
      <c r="O901" s="26">
        <v>4</v>
      </c>
      <c r="P901" s="12">
        <f>ROUND(O901*L901,2)</f>
        <v>1708</v>
      </c>
      <c r="Q901" s="13">
        <f>IF(N901="HKD",7.8,IF(N901="CNY",7.30034,1))</f>
        <v>7.3003400000000003</v>
      </c>
      <c r="R901" s="15">
        <f>+ROUND(O901/Q901,4)</f>
        <v>0.54790000000000005</v>
      </c>
      <c r="S901" s="14">
        <f>ROUND(R901*L901,2)</f>
        <v>233.95</v>
      </c>
      <c r="T901" s="15" t="s">
        <v>349</v>
      </c>
      <c r="U901" t="s">
        <v>368</v>
      </c>
    </row>
    <row r="902" spans="1:21" x14ac:dyDescent="0.2">
      <c r="A902" t="s">
        <v>2040</v>
      </c>
      <c r="B902" s="24">
        <v>45715</v>
      </c>
      <c r="C902" s="24">
        <v>45636</v>
      </c>
      <c r="D902" t="s">
        <v>94</v>
      </c>
      <c r="E902" t="s">
        <v>95</v>
      </c>
      <c r="G902" t="s">
        <v>2202</v>
      </c>
      <c r="H902" s="19" t="s">
        <v>1750</v>
      </c>
      <c r="I902" s="19" t="s">
        <v>1751</v>
      </c>
      <c r="J902" s="11" t="str">
        <f>+LEFT(U902,4)</f>
        <v>LID-</v>
      </c>
      <c r="K902" t="s">
        <v>369</v>
      </c>
      <c r="L902" s="19">
        <v>2450</v>
      </c>
      <c r="M902" t="s">
        <v>1472</v>
      </c>
      <c r="N902" t="s">
        <v>11</v>
      </c>
      <c r="O902" s="26">
        <v>3.92</v>
      </c>
      <c r="P902" s="12">
        <f>ROUND(O902*L902,2)</f>
        <v>9604</v>
      </c>
      <c r="Q902" s="13">
        <f>IF(N902="HKD",7.8,IF(N902="CNY",7.30034,1))</f>
        <v>7.3003400000000003</v>
      </c>
      <c r="R902" s="15">
        <f>+ROUND(O902/Q902,4)</f>
        <v>0.53700000000000003</v>
      </c>
      <c r="S902" s="14">
        <f>ROUND(R902*L902,2)</f>
        <v>1315.65</v>
      </c>
      <c r="T902" s="15" t="s">
        <v>349</v>
      </c>
      <c r="U902" t="s">
        <v>368</v>
      </c>
    </row>
    <row r="903" spans="1:21" x14ac:dyDescent="0.2">
      <c r="A903" t="s">
        <v>2013</v>
      </c>
      <c r="B903" s="24">
        <v>45716</v>
      </c>
      <c r="C903" s="24">
        <v>45576</v>
      </c>
      <c r="D903" t="s">
        <v>94</v>
      </c>
      <c r="E903" t="s">
        <v>95</v>
      </c>
      <c r="G903" t="s">
        <v>2191</v>
      </c>
      <c r="H903" s="19" t="s">
        <v>1728</v>
      </c>
      <c r="I903" s="19" t="s">
        <v>1729</v>
      </c>
      <c r="J903" s="11" t="str">
        <f>+LEFT(U903,4)</f>
        <v>LID-</v>
      </c>
      <c r="K903" t="s">
        <v>98</v>
      </c>
      <c r="L903" s="19">
        <v>765</v>
      </c>
      <c r="M903" t="s">
        <v>1472</v>
      </c>
      <c r="N903" t="s">
        <v>11</v>
      </c>
      <c r="O903" s="26">
        <v>3.3</v>
      </c>
      <c r="P903" s="12">
        <f>ROUND(O903*L903,2)</f>
        <v>2524.5</v>
      </c>
      <c r="Q903" s="13">
        <f>IF(N903="HKD",7.8,IF(N903="CNY",7.30034,1))</f>
        <v>7.3003400000000003</v>
      </c>
      <c r="R903" s="15">
        <f>+ROUND(O903/Q903,4)</f>
        <v>0.45200000000000001</v>
      </c>
      <c r="S903" s="14">
        <f>ROUND(R903*L903,2)</f>
        <v>345.78</v>
      </c>
      <c r="T903" s="15" t="s">
        <v>349</v>
      </c>
      <c r="U903" t="s">
        <v>368</v>
      </c>
    </row>
    <row r="904" spans="1:21" x14ac:dyDescent="0.2">
      <c r="A904" t="s">
        <v>2019</v>
      </c>
      <c r="B904" s="24">
        <v>45716</v>
      </c>
      <c r="C904" s="24">
        <v>45700</v>
      </c>
      <c r="D904" t="s">
        <v>94</v>
      </c>
      <c r="E904" t="s">
        <v>95</v>
      </c>
      <c r="G904" t="s">
        <v>2191</v>
      </c>
      <c r="H904" s="19" t="s">
        <v>1001</v>
      </c>
      <c r="I904" s="19" t="s">
        <v>1002</v>
      </c>
      <c r="J904" s="11" t="str">
        <f>+LEFT(U904,4)</f>
        <v>LID-</v>
      </c>
      <c r="K904" t="s">
        <v>369</v>
      </c>
      <c r="L904" s="19">
        <v>331</v>
      </c>
      <c r="M904" t="s">
        <v>1472</v>
      </c>
      <c r="N904" t="s">
        <v>11</v>
      </c>
      <c r="O904" s="26">
        <v>3.42</v>
      </c>
      <c r="P904" s="12">
        <f>ROUND(O904*L904,2)</f>
        <v>1132.02</v>
      </c>
      <c r="Q904" s="13">
        <f>IF(N904="HKD",7.8,IF(N904="CNY",7.30034,1))</f>
        <v>7.3003400000000003</v>
      </c>
      <c r="R904" s="15">
        <f>+ROUND(O904/Q904,4)</f>
        <v>0.46850000000000003</v>
      </c>
      <c r="S904" s="14">
        <f>ROUND(R904*L904,2)</f>
        <v>155.07</v>
      </c>
      <c r="T904" s="15" t="s">
        <v>349</v>
      </c>
      <c r="U904" t="s">
        <v>368</v>
      </c>
    </row>
    <row r="905" spans="1:21" x14ac:dyDescent="0.2">
      <c r="A905" t="s">
        <v>2040</v>
      </c>
      <c r="B905" s="24">
        <v>45716</v>
      </c>
      <c r="C905" s="24">
        <v>45636</v>
      </c>
      <c r="D905" t="s">
        <v>94</v>
      </c>
      <c r="E905" t="s">
        <v>95</v>
      </c>
      <c r="G905" t="s">
        <v>2201</v>
      </c>
      <c r="H905" s="19" t="s">
        <v>1750</v>
      </c>
      <c r="I905" s="19" t="s">
        <v>1751</v>
      </c>
      <c r="J905" s="11" t="str">
        <f>+LEFT(U905,4)</f>
        <v>LID-</v>
      </c>
      <c r="K905" t="s">
        <v>369</v>
      </c>
      <c r="L905" s="19">
        <v>2060</v>
      </c>
      <c r="M905" t="s">
        <v>1472</v>
      </c>
      <c r="N905" t="s">
        <v>11</v>
      </c>
      <c r="O905" s="26">
        <v>3.92</v>
      </c>
      <c r="P905" s="12">
        <f>ROUND(O905*L905,2)</f>
        <v>8075.2</v>
      </c>
      <c r="Q905" s="13">
        <f>IF(N905="HKD",7.8,IF(N905="CNY",7.30034,1))</f>
        <v>7.3003400000000003</v>
      </c>
      <c r="R905" s="15">
        <f>+ROUND(O905/Q905,4)</f>
        <v>0.53700000000000003</v>
      </c>
      <c r="S905" s="14">
        <f>ROUND(R905*L905,2)</f>
        <v>1106.22</v>
      </c>
      <c r="T905" s="15" t="s">
        <v>349</v>
      </c>
      <c r="U905" t="s">
        <v>368</v>
      </c>
    </row>
    <row r="906" spans="1:21" x14ac:dyDescent="0.2">
      <c r="A906" t="s">
        <v>2041</v>
      </c>
      <c r="B906" s="24">
        <v>45716</v>
      </c>
      <c r="C906" s="24">
        <v>45636</v>
      </c>
      <c r="D906" t="s">
        <v>94</v>
      </c>
      <c r="E906" t="s">
        <v>95</v>
      </c>
      <c r="G906" t="s">
        <v>2191</v>
      </c>
      <c r="H906" s="19" t="s">
        <v>1750</v>
      </c>
      <c r="I906" s="19" t="s">
        <v>1751</v>
      </c>
      <c r="J906" s="11" t="str">
        <f>+LEFT(U906,4)</f>
        <v>LID-</v>
      </c>
      <c r="K906" t="s">
        <v>369</v>
      </c>
      <c r="L906" s="19">
        <v>484</v>
      </c>
      <c r="M906" t="s">
        <v>1472</v>
      </c>
      <c r="N906" t="s">
        <v>11</v>
      </c>
      <c r="O906" s="26">
        <v>3.92</v>
      </c>
      <c r="P906" s="12">
        <f>ROUND(O906*L906,2)</f>
        <v>1897.28</v>
      </c>
      <c r="Q906" s="13">
        <f>IF(N906="HKD",7.8,IF(N906="CNY",7.30034,1))</f>
        <v>7.3003400000000003</v>
      </c>
      <c r="R906" s="15">
        <f>+ROUND(O906/Q906,4)</f>
        <v>0.53700000000000003</v>
      </c>
      <c r="S906" s="14">
        <f>ROUND(R906*L906,2)</f>
        <v>259.91000000000003</v>
      </c>
      <c r="T906" s="15" t="s">
        <v>349</v>
      </c>
      <c r="U906" t="s">
        <v>368</v>
      </c>
    </row>
    <row r="907" spans="1:21" x14ac:dyDescent="0.2">
      <c r="A907" t="s">
        <v>2041</v>
      </c>
      <c r="B907" s="24">
        <v>45716</v>
      </c>
      <c r="C907" s="24">
        <v>45636</v>
      </c>
      <c r="D907" t="s">
        <v>94</v>
      </c>
      <c r="E907" t="s">
        <v>95</v>
      </c>
      <c r="G907" t="s">
        <v>2201</v>
      </c>
      <c r="H907" s="19" t="s">
        <v>1750</v>
      </c>
      <c r="I907" s="19" t="s">
        <v>1751</v>
      </c>
      <c r="J907" s="11" t="str">
        <f>+LEFT(U907,4)</f>
        <v>LID-</v>
      </c>
      <c r="K907" t="s">
        <v>369</v>
      </c>
      <c r="L907" s="19">
        <v>500</v>
      </c>
      <c r="M907" t="s">
        <v>1472</v>
      </c>
      <c r="N907" t="s">
        <v>11</v>
      </c>
      <c r="O907" s="26">
        <v>3.92</v>
      </c>
      <c r="P907" s="12">
        <f>ROUND(O907*L907,2)</f>
        <v>1960</v>
      </c>
      <c r="Q907" s="13">
        <f>IF(N907="HKD",7.8,IF(N907="CNY",7.30034,1))</f>
        <v>7.3003400000000003</v>
      </c>
      <c r="R907" s="15">
        <f>+ROUND(O907/Q907,4)</f>
        <v>0.53700000000000003</v>
      </c>
      <c r="S907" s="14">
        <f>ROUND(R907*L907,2)</f>
        <v>268.5</v>
      </c>
      <c r="T907" s="15" t="s">
        <v>349</v>
      </c>
      <c r="U907" t="s">
        <v>368</v>
      </c>
    </row>
    <row r="908" spans="1:21" x14ac:dyDescent="0.2">
      <c r="A908" t="s">
        <v>2532</v>
      </c>
      <c r="B908" s="24">
        <v>45740</v>
      </c>
      <c r="C908" s="24">
        <v>45714</v>
      </c>
      <c r="D908" t="s">
        <v>94</v>
      </c>
      <c r="E908" t="s">
        <v>95</v>
      </c>
      <c r="G908" t="s">
        <v>2965</v>
      </c>
      <c r="H908" t="s">
        <v>3163</v>
      </c>
      <c r="I908" t="s">
        <v>3373</v>
      </c>
      <c r="J908" s="11" t="str">
        <f>+LEFT(U908,4)</f>
        <v>LID-</v>
      </c>
      <c r="K908" t="s">
        <v>98</v>
      </c>
      <c r="L908">
        <v>1764</v>
      </c>
      <c r="M908" t="s">
        <v>1472</v>
      </c>
      <c r="N908" t="s">
        <v>11</v>
      </c>
      <c r="O908">
        <v>3.95</v>
      </c>
      <c r="P908" s="12">
        <f>ROUND(O908*L908,2)</f>
        <v>6967.8</v>
      </c>
      <c r="Q908" s="13">
        <f>IF(N908="HKD",7.8,IF(N908="CNY",7.30034,1))</f>
        <v>7.3003400000000003</v>
      </c>
      <c r="R908" s="15">
        <f>+ROUND(O908/Q908,4)</f>
        <v>0.54110000000000003</v>
      </c>
      <c r="S908" s="14">
        <f>ROUND(R908*L908,2)</f>
        <v>954.5</v>
      </c>
      <c r="T908" s="15" t="s">
        <v>349</v>
      </c>
      <c r="U908" t="s">
        <v>368</v>
      </c>
    </row>
    <row r="909" spans="1:21" x14ac:dyDescent="0.2">
      <c r="A909" t="s">
        <v>2042</v>
      </c>
      <c r="B909" s="24">
        <v>45726</v>
      </c>
      <c r="C909" s="24">
        <v>45576</v>
      </c>
      <c r="D909" t="s">
        <v>94</v>
      </c>
      <c r="E909" t="s">
        <v>95</v>
      </c>
      <c r="G909" t="s">
        <v>2848</v>
      </c>
      <c r="H909" t="s">
        <v>1752</v>
      </c>
      <c r="I909" t="s">
        <v>1753</v>
      </c>
      <c r="J909" s="11" t="str">
        <f>+LEFT(U909,4)</f>
        <v>LID-</v>
      </c>
      <c r="K909" t="s">
        <v>98</v>
      </c>
      <c r="L909">
        <v>383</v>
      </c>
      <c r="M909" t="s">
        <v>1472</v>
      </c>
      <c r="N909" t="s">
        <v>11</v>
      </c>
      <c r="O909">
        <v>4</v>
      </c>
      <c r="P909" s="12">
        <f>ROUND(O909*L909,2)</f>
        <v>1532</v>
      </c>
      <c r="Q909" s="13">
        <f>IF(N909="HKD",7.8,IF(N909="CNY",7.30034,1))</f>
        <v>7.3003400000000003</v>
      </c>
      <c r="R909" s="15">
        <f>+ROUND(O909/Q909,4)</f>
        <v>0.54790000000000005</v>
      </c>
      <c r="S909" s="14">
        <f>ROUND(R909*L909,2)</f>
        <v>209.85</v>
      </c>
      <c r="T909" s="15" t="s">
        <v>349</v>
      </c>
      <c r="U909" t="s">
        <v>368</v>
      </c>
    </row>
    <row r="910" spans="1:21" x14ac:dyDescent="0.2">
      <c r="A910" t="s">
        <v>2303</v>
      </c>
      <c r="B910" s="24">
        <v>45737</v>
      </c>
      <c r="C910" s="24">
        <v>45660</v>
      </c>
      <c r="D910" t="s">
        <v>569</v>
      </c>
      <c r="E910" t="s">
        <v>570</v>
      </c>
      <c r="G910" t="s">
        <v>2871</v>
      </c>
      <c r="H910" t="s">
        <v>1555</v>
      </c>
      <c r="I910" t="s">
        <v>3284</v>
      </c>
      <c r="J910" s="11" t="s">
        <v>1505</v>
      </c>
      <c r="K910" t="s">
        <v>10</v>
      </c>
      <c r="L910">
        <v>1000</v>
      </c>
      <c r="M910" t="s">
        <v>1472</v>
      </c>
      <c r="N910" t="s">
        <v>11</v>
      </c>
      <c r="O910">
        <v>4.2</v>
      </c>
      <c r="P910" s="12">
        <f>ROUND(O910*L910,2)</f>
        <v>4200</v>
      </c>
      <c r="Q910" s="13">
        <f>IF(N910="HKD",7.8,IF(N910="CNY",7.30034,1))</f>
        <v>7.3003400000000003</v>
      </c>
      <c r="R910" s="15">
        <f>+ROUND(O910/Q910,4)</f>
        <v>0.57530000000000003</v>
      </c>
      <c r="S910" s="14">
        <f>ROUND(R910*L910,2)</f>
        <v>575.29999999999995</v>
      </c>
      <c r="T910" s="15" t="s">
        <v>349</v>
      </c>
      <c r="U910" t="s">
        <v>36</v>
      </c>
    </row>
    <row r="911" spans="1:21" x14ac:dyDescent="0.2">
      <c r="A911" t="s">
        <v>2538</v>
      </c>
      <c r="B911" s="24">
        <v>45727</v>
      </c>
      <c r="C911" s="24">
        <v>45714</v>
      </c>
      <c r="D911" t="s">
        <v>830</v>
      </c>
      <c r="E911" t="s">
        <v>831</v>
      </c>
      <c r="G911" t="s">
        <v>2982</v>
      </c>
      <c r="H911" t="s">
        <v>3166</v>
      </c>
      <c r="I911" t="s">
        <v>3376</v>
      </c>
      <c r="J911" s="11" t="str">
        <f>+LEFT(U911,4)</f>
        <v>LID-</v>
      </c>
      <c r="K911" t="s">
        <v>98</v>
      </c>
      <c r="L911">
        <v>1920</v>
      </c>
      <c r="M911" t="s">
        <v>1472</v>
      </c>
      <c r="N911" t="s">
        <v>11</v>
      </c>
      <c r="O911">
        <v>4.2</v>
      </c>
      <c r="P911" s="12">
        <f>ROUND(O911*L911,2)</f>
        <v>8064</v>
      </c>
      <c r="Q911" s="13">
        <f>IF(N911="HKD",7.8,IF(N911="CNY",7.30034,1))</f>
        <v>7.3003400000000003</v>
      </c>
      <c r="R911" s="15">
        <f>+ROUND(O911/Q911,4)</f>
        <v>0.57530000000000003</v>
      </c>
      <c r="S911" s="14">
        <f>ROUND(R911*L911,2)</f>
        <v>1104.58</v>
      </c>
      <c r="T911" s="15" t="s">
        <v>349</v>
      </c>
      <c r="U911" t="s">
        <v>368</v>
      </c>
    </row>
    <row r="912" spans="1:21" x14ac:dyDescent="0.2">
      <c r="A912" t="s">
        <v>2538</v>
      </c>
      <c r="B912" s="24">
        <v>45727</v>
      </c>
      <c r="C912" s="24">
        <v>45714</v>
      </c>
      <c r="D912" t="s">
        <v>830</v>
      </c>
      <c r="E912" t="s">
        <v>831</v>
      </c>
      <c r="G912" t="s">
        <v>2983</v>
      </c>
      <c r="H912" t="s">
        <v>3166</v>
      </c>
      <c r="I912" t="s">
        <v>3376</v>
      </c>
      <c r="J912" s="11" t="str">
        <f>+LEFT(U912,4)</f>
        <v>LID-</v>
      </c>
      <c r="K912" t="s">
        <v>98</v>
      </c>
      <c r="L912">
        <v>-1920</v>
      </c>
      <c r="M912" t="s">
        <v>1472</v>
      </c>
      <c r="N912" t="s">
        <v>11</v>
      </c>
      <c r="O912">
        <v>4.2</v>
      </c>
      <c r="P912" s="12">
        <f>ROUND(O912*L912,2)</f>
        <v>-8064</v>
      </c>
      <c r="Q912" s="13">
        <f>IF(N912="HKD",7.8,IF(N912="CNY",7.30034,1))</f>
        <v>7.3003400000000003</v>
      </c>
      <c r="R912" s="15">
        <f>+ROUND(O912/Q912,4)</f>
        <v>0.57530000000000003</v>
      </c>
      <c r="S912" s="14">
        <f>ROUND(R912*L912,2)</f>
        <v>-1104.58</v>
      </c>
      <c r="T912" s="15" t="s">
        <v>349</v>
      </c>
      <c r="U912" t="s">
        <v>368</v>
      </c>
    </row>
    <row r="913" spans="1:21" x14ac:dyDescent="0.2">
      <c r="A913" t="s">
        <v>2538</v>
      </c>
      <c r="B913" s="24">
        <v>45727</v>
      </c>
      <c r="C913" s="24">
        <v>45714</v>
      </c>
      <c r="D913" t="s">
        <v>830</v>
      </c>
      <c r="E913" t="s">
        <v>831</v>
      </c>
      <c r="G913" t="s">
        <v>2854</v>
      </c>
      <c r="H913" t="s">
        <v>3166</v>
      </c>
      <c r="I913" t="s">
        <v>3376</v>
      </c>
      <c r="J913" s="11" t="str">
        <f>+LEFT(U913,4)</f>
        <v>LID-</v>
      </c>
      <c r="K913" t="s">
        <v>98</v>
      </c>
      <c r="L913">
        <v>1920</v>
      </c>
      <c r="M913" t="s">
        <v>1472</v>
      </c>
      <c r="N913" t="s">
        <v>11</v>
      </c>
      <c r="O913">
        <v>4.2</v>
      </c>
      <c r="P913" s="12">
        <f>ROUND(O913*L913,2)</f>
        <v>8064</v>
      </c>
      <c r="Q913" s="13">
        <f>IF(N913="HKD",7.8,IF(N913="CNY",7.30034,1))</f>
        <v>7.3003400000000003</v>
      </c>
      <c r="R913" s="15">
        <f>+ROUND(O913/Q913,4)</f>
        <v>0.57530000000000003</v>
      </c>
      <c r="S913" s="14">
        <f>ROUND(R913*L913,2)</f>
        <v>1104.58</v>
      </c>
      <c r="T913" s="15" t="s">
        <v>349</v>
      </c>
      <c r="U913" t="s">
        <v>368</v>
      </c>
    </row>
    <row r="914" spans="1:21" x14ac:dyDescent="0.2">
      <c r="A914" t="s">
        <v>2538</v>
      </c>
      <c r="B914" s="24">
        <v>45729</v>
      </c>
      <c r="C914" s="24">
        <v>45714</v>
      </c>
      <c r="D914" t="s">
        <v>830</v>
      </c>
      <c r="E914" t="s">
        <v>831</v>
      </c>
      <c r="G914" t="s">
        <v>2981</v>
      </c>
      <c r="H914" t="s">
        <v>3166</v>
      </c>
      <c r="I914" t="s">
        <v>3376</v>
      </c>
      <c r="J914" s="11" t="str">
        <f>+LEFT(U914,4)</f>
        <v>LID-</v>
      </c>
      <c r="K914" t="s">
        <v>98</v>
      </c>
      <c r="L914">
        <v>1460</v>
      </c>
      <c r="M914" t="s">
        <v>1472</v>
      </c>
      <c r="N914" t="s">
        <v>11</v>
      </c>
      <c r="O914">
        <v>4.2</v>
      </c>
      <c r="P914" s="12">
        <f>ROUND(O914*L914,2)</f>
        <v>6132</v>
      </c>
      <c r="Q914" s="13">
        <f>IF(N914="HKD",7.8,IF(N914="CNY",7.30034,1))</f>
        <v>7.3003400000000003</v>
      </c>
      <c r="R914" s="15">
        <f>+ROUND(O914/Q914,4)</f>
        <v>0.57530000000000003</v>
      </c>
      <c r="S914" s="14">
        <f>ROUND(R914*L914,2)</f>
        <v>839.94</v>
      </c>
      <c r="T914" s="15" t="s">
        <v>349</v>
      </c>
      <c r="U914" t="s">
        <v>368</v>
      </c>
    </row>
    <row r="915" spans="1:21" x14ac:dyDescent="0.2">
      <c r="A915" t="s">
        <v>2538</v>
      </c>
      <c r="B915" s="24">
        <v>45733</v>
      </c>
      <c r="C915" s="24">
        <v>45714</v>
      </c>
      <c r="D915" t="s">
        <v>830</v>
      </c>
      <c r="E915" t="s">
        <v>831</v>
      </c>
      <c r="G915" t="s">
        <v>2980</v>
      </c>
      <c r="H915" t="s">
        <v>3166</v>
      </c>
      <c r="I915" t="s">
        <v>3376</v>
      </c>
      <c r="J915" s="11" t="str">
        <f>+LEFT(U915,4)</f>
        <v>LID-</v>
      </c>
      <c r="K915" t="s">
        <v>98</v>
      </c>
      <c r="L915">
        <v>3168</v>
      </c>
      <c r="M915" t="s">
        <v>1472</v>
      </c>
      <c r="N915" t="s">
        <v>11</v>
      </c>
      <c r="O915">
        <v>4.2</v>
      </c>
      <c r="P915" s="12">
        <f>ROUND(O915*L915,2)</f>
        <v>13305.6</v>
      </c>
      <c r="Q915" s="13">
        <f>IF(N915="HKD",7.8,IF(N915="CNY",7.30034,1))</f>
        <v>7.3003400000000003</v>
      </c>
      <c r="R915" s="15">
        <f>+ROUND(O915/Q915,4)</f>
        <v>0.57530000000000003</v>
      </c>
      <c r="S915" s="14">
        <f>ROUND(R915*L915,2)</f>
        <v>1822.55</v>
      </c>
      <c r="T915" s="15" t="s">
        <v>349</v>
      </c>
      <c r="U915" t="s">
        <v>368</v>
      </c>
    </row>
    <row r="916" spans="1:21" x14ac:dyDescent="0.2">
      <c r="A916" t="s">
        <v>2539</v>
      </c>
      <c r="B916" s="24">
        <v>45736</v>
      </c>
      <c r="C916" s="24">
        <v>45714</v>
      </c>
      <c r="D916" t="s">
        <v>830</v>
      </c>
      <c r="E916" t="s">
        <v>831</v>
      </c>
      <c r="G916" t="s">
        <v>2985</v>
      </c>
      <c r="H916" t="s">
        <v>3166</v>
      </c>
      <c r="I916" t="s">
        <v>3376</v>
      </c>
      <c r="J916" s="11" t="str">
        <f>+LEFT(U916,4)</f>
        <v>LID-</v>
      </c>
      <c r="K916" t="s">
        <v>98</v>
      </c>
      <c r="L916">
        <v>1920</v>
      </c>
      <c r="M916" t="s">
        <v>1472</v>
      </c>
      <c r="N916" t="s">
        <v>11</v>
      </c>
      <c r="O916">
        <v>4.2</v>
      </c>
      <c r="P916" s="12">
        <f>ROUND(O916*L916,2)</f>
        <v>8064</v>
      </c>
      <c r="Q916" s="13">
        <f>IF(N916="HKD",7.8,IF(N916="CNY",7.30034,1))</f>
        <v>7.3003400000000003</v>
      </c>
      <c r="R916" s="15">
        <f>+ROUND(O916/Q916,4)</f>
        <v>0.57530000000000003</v>
      </c>
      <c r="S916" s="14">
        <f>ROUND(R916*L916,2)</f>
        <v>1104.58</v>
      </c>
      <c r="T916" s="15" t="s">
        <v>349</v>
      </c>
      <c r="U916" t="s">
        <v>368</v>
      </c>
    </row>
    <row r="917" spans="1:21" x14ac:dyDescent="0.2">
      <c r="A917" t="s">
        <v>2539</v>
      </c>
      <c r="B917" s="24">
        <v>45740</v>
      </c>
      <c r="C917" s="24">
        <v>45714</v>
      </c>
      <c r="D917" t="s">
        <v>830</v>
      </c>
      <c r="E917" t="s">
        <v>831</v>
      </c>
      <c r="G917" t="s">
        <v>2984</v>
      </c>
      <c r="H917" t="s">
        <v>3166</v>
      </c>
      <c r="I917" t="s">
        <v>3376</v>
      </c>
      <c r="J917" s="11" t="str">
        <f>+LEFT(U917,4)</f>
        <v>LID-</v>
      </c>
      <c r="K917" t="s">
        <v>98</v>
      </c>
      <c r="L917">
        <v>400</v>
      </c>
      <c r="M917" t="s">
        <v>1472</v>
      </c>
      <c r="N917" t="s">
        <v>11</v>
      </c>
      <c r="O917">
        <v>4.2</v>
      </c>
      <c r="P917" s="12">
        <f>ROUND(O917*L917,2)</f>
        <v>1680</v>
      </c>
      <c r="Q917" s="13">
        <f>IF(N917="HKD",7.8,IF(N917="CNY",7.30034,1))</f>
        <v>7.3003400000000003</v>
      </c>
      <c r="R917" s="15">
        <f>+ROUND(O917/Q917,4)</f>
        <v>0.57530000000000003</v>
      </c>
      <c r="S917" s="14">
        <f>ROUND(R917*L917,2)</f>
        <v>230.12</v>
      </c>
      <c r="T917" s="15" t="s">
        <v>349</v>
      </c>
      <c r="U917" t="s">
        <v>368</v>
      </c>
    </row>
    <row r="918" spans="1:21" x14ac:dyDescent="0.2">
      <c r="A918" t="s">
        <v>2539</v>
      </c>
      <c r="B918" s="24">
        <v>45740</v>
      </c>
      <c r="C918" s="24">
        <v>45714</v>
      </c>
      <c r="D918" t="s">
        <v>830</v>
      </c>
      <c r="E918" t="s">
        <v>831</v>
      </c>
      <c r="G918" t="s">
        <v>2984</v>
      </c>
      <c r="H918" t="s">
        <v>3166</v>
      </c>
      <c r="I918" t="s">
        <v>3376</v>
      </c>
      <c r="J918" s="11" t="str">
        <f>+LEFT(U918,4)</f>
        <v>LID-</v>
      </c>
      <c r="K918" t="s">
        <v>98</v>
      </c>
      <c r="L918">
        <v>2880</v>
      </c>
      <c r="M918" t="s">
        <v>1472</v>
      </c>
      <c r="N918" t="s">
        <v>11</v>
      </c>
      <c r="O918">
        <v>4.2</v>
      </c>
      <c r="P918" s="12">
        <f>ROUND(O918*L918,2)</f>
        <v>12096</v>
      </c>
      <c r="Q918" s="13">
        <f>IF(N918="HKD",7.8,IF(N918="CNY",7.30034,1))</f>
        <v>7.3003400000000003</v>
      </c>
      <c r="R918" s="15">
        <f>+ROUND(O918/Q918,4)</f>
        <v>0.57530000000000003</v>
      </c>
      <c r="S918" s="14">
        <f>ROUND(R918*L918,2)</f>
        <v>1656.86</v>
      </c>
      <c r="T918" s="15" t="s">
        <v>349</v>
      </c>
      <c r="U918" t="s">
        <v>368</v>
      </c>
    </row>
    <row r="919" spans="1:21" x14ac:dyDescent="0.2">
      <c r="A919" t="s">
        <v>2540</v>
      </c>
      <c r="B919" s="24">
        <v>45741</v>
      </c>
      <c r="C919" s="24">
        <v>45714</v>
      </c>
      <c r="D919" t="s">
        <v>830</v>
      </c>
      <c r="E919" t="s">
        <v>831</v>
      </c>
      <c r="G919" t="s">
        <v>2988</v>
      </c>
      <c r="H919" t="s">
        <v>3166</v>
      </c>
      <c r="I919" t="s">
        <v>3376</v>
      </c>
      <c r="J919" s="11" t="str">
        <f>+LEFT(U919,4)</f>
        <v>LID-</v>
      </c>
      <c r="K919" t="s">
        <v>98</v>
      </c>
      <c r="L919">
        <v>1920</v>
      </c>
      <c r="M919" t="s">
        <v>1472</v>
      </c>
      <c r="N919" t="s">
        <v>11</v>
      </c>
      <c r="O919">
        <v>4.2</v>
      </c>
      <c r="P919" s="12">
        <f>ROUND(O919*L919,2)</f>
        <v>8064</v>
      </c>
      <c r="Q919" s="13">
        <f>IF(N919="HKD",7.8,IF(N919="CNY",7.30034,1))</f>
        <v>7.3003400000000003</v>
      </c>
      <c r="R919" s="15">
        <f>+ROUND(O919/Q919,4)</f>
        <v>0.57530000000000003</v>
      </c>
      <c r="S919" s="14">
        <f>ROUND(R919*L919,2)</f>
        <v>1104.58</v>
      </c>
      <c r="T919" s="15" t="s">
        <v>349</v>
      </c>
      <c r="U919" t="s">
        <v>368</v>
      </c>
    </row>
    <row r="920" spans="1:21" x14ac:dyDescent="0.2">
      <c r="A920" t="s">
        <v>2540</v>
      </c>
      <c r="B920" s="24">
        <v>45744</v>
      </c>
      <c r="C920" s="24">
        <v>45714</v>
      </c>
      <c r="D920" t="s">
        <v>830</v>
      </c>
      <c r="E920" t="s">
        <v>831</v>
      </c>
      <c r="G920" t="s">
        <v>2987</v>
      </c>
      <c r="H920" t="s">
        <v>3166</v>
      </c>
      <c r="I920" t="s">
        <v>3376</v>
      </c>
      <c r="J920" s="11" t="str">
        <f>+LEFT(U920,4)</f>
        <v>LID-</v>
      </c>
      <c r="K920" t="s">
        <v>98</v>
      </c>
      <c r="L920">
        <v>960</v>
      </c>
      <c r="M920" t="s">
        <v>1472</v>
      </c>
      <c r="N920" t="s">
        <v>11</v>
      </c>
      <c r="O920">
        <v>4.2</v>
      </c>
      <c r="P920" s="12">
        <f>ROUND(O920*L920,2)</f>
        <v>4032</v>
      </c>
      <c r="Q920" s="13">
        <f>IF(N920="HKD",7.8,IF(N920="CNY",7.30034,1))</f>
        <v>7.3003400000000003</v>
      </c>
      <c r="R920" s="15">
        <f>+ROUND(O920/Q920,4)</f>
        <v>0.57530000000000003</v>
      </c>
      <c r="S920" s="14">
        <f>ROUND(R920*L920,2)</f>
        <v>552.29</v>
      </c>
      <c r="T920" s="15" t="s">
        <v>349</v>
      </c>
      <c r="U920" t="s">
        <v>368</v>
      </c>
    </row>
    <row r="921" spans="1:21" x14ac:dyDescent="0.2">
      <c r="A921" t="s">
        <v>2540</v>
      </c>
      <c r="B921" s="24">
        <v>45747</v>
      </c>
      <c r="C921" s="24">
        <v>45714</v>
      </c>
      <c r="D921" t="s">
        <v>830</v>
      </c>
      <c r="E921" t="s">
        <v>831</v>
      </c>
      <c r="G921" t="s">
        <v>2986</v>
      </c>
      <c r="H921" t="s">
        <v>3166</v>
      </c>
      <c r="I921" t="s">
        <v>3376</v>
      </c>
      <c r="J921" s="11" t="str">
        <f>+LEFT(U921,4)</f>
        <v>LID-</v>
      </c>
      <c r="K921" t="s">
        <v>98</v>
      </c>
      <c r="L921">
        <v>1920</v>
      </c>
      <c r="M921" t="s">
        <v>1472</v>
      </c>
      <c r="N921" t="s">
        <v>11</v>
      </c>
      <c r="O921">
        <v>4.2</v>
      </c>
      <c r="P921" s="12">
        <f>ROUND(O921*L921,2)</f>
        <v>8064</v>
      </c>
      <c r="Q921" s="13">
        <f>IF(N921="HKD",7.8,IF(N921="CNY",7.30034,1))</f>
        <v>7.3003400000000003</v>
      </c>
      <c r="R921" s="15">
        <f>+ROUND(O921/Q921,4)</f>
        <v>0.57530000000000003</v>
      </c>
      <c r="S921" s="14">
        <f>ROUND(R921*L921,2)</f>
        <v>1104.58</v>
      </c>
      <c r="T921" s="15" t="s">
        <v>349</v>
      </c>
      <c r="U921" t="s">
        <v>368</v>
      </c>
    </row>
    <row r="922" spans="1:21" x14ac:dyDescent="0.2">
      <c r="A922" t="s">
        <v>2533</v>
      </c>
      <c r="B922" s="24">
        <v>45741</v>
      </c>
      <c r="C922" s="24">
        <v>45714</v>
      </c>
      <c r="D922" t="s">
        <v>94</v>
      </c>
      <c r="E922" t="s">
        <v>95</v>
      </c>
      <c r="G922" t="s">
        <v>2968</v>
      </c>
      <c r="H922" t="s">
        <v>3164</v>
      </c>
      <c r="I922" t="s">
        <v>3374</v>
      </c>
      <c r="J922" s="11" t="str">
        <f>+LEFT(U922,4)</f>
        <v>LID-</v>
      </c>
      <c r="K922" t="s">
        <v>98</v>
      </c>
      <c r="L922">
        <v>560</v>
      </c>
      <c r="M922" t="s">
        <v>1472</v>
      </c>
      <c r="N922" t="s">
        <v>11</v>
      </c>
      <c r="O922">
        <v>4.26</v>
      </c>
      <c r="P922" s="12">
        <f>ROUND(O922*L922,2)</f>
        <v>2385.6</v>
      </c>
      <c r="Q922" s="13">
        <f>IF(N922="HKD",7.8,IF(N922="CNY",7.30034,1))</f>
        <v>7.3003400000000003</v>
      </c>
      <c r="R922" s="15">
        <f>+ROUND(O922/Q922,4)</f>
        <v>0.58350000000000002</v>
      </c>
      <c r="S922" s="14">
        <f>ROUND(R922*L922,2)</f>
        <v>326.76</v>
      </c>
      <c r="T922" s="15" t="s">
        <v>349</v>
      </c>
      <c r="U922" t="s">
        <v>368</v>
      </c>
    </row>
    <row r="923" spans="1:21" x14ac:dyDescent="0.2">
      <c r="A923" t="s">
        <v>2534</v>
      </c>
      <c r="B923" s="24">
        <v>45741</v>
      </c>
      <c r="C923" s="24">
        <v>45714</v>
      </c>
      <c r="D923" t="s">
        <v>94</v>
      </c>
      <c r="E923" t="s">
        <v>95</v>
      </c>
      <c r="G923" t="s">
        <v>2968</v>
      </c>
      <c r="H923" t="s">
        <v>3164</v>
      </c>
      <c r="I923" t="s">
        <v>3374</v>
      </c>
      <c r="J923" s="11" t="str">
        <f>+LEFT(U923,4)</f>
        <v>LID-</v>
      </c>
      <c r="K923" t="s">
        <v>98</v>
      </c>
      <c r="L923">
        <v>850</v>
      </c>
      <c r="M923" t="s">
        <v>1472</v>
      </c>
      <c r="N923" t="s">
        <v>11</v>
      </c>
      <c r="O923">
        <v>4.26</v>
      </c>
      <c r="P923" s="12">
        <f>ROUND(O923*L923,2)</f>
        <v>3621</v>
      </c>
      <c r="Q923" s="13">
        <f>IF(N923="HKD",7.8,IF(N923="CNY",7.30034,1))</f>
        <v>7.3003400000000003</v>
      </c>
      <c r="R923" s="15">
        <f>+ROUND(O923/Q923,4)</f>
        <v>0.58350000000000002</v>
      </c>
      <c r="S923" s="14">
        <f>ROUND(R923*L923,2)</f>
        <v>495.98</v>
      </c>
      <c r="T923" s="15" t="s">
        <v>349</v>
      </c>
      <c r="U923" t="s">
        <v>368</v>
      </c>
    </row>
    <row r="924" spans="1:21" x14ac:dyDescent="0.2">
      <c r="A924" t="s">
        <v>2534</v>
      </c>
      <c r="B924" s="24">
        <v>45742</v>
      </c>
      <c r="C924" s="24">
        <v>45714</v>
      </c>
      <c r="D924" t="s">
        <v>94</v>
      </c>
      <c r="E924" t="s">
        <v>95</v>
      </c>
      <c r="G924" t="s">
        <v>2972</v>
      </c>
      <c r="H924" t="s">
        <v>3164</v>
      </c>
      <c r="I924" t="s">
        <v>3374</v>
      </c>
      <c r="J924" s="11" t="str">
        <f>+LEFT(U924,4)</f>
        <v>LID-</v>
      </c>
      <c r="K924" t="s">
        <v>98</v>
      </c>
      <c r="L924">
        <v>600</v>
      </c>
      <c r="M924" t="s">
        <v>1472</v>
      </c>
      <c r="N924" t="s">
        <v>11</v>
      </c>
      <c r="O924">
        <v>4.26</v>
      </c>
      <c r="P924" s="12">
        <f>ROUND(O924*L924,2)</f>
        <v>2556</v>
      </c>
      <c r="Q924" s="13">
        <f>IF(N924="HKD",7.8,IF(N924="CNY",7.30034,1))</f>
        <v>7.3003400000000003</v>
      </c>
      <c r="R924" s="15">
        <f>+ROUND(O924/Q924,4)</f>
        <v>0.58350000000000002</v>
      </c>
      <c r="S924" s="14">
        <f>ROUND(R924*L924,2)</f>
        <v>350.1</v>
      </c>
      <c r="T924" s="15" t="s">
        <v>349</v>
      </c>
      <c r="U924" t="s">
        <v>368</v>
      </c>
    </row>
    <row r="925" spans="1:21" x14ac:dyDescent="0.2">
      <c r="A925" t="s">
        <v>2534</v>
      </c>
      <c r="B925" s="24">
        <v>45743</v>
      </c>
      <c r="C925" s="24">
        <v>45714</v>
      </c>
      <c r="D925" t="s">
        <v>94</v>
      </c>
      <c r="E925" t="s">
        <v>95</v>
      </c>
      <c r="G925" t="s">
        <v>2971</v>
      </c>
      <c r="H925" t="s">
        <v>3164</v>
      </c>
      <c r="I925" t="s">
        <v>3374</v>
      </c>
      <c r="J925" s="11" t="str">
        <f>+LEFT(U925,4)</f>
        <v>LID-</v>
      </c>
      <c r="K925" t="s">
        <v>98</v>
      </c>
      <c r="L925">
        <v>1127</v>
      </c>
      <c r="M925" t="s">
        <v>1472</v>
      </c>
      <c r="N925" t="s">
        <v>11</v>
      </c>
      <c r="O925">
        <v>4.26</v>
      </c>
      <c r="P925" s="12">
        <f>ROUND(O925*L925,2)</f>
        <v>4801.0200000000004</v>
      </c>
      <c r="Q925" s="13">
        <f>IF(N925="HKD",7.8,IF(N925="CNY",7.30034,1))</f>
        <v>7.3003400000000003</v>
      </c>
      <c r="R925" s="15">
        <f>+ROUND(O925/Q925,4)</f>
        <v>0.58350000000000002</v>
      </c>
      <c r="S925" s="14">
        <f>ROUND(R925*L925,2)</f>
        <v>657.6</v>
      </c>
      <c r="T925" s="15" t="s">
        <v>349</v>
      </c>
      <c r="U925" t="s">
        <v>368</v>
      </c>
    </row>
    <row r="926" spans="1:21" x14ac:dyDescent="0.2">
      <c r="A926" t="s">
        <v>2534</v>
      </c>
      <c r="B926" s="24">
        <v>45744</v>
      </c>
      <c r="C926" s="24">
        <v>45714</v>
      </c>
      <c r="D926" t="s">
        <v>94</v>
      </c>
      <c r="E926" t="s">
        <v>95</v>
      </c>
      <c r="G926" t="s">
        <v>2969</v>
      </c>
      <c r="H926" t="s">
        <v>3164</v>
      </c>
      <c r="I926" t="s">
        <v>3374</v>
      </c>
      <c r="J926" s="11" t="str">
        <f>+LEFT(U926,4)</f>
        <v>LID-</v>
      </c>
      <c r="K926" t="s">
        <v>98</v>
      </c>
      <c r="L926">
        <v>38</v>
      </c>
      <c r="M926" t="s">
        <v>1472</v>
      </c>
      <c r="N926" t="s">
        <v>11</v>
      </c>
      <c r="O926">
        <v>4.26</v>
      </c>
      <c r="P926" s="12">
        <f>ROUND(O926*L926,2)</f>
        <v>161.88</v>
      </c>
      <c r="Q926" s="13">
        <f>IF(N926="HKD",7.8,IF(N926="CNY",7.30034,1))</f>
        <v>7.3003400000000003</v>
      </c>
      <c r="R926" s="15">
        <f>+ROUND(O926/Q926,4)</f>
        <v>0.58350000000000002</v>
      </c>
      <c r="S926" s="14">
        <f>ROUND(R926*L926,2)</f>
        <v>22.17</v>
      </c>
      <c r="T926" s="15" t="s">
        <v>349</v>
      </c>
      <c r="U926" t="s">
        <v>368</v>
      </c>
    </row>
    <row r="927" spans="1:21" x14ac:dyDescent="0.2">
      <c r="A927" t="s">
        <v>2534</v>
      </c>
      <c r="B927" s="24">
        <v>45744</v>
      </c>
      <c r="C927" s="24">
        <v>45714</v>
      </c>
      <c r="D927" t="s">
        <v>94</v>
      </c>
      <c r="E927" t="s">
        <v>95</v>
      </c>
      <c r="G927" t="s">
        <v>2970</v>
      </c>
      <c r="H927" t="s">
        <v>3164</v>
      </c>
      <c r="I927" t="s">
        <v>3374</v>
      </c>
      <c r="J927" s="11" t="str">
        <f>+LEFT(U927,4)</f>
        <v>LID-</v>
      </c>
      <c r="K927" t="s">
        <v>98</v>
      </c>
      <c r="L927">
        <v>1735</v>
      </c>
      <c r="M927" t="s">
        <v>1472</v>
      </c>
      <c r="N927" t="s">
        <v>11</v>
      </c>
      <c r="O927">
        <v>4.26</v>
      </c>
      <c r="P927" s="12">
        <f>ROUND(O927*L927,2)</f>
        <v>7391.1</v>
      </c>
      <c r="Q927" s="13">
        <f>IF(N927="HKD",7.8,IF(N927="CNY",7.30034,1))</f>
        <v>7.3003400000000003</v>
      </c>
      <c r="R927" s="15">
        <f>+ROUND(O927/Q927,4)</f>
        <v>0.58350000000000002</v>
      </c>
      <c r="S927" s="14">
        <f>ROUND(R927*L927,2)</f>
        <v>1012.37</v>
      </c>
      <c r="T927" s="15" t="s">
        <v>349</v>
      </c>
      <c r="U927" t="s">
        <v>368</v>
      </c>
    </row>
    <row r="928" spans="1:21" x14ac:dyDescent="0.2">
      <c r="A928" t="s">
        <v>2535</v>
      </c>
      <c r="B928" s="24">
        <v>45744</v>
      </c>
      <c r="C928" s="24">
        <v>45714</v>
      </c>
      <c r="D928" t="s">
        <v>94</v>
      </c>
      <c r="E928" t="s">
        <v>95</v>
      </c>
      <c r="G928" t="s">
        <v>2969</v>
      </c>
      <c r="H928" t="s">
        <v>3164</v>
      </c>
      <c r="I928" t="s">
        <v>3374</v>
      </c>
      <c r="J928" s="11" t="str">
        <f>+LEFT(U928,4)</f>
        <v>LID-</v>
      </c>
      <c r="K928" t="s">
        <v>98</v>
      </c>
      <c r="L928">
        <v>562</v>
      </c>
      <c r="M928" t="s">
        <v>1472</v>
      </c>
      <c r="N928" t="s">
        <v>11</v>
      </c>
      <c r="O928">
        <v>4.26</v>
      </c>
      <c r="P928" s="12">
        <f>ROUND(O928*L928,2)</f>
        <v>2394.12</v>
      </c>
      <c r="Q928" s="13">
        <f>IF(N928="HKD",7.8,IF(N928="CNY",7.30034,1))</f>
        <v>7.3003400000000003</v>
      </c>
      <c r="R928" s="15">
        <f>+ROUND(O928/Q928,4)</f>
        <v>0.58350000000000002</v>
      </c>
      <c r="S928" s="14">
        <f>ROUND(R928*L928,2)</f>
        <v>327.93</v>
      </c>
      <c r="T928" s="15" t="s">
        <v>349</v>
      </c>
      <c r="U928" t="s">
        <v>368</v>
      </c>
    </row>
    <row r="929" spans="1:21" x14ac:dyDescent="0.2">
      <c r="A929" t="s">
        <v>2535</v>
      </c>
      <c r="B929" s="24">
        <v>45744</v>
      </c>
      <c r="C929" s="24">
        <v>45714</v>
      </c>
      <c r="D929" t="s">
        <v>94</v>
      </c>
      <c r="E929" t="s">
        <v>95</v>
      </c>
      <c r="G929" t="s">
        <v>2973</v>
      </c>
      <c r="H929" t="s">
        <v>3164</v>
      </c>
      <c r="I929" t="s">
        <v>3374</v>
      </c>
      <c r="J929" s="11" t="str">
        <f>+LEFT(U929,4)</f>
        <v>LID-</v>
      </c>
      <c r="K929" t="s">
        <v>98</v>
      </c>
      <c r="L929">
        <v>-600</v>
      </c>
      <c r="M929" t="s">
        <v>1472</v>
      </c>
      <c r="N929" t="s">
        <v>11</v>
      </c>
      <c r="O929">
        <v>4.26</v>
      </c>
      <c r="P929" s="12">
        <f>ROUND(O929*L929,2)</f>
        <v>-2556</v>
      </c>
      <c r="Q929" s="13">
        <f>IF(N929="HKD",7.8,IF(N929="CNY",7.30034,1))</f>
        <v>7.3003400000000003</v>
      </c>
      <c r="R929" s="15">
        <f>+ROUND(O929/Q929,4)</f>
        <v>0.58350000000000002</v>
      </c>
      <c r="S929" s="14">
        <f>ROUND(R929*L929,2)</f>
        <v>-350.1</v>
      </c>
      <c r="T929" s="15" t="s">
        <v>349</v>
      </c>
      <c r="U929" t="s">
        <v>368</v>
      </c>
    </row>
    <row r="930" spans="1:21" x14ac:dyDescent="0.2">
      <c r="A930" t="s">
        <v>2535</v>
      </c>
      <c r="B930" s="24">
        <v>45744</v>
      </c>
      <c r="C930" s="24">
        <v>45714</v>
      </c>
      <c r="D930" t="s">
        <v>94</v>
      </c>
      <c r="E930" t="s">
        <v>95</v>
      </c>
      <c r="G930" t="s">
        <v>2969</v>
      </c>
      <c r="H930" t="s">
        <v>3164</v>
      </c>
      <c r="I930" t="s">
        <v>3374</v>
      </c>
      <c r="J930" s="11" t="str">
        <f>+LEFT(U930,4)</f>
        <v>LID-</v>
      </c>
      <c r="K930" t="s">
        <v>98</v>
      </c>
      <c r="L930">
        <v>600</v>
      </c>
      <c r="M930" t="s">
        <v>1472</v>
      </c>
      <c r="N930" t="s">
        <v>11</v>
      </c>
      <c r="O930">
        <v>4.26</v>
      </c>
      <c r="P930" s="12">
        <f>ROUND(O930*L930,2)</f>
        <v>2556</v>
      </c>
      <c r="Q930" s="13">
        <f>IF(N930="HKD",7.8,IF(N930="CNY",7.30034,1))</f>
        <v>7.3003400000000003</v>
      </c>
      <c r="R930" s="15">
        <f>+ROUND(O930/Q930,4)</f>
        <v>0.58350000000000002</v>
      </c>
      <c r="S930" s="14">
        <f>ROUND(R930*L930,2)</f>
        <v>350.1</v>
      </c>
      <c r="T930" s="15" t="s">
        <v>349</v>
      </c>
      <c r="U930" t="s">
        <v>368</v>
      </c>
    </row>
    <row r="931" spans="1:21" x14ac:dyDescent="0.2">
      <c r="A931" t="s">
        <v>2352</v>
      </c>
      <c r="B931" s="24">
        <v>45735</v>
      </c>
      <c r="C931" s="24">
        <v>45680</v>
      </c>
      <c r="D931" t="s">
        <v>696</v>
      </c>
      <c r="E931" t="s">
        <v>697</v>
      </c>
      <c r="G931" t="s">
        <v>2901</v>
      </c>
      <c r="H931" t="s">
        <v>1541</v>
      </c>
      <c r="I931" t="s">
        <v>1542</v>
      </c>
      <c r="J931" s="11" t="s">
        <v>1536</v>
      </c>
      <c r="K931" t="s">
        <v>10</v>
      </c>
      <c r="L931">
        <v>1000</v>
      </c>
      <c r="M931" t="s">
        <v>1472</v>
      </c>
      <c r="N931" t="s">
        <v>11</v>
      </c>
      <c r="O931">
        <v>4.29</v>
      </c>
      <c r="P931" s="12">
        <f>ROUND(O931*L931,2)</f>
        <v>4290</v>
      </c>
      <c r="Q931" s="13">
        <f>IF(N931="HKD",7.8,IF(N931="CNY",7.30034,1))</f>
        <v>7.3003400000000003</v>
      </c>
      <c r="R931" s="15">
        <f>+ROUND(O931/Q931,4)</f>
        <v>0.58760000000000001</v>
      </c>
      <c r="S931" s="14">
        <f>ROUND(R931*L931,2)</f>
        <v>587.6</v>
      </c>
      <c r="T931" s="15" t="s">
        <v>349</v>
      </c>
      <c r="U931" t="s">
        <v>36</v>
      </c>
    </row>
    <row r="932" spans="1:21" x14ac:dyDescent="0.2">
      <c r="A932" t="s">
        <v>2528</v>
      </c>
      <c r="B932" s="24">
        <v>45735</v>
      </c>
      <c r="C932" s="24">
        <v>45713</v>
      </c>
      <c r="D932" t="s">
        <v>696</v>
      </c>
      <c r="E932" t="s">
        <v>697</v>
      </c>
      <c r="G932" t="s">
        <v>2901</v>
      </c>
      <c r="H932" t="s">
        <v>1541</v>
      </c>
      <c r="I932" t="s">
        <v>1542</v>
      </c>
      <c r="J932" s="11" t="s">
        <v>1536</v>
      </c>
      <c r="K932" t="s">
        <v>10</v>
      </c>
      <c r="L932">
        <v>1000</v>
      </c>
      <c r="M932" t="s">
        <v>1472</v>
      </c>
      <c r="N932" t="s">
        <v>11</v>
      </c>
      <c r="O932">
        <v>4.29</v>
      </c>
      <c r="P932" s="12">
        <f>ROUND(O932*L932,2)</f>
        <v>4290</v>
      </c>
      <c r="Q932" s="13">
        <f>IF(N932="HKD",7.8,IF(N932="CNY",7.30034,1))</f>
        <v>7.3003400000000003</v>
      </c>
      <c r="R932" s="15">
        <f>+ROUND(O932/Q932,4)</f>
        <v>0.58760000000000001</v>
      </c>
      <c r="S932" s="14">
        <f>ROUND(R932*L932,2)</f>
        <v>587.6</v>
      </c>
      <c r="T932" s="15" t="s">
        <v>349</v>
      </c>
      <c r="U932" t="s">
        <v>36</v>
      </c>
    </row>
    <row r="933" spans="1:21" x14ac:dyDescent="0.2">
      <c r="A933" t="s">
        <v>2449</v>
      </c>
      <c r="B933" s="24">
        <v>45733</v>
      </c>
      <c r="C933" s="24">
        <v>45702</v>
      </c>
      <c r="D933" t="s">
        <v>2247</v>
      </c>
      <c r="E933" t="s">
        <v>2248</v>
      </c>
      <c r="G933" t="s">
        <v>2940</v>
      </c>
      <c r="H933" t="s">
        <v>3135</v>
      </c>
      <c r="I933" t="s">
        <v>3345</v>
      </c>
      <c r="J933" s="11" t="str">
        <f>+LEFT(U933,4)</f>
        <v>HDL-</v>
      </c>
      <c r="K933" t="s">
        <v>10</v>
      </c>
      <c r="L933">
        <v>1010</v>
      </c>
      <c r="M933" t="s">
        <v>1472</v>
      </c>
      <c r="N933" t="s">
        <v>11</v>
      </c>
      <c r="O933">
        <v>4.3320999999999996</v>
      </c>
      <c r="P933" s="12">
        <f>ROUND(O933*L933,2)</f>
        <v>4375.42</v>
      </c>
      <c r="Q933" s="13">
        <f>IF(N933="HKD",7.8,IF(N933="CNY",7.30034,1))</f>
        <v>7.3003400000000003</v>
      </c>
      <c r="R933" s="15">
        <f>+ROUND(O933/Q933,4)</f>
        <v>0.59340000000000004</v>
      </c>
      <c r="S933" s="14">
        <f>ROUND(R933*L933,2)</f>
        <v>599.33000000000004</v>
      </c>
      <c r="T933" s="15" t="s">
        <v>349</v>
      </c>
      <c r="U933" t="s">
        <v>228</v>
      </c>
    </row>
    <row r="934" spans="1:21" x14ac:dyDescent="0.2">
      <c r="A934" t="s">
        <v>2536</v>
      </c>
      <c r="B934" s="24">
        <v>45730</v>
      </c>
      <c r="C934" s="24">
        <v>45714</v>
      </c>
      <c r="D934" t="s">
        <v>94</v>
      </c>
      <c r="E934" t="s">
        <v>95</v>
      </c>
      <c r="G934" t="s">
        <v>2978</v>
      </c>
      <c r="H934" t="s">
        <v>3165</v>
      </c>
      <c r="I934" t="s">
        <v>3375</v>
      </c>
      <c r="J934" s="11" t="str">
        <f>+LEFT(U934,4)</f>
        <v>LID-</v>
      </c>
      <c r="K934" t="s">
        <v>98</v>
      </c>
      <c r="L934">
        <v>1080</v>
      </c>
      <c r="M934" t="s">
        <v>1472</v>
      </c>
      <c r="N934" t="s">
        <v>11</v>
      </c>
      <c r="O934">
        <v>4.37</v>
      </c>
      <c r="P934" s="12">
        <f>ROUND(O934*L934,2)</f>
        <v>4719.6000000000004</v>
      </c>
      <c r="Q934" s="13">
        <f>IF(N934="HKD",7.8,IF(N934="CNY",7.30034,1))</f>
        <v>7.3003400000000003</v>
      </c>
      <c r="R934" s="15">
        <f>+ROUND(O934/Q934,4)</f>
        <v>0.59860000000000002</v>
      </c>
      <c r="S934" s="14">
        <f>ROUND(R934*L934,2)</f>
        <v>646.49</v>
      </c>
      <c r="T934" s="15" t="s">
        <v>349</v>
      </c>
      <c r="U934" t="s">
        <v>368</v>
      </c>
    </row>
    <row r="935" spans="1:21" x14ac:dyDescent="0.2">
      <c r="A935" t="s">
        <v>2536</v>
      </c>
      <c r="B935" s="24">
        <v>45733</v>
      </c>
      <c r="C935" s="24">
        <v>45714</v>
      </c>
      <c r="D935" t="s">
        <v>94</v>
      </c>
      <c r="E935" t="s">
        <v>95</v>
      </c>
      <c r="G935" t="s">
        <v>2977</v>
      </c>
      <c r="H935" t="s">
        <v>3165</v>
      </c>
      <c r="I935" t="s">
        <v>3375</v>
      </c>
      <c r="J935" s="11" t="str">
        <f>+LEFT(U935,4)</f>
        <v>LID-</v>
      </c>
      <c r="K935" t="s">
        <v>98</v>
      </c>
      <c r="L935">
        <v>1265</v>
      </c>
      <c r="M935" t="s">
        <v>1472</v>
      </c>
      <c r="N935" t="s">
        <v>11</v>
      </c>
      <c r="O935">
        <v>4.37</v>
      </c>
      <c r="P935" s="12">
        <f>ROUND(O935*L935,2)</f>
        <v>5528.05</v>
      </c>
      <c r="Q935" s="13">
        <f>IF(N935="HKD",7.8,IF(N935="CNY",7.30034,1))</f>
        <v>7.3003400000000003</v>
      </c>
      <c r="R935" s="15">
        <f>+ROUND(O935/Q935,4)</f>
        <v>0.59860000000000002</v>
      </c>
      <c r="S935" s="14">
        <f>ROUND(R935*L935,2)</f>
        <v>757.23</v>
      </c>
      <c r="T935" s="15" t="s">
        <v>349</v>
      </c>
      <c r="U935" t="s">
        <v>368</v>
      </c>
    </row>
    <row r="936" spans="1:21" x14ac:dyDescent="0.2">
      <c r="A936" t="s">
        <v>2536</v>
      </c>
      <c r="B936" s="24">
        <v>45734</v>
      </c>
      <c r="C936" s="24">
        <v>45714</v>
      </c>
      <c r="D936" t="s">
        <v>94</v>
      </c>
      <c r="E936" t="s">
        <v>95</v>
      </c>
      <c r="G936" t="s">
        <v>2976</v>
      </c>
      <c r="H936" t="s">
        <v>3165</v>
      </c>
      <c r="I936" t="s">
        <v>3375</v>
      </c>
      <c r="J936" s="11" t="str">
        <f>+LEFT(U936,4)</f>
        <v>LID-</v>
      </c>
      <c r="K936" t="s">
        <v>98</v>
      </c>
      <c r="L936">
        <v>740</v>
      </c>
      <c r="M936" t="s">
        <v>1472</v>
      </c>
      <c r="N936" t="s">
        <v>11</v>
      </c>
      <c r="O936">
        <v>4.37</v>
      </c>
      <c r="P936" s="12">
        <f>ROUND(O936*L936,2)</f>
        <v>3233.8</v>
      </c>
      <c r="Q936" s="13">
        <f>IF(N936="HKD",7.8,IF(N936="CNY",7.30034,1))</f>
        <v>7.3003400000000003</v>
      </c>
      <c r="R936" s="15">
        <f>+ROUND(O936/Q936,4)</f>
        <v>0.59860000000000002</v>
      </c>
      <c r="S936" s="14">
        <f>ROUND(R936*L936,2)</f>
        <v>442.96</v>
      </c>
      <c r="T936" s="15" t="s">
        <v>349</v>
      </c>
      <c r="U936" t="s">
        <v>368</v>
      </c>
    </row>
    <row r="937" spans="1:21" x14ac:dyDescent="0.2">
      <c r="A937" t="s">
        <v>2536</v>
      </c>
      <c r="B937" s="24">
        <v>45735</v>
      </c>
      <c r="C937" s="24">
        <v>45714</v>
      </c>
      <c r="D937" t="s">
        <v>94</v>
      </c>
      <c r="E937" t="s">
        <v>95</v>
      </c>
      <c r="G937" t="s">
        <v>2975</v>
      </c>
      <c r="H937" t="s">
        <v>3165</v>
      </c>
      <c r="I937" t="s">
        <v>3375</v>
      </c>
      <c r="J937" s="11" t="str">
        <f>+LEFT(U937,4)</f>
        <v>LID-</v>
      </c>
      <c r="K937" t="s">
        <v>98</v>
      </c>
      <c r="L937">
        <v>693</v>
      </c>
      <c r="M937" t="s">
        <v>1472</v>
      </c>
      <c r="N937" t="s">
        <v>11</v>
      </c>
      <c r="O937">
        <v>4.37</v>
      </c>
      <c r="P937" s="12">
        <f>ROUND(O937*L937,2)</f>
        <v>3028.41</v>
      </c>
      <c r="Q937" s="13">
        <f>IF(N937="HKD",7.8,IF(N937="CNY",7.30034,1))</f>
        <v>7.3003400000000003</v>
      </c>
      <c r="R937" s="15">
        <f>+ROUND(O937/Q937,4)</f>
        <v>0.59860000000000002</v>
      </c>
      <c r="S937" s="14">
        <f>ROUND(R937*L937,2)</f>
        <v>414.83</v>
      </c>
      <c r="T937" s="15" t="s">
        <v>349</v>
      </c>
      <c r="U937" t="s">
        <v>368</v>
      </c>
    </row>
    <row r="938" spans="1:21" x14ac:dyDescent="0.2">
      <c r="A938" t="s">
        <v>2536</v>
      </c>
      <c r="B938" s="24">
        <v>45736</v>
      </c>
      <c r="C938" s="24">
        <v>45714</v>
      </c>
      <c r="D938" t="s">
        <v>94</v>
      </c>
      <c r="E938" t="s">
        <v>95</v>
      </c>
      <c r="G938" t="s">
        <v>2974</v>
      </c>
      <c r="H938" t="s">
        <v>3165</v>
      </c>
      <c r="I938" t="s">
        <v>3375</v>
      </c>
      <c r="J938" s="11" t="str">
        <f>+LEFT(U938,4)</f>
        <v>LID-</v>
      </c>
      <c r="K938" t="s">
        <v>98</v>
      </c>
      <c r="L938">
        <v>1272</v>
      </c>
      <c r="M938" t="s">
        <v>1472</v>
      </c>
      <c r="N938" t="s">
        <v>11</v>
      </c>
      <c r="O938">
        <v>4.37</v>
      </c>
      <c r="P938" s="12">
        <f>ROUND(O938*L938,2)</f>
        <v>5558.64</v>
      </c>
      <c r="Q938" s="13">
        <f>IF(N938="HKD",7.8,IF(N938="CNY",7.30034,1))</f>
        <v>7.3003400000000003</v>
      </c>
      <c r="R938" s="15">
        <f>+ROUND(O938/Q938,4)</f>
        <v>0.59860000000000002</v>
      </c>
      <c r="S938" s="14">
        <f>ROUND(R938*L938,2)</f>
        <v>761.42</v>
      </c>
      <c r="T938" s="15" t="s">
        <v>349</v>
      </c>
      <c r="U938" t="s">
        <v>368</v>
      </c>
    </row>
    <row r="939" spans="1:21" x14ac:dyDescent="0.2">
      <c r="A939" t="s">
        <v>2537</v>
      </c>
      <c r="B939" s="24">
        <v>45736</v>
      </c>
      <c r="C939" s="24">
        <v>45714</v>
      </c>
      <c r="D939" t="s">
        <v>94</v>
      </c>
      <c r="E939" t="s">
        <v>95</v>
      </c>
      <c r="G939" t="s">
        <v>2974</v>
      </c>
      <c r="H939" t="s">
        <v>3165</v>
      </c>
      <c r="I939" t="s">
        <v>3375</v>
      </c>
      <c r="J939" s="11" t="str">
        <f>+LEFT(U939,4)</f>
        <v>LID-</v>
      </c>
      <c r="K939" t="s">
        <v>98</v>
      </c>
      <c r="L939">
        <v>111</v>
      </c>
      <c r="M939" t="s">
        <v>1472</v>
      </c>
      <c r="N939" t="s">
        <v>11</v>
      </c>
      <c r="O939">
        <v>4.37</v>
      </c>
      <c r="P939" s="12">
        <f>ROUND(O939*L939,2)</f>
        <v>485.07</v>
      </c>
      <c r="Q939" s="13">
        <f>IF(N939="HKD",7.8,IF(N939="CNY",7.30034,1))</f>
        <v>7.3003400000000003</v>
      </c>
      <c r="R939" s="15">
        <f>+ROUND(O939/Q939,4)</f>
        <v>0.59860000000000002</v>
      </c>
      <c r="S939" s="14">
        <f>ROUND(R939*L939,2)</f>
        <v>66.44</v>
      </c>
      <c r="T939" s="15" t="s">
        <v>349</v>
      </c>
      <c r="U939" t="s">
        <v>368</v>
      </c>
    </row>
    <row r="940" spans="1:21" x14ac:dyDescent="0.2">
      <c r="A940" t="s">
        <v>2537</v>
      </c>
      <c r="B940" s="24">
        <v>45747</v>
      </c>
      <c r="C940" s="24">
        <v>45714</v>
      </c>
      <c r="D940" t="s">
        <v>94</v>
      </c>
      <c r="E940" t="s">
        <v>95</v>
      </c>
      <c r="G940" t="s">
        <v>2979</v>
      </c>
      <c r="H940" t="s">
        <v>3165</v>
      </c>
      <c r="I940" t="s">
        <v>3375</v>
      </c>
      <c r="J940" s="11" t="str">
        <f>+LEFT(U940,4)</f>
        <v>LID-</v>
      </c>
      <c r="K940" t="s">
        <v>98</v>
      </c>
      <c r="L940">
        <v>1514</v>
      </c>
      <c r="M940" t="s">
        <v>1472</v>
      </c>
      <c r="N940" t="s">
        <v>11</v>
      </c>
      <c r="O940">
        <v>4.37</v>
      </c>
      <c r="P940" s="12">
        <f>ROUND(O940*L940,2)</f>
        <v>6616.18</v>
      </c>
      <c r="Q940" s="13">
        <f>IF(N940="HKD",7.8,IF(N940="CNY",7.30034,1))</f>
        <v>7.3003400000000003</v>
      </c>
      <c r="R940" s="15">
        <f>+ROUND(O940/Q940,4)</f>
        <v>0.59860000000000002</v>
      </c>
      <c r="S940" s="14">
        <f>ROUND(R940*L940,2)</f>
        <v>906.28</v>
      </c>
      <c r="T940" s="15" t="s">
        <v>349</v>
      </c>
      <c r="U940" t="s">
        <v>368</v>
      </c>
    </row>
    <row r="941" spans="1:21" x14ac:dyDescent="0.2">
      <c r="A941" t="s">
        <v>2730</v>
      </c>
      <c r="B941" s="24">
        <v>45743</v>
      </c>
      <c r="C941" s="24">
        <v>45728</v>
      </c>
      <c r="D941" t="s">
        <v>149</v>
      </c>
      <c r="E941" t="s">
        <v>150</v>
      </c>
      <c r="G941" t="s">
        <v>2993</v>
      </c>
      <c r="H941" t="s">
        <v>1190</v>
      </c>
      <c r="I941" t="s">
        <v>1191</v>
      </c>
      <c r="J941" s="11" t="str">
        <f>+LEFT(U941,4)</f>
        <v>GLID</v>
      </c>
      <c r="K941" t="s">
        <v>10</v>
      </c>
      <c r="L941">
        <v>3030</v>
      </c>
      <c r="M941" t="s">
        <v>1472</v>
      </c>
      <c r="N941" t="s">
        <v>11</v>
      </c>
      <c r="O941">
        <v>4.3726000000000003</v>
      </c>
      <c r="P941" s="12">
        <f>ROUND(O941*L941,2)</f>
        <v>13248.98</v>
      </c>
      <c r="Q941" s="13">
        <f>IF(N941="HKD",7.8,IF(N941="CNY",7.30034,1))</f>
        <v>7.3003400000000003</v>
      </c>
      <c r="R941" s="15">
        <f>+ROUND(O941/Q941,4)</f>
        <v>0.59899999999999998</v>
      </c>
      <c r="S941" s="14">
        <f>ROUND(R941*L941,2)</f>
        <v>1814.97</v>
      </c>
      <c r="T941" s="15" t="s">
        <v>349</v>
      </c>
      <c r="U941" t="s">
        <v>78</v>
      </c>
    </row>
    <row r="942" spans="1:21" x14ac:dyDescent="0.2">
      <c r="A942" t="s">
        <v>2549</v>
      </c>
      <c r="B942" s="24">
        <v>45743</v>
      </c>
      <c r="C942" s="24">
        <v>45716</v>
      </c>
      <c r="D942" t="s">
        <v>149</v>
      </c>
      <c r="E942" t="s">
        <v>150</v>
      </c>
      <c r="G942" t="s">
        <v>2993</v>
      </c>
      <c r="H942" t="s">
        <v>3169</v>
      </c>
      <c r="I942" t="s">
        <v>3379</v>
      </c>
      <c r="J942" s="11" t="str">
        <f>+LEFT(U942,4)</f>
        <v>GLID</v>
      </c>
      <c r="K942" t="s">
        <v>10</v>
      </c>
      <c r="L942">
        <v>530</v>
      </c>
      <c r="M942" t="s">
        <v>1472</v>
      </c>
      <c r="N942" t="s">
        <v>11</v>
      </c>
      <c r="O942">
        <v>4.4287999999999998</v>
      </c>
      <c r="P942" s="12">
        <f>ROUND(O942*L942,2)</f>
        <v>2347.2600000000002</v>
      </c>
      <c r="Q942" s="13">
        <f>IF(N942="HKD",7.8,IF(N942="CNY",7.30034,1))</f>
        <v>7.3003400000000003</v>
      </c>
      <c r="R942" s="15">
        <f>+ROUND(O942/Q942,4)</f>
        <v>0.60670000000000002</v>
      </c>
      <c r="S942" s="14">
        <f>ROUND(R942*L942,2)</f>
        <v>321.55</v>
      </c>
      <c r="T942" s="15" t="s">
        <v>349</v>
      </c>
      <c r="U942" t="s">
        <v>78</v>
      </c>
    </row>
    <row r="943" spans="1:21" x14ac:dyDescent="0.2">
      <c r="A943" t="s">
        <v>2790</v>
      </c>
      <c r="B943" s="24">
        <v>45736</v>
      </c>
      <c r="C943" s="24">
        <v>45735</v>
      </c>
      <c r="D943" t="s">
        <v>5</v>
      </c>
      <c r="E943" t="s">
        <v>6</v>
      </c>
      <c r="G943" t="s">
        <v>2900</v>
      </c>
      <c r="H943" t="s">
        <v>3262</v>
      </c>
      <c r="I943" t="s">
        <v>3469</v>
      </c>
      <c r="J943" s="11" t="str">
        <f>+LEFT(U943,4)</f>
        <v>BOX-</v>
      </c>
      <c r="K943" t="s">
        <v>10</v>
      </c>
      <c r="L943">
        <v>1010</v>
      </c>
      <c r="M943" t="s">
        <v>1472</v>
      </c>
      <c r="N943" t="s">
        <v>11</v>
      </c>
      <c r="O943">
        <v>4.43</v>
      </c>
      <c r="P943" s="12">
        <f>ROUND(O943*L943,2)</f>
        <v>4474.3</v>
      </c>
      <c r="Q943" s="13">
        <f>IF(N943="HKD",7.8,IF(N943="CNY",7.30034,1))</f>
        <v>7.3003400000000003</v>
      </c>
      <c r="R943" s="15">
        <f>+ROUND(O943/Q943,4)</f>
        <v>0.60680000000000001</v>
      </c>
      <c r="S943" s="14">
        <f>ROUND(R943*L943,2)</f>
        <v>612.87</v>
      </c>
      <c r="T943" s="15" t="s">
        <v>349</v>
      </c>
      <c r="U943" t="s">
        <v>1</v>
      </c>
    </row>
    <row r="944" spans="1:21" x14ac:dyDescent="0.2">
      <c r="A944" t="s">
        <v>2368</v>
      </c>
      <c r="B944" s="24">
        <v>45747</v>
      </c>
      <c r="C944" s="24">
        <v>45695</v>
      </c>
      <c r="D944" t="s">
        <v>651</v>
      </c>
      <c r="E944" t="s">
        <v>652</v>
      </c>
      <c r="G944" t="s">
        <v>2906</v>
      </c>
      <c r="H944" t="s">
        <v>1760</v>
      </c>
      <c r="I944" t="s">
        <v>1761</v>
      </c>
      <c r="J944" s="11" t="str">
        <f>+LEFT(U944,4)</f>
        <v>KNOB</v>
      </c>
      <c r="K944" t="s">
        <v>10</v>
      </c>
      <c r="L944">
        <v>2900</v>
      </c>
      <c r="M944" t="s">
        <v>1472</v>
      </c>
      <c r="N944" t="s">
        <v>11</v>
      </c>
      <c r="O944">
        <v>4.4776999999999996</v>
      </c>
      <c r="P944" s="12">
        <f>ROUND(O944*L944,2)</f>
        <v>12985.33</v>
      </c>
      <c r="Q944" s="13">
        <f>IF(N944="HKD",7.8,IF(N944="CNY",7.30034,1))</f>
        <v>7.3003400000000003</v>
      </c>
      <c r="R944" s="15">
        <f>+ROUND(O944/Q944,4)</f>
        <v>0.61339999999999995</v>
      </c>
      <c r="S944" s="14">
        <f>ROUND(R944*L944,2)</f>
        <v>1778.86</v>
      </c>
      <c r="T944" s="15" t="s">
        <v>349</v>
      </c>
      <c r="U944" t="s">
        <v>32</v>
      </c>
    </row>
    <row r="945" spans="1:21" x14ac:dyDescent="0.2">
      <c r="A945" t="s">
        <v>2353</v>
      </c>
      <c r="B945" s="24">
        <v>45735</v>
      </c>
      <c r="C945" s="24">
        <v>45680</v>
      </c>
      <c r="D945" t="s">
        <v>696</v>
      </c>
      <c r="E945" t="s">
        <v>697</v>
      </c>
      <c r="G945" t="s">
        <v>2901</v>
      </c>
      <c r="H945" t="s">
        <v>1543</v>
      </c>
      <c r="I945" t="s">
        <v>1544</v>
      </c>
      <c r="J945" s="11" t="s">
        <v>1536</v>
      </c>
      <c r="K945" t="s">
        <v>10</v>
      </c>
      <c r="L945">
        <v>1000</v>
      </c>
      <c r="M945" t="s">
        <v>1472</v>
      </c>
      <c r="N945" t="s">
        <v>11</v>
      </c>
      <c r="O945">
        <v>4.53</v>
      </c>
      <c r="P945" s="12">
        <f>ROUND(O945*L945,2)</f>
        <v>4530</v>
      </c>
      <c r="Q945" s="13">
        <f>IF(N945="HKD",7.8,IF(N945="CNY",7.30034,1))</f>
        <v>7.3003400000000003</v>
      </c>
      <c r="R945" s="15">
        <f>+ROUND(O945/Q945,4)</f>
        <v>0.62050000000000005</v>
      </c>
      <c r="S945" s="14">
        <f>ROUND(R945*L945,2)</f>
        <v>620.5</v>
      </c>
      <c r="T945" s="15" t="s">
        <v>349</v>
      </c>
      <c r="U945" t="s">
        <v>36</v>
      </c>
    </row>
    <row r="946" spans="1:21" x14ac:dyDescent="0.2">
      <c r="A946" t="s">
        <v>2529</v>
      </c>
      <c r="B946" s="24">
        <v>45735</v>
      </c>
      <c r="C946" s="24">
        <v>45713</v>
      </c>
      <c r="D946" t="s">
        <v>696</v>
      </c>
      <c r="E946" t="s">
        <v>697</v>
      </c>
      <c r="G946" t="s">
        <v>2901</v>
      </c>
      <c r="H946" t="s">
        <v>1543</v>
      </c>
      <c r="I946" t="s">
        <v>1544</v>
      </c>
      <c r="J946" s="11" t="s">
        <v>1536</v>
      </c>
      <c r="K946" t="s">
        <v>10</v>
      </c>
      <c r="L946">
        <v>1000</v>
      </c>
      <c r="M946" t="s">
        <v>1472</v>
      </c>
      <c r="N946" t="s">
        <v>11</v>
      </c>
      <c r="O946">
        <v>4.53</v>
      </c>
      <c r="P946" s="12">
        <f>ROUND(O946*L946,2)</f>
        <v>4530</v>
      </c>
      <c r="Q946" s="13">
        <f>IF(N946="HKD",7.8,IF(N946="CNY",7.30034,1))</f>
        <v>7.3003400000000003</v>
      </c>
      <c r="R946" s="15">
        <f>+ROUND(O946/Q946,4)</f>
        <v>0.62050000000000005</v>
      </c>
      <c r="S946" s="14">
        <f>ROUND(R946*L946,2)</f>
        <v>620.5</v>
      </c>
      <c r="T946" s="15" t="s">
        <v>349</v>
      </c>
      <c r="U946" t="s">
        <v>36</v>
      </c>
    </row>
    <row r="947" spans="1:21" x14ac:dyDescent="0.2">
      <c r="A947" t="s">
        <v>2054</v>
      </c>
      <c r="B947" s="24">
        <v>45719</v>
      </c>
      <c r="C947" s="24">
        <v>45656</v>
      </c>
      <c r="D947" t="s">
        <v>128</v>
      </c>
      <c r="E947" t="s">
        <v>129</v>
      </c>
      <c r="G947" t="s">
        <v>2868</v>
      </c>
      <c r="H947" t="s">
        <v>1762</v>
      </c>
      <c r="I947" t="s">
        <v>1763</v>
      </c>
      <c r="J947" s="11" t="str">
        <f>+LEFT(U947,4)</f>
        <v>HDL-</v>
      </c>
      <c r="K947" t="s">
        <v>10</v>
      </c>
      <c r="L947">
        <v>1950</v>
      </c>
      <c r="M947" t="s">
        <v>1472</v>
      </c>
      <c r="N947" t="s">
        <v>11</v>
      </c>
      <c r="O947">
        <v>4.5491999999999999</v>
      </c>
      <c r="P947" s="12">
        <f>ROUND(O947*L947,2)</f>
        <v>8870.94</v>
      </c>
      <c r="Q947" s="13">
        <f>IF(N947="HKD",7.8,IF(N947="CNY",7.30034,1))</f>
        <v>7.3003400000000003</v>
      </c>
      <c r="R947" s="15">
        <f>+ROUND(O947/Q947,4)</f>
        <v>0.62309999999999999</v>
      </c>
      <c r="S947" s="14">
        <f>ROUND(R947*L947,2)</f>
        <v>1215.05</v>
      </c>
      <c r="T947" s="15" t="s">
        <v>349</v>
      </c>
      <c r="U947" t="s">
        <v>228</v>
      </c>
    </row>
    <row r="948" spans="1:21" x14ac:dyDescent="0.2">
      <c r="A948" t="s">
        <v>2054</v>
      </c>
      <c r="B948" s="24">
        <v>45723</v>
      </c>
      <c r="C948" s="24">
        <v>45656</v>
      </c>
      <c r="D948" t="s">
        <v>128</v>
      </c>
      <c r="E948" t="s">
        <v>129</v>
      </c>
      <c r="G948" t="s">
        <v>2867</v>
      </c>
      <c r="H948" t="s">
        <v>1762</v>
      </c>
      <c r="I948" t="s">
        <v>1763</v>
      </c>
      <c r="J948" s="11" t="str">
        <f>+LEFT(U948,4)</f>
        <v>HDL-</v>
      </c>
      <c r="K948" t="s">
        <v>10</v>
      </c>
      <c r="L948">
        <v>3200</v>
      </c>
      <c r="M948" t="s">
        <v>1472</v>
      </c>
      <c r="N948" t="s">
        <v>11</v>
      </c>
      <c r="O948">
        <v>4.5491999999999999</v>
      </c>
      <c r="P948" s="12">
        <f>ROUND(O948*L948,2)</f>
        <v>14557.44</v>
      </c>
      <c r="Q948" s="13">
        <f>IF(N948="HKD",7.8,IF(N948="CNY",7.30034,1))</f>
        <v>7.3003400000000003</v>
      </c>
      <c r="R948" s="15">
        <f>+ROUND(O948/Q948,4)</f>
        <v>0.62309999999999999</v>
      </c>
      <c r="S948" s="14">
        <f>ROUND(R948*L948,2)</f>
        <v>1993.92</v>
      </c>
      <c r="T948" s="15" t="s">
        <v>349</v>
      </c>
      <c r="U948" t="s">
        <v>228</v>
      </c>
    </row>
    <row r="949" spans="1:21" x14ac:dyDescent="0.2">
      <c r="A949" t="s">
        <v>2340</v>
      </c>
      <c r="B949" s="24">
        <v>45723</v>
      </c>
      <c r="C949" s="24">
        <v>45674</v>
      </c>
      <c r="D949" t="s">
        <v>128</v>
      </c>
      <c r="E949" t="s">
        <v>129</v>
      </c>
      <c r="G949" t="s">
        <v>2867</v>
      </c>
      <c r="H949" t="s">
        <v>1762</v>
      </c>
      <c r="I949" t="s">
        <v>1763</v>
      </c>
      <c r="J949" s="11" t="str">
        <f>+LEFT(U949,4)</f>
        <v>HDL-</v>
      </c>
      <c r="K949" t="s">
        <v>10</v>
      </c>
      <c r="L949">
        <v>200</v>
      </c>
      <c r="M949" t="s">
        <v>1472</v>
      </c>
      <c r="N949" t="s">
        <v>11</v>
      </c>
      <c r="O949">
        <v>4.5491999999999999</v>
      </c>
      <c r="P949" s="12">
        <f>ROUND(O949*L949,2)</f>
        <v>909.84</v>
      </c>
      <c r="Q949" s="13">
        <f>IF(N949="HKD",7.8,IF(N949="CNY",7.30034,1))</f>
        <v>7.3003400000000003</v>
      </c>
      <c r="R949" s="15">
        <f>+ROUND(O949/Q949,4)</f>
        <v>0.62309999999999999</v>
      </c>
      <c r="S949" s="14">
        <f>ROUND(R949*L949,2)</f>
        <v>124.62</v>
      </c>
      <c r="T949" s="15" t="s">
        <v>349</v>
      </c>
      <c r="U949" t="s">
        <v>228</v>
      </c>
    </row>
    <row r="950" spans="1:21" x14ac:dyDescent="0.2">
      <c r="A950" t="s">
        <v>2053</v>
      </c>
      <c r="B950" s="24">
        <v>45727</v>
      </c>
      <c r="C950" s="24">
        <v>45350</v>
      </c>
      <c r="D950" t="s">
        <v>128</v>
      </c>
      <c r="E950" t="s">
        <v>129</v>
      </c>
      <c r="G950" t="s">
        <v>2839</v>
      </c>
      <c r="H950" t="s">
        <v>1762</v>
      </c>
      <c r="I950" t="s">
        <v>1763</v>
      </c>
      <c r="J950" s="11" t="str">
        <f>+LEFT(U950,4)</f>
        <v>HDL-</v>
      </c>
      <c r="K950" t="s">
        <v>10</v>
      </c>
      <c r="L950">
        <v>-1820</v>
      </c>
      <c r="M950" t="s">
        <v>1472</v>
      </c>
      <c r="N950" t="s">
        <v>11</v>
      </c>
      <c r="O950">
        <v>4.5491999999999999</v>
      </c>
      <c r="P950" s="12">
        <f>ROUND(O950*L950,2)</f>
        <v>-8279.5400000000009</v>
      </c>
      <c r="Q950" s="13">
        <f>IF(N950="HKD",7.8,IF(N950="CNY",7.30034,1))</f>
        <v>7.3003400000000003</v>
      </c>
      <c r="R950" s="15">
        <f>+ROUND(O950/Q950,4)</f>
        <v>0.62309999999999999</v>
      </c>
      <c r="S950" s="14">
        <f>ROUND(R950*L950,2)</f>
        <v>-1134.04</v>
      </c>
      <c r="T950" s="15" t="s">
        <v>349</v>
      </c>
      <c r="U950" t="s">
        <v>228</v>
      </c>
    </row>
    <row r="951" spans="1:21" x14ac:dyDescent="0.2">
      <c r="A951" t="s">
        <v>2053</v>
      </c>
      <c r="B951" s="24">
        <v>45727</v>
      </c>
      <c r="C951" s="24">
        <v>45350</v>
      </c>
      <c r="D951" t="s">
        <v>128</v>
      </c>
      <c r="E951" t="s">
        <v>129</v>
      </c>
      <c r="G951" t="s">
        <v>2840</v>
      </c>
      <c r="H951" t="s">
        <v>1762</v>
      </c>
      <c r="I951" t="s">
        <v>1763</v>
      </c>
      <c r="J951" s="11" t="str">
        <f>+LEFT(U951,4)</f>
        <v>HDL-</v>
      </c>
      <c r="K951" t="s">
        <v>10</v>
      </c>
      <c r="L951">
        <v>1820</v>
      </c>
      <c r="M951" t="s">
        <v>1472</v>
      </c>
      <c r="N951" t="s">
        <v>11</v>
      </c>
      <c r="O951">
        <v>4.5491999999999999</v>
      </c>
      <c r="P951" s="12">
        <f>ROUND(O951*L951,2)</f>
        <v>8279.5400000000009</v>
      </c>
      <c r="Q951" s="13">
        <f>IF(N951="HKD",7.8,IF(N951="CNY",7.30034,1))</f>
        <v>7.3003400000000003</v>
      </c>
      <c r="R951" s="15">
        <f>+ROUND(O951/Q951,4)</f>
        <v>0.62309999999999999</v>
      </c>
      <c r="S951" s="14">
        <f>ROUND(R951*L951,2)</f>
        <v>1134.04</v>
      </c>
      <c r="T951" s="15" t="s">
        <v>349</v>
      </c>
      <c r="U951" t="s">
        <v>228</v>
      </c>
    </row>
    <row r="952" spans="1:21" x14ac:dyDescent="0.2">
      <c r="A952" t="s">
        <v>2054</v>
      </c>
      <c r="B952" s="24">
        <v>45727</v>
      </c>
      <c r="C952" s="24">
        <v>45656</v>
      </c>
      <c r="D952" t="s">
        <v>128</v>
      </c>
      <c r="E952" t="s">
        <v>129</v>
      </c>
      <c r="G952" t="s">
        <v>2839</v>
      </c>
      <c r="H952" t="s">
        <v>1762</v>
      </c>
      <c r="I952" t="s">
        <v>1763</v>
      </c>
      <c r="J952" s="11" t="str">
        <f>+LEFT(U952,4)</f>
        <v>HDL-</v>
      </c>
      <c r="K952" t="s">
        <v>10</v>
      </c>
      <c r="L952">
        <v>-3200</v>
      </c>
      <c r="M952" t="s">
        <v>1472</v>
      </c>
      <c r="N952" t="s">
        <v>11</v>
      </c>
      <c r="O952">
        <v>4.5491999999999999</v>
      </c>
      <c r="P952" s="12">
        <f>ROUND(O952*L952,2)</f>
        <v>-14557.44</v>
      </c>
      <c r="Q952" s="13">
        <f>IF(N952="HKD",7.8,IF(N952="CNY",7.30034,1))</f>
        <v>7.3003400000000003</v>
      </c>
      <c r="R952" s="15">
        <f>+ROUND(O952/Q952,4)</f>
        <v>0.62309999999999999</v>
      </c>
      <c r="S952" s="14">
        <f>ROUND(R952*L952,2)</f>
        <v>-1993.92</v>
      </c>
      <c r="T952" s="15" t="s">
        <v>349</v>
      </c>
      <c r="U952" t="s">
        <v>228</v>
      </c>
    </row>
    <row r="953" spans="1:21" x14ac:dyDescent="0.2">
      <c r="A953" t="s">
        <v>2340</v>
      </c>
      <c r="B953" s="24">
        <v>45727</v>
      </c>
      <c r="C953" s="24">
        <v>45674</v>
      </c>
      <c r="D953" t="s">
        <v>128</v>
      </c>
      <c r="E953" t="s">
        <v>129</v>
      </c>
      <c r="G953" t="s">
        <v>2839</v>
      </c>
      <c r="H953" t="s">
        <v>1762</v>
      </c>
      <c r="I953" t="s">
        <v>1763</v>
      </c>
      <c r="J953" s="11" t="str">
        <f>+LEFT(U953,4)</f>
        <v>HDL-</v>
      </c>
      <c r="K953" t="s">
        <v>10</v>
      </c>
      <c r="L953">
        <v>-200</v>
      </c>
      <c r="M953" t="s">
        <v>1472</v>
      </c>
      <c r="N953" t="s">
        <v>11</v>
      </c>
      <c r="O953">
        <v>4.5491999999999999</v>
      </c>
      <c r="P953" s="12">
        <f>ROUND(O953*L953,2)</f>
        <v>-909.84</v>
      </c>
      <c r="Q953" s="13">
        <f>IF(N953="HKD",7.8,IF(N953="CNY",7.30034,1))</f>
        <v>7.3003400000000003</v>
      </c>
      <c r="R953" s="15">
        <f>+ROUND(O953/Q953,4)</f>
        <v>0.62309999999999999</v>
      </c>
      <c r="S953" s="14">
        <f>ROUND(R953*L953,2)</f>
        <v>-124.62</v>
      </c>
      <c r="T953" s="15" t="s">
        <v>349</v>
      </c>
      <c r="U953" t="s">
        <v>228</v>
      </c>
    </row>
    <row r="954" spans="1:21" x14ac:dyDescent="0.2">
      <c r="A954" t="s">
        <v>2053</v>
      </c>
      <c r="B954" s="24">
        <v>45730</v>
      </c>
      <c r="C954" s="24">
        <v>45350</v>
      </c>
      <c r="D954" t="s">
        <v>128</v>
      </c>
      <c r="E954" t="s">
        <v>129</v>
      </c>
      <c r="G954" t="s">
        <v>2838</v>
      </c>
      <c r="H954" t="s">
        <v>1762</v>
      </c>
      <c r="I954" t="s">
        <v>1763</v>
      </c>
      <c r="J954" s="11" t="str">
        <f>+LEFT(U954,4)</f>
        <v>HDL-</v>
      </c>
      <c r="K954" t="s">
        <v>10</v>
      </c>
      <c r="L954">
        <v>1800</v>
      </c>
      <c r="M954" t="s">
        <v>1472</v>
      </c>
      <c r="N954" t="s">
        <v>11</v>
      </c>
      <c r="O954">
        <v>4.5491999999999999</v>
      </c>
      <c r="P954" s="12">
        <f>ROUND(O954*L954,2)</f>
        <v>8188.56</v>
      </c>
      <c r="Q954" s="13">
        <f>IF(N954="HKD",7.8,IF(N954="CNY",7.30034,1))</f>
        <v>7.3003400000000003</v>
      </c>
      <c r="R954" s="15">
        <f>+ROUND(O954/Q954,4)</f>
        <v>0.62309999999999999</v>
      </c>
      <c r="S954" s="14">
        <f>ROUND(R954*L954,2)</f>
        <v>1121.58</v>
      </c>
      <c r="T954" s="15" t="s">
        <v>349</v>
      </c>
      <c r="U954" t="s">
        <v>228</v>
      </c>
    </row>
    <row r="955" spans="1:21" x14ac:dyDescent="0.2">
      <c r="A955" t="s">
        <v>2054</v>
      </c>
      <c r="B955" s="24">
        <v>45730</v>
      </c>
      <c r="C955" s="24">
        <v>45656</v>
      </c>
      <c r="D955" t="s">
        <v>128</v>
      </c>
      <c r="E955" t="s">
        <v>129</v>
      </c>
      <c r="G955" t="s">
        <v>2838</v>
      </c>
      <c r="H955" t="s">
        <v>1762</v>
      </c>
      <c r="I955" t="s">
        <v>1763</v>
      </c>
      <c r="J955" s="11" t="str">
        <f>+LEFT(U955,4)</f>
        <v>HDL-</v>
      </c>
      <c r="K955" t="s">
        <v>10</v>
      </c>
      <c r="L955">
        <v>3200</v>
      </c>
      <c r="M955" t="s">
        <v>1472</v>
      </c>
      <c r="N955" t="s">
        <v>11</v>
      </c>
      <c r="O955">
        <v>4.5491999999999999</v>
      </c>
      <c r="P955" s="12">
        <f>ROUND(O955*L955,2)</f>
        <v>14557.44</v>
      </c>
      <c r="Q955" s="13">
        <f>IF(N955="HKD",7.8,IF(N955="CNY",7.30034,1))</f>
        <v>7.3003400000000003</v>
      </c>
      <c r="R955" s="15">
        <f>+ROUND(O955/Q955,4)</f>
        <v>0.62309999999999999</v>
      </c>
      <c r="S955" s="14">
        <f>ROUND(R955*L955,2)</f>
        <v>1993.92</v>
      </c>
      <c r="T955" s="15" t="s">
        <v>349</v>
      </c>
      <c r="U955" t="s">
        <v>228</v>
      </c>
    </row>
    <row r="956" spans="1:21" x14ac:dyDescent="0.2">
      <c r="A956" t="s">
        <v>2340</v>
      </c>
      <c r="B956" s="24">
        <v>45730</v>
      </c>
      <c r="C956" s="24">
        <v>45674</v>
      </c>
      <c r="D956" t="s">
        <v>128</v>
      </c>
      <c r="E956" t="s">
        <v>129</v>
      </c>
      <c r="G956" t="s">
        <v>2838</v>
      </c>
      <c r="H956" t="s">
        <v>1762</v>
      </c>
      <c r="I956" t="s">
        <v>1763</v>
      </c>
      <c r="J956" s="11" t="str">
        <f>+LEFT(U956,4)</f>
        <v>HDL-</v>
      </c>
      <c r="K956" t="s">
        <v>10</v>
      </c>
      <c r="L956">
        <v>200</v>
      </c>
      <c r="M956" t="s">
        <v>1472</v>
      </c>
      <c r="N956" t="s">
        <v>11</v>
      </c>
      <c r="O956">
        <v>4.5491999999999999</v>
      </c>
      <c r="P956" s="12">
        <f>ROUND(O956*L956,2)</f>
        <v>909.84</v>
      </c>
      <c r="Q956" s="13">
        <f>IF(N956="HKD",7.8,IF(N956="CNY",7.30034,1))</f>
        <v>7.3003400000000003</v>
      </c>
      <c r="R956" s="15">
        <f>+ROUND(O956/Q956,4)</f>
        <v>0.62309999999999999</v>
      </c>
      <c r="S956" s="14">
        <f>ROUND(R956*L956,2)</f>
        <v>124.62</v>
      </c>
      <c r="T956" s="15" t="s">
        <v>349</v>
      </c>
      <c r="U956" t="s">
        <v>228</v>
      </c>
    </row>
    <row r="957" spans="1:21" x14ac:dyDescent="0.2">
      <c r="A957" t="s">
        <v>2807</v>
      </c>
      <c r="B957" s="24">
        <v>45737</v>
      </c>
      <c r="C957" s="24">
        <v>45737</v>
      </c>
      <c r="D957" t="s">
        <v>128</v>
      </c>
      <c r="E957" t="s">
        <v>129</v>
      </c>
      <c r="G957" t="s">
        <v>2909</v>
      </c>
      <c r="H957" t="s">
        <v>1762</v>
      </c>
      <c r="I957" t="s">
        <v>1763</v>
      </c>
      <c r="J957" s="11" t="str">
        <f>+LEFT(U957,4)</f>
        <v>HDL-</v>
      </c>
      <c r="K957" t="s">
        <v>10</v>
      </c>
      <c r="L957">
        <v>200</v>
      </c>
      <c r="M957" t="s">
        <v>1472</v>
      </c>
      <c r="N957" t="s">
        <v>11</v>
      </c>
      <c r="O957">
        <v>4.5491999999999999</v>
      </c>
      <c r="P957" s="12">
        <f>ROUND(O957*L957,2)</f>
        <v>909.84</v>
      </c>
      <c r="Q957" s="13">
        <f>IF(N957="HKD",7.8,IF(N957="CNY",7.30034,1))</f>
        <v>7.3003400000000003</v>
      </c>
      <c r="R957" s="15">
        <f>+ROUND(O957/Q957,4)</f>
        <v>0.62309999999999999</v>
      </c>
      <c r="S957" s="14">
        <f>ROUND(R957*L957,2)</f>
        <v>124.62</v>
      </c>
      <c r="T957" s="15" t="s">
        <v>349</v>
      </c>
      <c r="U957" t="s">
        <v>228</v>
      </c>
    </row>
    <row r="958" spans="1:21" x14ac:dyDescent="0.2">
      <c r="A958" t="s">
        <v>2384</v>
      </c>
      <c r="B958" s="24">
        <v>45737</v>
      </c>
      <c r="C958" s="24">
        <v>45695</v>
      </c>
      <c r="D958" t="s">
        <v>569</v>
      </c>
      <c r="E958" t="s">
        <v>570</v>
      </c>
      <c r="G958" t="s">
        <v>2871</v>
      </c>
      <c r="H958" t="s">
        <v>1764</v>
      </c>
      <c r="I958" t="s">
        <v>1765</v>
      </c>
      <c r="J958" s="11" t="str">
        <f>+LEFT(U958,4)</f>
        <v>MISC</v>
      </c>
      <c r="K958" t="s">
        <v>10</v>
      </c>
      <c r="L958">
        <v>1700</v>
      </c>
      <c r="M958" t="s">
        <v>1472</v>
      </c>
      <c r="N958" t="s">
        <v>11</v>
      </c>
      <c r="O958">
        <v>4.6900000000000004</v>
      </c>
      <c r="P958" s="12">
        <f>ROUND(O958*L958,2)</f>
        <v>7973</v>
      </c>
      <c r="Q958" s="13">
        <f>IF(N958="HKD",7.8,IF(N958="CNY",7.30034,1))</f>
        <v>7.3003400000000003</v>
      </c>
      <c r="R958" s="15">
        <f>+ROUND(O958/Q958,4)</f>
        <v>0.64239999999999997</v>
      </c>
      <c r="S958" s="14">
        <f>ROUND(R958*L958,2)</f>
        <v>1092.08</v>
      </c>
      <c r="T958" s="15" t="s">
        <v>349</v>
      </c>
      <c r="U958" t="s">
        <v>25</v>
      </c>
    </row>
    <row r="959" spans="1:21" x14ac:dyDescent="0.2">
      <c r="A959" t="s">
        <v>2741</v>
      </c>
      <c r="B959" s="24">
        <v>45733</v>
      </c>
      <c r="C959" s="24">
        <v>45729</v>
      </c>
      <c r="D959" t="s">
        <v>5</v>
      </c>
      <c r="E959" t="s">
        <v>6</v>
      </c>
      <c r="G959" t="s">
        <v>3042</v>
      </c>
      <c r="H959" t="s">
        <v>3245</v>
      </c>
      <c r="I959" t="s">
        <v>3452</v>
      </c>
      <c r="J959" s="11" t="str">
        <f>+LEFT(U959,4)</f>
        <v>BOX-</v>
      </c>
      <c r="K959" t="s">
        <v>10</v>
      </c>
      <c r="L959">
        <v>505</v>
      </c>
      <c r="M959" t="s">
        <v>1472</v>
      </c>
      <c r="N959" t="s">
        <v>11</v>
      </c>
      <c r="O959">
        <v>4.75</v>
      </c>
      <c r="P959" s="12">
        <f>ROUND(O959*L959,2)</f>
        <v>2398.75</v>
      </c>
      <c r="Q959" s="13">
        <f>IF(N959="HKD",7.8,IF(N959="CNY",7.30034,1))</f>
        <v>7.3003400000000003</v>
      </c>
      <c r="R959" s="15">
        <f>+ROUND(O959/Q959,4)</f>
        <v>0.65069999999999995</v>
      </c>
      <c r="S959" s="14">
        <f>ROUND(R959*L959,2)</f>
        <v>328.6</v>
      </c>
      <c r="T959" s="15" t="s">
        <v>349</v>
      </c>
      <c r="U959" t="s">
        <v>1</v>
      </c>
    </row>
    <row r="960" spans="1:21" x14ac:dyDescent="0.2">
      <c r="A960" t="s">
        <v>2450</v>
      </c>
      <c r="B960" s="24">
        <v>45733</v>
      </c>
      <c r="C960" s="24">
        <v>45702</v>
      </c>
      <c r="D960" t="s">
        <v>2247</v>
      </c>
      <c r="E960" t="s">
        <v>2248</v>
      </c>
      <c r="G960" t="s">
        <v>2940</v>
      </c>
      <c r="H960" t="s">
        <v>3136</v>
      </c>
      <c r="I960" t="s">
        <v>3346</v>
      </c>
      <c r="J960" s="11" t="str">
        <f>+LEFT(U960,4)</f>
        <v>HDL-</v>
      </c>
      <c r="K960" t="s">
        <v>10</v>
      </c>
      <c r="L960">
        <v>1000</v>
      </c>
      <c r="M960" t="s">
        <v>1472</v>
      </c>
      <c r="N960" t="s">
        <v>11</v>
      </c>
      <c r="O960">
        <v>4.7900999999999998</v>
      </c>
      <c r="P960" s="12">
        <f>ROUND(O960*L960,2)</f>
        <v>4790.1000000000004</v>
      </c>
      <c r="Q960" s="13">
        <f>IF(N960="HKD",7.8,IF(N960="CNY",7.30034,1))</f>
        <v>7.3003400000000003</v>
      </c>
      <c r="R960" s="15">
        <f>+ROUND(O960/Q960,4)</f>
        <v>0.65610000000000002</v>
      </c>
      <c r="S960" s="14">
        <f>ROUND(R960*L960,2)</f>
        <v>656.1</v>
      </c>
      <c r="T960" s="15" t="s">
        <v>349</v>
      </c>
      <c r="U960" t="s">
        <v>228</v>
      </c>
    </row>
    <row r="961" spans="1:21" x14ac:dyDescent="0.2">
      <c r="A961" t="s">
        <v>2451</v>
      </c>
      <c r="B961" s="24">
        <v>45733</v>
      </c>
      <c r="C961" s="24">
        <v>45702</v>
      </c>
      <c r="D961" t="s">
        <v>2247</v>
      </c>
      <c r="E961" t="s">
        <v>2248</v>
      </c>
      <c r="G961" t="s">
        <v>2940</v>
      </c>
      <c r="H961" t="s">
        <v>3137</v>
      </c>
      <c r="I961" t="s">
        <v>3347</v>
      </c>
      <c r="J961" s="11" t="str">
        <f>+LEFT(U961,4)</f>
        <v>HDL-</v>
      </c>
      <c r="K961" t="s">
        <v>10</v>
      </c>
      <c r="L961">
        <v>1020</v>
      </c>
      <c r="M961" t="s">
        <v>1472</v>
      </c>
      <c r="N961" t="s">
        <v>11</v>
      </c>
      <c r="O961">
        <v>4.7900999999999998</v>
      </c>
      <c r="P961" s="12">
        <f>ROUND(O961*L961,2)</f>
        <v>4885.8999999999996</v>
      </c>
      <c r="Q961" s="13">
        <f>IF(N961="HKD",7.8,IF(N961="CNY",7.30034,1))</f>
        <v>7.3003400000000003</v>
      </c>
      <c r="R961" s="15">
        <f>+ROUND(O961/Q961,4)</f>
        <v>0.65610000000000002</v>
      </c>
      <c r="S961" s="14">
        <f>ROUND(R961*L961,2)</f>
        <v>669.22</v>
      </c>
      <c r="T961" s="15" t="s">
        <v>349</v>
      </c>
      <c r="U961" t="s">
        <v>228</v>
      </c>
    </row>
    <row r="962" spans="1:21" x14ac:dyDescent="0.2">
      <c r="A962" t="s">
        <v>2404</v>
      </c>
      <c r="B962" s="24">
        <v>45722</v>
      </c>
      <c r="C962" s="24">
        <v>45698</v>
      </c>
      <c r="D962" t="s">
        <v>149</v>
      </c>
      <c r="E962" t="s">
        <v>150</v>
      </c>
      <c r="G962" t="s">
        <v>2918</v>
      </c>
      <c r="H962" t="s">
        <v>3102</v>
      </c>
      <c r="I962" t="s">
        <v>3317</v>
      </c>
      <c r="J962" s="11" t="str">
        <f>+LEFT(U962,4)</f>
        <v>GLID</v>
      </c>
      <c r="K962" t="s">
        <v>10</v>
      </c>
      <c r="L962">
        <v>340</v>
      </c>
      <c r="M962" t="s">
        <v>1472</v>
      </c>
      <c r="N962" t="s">
        <v>11</v>
      </c>
      <c r="O962">
        <v>4.8014000000000001</v>
      </c>
      <c r="P962" s="12">
        <f>ROUND(O962*L962,2)</f>
        <v>1632.48</v>
      </c>
      <c r="Q962" s="13">
        <f>IF(N962="HKD",7.8,IF(N962="CNY",7.30034,1))</f>
        <v>7.3003400000000003</v>
      </c>
      <c r="R962" s="15">
        <f>+ROUND(O962/Q962,4)</f>
        <v>0.65769999999999995</v>
      </c>
      <c r="S962" s="14">
        <f>ROUND(R962*L962,2)</f>
        <v>223.62</v>
      </c>
      <c r="T962" s="15" t="s">
        <v>349</v>
      </c>
      <c r="U962" t="s">
        <v>78</v>
      </c>
    </row>
    <row r="963" spans="1:21" x14ac:dyDescent="0.2">
      <c r="A963" t="s">
        <v>2380</v>
      </c>
      <c r="B963" s="24">
        <v>45719</v>
      </c>
      <c r="C963" s="24">
        <v>45695</v>
      </c>
      <c r="D963" t="s">
        <v>569</v>
      </c>
      <c r="E963" t="s">
        <v>570</v>
      </c>
      <c r="G963" t="s">
        <v>2870</v>
      </c>
      <c r="H963" t="s">
        <v>769</v>
      </c>
      <c r="I963" t="s">
        <v>770</v>
      </c>
      <c r="J963" s="11" t="s">
        <v>1505</v>
      </c>
      <c r="K963" t="s">
        <v>10</v>
      </c>
      <c r="L963">
        <v>3500</v>
      </c>
      <c r="M963" t="s">
        <v>1472</v>
      </c>
      <c r="N963" t="s">
        <v>11</v>
      </c>
      <c r="O963">
        <v>4.8019999999999996</v>
      </c>
      <c r="P963" s="12">
        <f>ROUND(O963*L963,2)</f>
        <v>16807</v>
      </c>
      <c r="Q963" s="13">
        <f>IF(N963="HKD",7.8,IF(N963="CNY",7.30034,1))</f>
        <v>7.3003400000000003</v>
      </c>
      <c r="R963" s="15">
        <f>+ROUND(O963/Q963,4)</f>
        <v>0.65780000000000005</v>
      </c>
      <c r="S963" s="14">
        <f>ROUND(R963*L963,2)</f>
        <v>2302.3000000000002</v>
      </c>
      <c r="T963" s="15" t="s">
        <v>349</v>
      </c>
      <c r="U963" t="s">
        <v>36</v>
      </c>
    </row>
    <row r="964" spans="1:21" x14ac:dyDescent="0.2">
      <c r="A964" s="19" t="s">
        <v>1284</v>
      </c>
      <c r="B964" s="20">
        <v>45660</v>
      </c>
      <c r="C964" s="20">
        <v>45659</v>
      </c>
      <c r="D964" s="19" t="s">
        <v>709</v>
      </c>
      <c r="E964" s="19" t="s">
        <v>710</v>
      </c>
      <c r="G964" s="19" t="s">
        <v>1285</v>
      </c>
      <c r="H964" s="19" t="s">
        <v>1282</v>
      </c>
      <c r="I964" s="19" t="s">
        <v>1283</v>
      </c>
      <c r="J964" s="11" t="str">
        <f>+LEFT(U964,4)</f>
        <v>MISC</v>
      </c>
      <c r="K964" s="19" t="s">
        <v>10</v>
      </c>
      <c r="L964" s="19">
        <v>1050</v>
      </c>
      <c r="M964" s="19" t="s">
        <v>1472</v>
      </c>
      <c r="N964" s="19" t="s">
        <v>11</v>
      </c>
      <c r="O964" s="26">
        <v>0.39100000000000001</v>
      </c>
      <c r="P964" s="12">
        <f>ROUND(O964*L964,2)</f>
        <v>410.55</v>
      </c>
      <c r="Q964" s="13">
        <f>IF(N964="HKD",7.8,IF(N964="CNY",7.30034,1))</f>
        <v>7.3003400000000003</v>
      </c>
      <c r="R964" s="15">
        <f>+ROUND(O964/Q964,4)</f>
        <v>5.3600000000000002E-2</v>
      </c>
      <c r="S964" s="14">
        <f>ROUND(R964*L964,2)</f>
        <v>56.28</v>
      </c>
      <c r="T964" s="15" t="s">
        <v>349</v>
      </c>
      <c r="U964" s="19" t="s">
        <v>25</v>
      </c>
    </row>
    <row r="965" spans="1:21" x14ac:dyDescent="0.2">
      <c r="A965" s="19" t="s">
        <v>1177</v>
      </c>
      <c r="B965" s="20">
        <v>45663</v>
      </c>
      <c r="C965" s="20">
        <v>45610</v>
      </c>
      <c r="D965" s="19" t="s">
        <v>28</v>
      </c>
      <c r="E965" s="19" t="s">
        <v>29</v>
      </c>
      <c r="G965" s="19" t="s">
        <v>1173</v>
      </c>
      <c r="H965" s="19" t="s">
        <v>1175</v>
      </c>
      <c r="I965" s="19" t="s">
        <v>1176</v>
      </c>
      <c r="J965" s="11" t="str">
        <f>+LEFT(U965,4)</f>
        <v>MISC</v>
      </c>
      <c r="K965" s="19" t="s">
        <v>10</v>
      </c>
      <c r="L965" s="19">
        <v>13000</v>
      </c>
      <c r="M965" s="19" t="s">
        <v>1472</v>
      </c>
      <c r="N965" s="19" t="s">
        <v>11</v>
      </c>
      <c r="O965" s="26">
        <v>0.18160000000000001</v>
      </c>
      <c r="P965" s="12">
        <f>ROUND(O965*L965,2)</f>
        <v>2360.8000000000002</v>
      </c>
      <c r="Q965" s="13">
        <f>IF(N965="HKD",7.8,IF(N965="CNY",7.30034,1))</f>
        <v>7.3003400000000003</v>
      </c>
      <c r="R965" s="15">
        <f>+ROUND(O965/Q965,4)</f>
        <v>2.4899999999999999E-2</v>
      </c>
      <c r="S965" s="14">
        <f>ROUND(R965*L965,2)</f>
        <v>323.7</v>
      </c>
      <c r="T965" s="15" t="s">
        <v>349</v>
      </c>
      <c r="U965" s="19" t="s">
        <v>25</v>
      </c>
    </row>
    <row r="966" spans="1:21" x14ac:dyDescent="0.2">
      <c r="A966" s="19" t="s">
        <v>1178</v>
      </c>
      <c r="B966" s="20">
        <v>45663</v>
      </c>
      <c r="C966" s="20">
        <v>45646</v>
      </c>
      <c r="D966" s="19" t="s">
        <v>28</v>
      </c>
      <c r="E966" s="19" t="s">
        <v>29</v>
      </c>
      <c r="G966" s="19" t="s">
        <v>1173</v>
      </c>
      <c r="H966" s="19" t="s">
        <v>1175</v>
      </c>
      <c r="I966" s="19" t="s">
        <v>1176</v>
      </c>
      <c r="J966" s="11" t="str">
        <f>+LEFT(U966,4)</f>
        <v>MISC</v>
      </c>
      <c r="K966" s="19" t="s">
        <v>10</v>
      </c>
      <c r="L966" s="19">
        <v>11000</v>
      </c>
      <c r="M966" s="19" t="s">
        <v>1472</v>
      </c>
      <c r="N966" s="19" t="s">
        <v>11</v>
      </c>
      <c r="O966" s="26">
        <v>0.18160000000000001</v>
      </c>
      <c r="P966" s="12">
        <f>ROUND(O966*L966,2)</f>
        <v>1997.6</v>
      </c>
      <c r="Q966" s="13">
        <f>IF(N966="HKD",7.8,IF(N966="CNY",7.30034,1))</f>
        <v>7.3003400000000003</v>
      </c>
      <c r="R966" s="15">
        <f>+ROUND(O966/Q966,4)</f>
        <v>2.4899999999999999E-2</v>
      </c>
      <c r="S966" s="14">
        <f>ROUND(R966*L966,2)</f>
        <v>273.89999999999998</v>
      </c>
      <c r="T966" s="15" t="s">
        <v>349</v>
      </c>
      <c r="U966" s="19" t="s">
        <v>25</v>
      </c>
    </row>
    <row r="967" spans="1:21" x14ac:dyDescent="0.2">
      <c r="A967" s="19" t="s">
        <v>1079</v>
      </c>
      <c r="B967" s="20">
        <v>45663</v>
      </c>
      <c r="C967" s="20">
        <v>45646</v>
      </c>
      <c r="D967" s="19" t="s">
        <v>268</v>
      </c>
      <c r="E967" s="19" t="s">
        <v>269</v>
      </c>
      <c r="G967" s="19" t="s">
        <v>1076</v>
      </c>
      <c r="H967" s="19" t="s">
        <v>1077</v>
      </c>
      <c r="I967" s="19" t="s">
        <v>1078</v>
      </c>
      <c r="J967" s="11" t="str">
        <f>+LEFT(U967,4)</f>
        <v>MISC</v>
      </c>
      <c r="K967" s="19" t="s">
        <v>10</v>
      </c>
      <c r="L967" s="19">
        <v>40</v>
      </c>
      <c r="M967" s="19" t="s">
        <v>136</v>
      </c>
      <c r="N967" s="19" t="s">
        <v>11</v>
      </c>
      <c r="O967" s="26">
        <v>5.18</v>
      </c>
      <c r="P967" s="12">
        <f>ROUND(O967*L967,2)</f>
        <v>207.2</v>
      </c>
      <c r="Q967" s="13">
        <f>IF(N967="HKD",7.8,IF(N967="CNY",7.30034,1))</f>
        <v>7.3003400000000003</v>
      </c>
      <c r="R967" s="15">
        <f>+ROUND(O967/Q967,4)</f>
        <v>0.70960000000000001</v>
      </c>
      <c r="S967" s="14">
        <f>ROUND(R967*L967,2)</f>
        <v>28.38</v>
      </c>
      <c r="T967" s="15" t="s">
        <v>349</v>
      </c>
      <c r="U967" s="19" t="s">
        <v>25</v>
      </c>
    </row>
    <row r="968" spans="1:21" x14ac:dyDescent="0.2">
      <c r="A968" s="19" t="s">
        <v>1079</v>
      </c>
      <c r="B968" s="20">
        <v>45663</v>
      </c>
      <c r="C968" s="20">
        <v>45646</v>
      </c>
      <c r="D968" s="19" t="s">
        <v>268</v>
      </c>
      <c r="E968" s="19" t="s">
        <v>269</v>
      </c>
      <c r="G968" s="19" t="s">
        <v>1080</v>
      </c>
      <c r="H968" s="19" t="s">
        <v>1077</v>
      </c>
      <c r="I968" s="19" t="s">
        <v>1078</v>
      </c>
      <c r="J968" s="11" t="str">
        <f>+LEFT(U968,4)</f>
        <v>MISC</v>
      </c>
      <c r="K968" s="19" t="s">
        <v>10</v>
      </c>
      <c r="L968" s="19">
        <v>-50</v>
      </c>
      <c r="M968" s="19" t="s">
        <v>136</v>
      </c>
      <c r="N968" s="19" t="s">
        <v>11</v>
      </c>
      <c r="O968" s="26">
        <v>5.18</v>
      </c>
      <c r="P968" s="12">
        <f>ROUND(O968*L968,2)</f>
        <v>-259</v>
      </c>
      <c r="Q968" s="13">
        <f>IF(N968="HKD",7.8,IF(N968="CNY",7.30034,1))</f>
        <v>7.3003400000000003</v>
      </c>
      <c r="R968" s="15">
        <f>+ROUND(O968/Q968,4)</f>
        <v>0.70960000000000001</v>
      </c>
      <c r="S968" s="14">
        <f>ROUND(R968*L968,2)</f>
        <v>-35.479999999999997</v>
      </c>
      <c r="T968" s="15" t="s">
        <v>349</v>
      </c>
      <c r="U968" s="19" t="s">
        <v>25</v>
      </c>
    </row>
    <row r="969" spans="1:21" x14ac:dyDescent="0.2">
      <c r="A969" s="19" t="s">
        <v>1079</v>
      </c>
      <c r="B969" s="20">
        <v>45663</v>
      </c>
      <c r="C969" s="20">
        <v>45646</v>
      </c>
      <c r="D969" s="19" t="s">
        <v>268</v>
      </c>
      <c r="E969" s="19" t="s">
        <v>269</v>
      </c>
      <c r="G969" s="19" t="s">
        <v>1076</v>
      </c>
      <c r="H969" s="19" t="s">
        <v>1077</v>
      </c>
      <c r="I969" s="19" t="s">
        <v>1078</v>
      </c>
      <c r="J969" s="11" t="str">
        <f>+LEFT(U969,4)</f>
        <v>MISC</v>
      </c>
      <c r="K969" s="19" t="s">
        <v>10</v>
      </c>
      <c r="L969" s="19">
        <v>50</v>
      </c>
      <c r="M969" s="19" t="s">
        <v>136</v>
      </c>
      <c r="N969" s="19" t="s">
        <v>11</v>
      </c>
      <c r="O969" s="26">
        <v>5.18</v>
      </c>
      <c r="P969" s="12">
        <f>ROUND(O969*L969,2)</f>
        <v>259</v>
      </c>
      <c r="Q969" s="13">
        <f>IF(N969="HKD",7.8,IF(N969="CNY",7.30034,1))</f>
        <v>7.3003400000000003</v>
      </c>
      <c r="R969" s="15">
        <f>+ROUND(O969/Q969,4)</f>
        <v>0.70960000000000001</v>
      </c>
      <c r="S969" s="14">
        <f>ROUND(R969*L969,2)</f>
        <v>35.479999999999997</v>
      </c>
      <c r="T969" s="15" t="s">
        <v>349</v>
      </c>
      <c r="U969" s="19" t="s">
        <v>25</v>
      </c>
    </row>
    <row r="970" spans="1:21" x14ac:dyDescent="0.2">
      <c r="A970" s="19" t="s">
        <v>1075</v>
      </c>
      <c r="B970" s="20">
        <v>45663</v>
      </c>
      <c r="C970" s="20">
        <v>45646</v>
      </c>
      <c r="D970" s="19" t="s">
        <v>268</v>
      </c>
      <c r="E970" s="19" t="s">
        <v>269</v>
      </c>
      <c r="G970" s="19" t="s">
        <v>1076</v>
      </c>
      <c r="H970" s="19" t="s">
        <v>1073</v>
      </c>
      <c r="I970" s="19" t="s">
        <v>1074</v>
      </c>
      <c r="J970" s="11" t="str">
        <f>+LEFT(U970,4)</f>
        <v>MISC</v>
      </c>
      <c r="K970" s="19" t="s">
        <v>10</v>
      </c>
      <c r="L970" s="19">
        <v>50</v>
      </c>
      <c r="M970" s="19" t="s">
        <v>136</v>
      </c>
      <c r="N970" s="19" t="s">
        <v>11</v>
      </c>
      <c r="O970" s="26">
        <v>6.64</v>
      </c>
      <c r="P970" s="12">
        <f>ROUND(O970*L970,2)</f>
        <v>332</v>
      </c>
      <c r="Q970" s="13">
        <f>IF(N970="HKD",7.8,IF(N970="CNY",7.30034,1))</f>
        <v>7.3003400000000003</v>
      </c>
      <c r="R970" s="15">
        <f>+ROUND(O970/Q970,4)</f>
        <v>0.90949999999999998</v>
      </c>
      <c r="S970" s="14">
        <f>ROUND(R970*L970,2)</f>
        <v>45.48</v>
      </c>
      <c r="T970" s="15" t="s">
        <v>349</v>
      </c>
      <c r="U970" s="19" t="s">
        <v>25</v>
      </c>
    </row>
    <row r="971" spans="1:21" x14ac:dyDescent="0.2">
      <c r="A971" s="19" t="s">
        <v>539</v>
      </c>
      <c r="B971" s="20">
        <v>45664</v>
      </c>
      <c r="C971" s="20">
        <v>45657</v>
      </c>
      <c r="D971" s="19" t="s">
        <v>530</v>
      </c>
      <c r="E971" s="19" t="s">
        <v>531</v>
      </c>
      <c r="G971" s="19" t="s">
        <v>968</v>
      </c>
      <c r="H971" s="19" t="s">
        <v>537</v>
      </c>
      <c r="I971" s="19" t="s">
        <v>538</v>
      </c>
      <c r="J971" s="11" t="str">
        <f>+LEFT(U971,4)</f>
        <v>MISC</v>
      </c>
      <c r="K971" s="19" t="s">
        <v>10</v>
      </c>
      <c r="L971" s="19">
        <v>10000</v>
      </c>
      <c r="M971" s="19" t="s">
        <v>1472</v>
      </c>
      <c r="N971" s="19" t="s">
        <v>11</v>
      </c>
      <c r="O971" s="26">
        <v>0.3085</v>
      </c>
      <c r="P971" s="12">
        <f>ROUND(O971*L971,2)</f>
        <v>3085</v>
      </c>
      <c r="Q971" s="13">
        <f>IF(N971="HKD",7.8,IF(N971="CNY",7.30034,1))</f>
        <v>7.3003400000000003</v>
      </c>
      <c r="R971" s="15">
        <f>+ROUND(O971/Q971,4)</f>
        <v>4.2299999999999997E-2</v>
      </c>
      <c r="S971" s="14">
        <f>ROUND(R971*L971,2)</f>
        <v>423</v>
      </c>
      <c r="T971" s="15" t="s">
        <v>349</v>
      </c>
      <c r="U971" s="19" t="s">
        <v>25</v>
      </c>
    </row>
    <row r="972" spans="1:21" x14ac:dyDescent="0.2">
      <c r="A972" s="19" t="s">
        <v>532</v>
      </c>
      <c r="B972" s="20">
        <v>45664</v>
      </c>
      <c r="C972" s="20">
        <v>45657</v>
      </c>
      <c r="D972" s="19" t="s">
        <v>530</v>
      </c>
      <c r="E972" s="19" t="s">
        <v>531</v>
      </c>
      <c r="G972" s="19" t="s">
        <v>968</v>
      </c>
      <c r="H972" s="19" t="s">
        <v>528</v>
      </c>
      <c r="I972" s="19" t="s">
        <v>529</v>
      </c>
      <c r="J972" s="11" t="str">
        <f>+LEFT(U972,4)</f>
        <v>MISC</v>
      </c>
      <c r="K972" s="19" t="s">
        <v>10</v>
      </c>
      <c r="L972" s="19">
        <v>8000</v>
      </c>
      <c r="M972" s="19" t="s">
        <v>1472</v>
      </c>
      <c r="N972" s="19" t="s">
        <v>11</v>
      </c>
      <c r="O972" s="26">
        <v>0.39500000000000002</v>
      </c>
      <c r="P972" s="12">
        <f>ROUND(O972*L972,2)</f>
        <v>3160</v>
      </c>
      <c r="Q972" s="13">
        <f>IF(N972="HKD",7.8,IF(N972="CNY",7.30034,1))</f>
        <v>7.3003400000000003</v>
      </c>
      <c r="R972" s="15">
        <f>+ROUND(O972/Q972,4)</f>
        <v>5.4100000000000002E-2</v>
      </c>
      <c r="S972" s="14">
        <f>ROUND(R972*L972,2)</f>
        <v>432.8</v>
      </c>
      <c r="T972" s="15" t="s">
        <v>349</v>
      </c>
      <c r="U972" s="19" t="s">
        <v>25</v>
      </c>
    </row>
    <row r="973" spans="1:21" x14ac:dyDescent="0.2">
      <c r="A973" s="19" t="s">
        <v>892</v>
      </c>
      <c r="B973" s="20">
        <v>45666</v>
      </c>
      <c r="C973" s="20">
        <v>45650</v>
      </c>
      <c r="D973" s="19" t="s">
        <v>696</v>
      </c>
      <c r="E973" s="19" t="s">
        <v>697</v>
      </c>
      <c r="G973" s="19" t="s">
        <v>893</v>
      </c>
      <c r="H973" s="19" t="s">
        <v>890</v>
      </c>
      <c r="I973" s="19" t="s">
        <v>891</v>
      </c>
      <c r="J973" s="11" t="s">
        <v>1536</v>
      </c>
      <c r="K973" s="19" t="s">
        <v>10</v>
      </c>
      <c r="L973" s="19">
        <v>1000</v>
      </c>
      <c r="M973" s="19" t="s">
        <v>1472</v>
      </c>
      <c r="N973" s="19" t="s">
        <v>11</v>
      </c>
      <c r="O973" s="26">
        <v>5</v>
      </c>
      <c r="P973" s="12">
        <f>ROUND(O973*L973,2)</f>
        <v>5000</v>
      </c>
      <c r="Q973" s="13">
        <f>IF(N973="HKD",7.8,IF(N973="CNY",7.30034,1))</f>
        <v>7.3003400000000003</v>
      </c>
      <c r="R973" s="15">
        <f>+ROUND(O973/Q973,4)</f>
        <v>0.68489999999999995</v>
      </c>
      <c r="S973" s="14">
        <f>ROUND(R973*L973,2)</f>
        <v>684.9</v>
      </c>
      <c r="T973" s="15" t="s">
        <v>349</v>
      </c>
      <c r="U973" s="19" t="s">
        <v>36</v>
      </c>
    </row>
    <row r="974" spans="1:21" x14ac:dyDescent="0.2">
      <c r="A974" s="19" t="s">
        <v>698</v>
      </c>
      <c r="B974" s="20">
        <v>45666</v>
      </c>
      <c r="C974" s="20">
        <v>45595</v>
      </c>
      <c r="D974" s="19" t="s">
        <v>696</v>
      </c>
      <c r="E974" s="19" t="s">
        <v>697</v>
      </c>
      <c r="G974" s="19" t="s">
        <v>758</v>
      </c>
      <c r="H974" s="19" t="s">
        <v>694</v>
      </c>
      <c r="I974" s="19" t="s">
        <v>695</v>
      </c>
      <c r="J974" s="11" t="s">
        <v>1536</v>
      </c>
      <c r="K974" s="19" t="s">
        <v>10</v>
      </c>
      <c r="L974" s="19">
        <v>-200</v>
      </c>
      <c r="M974" s="19" t="s">
        <v>1472</v>
      </c>
      <c r="N974" s="19" t="s">
        <v>11</v>
      </c>
      <c r="O974" s="26">
        <v>5.49</v>
      </c>
      <c r="P974" s="12">
        <f>ROUND(O974*L974,2)</f>
        <v>-1098</v>
      </c>
      <c r="Q974" s="13">
        <f>IF(N974="HKD",7.8,IF(N974="CNY",7.30034,1))</f>
        <v>7.3003400000000003</v>
      </c>
      <c r="R974" s="15">
        <f>+ROUND(O974/Q974,4)</f>
        <v>0.752</v>
      </c>
      <c r="S974" s="14">
        <f>ROUND(R974*L974,2)</f>
        <v>-150.4</v>
      </c>
      <c r="T974" s="15" t="s">
        <v>349</v>
      </c>
      <c r="U974" s="19" t="s">
        <v>36</v>
      </c>
    </row>
    <row r="975" spans="1:21" x14ac:dyDescent="0.2">
      <c r="A975" s="19" t="s">
        <v>895</v>
      </c>
      <c r="B975" s="20">
        <v>45666</v>
      </c>
      <c r="C975" s="20">
        <v>45650</v>
      </c>
      <c r="D975" s="19" t="s">
        <v>696</v>
      </c>
      <c r="E975" s="19" t="s">
        <v>697</v>
      </c>
      <c r="G975" s="19" t="s">
        <v>699</v>
      </c>
      <c r="H975" s="19" t="s">
        <v>694</v>
      </c>
      <c r="I975" s="19" t="s">
        <v>695</v>
      </c>
      <c r="J975" s="11" t="s">
        <v>1536</v>
      </c>
      <c r="K975" s="19" t="s">
        <v>10</v>
      </c>
      <c r="L975" s="19">
        <v>1000</v>
      </c>
      <c r="M975" s="19" t="s">
        <v>1472</v>
      </c>
      <c r="N975" s="19" t="s">
        <v>11</v>
      </c>
      <c r="O975" s="26">
        <v>5.49</v>
      </c>
      <c r="P975" s="12">
        <f>ROUND(O975*L975,2)</f>
        <v>5490</v>
      </c>
      <c r="Q975" s="13">
        <f>IF(N975="HKD",7.8,IF(N975="CNY",7.30034,1))</f>
        <v>7.3003400000000003</v>
      </c>
      <c r="R975" s="15">
        <f>+ROUND(O975/Q975,4)</f>
        <v>0.752</v>
      </c>
      <c r="S975" s="14">
        <f>ROUND(R975*L975,2)</f>
        <v>752</v>
      </c>
      <c r="T975" s="15" t="s">
        <v>349</v>
      </c>
      <c r="U975" s="19" t="s">
        <v>36</v>
      </c>
    </row>
    <row r="976" spans="1:21" x14ac:dyDescent="0.2">
      <c r="A976" s="19" t="s">
        <v>702</v>
      </c>
      <c r="B976" s="20">
        <v>45666</v>
      </c>
      <c r="C976" s="20">
        <v>45610</v>
      </c>
      <c r="D976" s="19" t="s">
        <v>696</v>
      </c>
      <c r="E976" s="19" t="s">
        <v>697</v>
      </c>
      <c r="G976" s="19" t="s">
        <v>758</v>
      </c>
      <c r="H976" s="19" t="s">
        <v>700</v>
      </c>
      <c r="I976" s="19" t="s">
        <v>701</v>
      </c>
      <c r="J976" s="11" t="s">
        <v>1536</v>
      </c>
      <c r="K976" s="19" t="s">
        <v>10</v>
      </c>
      <c r="L976" s="19">
        <v>-470</v>
      </c>
      <c r="M976" s="19" t="s">
        <v>1472</v>
      </c>
      <c r="N976" s="19" t="s">
        <v>11</v>
      </c>
      <c r="O976" s="26">
        <v>6.01</v>
      </c>
      <c r="P976" s="12">
        <f>ROUND(O976*L976,2)</f>
        <v>-2824.7</v>
      </c>
      <c r="Q976" s="13">
        <f>IF(N976="HKD",7.8,IF(N976="CNY",7.30034,1))</f>
        <v>7.3003400000000003</v>
      </c>
      <c r="R976" s="15">
        <f>+ROUND(O976/Q976,4)</f>
        <v>0.82320000000000004</v>
      </c>
      <c r="S976" s="14">
        <f>ROUND(R976*L976,2)</f>
        <v>-386.9</v>
      </c>
      <c r="T976" s="15" t="s">
        <v>349</v>
      </c>
      <c r="U976" s="19" t="s">
        <v>36</v>
      </c>
    </row>
    <row r="977" spans="1:21" x14ac:dyDescent="0.2">
      <c r="A977" s="19" t="s">
        <v>894</v>
      </c>
      <c r="B977" s="20">
        <v>45666</v>
      </c>
      <c r="C977" s="20">
        <v>45653</v>
      </c>
      <c r="D977" s="19" t="s">
        <v>696</v>
      </c>
      <c r="E977" s="19" t="s">
        <v>697</v>
      </c>
      <c r="G977" s="19" t="s">
        <v>699</v>
      </c>
      <c r="H977" s="19" t="s">
        <v>700</v>
      </c>
      <c r="I977" s="19" t="s">
        <v>701</v>
      </c>
      <c r="J977" s="11" t="s">
        <v>1536</v>
      </c>
      <c r="K977" s="19" t="s">
        <v>10</v>
      </c>
      <c r="L977" s="19">
        <v>1000</v>
      </c>
      <c r="M977" s="19" t="s">
        <v>1472</v>
      </c>
      <c r="N977" s="19" t="s">
        <v>11</v>
      </c>
      <c r="O977" s="26">
        <v>6.01</v>
      </c>
      <c r="P977" s="12">
        <f>ROUND(O977*L977,2)</f>
        <v>6010</v>
      </c>
      <c r="Q977" s="13">
        <f>IF(N977="HKD",7.8,IF(N977="CNY",7.30034,1))</f>
        <v>7.3003400000000003</v>
      </c>
      <c r="R977" s="15">
        <f>+ROUND(O977/Q977,4)</f>
        <v>0.82320000000000004</v>
      </c>
      <c r="S977" s="14">
        <f>ROUND(R977*L977,2)</f>
        <v>823.2</v>
      </c>
      <c r="T977" s="15" t="s">
        <v>349</v>
      </c>
      <c r="U977" s="19" t="s">
        <v>36</v>
      </c>
    </row>
    <row r="978" spans="1:21" x14ac:dyDescent="0.2">
      <c r="A978" s="19" t="s">
        <v>698</v>
      </c>
      <c r="B978" s="20">
        <v>45667</v>
      </c>
      <c r="C978" s="20">
        <v>45595</v>
      </c>
      <c r="D978" s="19" t="s">
        <v>696</v>
      </c>
      <c r="E978" s="19" t="s">
        <v>697</v>
      </c>
      <c r="G978" s="19" t="s">
        <v>699</v>
      </c>
      <c r="H978" s="19" t="s">
        <v>694</v>
      </c>
      <c r="I978" s="19" t="s">
        <v>695</v>
      </c>
      <c r="J978" s="11" t="s">
        <v>1536</v>
      </c>
      <c r="K978" s="19" t="s">
        <v>10</v>
      </c>
      <c r="L978" s="19">
        <v>200</v>
      </c>
      <c r="M978" s="19" t="s">
        <v>1472</v>
      </c>
      <c r="N978" s="19" t="s">
        <v>11</v>
      </c>
      <c r="O978" s="26">
        <v>5.49</v>
      </c>
      <c r="P978" s="12">
        <f>ROUND(O978*L978,2)</f>
        <v>1098</v>
      </c>
      <c r="Q978" s="13">
        <f>IF(N978="HKD",7.8,IF(N978="CNY",7.30034,1))</f>
        <v>7.3003400000000003</v>
      </c>
      <c r="R978" s="15">
        <f>+ROUND(O978/Q978,4)</f>
        <v>0.752</v>
      </c>
      <c r="S978" s="14">
        <f>ROUND(R978*L978,2)</f>
        <v>150.4</v>
      </c>
      <c r="T978" s="15" t="s">
        <v>349</v>
      </c>
      <c r="U978" s="19" t="s">
        <v>36</v>
      </c>
    </row>
    <row r="979" spans="1:21" x14ac:dyDescent="0.2">
      <c r="A979" s="19" t="s">
        <v>702</v>
      </c>
      <c r="B979" s="20">
        <v>45667</v>
      </c>
      <c r="C979" s="20">
        <v>45610</v>
      </c>
      <c r="D979" s="19" t="s">
        <v>696</v>
      </c>
      <c r="E979" s="19" t="s">
        <v>697</v>
      </c>
      <c r="G979" s="19" t="s">
        <v>699</v>
      </c>
      <c r="H979" s="19" t="s">
        <v>700</v>
      </c>
      <c r="I979" s="19" t="s">
        <v>701</v>
      </c>
      <c r="J979" s="11" t="s">
        <v>1536</v>
      </c>
      <c r="K979" s="19" t="s">
        <v>10</v>
      </c>
      <c r="L979" s="19">
        <v>470</v>
      </c>
      <c r="M979" s="19" t="s">
        <v>1472</v>
      </c>
      <c r="N979" s="19" t="s">
        <v>11</v>
      </c>
      <c r="O979" s="26">
        <v>6.01</v>
      </c>
      <c r="P979" s="12">
        <f>ROUND(O979*L979,2)</f>
        <v>2824.7</v>
      </c>
      <c r="Q979" s="13">
        <f>IF(N979="HKD",7.8,IF(N979="CNY",7.30034,1))</f>
        <v>7.3003400000000003</v>
      </c>
      <c r="R979" s="15">
        <f>+ROUND(O979/Q979,4)</f>
        <v>0.82320000000000004</v>
      </c>
      <c r="S979" s="14">
        <f>ROUND(R979*L979,2)</f>
        <v>386.9</v>
      </c>
      <c r="T979" s="15" t="s">
        <v>349</v>
      </c>
      <c r="U979" s="19" t="s">
        <v>36</v>
      </c>
    </row>
    <row r="980" spans="1:21" x14ac:dyDescent="0.2">
      <c r="A980" s="19" t="s">
        <v>551</v>
      </c>
      <c r="B980" s="20">
        <v>45670</v>
      </c>
      <c r="C980" s="20">
        <v>45639</v>
      </c>
      <c r="D980" s="19" t="s">
        <v>545</v>
      </c>
      <c r="E980" s="19" t="s">
        <v>546</v>
      </c>
      <c r="G980" s="19" t="s">
        <v>548</v>
      </c>
      <c r="H980" s="19" t="s">
        <v>549</v>
      </c>
      <c r="I980" s="19" t="s">
        <v>550</v>
      </c>
      <c r="J980" s="11" t="str">
        <f>+LEFT(U980,4)</f>
        <v>MISC</v>
      </c>
      <c r="K980" s="19" t="s">
        <v>10</v>
      </c>
      <c r="L980" s="19">
        <v>13000</v>
      </c>
      <c r="M980" s="19" t="s">
        <v>1472</v>
      </c>
      <c r="N980" s="19" t="s">
        <v>11</v>
      </c>
      <c r="O980" s="26">
        <v>0.115</v>
      </c>
      <c r="P980" s="12">
        <f>ROUND(O980*L980,2)</f>
        <v>1495</v>
      </c>
      <c r="Q980" s="13">
        <f>IF(N980="HKD",7.8,IF(N980="CNY",7.30034,1))</f>
        <v>7.3003400000000003</v>
      </c>
      <c r="R980" s="15">
        <f>+ROUND(O980/Q980,4)</f>
        <v>1.5800000000000002E-2</v>
      </c>
      <c r="S980" s="14">
        <f>ROUND(R980*L980,2)</f>
        <v>205.4</v>
      </c>
      <c r="T980" s="15" t="s">
        <v>349</v>
      </c>
      <c r="U980" s="19" t="s">
        <v>25</v>
      </c>
    </row>
    <row r="981" spans="1:21" x14ac:dyDescent="0.2">
      <c r="A981" s="19" t="s">
        <v>551</v>
      </c>
      <c r="B981" s="20">
        <v>45670</v>
      </c>
      <c r="C981" s="20">
        <v>45639</v>
      </c>
      <c r="D981" s="19" t="s">
        <v>545</v>
      </c>
      <c r="E981" s="19" t="s">
        <v>546</v>
      </c>
      <c r="G981" s="19" t="s">
        <v>562</v>
      </c>
      <c r="H981" s="19" t="s">
        <v>549</v>
      </c>
      <c r="I981" s="19" t="s">
        <v>550</v>
      </c>
      <c r="J981" s="11" t="str">
        <f>+LEFT(U981,4)</f>
        <v>MISC</v>
      </c>
      <c r="K981" s="19" t="s">
        <v>10</v>
      </c>
      <c r="L981" s="19">
        <v>500</v>
      </c>
      <c r="M981" s="19" t="s">
        <v>1472</v>
      </c>
      <c r="N981" s="19" t="s">
        <v>11</v>
      </c>
      <c r="O981" s="26">
        <v>0.115</v>
      </c>
      <c r="P981" s="12">
        <f>ROUND(O981*L981,2)</f>
        <v>57.5</v>
      </c>
      <c r="Q981" s="13">
        <f>IF(N981="HKD",7.8,IF(N981="CNY",7.30034,1))</f>
        <v>7.3003400000000003</v>
      </c>
      <c r="R981" s="15">
        <f>+ROUND(O981/Q981,4)</f>
        <v>1.5800000000000002E-2</v>
      </c>
      <c r="S981" s="14">
        <f>ROUND(R981*L981,2)</f>
        <v>7.9</v>
      </c>
      <c r="T981" s="15" t="s">
        <v>349</v>
      </c>
      <c r="U981" s="19" t="s">
        <v>25</v>
      </c>
    </row>
    <row r="982" spans="1:21" x14ac:dyDescent="0.2">
      <c r="A982" s="19" t="s">
        <v>552</v>
      </c>
      <c r="B982" s="20">
        <v>45670</v>
      </c>
      <c r="C982" s="20">
        <v>45644</v>
      </c>
      <c r="D982" s="19" t="s">
        <v>545</v>
      </c>
      <c r="E982" s="19" t="s">
        <v>546</v>
      </c>
      <c r="G982" s="19" t="s">
        <v>548</v>
      </c>
      <c r="H982" s="19" t="s">
        <v>549</v>
      </c>
      <c r="I982" s="19" t="s">
        <v>550</v>
      </c>
      <c r="J982" s="11" t="str">
        <f>+LEFT(U982,4)</f>
        <v>MISC</v>
      </c>
      <c r="K982" s="19" t="s">
        <v>10</v>
      </c>
      <c r="L982" s="19">
        <v>9800</v>
      </c>
      <c r="M982" s="19" t="s">
        <v>1472</v>
      </c>
      <c r="N982" s="19" t="s">
        <v>11</v>
      </c>
      <c r="O982" s="26">
        <v>0.115</v>
      </c>
      <c r="P982" s="12">
        <f>ROUND(O982*L982,2)</f>
        <v>1127</v>
      </c>
      <c r="Q982" s="13">
        <f>IF(N982="HKD",7.8,IF(N982="CNY",7.30034,1))</f>
        <v>7.3003400000000003</v>
      </c>
      <c r="R982" s="15">
        <f>+ROUND(O982/Q982,4)</f>
        <v>1.5800000000000002E-2</v>
      </c>
      <c r="S982" s="14">
        <f>ROUND(R982*L982,2)</f>
        <v>154.84</v>
      </c>
      <c r="T982" s="15" t="s">
        <v>349</v>
      </c>
      <c r="U982" s="19" t="s">
        <v>25</v>
      </c>
    </row>
    <row r="983" spans="1:21" x14ac:dyDescent="0.2">
      <c r="A983" s="19" t="s">
        <v>542</v>
      </c>
      <c r="B983" s="20">
        <v>45670</v>
      </c>
      <c r="C983" s="20">
        <v>45657</v>
      </c>
      <c r="D983" s="19" t="s">
        <v>530</v>
      </c>
      <c r="E983" s="19" t="s">
        <v>531</v>
      </c>
      <c r="G983" s="19" t="s">
        <v>533</v>
      </c>
      <c r="H983" s="19" t="s">
        <v>540</v>
      </c>
      <c r="I983" s="19" t="s">
        <v>541</v>
      </c>
      <c r="J983" s="11" t="str">
        <f>+LEFT(U983,4)</f>
        <v>MISC</v>
      </c>
      <c r="K983" s="19" t="s">
        <v>10</v>
      </c>
      <c r="L983" s="19">
        <v>20000</v>
      </c>
      <c r="M983" s="19" t="s">
        <v>1472</v>
      </c>
      <c r="N983" s="19" t="s">
        <v>11</v>
      </c>
      <c r="O983" s="26">
        <v>0.24829999999999999</v>
      </c>
      <c r="P983" s="12">
        <f>ROUND(O983*L983,2)</f>
        <v>4966</v>
      </c>
      <c r="Q983" s="13">
        <f>IF(N983="HKD",7.8,IF(N983="CNY",7.30034,1))</f>
        <v>7.3003400000000003</v>
      </c>
      <c r="R983" s="15">
        <f>+ROUND(O983/Q983,4)</f>
        <v>3.4000000000000002E-2</v>
      </c>
      <c r="S983" s="14">
        <f>ROUND(R983*L983,2)</f>
        <v>680</v>
      </c>
      <c r="T983" s="15" t="s">
        <v>349</v>
      </c>
      <c r="U983" s="19" t="s">
        <v>25</v>
      </c>
    </row>
    <row r="984" spans="1:21" x14ac:dyDescent="0.2">
      <c r="A984" s="19" t="s">
        <v>539</v>
      </c>
      <c r="B984" s="20">
        <v>45670</v>
      </c>
      <c r="C984" s="20">
        <v>45657</v>
      </c>
      <c r="D984" s="19" t="s">
        <v>530</v>
      </c>
      <c r="E984" s="19" t="s">
        <v>531</v>
      </c>
      <c r="G984" s="19" t="s">
        <v>533</v>
      </c>
      <c r="H984" s="19" t="s">
        <v>537</v>
      </c>
      <c r="I984" s="19" t="s">
        <v>538</v>
      </c>
      <c r="J984" s="11" t="str">
        <f>+LEFT(U984,4)</f>
        <v>MISC</v>
      </c>
      <c r="K984" s="19" t="s">
        <v>10</v>
      </c>
      <c r="L984" s="19">
        <v>10000</v>
      </c>
      <c r="M984" s="19" t="s">
        <v>1472</v>
      </c>
      <c r="N984" s="19" t="s">
        <v>11</v>
      </c>
      <c r="O984" s="26">
        <v>0.3085</v>
      </c>
      <c r="P984" s="12">
        <f>ROUND(O984*L984,2)</f>
        <v>3085</v>
      </c>
      <c r="Q984" s="13">
        <f>IF(N984="HKD",7.8,IF(N984="CNY",7.30034,1))</f>
        <v>7.3003400000000003</v>
      </c>
      <c r="R984" s="15">
        <f>+ROUND(O984/Q984,4)</f>
        <v>4.2299999999999997E-2</v>
      </c>
      <c r="S984" s="14">
        <f>ROUND(R984*L984,2)</f>
        <v>423</v>
      </c>
      <c r="T984" s="15" t="s">
        <v>349</v>
      </c>
      <c r="U984" s="19" t="s">
        <v>25</v>
      </c>
    </row>
    <row r="985" spans="1:21" x14ac:dyDescent="0.2">
      <c r="A985" s="19" t="s">
        <v>532</v>
      </c>
      <c r="B985" s="20">
        <v>45670</v>
      </c>
      <c r="C985" s="20">
        <v>45657</v>
      </c>
      <c r="D985" s="19" t="s">
        <v>530</v>
      </c>
      <c r="E985" s="19" t="s">
        <v>531</v>
      </c>
      <c r="G985" s="19" t="s">
        <v>533</v>
      </c>
      <c r="H985" s="19" t="s">
        <v>528</v>
      </c>
      <c r="I985" s="19" t="s">
        <v>529</v>
      </c>
      <c r="J985" s="11" t="str">
        <f>+LEFT(U985,4)</f>
        <v>MISC</v>
      </c>
      <c r="K985" s="19" t="s">
        <v>10</v>
      </c>
      <c r="L985" s="19">
        <v>2000</v>
      </c>
      <c r="M985" s="19" t="s">
        <v>1472</v>
      </c>
      <c r="N985" s="19" t="s">
        <v>11</v>
      </c>
      <c r="O985" s="26">
        <v>0.39500000000000002</v>
      </c>
      <c r="P985" s="12">
        <f>ROUND(O985*L985,2)</f>
        <v>790</v>
      </c>
      <c r="Q985" s="13">
        <f>IF(N985="HKD",7.8,IF(N985="CNY",7.30034,1))</f>
        <v>7.3003400000000003</v>
      </c>
      <c r="R985" s="15">
        <f>+ROUND(O985/Q985,4)</f>
        <v>5.4100000000000002E-2</v>
      </c>
      <c r="S985" s="14">
        <f>ROUND(R985*L985,2)</f>
        <v>108.2</v>
      </c>
      <c r="T985" s="15" t="s">
        <v>349</v>
      </c>
      <c r="U985" s="19" t="s">
        <v>25</v>
      </c>
    </row>
    <row r="986" spans="1:21" x14ac:dyDescent="0.2">
      <c r="A986" s="19" t="s">
        <v>536</v>
      </c>
      <c r="B986" s="20">
        <v>45670</v>
      </c>
      <c r="C986" s="20">
        <v>45657</v>
      </c>
      <c r="D986" s="19" t="s">
        <v>530</v>
      </c>
      <c r="E986" s="19" t="s">
        <v>531</v>
      </c>
      <c r="G986" s="19" t="s">
        <v>533</v>
      </c>
      <c r="H986" s="19" t="s">
        <v>534</v>
      </c>
      <c r="I986" s="19" t="s">
        <v>535</v>
      </c>
      <c r="J986" s="11" t="str">
        <f>+LEFT(U986,4)</f>
        <v>MISC</v>
      </c>
      <c r="K986" s="19" t="s">
        <v>10</v>
      </c>
      <c r="L986" s="19">
        <v>10000</v>
      </c>
      <c r="M986" s="19" t="s">
        <v>1472</v>
      </c>
      <c r="N986" s="19" t="s">
        <v>11</v>
      </c>
      <c r="O986" s="26">
        <v>0.53669999999999995</v>
      </c>
      <c r="P986" s="12">
        <f>ROUND(O986*L986,2)</f>
        <v>5367</v>
      </c>
      <c r="Q986" s="13">
        <f>IF(N986="HKD",7.8,IF(N986="CNY",7.30034,1))</f>
        <v>7.3003400000000003</v>
      </c>
      <c r="R986" s="15">
        <f>+ROUND(O986/Q986,4)</f>
        <v>7.3499999999999996E-2</v>
      </c>
      <c r="S986" s="14">
        <f>ROUND(R986*L986,2)</f>
        <v>735</v>
      </c>
      <c r="T986" s="15" t="s">
        <v>349</v>
      </c>
      <c r="U986" s="19" t="s">
        <v>25</v>
      </c>
    </row>
    <row r="987" spans="1:21" x14ac:dyDescent="0.2">
      <c r="A987" s="19" t="s">
        <v>139</v>
      </c>
      <c r="B987" s="20">
        <v>45675</v>
      </c>
      <c r="C987" s="20">
        <v>45671</v>
      </c>
      <c r="D987" s="19" t="s">
        <v>137</v>
      </c>
      <c r="E987" s="19" t="s">
        <v>138</v>
      </c>
      <c r="G987" s="19" t="s">
        <v>140</v>
      </c>
      <c r="H987" s="19" t="s">
        <v>134</v>
      </c>
      <c r="I987" s="19" t="s">
        <v>135</v>
      </c>
      <c r="J987" s="11" t="str">
        <f>+LEFT(U987,4)</f>
        <v>MISC</v>
      </c>
      <c r="K987" s="19" t="s">
        <v>10</v>
      </c>
      <c r="L987" s="19">
        <v>900</v>
      </c>
      <c r="M987" s="19" t="s">
        <v>136</v>
      </c>
      <c r="N987" s="19" t="s">
        <v>11</v>
      </c>
      <c r="O987" s="26">
        <v>6.5</v>
      </c>
      <c r="P987" s="12">
        <f>ROUND(O987*L987,2)</f>
        <v>5850</v>
      </c>
      <c r="Q987" s="13">
        <f>IF(N987="HKD",7.8,IF(N987="CNY",7.30034,1))</f>
        <v>7.3003400000000003</v>
      </c>
      <c r="R987" s="15">
        <f>+ROUND(O987/Q987,4)</f>
        <v>0.89039999999999997</v>
      </c>
      <c r="S987" s="14">
        <f>ROUND(R987*L987,2)</f>
        <v>801.36</v>
      </c>
      <c r="T987" s="15" t="s">
        <v>349</v>
      </c>
      <c r="U987" s="19" t="s">
        <v>25</v>
      </c>
    </row>
    <row r="988" spans="1:21" x14ac:dyDescent="0.2">
      <c r="A988" s="19" t="s">
        <v>69</v>
      </c>
      <c r="B988" s="20">
        <v>45678</v>
      </c>
      <c r="C988" s="20">
        <v>45678</v>
      </c>
      <c r="D988" s="19" t="s">
        <v>67</v>
      </c>
      <c r="E988" s="19" t="s">
        <v>68</v>
      </c>
      <c r="G988" s="19" t="s">
        <v>70</v>
      </c>
      <c r="H988" s="19" t="s">
        <v>65</v>
      </c>
      <c r="I988" s="19" t="s">
        <v>66</v>
      </c>
      <c r="J988" s="11" t="str">
        <f>+LEFT(U988,4)</f>
        <v>MISC</v>
      </c>
      <c r="K988" s="19" t="s">
        <v>10</v>
      </c>
      <c r="L988" s="19">
        <v>1000</v>
      </c>
      <c r="M988" s="19" t="s">
        <v>1472</v>
      </c>
      <c r="N988" s="19" t="s">
        <v>11</v>
      </c>
      <c r="O988" s="26">
        <v>6.1100000000000002E-2</v>
      </c>
      <c r="P988" s="12">
        <f>ROUND(O988*L988,2)</f>
        <v>61.1</v>
      </c>
      <c r="Q988" s="13">
        <f>IF(N988="HKD",7.8,IF(N988="CNY",7.30034,1))</f>
        <v>7.3003400000000003</v>
      </c>
      <c r="R988" s="15">
        <f>+ROUND(O988/Q988,4)</f>
        <v>8.3999999999999995E-3</v>
      </c>
      <c r="S988" s="14">
        <f>ROUND(R988*L988,2)</f>
        <v>8.4</v>
      </c>
      <c r="T988" s="15" t="s">
        <v>349</v>
      </c>
      <c r="U988" s="19" t="s">
        <v>25</v>
      </c>
    </row>
    <row r="989" spans="1:21" x14ac:dyDescent="0.2">
      <c r="A989" s="19" t="s">
        <v>23</v>
      </c>
      <c r="B989" s="20">
        <v>45680</v>
      </c>
      <c r="C989" s="20">
        <v>45670</v>
      </c>
      <c r="D989" s="19" t="s">
        <v>21</v>
      </c>
      <c r="E989" s="19" t="s">
        <v>22</v>
      </c>
      <c r="G989" s="19" t="s">
        <v>24</v>
      </c>
      <c r="H989" s="19" t="s">
        <v>19</v>
      </c>
      <c r="I989" s="19" t="s">
        <v>20</v>
      </c>
      <c r="J989" s="11" t="str">
        <f>+LEFT(U989,4)</f>
        <v>MISC</v>
      </c>
      <c r="K989" s="19" t="s">
        <v>10</v>
      </c>
      <c r="L989" s="19">
        <v>500</v>
      </c>
      <c r="M989" s="19" t="s">
        <v>1472</v>
      </c>
      <c r="N989" s="19" t="s">
        <v>11</v>
      </c>
      <c r="O989" s="26">
        <v>0.25180000000000002</v>
      </c>
      <c r="P989" s="12">
        <f>ROUND(O989*L989,2)</f>
        <v>125.9</v>
      </c>
      <c r="Q989" s="13">
        <f>IF(N989="HKD",7.8,IF(N989="CNY",7.30034,1))</f>
        <v>7.3003400000000003</v>
      </c>
      <c r="R989" s="15">
        <f>+ROUND(O989/Q989,4)</f>
        <v>3.4500000000000003E-2</v>
      </c>
      <c r="S989" s="14">
        <f>ROUND(R989*L989,2)</f>
        <v>17.25</v>
      </c>
      <c r="T989" s="15" t="s">
        <v>349</v>
      </c>
      <c r="U989" s="19" t="s">
        <v>25</v>
      </c>
    </row>
    <row r="990" spans="1:21" x14ac:dyDescent="0.2">
      <c r="A990" t="s">
        <v>2056</v>
      </c>
      <c r="B990" s="24">
        <v>45699</v>
      </c>
      <c r="C990" s="24">
        <v>45630</v>
      </c>
      <c r="D990" t="s">
        <v>569</v>
      </c>
      <c r="E990" t="s">
        <v>570</v>
      </c>
      <c r="G990" t="s">
        <v>2148</v>
      </c>
      <c r="H990" s="19" t="s">
        <v>1764</v>
      </c>
      <c r="I990" s="19" t="s">
        <v>1765</v>
      </c>
      <c r="J990" s="11" t="str">
        <f>+LEFT(U990,4)</f>
        <v>MISC</v>
      </c>
      <c r="K990" t="s">
        <v>10</v>
      </c>
      <c r="L990" s="19">
        <v>1000</v>
      </c>
      <c r="M990" t="s">
        <v>1472</v>
      </c>
      <c r="N990" t="s">
        <v>11</v>
      </c>
      <c r="O990" s="26">
        <v>4.6900000000000004</v>
      </c>
      <c r="P990" s="12">
        <f>ROUND(O990*L990,2)</f>
        <v>4690</v>
      </c>
      <c r="Q990" s="13">
        <f>IF(N990="HKD",7.8,IF(N990="CNY",7.30034,1))</f>
        <v>7.3003400000000003</v>
      </c>
      <c r="R990" s="15">
        <f>+ROUND(O990/Q990,4)</f>
        <v>0.64239999999999997</v>
      </c>
      <c r="S990" s="14">
        <f>ROUND(R990*L990,2)</f>
        <v>642.4</v>
      </c>
      <c r="T990" s="15" t="s">
        <v>349</v>
      </c>
      <c r="U990" t="s">
        <v>25</v>
      </c>
    </row>
    <row r="991" spans="1:21" x14ac:dyDescent="0.2">
      <c r="A991" t="s">
        <v>2079</v>
      </c>
      <c r="B991" s="24">
        <v>45699</v>
      </c>
      <c r="C991" s="24">
        <v>45630</v>
      </c>
      <c r="D991" t="s">
        <v>569</v>
      </c>
      <c r="E991" t="s">
        <v>570</v>
      </c>
      <c r="G991" t="s">
        <v>2148</v>
      </c>
      <c r="H991" s="19" t="s">
        <v>1780</v>
      </c>
      <c r="I991" s="19" t="s">
        <v>1781</v>
      </c>
      <c r="J991" s="11" t="str">
        <f>+LEFT(U991,4)</f>
        <v>MISC</v>
      </c>
      <c r="K991" t="s">
        <v>10</v>
      </c>
      <c r="L991" s="19">
        <v>6030</v>
      </c>
      <c r="M991" t="s">
        <v>1472</v>
      </c>
      <c r="N991" t="s">
        <v>11</v>
      </c>
      <c r="O991" s="26">
        <v>5.8394000000000004</v>
      </c>
      <c r="P991" s="12">
        <f>ROUND(O991*L991,2)</f>
        <v>35211.58</v>
      </c>
      <c r="Q991" s="13">
        <f>IF(N991="HKD",7.8,IF(N991="CNY",7.30034,1))</f>
        <v>7.3003400000000003</v>
      </c>
      <c r="R991" s="15">
        <f>+ROUND(O991/Q991,4)</f>
        <v>0.79990000000000006</v>
      </c>
      <c r="S991" s="14">
        <f>ROUND(R991*L991,2)</f>
        <v>4823.3999999999996</v>
      </c>
      <c r="T991" s="15" t="s">
        <v>349</v>
      </c>
      <c r="U991" t="s">
        <v>25</v>
      </c>
    </row>
    <row r="992" spans="1:21" x14ac:dyDescent="0.2">
      <c r="A992" t="s">
        <v>2080</v>
      </c>
      <c r="B992" s="24">
        <v>45699</v>
      </c>
      <c r="C992" s="24">
        <v>45646</v>
      </c>
      <c r="D992" t="s">
        <v>569</v>
      </c>
      <c r="E992" t="s">
        <v>570</v>
      </c>
      <c r="G992" t="s">
        <v>2148</v>
      </c>
      <c r="H992" s="19" t="s">
        <v>1780</v>
      </c>
      <c r="I992" s="19" t="s">
        <v>1781</v>
      </c>
      <c r="J992" s="11" t="str">
        <f>+LEFT(U992,4)</f>
        <v>MISC</v>
      </c>
      <c r="K992" t="s">
        <v>10</v>
      </c>
      <c r="L992" s="19">
        <v>3520</v>
      </c>
      <c r="M992" t="s">
        <v>1472</v>
      </c>
      <c r="N992" t="s">
        <v>11</v>
      </c>
      <c r="O992" s="26">
        <v>5.8996000000000004</v>
      </c>
      <c r="P992" s="12">
        <f>ROUND(O992*L992,2)</f>
        <v>20766.59</v>
      </c>
      <c r="Q992" s="13">
        <f>IF(N992="HKD",7.8,IF(N992="CNY",7.30034,1))</f>
        <v>7.3003400000000003</v>
      </c>
      <c r="R992" s="15">
        <f>+ROUND(O992/Q992,4)</f>
        <v>0.80810000000000004</v>
      </c>
      <c r="S992" s="14">
        <f>ROUND(R992*L992,2)</f>
        <v>2844.51</v>
      </c>
      <c r="T992" s="15" t="s">
        <v>349</v>
      </c>
      <c r="U992" t="s">
        <v>25</v>
      </c>
    </row>
    <row r="993" spans="1:21" x14ac:dyDescent="0.2">
      <c r="A993" t="s">
        <v>2111</v>
      </c>
      <c r="B993" s="24">
        <v>45699</v>
      </c>
      <c r="C993" s="24">
        <v>45630</v>
      </c>
      <c r="D993" t="s">
        <v>569</v>
      </c>
      <c r="E993" t="s">
        <v>570</v>
      </c>
      <c r="G993" t="s">
        <v>2148</v>
      </c>
      <c r="H993" s="19" t="s">
        <v>1806</v>
      </c>
      <c r="I993" s="19" t="s">
        <v>1807</v>
      </c>
      <c r="J993" s="11" t="str">
        <f>+LEFT(U993,4)</f>
        <v>MISC</v>
      </c>
      <c r="K993" t="s">
        <v>10</v>
      </c>
      <c r="L993" s="19">
        <v>2520</v>
      </c>
      <c r="M993" t="s">
        <v>1472</v>
      </c>
      <c r="N993" t="s">
        <v>11</v>
      </c>
      <c r="O993" s="26">
        <v>10.632999999999999</v>
      </c>
      <c r="P993" s="12">
        <f>ROUND(O993*L993,2)</f>
        <v>26795.16</v>
      </c>
      <c r="Q993" s="13">
        <f>IF(N993="HKD",7.8,IF(N993="CNY",7.30034,1))</f>
        <v>7.3003400000000003</v>
      </c>
      <c r="R993" s="15">
        <f>+ROUND(O993/Q993,4)</f>
        <v>1.4564999999999999</v>
      </c>
      <c r="S993" s="14">
        <f>ROUND(R993*L993,2)</f>
        <v>3670.38</v>
      </c>
      <c r="T993" s="15" t="s">
        <v>349</v>
      </c>
      <c r="U993" t="s">
        <v>25</v>
      </c>
    </row>
    <row r="994" spans="1:21" x14ac:dyDescent="0.2">
      <c r="A994" t="s">
        <v>2112</v>
      </c>
      <c r="B994" s="24">
        <v>45699</v>
      </c>
      <c r="C994" s="24">
        <v>45646</v>
      </c>
      <c r="D994" t="s">
        <v>569</v>
      </c>
      <c r="E994" t="s">
        <v>570</v>
      </c>
      <c r="G994" t="s">
        <v>2148</v>
      </c>
      <c r="H994" s="19" t="s">
        <v>1806</v>
      </c>
      <c r="I994" s="19" t="s">
        <v>1807</v>
      </c>
      <c r="J994" s="11" t="str">
        <f>+LEFT(U994,4)</f>
        <v>MISC</v>
      </c>
      <c r="K994" t="s">
        <v>10</v>
      </c>
      <c r="L994" s="19">
        <v>2000</v>
      </c>
      <c r="M994" t="s">
        <v>1472</v>
      </c>
      <c r="N994" t="s">
        <v>11</v>
      </c>
      <c r="O994" s="26">
        <v>10.632999999999999</v>
      </c>
      <c r="P994" s="12">
        <f>ROUND(O994*L994,2)</f>
        <v>21266</v>
      </c>
      <c r="Q994" s="13">
        <f>IF(N994="HKD",7.8,IF(N994="CNY",7.30034,1))</f>
        <v>7.3003400000000003</v>
      </c>
      <c r="R994" s="15">
        <f>+ROUND(O994/Q994,4)</f>
        <v>1.4564999999999999</v>
      </c>
      <c r="S994" s="14">
        <f>ROUND(R994*L994,2)</f>
        <v>2913</v>
      </c>
      <c r="T994" s="15" t="s">
        <v>349</v>
      </c>
      <c r="U994" t="s">
        <v>25</v>
      </c>
    </row>
    <row r="995" spans="1:21" x14ac:dyDescent="0.2">
      <c r="A995" t="s">
        <v>2090</v>
      </c>
      <c r="B995" s="24">
        <v>45701</v>
      </c>
      <c r="C995" s="24">
        <v>45630</v>
      </c>
      <c r="D995" t="s">
        <v>252</v>
      </c>
      <c r="E995" t="s">
        <v>253</v>
      </c>
      <c r="G995" t="s">
        <v>2219</v>
      </c>
      <c r="H995" s="19" t="s">
        <v>1788</v>
      </c>
      <c r="I995" s="19" t="s">
        <v>1789</v>
      </c>
      <c r="J995" s="11" t="str">
        <f>+LEFT(U995,4)</f>
        <v>MISC</v>
      </c>
      <c r="K995" t="s">
        <v>10</v>
      </c>
      <c r="L995" s="19">
        <v>11350</v>
      </c>
      <c r="M995" t="s">
        <v>1472</v>
      </c>
      <c r="N995" t="s">
        <v>11</v>
      </c>
      <c r="O995" s="26">
        <v>7.2556000000000003</v>
      </c>
      <c r="P995" s="12">
        <f>ROUND(O995*L995,2)</f>
        <v>82351.06</v>
      </c>
      <c r="Q995" s="13">
        <f>IF(N995="HKD",7.8,IF(N995="CNY",7.30034,1))</f>
        <v>7.3003400000000003</v>
      </c>
      <c r="R995" s="15">
        <f>+ROUND(O995/Q995,4)</f>
        <v>0.99390000000000001</v>
      </c>
      <c r="S995" s="14">
        <f>ROUND(R995*L995,2)</f>
        <v>11280.77</v>
      </c>
      <c r="T995" s="15" t="s">
        <v>349</v>
      </c>
      <c r="U995" t="s">
        <v>25</v>
      </c>
    </row>
    <row r="996" spans="1:21" x14ac:dyDescent="0.2">
      <c r="A996" t="s">
        <v>2036</v>
      </c>
      <c r="B996" s="24">
        <v>45708</v>
      </c>
      <c r="C996" s="24">
        <v>45674</v>
      </c>
      <c r="D996" t="s">
        <v>696</v>
      </c>
      <c r="E996" t="s">
        <v>697</v>
      </c>
      <c r="G996" t="s">
        <v>2200</v>
      </c>
      <c r="H996" s="19" t="s">
        <v>1537</v>
      </c>
      <c r="I996" s="19" t="s">
        <v>1538</v>
      </c>
      <c r="J996" s="11" t="s">
        <v>1536</v>
      </c>
      <c r="K996" t="s">
        <v>10</v>
      </c>
      <c r="L996" s="19">
        <v>1050</v>
      </c>
      <c r="M996" t="s">
        <v>1472</v>
      </c>
      <c r="N996" t="s">
        <v>11</v>
      </c>
      <c r="O996" s="26">
        <v>3.85</v>
      </c>
      <c r="P996" s="12">
        <f>ROUND(O996*L996,2)</f>
        <v>4042.5</v>
      </c>
      <c r="Q996" s="13">
        <f>IF(N996="HKD",7.8,IF(N996="CNY",7.30034,1))</f>
        <v>7.3003400000000003</v>
      </c>
      <c r="R996" s="15">
        <f>+ROUND(O996/Q996,4)</f>
        <v>0.52739999999999998</v>
      </c>
      <c r="S996" s="14">
        <f>ROUND(R996*L996,2)</f>
        <v>553.77</v>
      </c>
      <c r="T996" s="15" t="s">
        <v>349</v>
      </c>
      <c r="U996" t="s">
        <v>36</v>
      </c>
    </row>
    <row r="997" spans="1:21" x14ac:dyDescent="0.2">
      <c r="A997" t="s">
        <v>2037</v>
      </c>
      <c r="B997" s="24">
        <v>45708</v>
      </c>
      <c r="C997" s="24">
        <v>45677</v>
      </c>
      <c r="D997" t="s">
        <v>696</v>
      </c>
      <c r="E997" t="s">
        <v>697</v>
      </c>
      <c r="G997" t="s">
        <v>2200</v>
      </c>
      <c r="H997" s="19" t="s">
        <v>1537</v>
      </c>
      <c r="I997" s="19" t="s">
        <v>1538</v>
      </c>
      <c r="J997" s="11" t="s">
        <v>1536</v>
      </c>
      <c r="K997" t="s">
        <v>10</v>
      </c>
      <c r="L997" s="19">
        <v>1000</v>
      </c>
      <c r="M997" t="s">
        <v>1472</v>
      </c>
      <c r="N997" t="s">
        <v>11</v>
      </c>
      <c r="O997" s="26">
        <v>3.85</v>
      </c>
      <c r="P997" s="12">
        <f>ROUND(O997*L997,2)</f>
        <v>3850</v>
      </c>
      <c r="Q997" s="13">
        <f>IF(N997="HKD",7.8,IF(N997="CNY",7.30034,1))</f>
        <v>7.3003400000000003</v>
      </c>
      <c r="R997" s="15">
        <f>+ROUND(O997/Q997,4)</f>
        <v>0.52739999999999998</v>
      </c>
      <c r="S997" s="14">
        <f>ROUND(R997*L997,2)</f>
        <v>527.4</v>
      </c>
      <c r="T997" s="15" t="s">
        <v>349</v>
      </c>
      <c r="U997" t="s">
        <v>36</v>
      </c>
    </row>
    <row r="998" spans="1:21" x14ac:dyDescent="0.2">
      <c r="A998" t="s">
        <v>2038</v>
      </c>
      <c r="B998" s="24">
        <v>45708</v>
      </c>
      <c r="C998" s="24">
        <v>45680</v>
      </c>
      <c r="D998" t="s">
        <v>696</v>
      </c>
      <c r="E998" t="s">
        <v>697</v>
      </c>
      <c r="G998" t="s">
        <v>2200</v>
      </c>
      <c r="H998" s="19" t="s">
        <v>1537</v>
      </c>
      <c r="I998" s="19" t="s">
        <v>1538</v>
      </c>
      <c r="J998" s="11" t="s">
        <v>1536</v>
      </c>
      <c r="K998" t="s">
        <v>10</v>
      </c>
      <c r="L998" s="19">
        <v>1600</v>
      </c>
      <c r="M998" t="s">
        <v>1472</v>
      </c>
      <c r="N998" t="s">
        <v>11</v>
      </c>
      <c r="O998" s="26">
        <v>3.85</v>
      </c>
      <c r="P998" s="12">
        <f>ROUND(O998*L998,2)</f>
        <v>6160</v>
      </c>
      <c r="Q998" s="13">
        <f>IF(N998="HKD",7.8,IF(N998="CNY",7.30034,1))</f>
        <v>7.3003400000000003</v>
      </c>
      <c r="R998" s="15">
        <f>+ROUND(O998/Q998,4)</f>
        <v>0.52739999999999998</v>
      </c>
      <c r="S998" s="14">
        <f>ROUND(R998*L998,2)</f>
        <v>843.84</v>
      </c>
      <c r="T998" s="15" t="s">
        <v>349</v>
      </c>
      <c r="U998" t="s">
        <v>36</v>
      </c>
    </row>
    <row r="999" spans="1:21" x14ac:dyDescent="0.2">
      <c r="A999" t="s">
        <v>2044</v>
      </c>
      <c r="B999" s="24">
        <v>45708</v>
      </c>
      <c r="C999" s="24">
        <v>45677</v>
      </c>
      <c r="D999" t="s">
        <v>696</v>
      </c>
      <c r="E999" t="s">
        <v>697</v>
      </c>
      <c r="G999" t="s">
        <v>2200</v>
      </c>
      <c r="H999" s="19" t="s">
        <v>1539</v>
      </c>
      <c r="I999" s="19" t="s">
        <v>1540</v>
      </c>
      <c r="J999" s="11" t="s">
        <v>1536</v>
      </c>
      <c r="K999" t="s">
        <v>10</v>
      </c>
      <c r="L999" s="19">
        <v>1000</v>
      </c>
      <c r="M999" t="s">
        <v>1472</v>
      </c>
      <c r="N999" t="s">
        <v>11</v>
      </c>
      <c r="O999" s="26">
        <v>4.04</v>
      </c>
      <c r="P999" s="12">
        <f>ROUND(O999*L999,2)</f>
        <v>4040</v>
      </c>
      <c r="Q999" s="13">
        <f>IF(N999="HKD",7.8,IF(N999="CNY",7.30034,1))</f>
        <v>7.3003400000000003</v>
      </c>
      <c r="R999" s="15">
        <f>+ROUND(O999/Q999,4)</f>
        <v>0.5534</v>
      </c>
      <c r="S999" s="14">
        <f>ROUND(R999*L999,2)</f>
        <v>553.4</v>
      </c>
      <c r="T999" s="15" t="s">
        <v>349</v>
      </c>
      <c r="U999" t="s">
        <v>36</v>
      </c>
    </row>
    <row r="1000" spans="1:21" x14ac:dyDescent="0.2">
      <c r="A1000" t="s">
        <v>2045</v>
      </c>
      <c r="B1000" s="24">
        <v>45708</v>
      </c>
      <c r="C1000" s="24">
        <v>45680</v>
      </c>
      <c r="D1000" t="s">
        <v>696</v>
      </c>
      <c r="E1000" t="s">
        <v>697</v>
      </c>
      <c r="G1000" t="s">
        <v>2200</v>
      </c>
      <c r="H1000" s="19" t="s">
        <v>1539</v>
      </c>
      <c r="I1000" s="19" t="s">
        <v>1540</v>
      </c>
      <c r="J1000" s="11" t="s">
        <v>1536</v>
      </c>
      <c r="K1000" t="s">
        <v>10</v>
      </c>
      <c r="L1000" s="19">
        <v>2200</v>
      </c>
      <c r="M1000" t="s">
        <v>1472</v>
      </c>
      <c r="N1000" t="s">
        <v>11</v>
      </c>
      <c r="O1000" s="26">
        <v>4.04</v>
      </c>
      <c r="P1000" s="12">
        <f>ROUND(O1000*L1000,2)</f>
        <v>8888</v>
      </c>
      <c r="Q1000" s="13">
        <f>IF(N1000="HKD",7.8,IF(N1000="CNY",7.30034,1))</f>
        <v>7.3003400000000003</v>
      </c>
      <c r="R1000" s="15">
        <f>+ROUND(O1000/Q1000,4)</f>
        <v>0.5534</v>
      </c>
      <c r="S1000" s="14">
        <f>ROUND(R1000*L1000,2)</f>
        <v>1217.48</v>
      </c>
      <c r="T1000" s="15" t="s">
        <v>349</v>
      </c>
      <c r="U1000" t="s">
        <v>36</v>
      </c>
    </row>
    <row r="1001" spans="1:21" x14ac:dyDescent="0.2">
      <c r="A1001" t="s">
        <v>2060</v>
      </c>
      <c r="B1001" s="24">
        <v>45708</v>
      </c>
      <c r="C1001" s="24">
        <v>45674</v>
      </c>
      <c r="D1001" t="s">
        <v>696</v>
      </c>
      <c r="E1001" t="s">
        <v>697</v>
      </c>
      <c r="G1001" t="s">
        <v>2200</v>
      </c>
      <c r="H1001" s="19" t="s">
        <v>890</v>
      </c>
      <c r="I1001" s="19" t="s">
        <v>891</v>
      </c>
      <c r="J1001" s="11" t="s">
        <v>1536</v>
      </c>
      <c r="K1001" t="s">
        <v>10</v>
      </c>
      <c r="L1001" s="19">
        <v>1050</v>
      </c>
      <c r="M1001" t="s">
        <v>1472</v>
      </c>
      <c r="N1001" t="s">
        <v>11</v>
      </c>
      <c r="O1001" s="26">
        <v>5</v>
      </c>
      <c r="P1001" s="12">
        <f>ROUND(O1001*L1001,2)</f>
        <v>5250</v>
      </c>
      <c r="Q1001" s="13">
        <f>IF(N1001="HKD",7.8,IF(N1001="CNY",7.30034,1))</f>
        <v>7.3003400000000003</v>
      </c>
      <c r="R1001" s="15">
        <f>+ROUND(O1001/Q1001,4)</f>
        <v>0.68489999999999995</v>
      </c>
      <c r="S1001" s="14">
        <f>ROUND(R1001*L1001,2)</f>
        <v>719.15</v>
      </c>
      <c r="T1001" s="15" t="s">
        <v>349</v>
      </c>
      <c r="U1001" t="s">
        <v>36</v>
      </c>
    </row>
    <row r="1002" spans="1:21" x14ac:dyDescent="0.2">
      <c r="A1002" t="s">
        <v>2072</v>
      </c>
      <c r="B1002" s="24">
        <v>45708</v>
      </c>
      <c r="C1002" s="24">
        <v>45673</v>
      </c>
      <c r="D1002" t="s">
        <v>696</v>
      </c>
      <c r="E1002" t="s">
        <v>697</v>
      </c>
      <c r="G1002" t="s">
        <v>2214</v>
      </c>
      <c r="H1002" s="19" t="s">
        <v>694</v>
      </c>
      <c r="I1002" s="19" t="s">
        <v>695</v>
      </c>
      <c r="J1002" s="11" t="s">
        <v>1536</v>
      </c>
      <c r="K1002" t="s">
        <v>10</v>
      </c>
      <c r="L1002" s="19">
        <v>2000</v>
      </c>
      <c r="M1002" t="s">
        <v>1472</v>
      </c>
      <c r="N1002" t="s">
        <v>11</v>
      </c>
      <c r="O1002" s="26">
        <v>5.49</v>
      </c>
      <c r="P1002" s="12">
        <f>ROUND(O1002*L1002,2)</f>
        <v>10980</v>
      </c>
      <c r="Q1002" s="13">
        <f>IF(N1002="HKD",7.8,IF(N1002="CNY",7.30034,1))</f>
        <v>7.3003400000000003</v>
      </c>
      <c r="R1002" s="15">
        <f>+ROUND(O1002/Q1002,4)</f>
        <v>0.752</v>
      </c>
      <c r="S1002" s="14">
        <f>ROUND(R1002*L1002,2)</f>
        <v>1504</v>
      </c>
      <c r="T1002" s="15" t="s">
        <v>349</v>
      </c>
      <c r="U1002" t="s">
        <v>36</v>
      </c>
    </row>
    <row r="1003" spans="1:21" x14ac:dyDescent="0.2">
      <c r="A1003" t="s">
        <v>2081</v>
      </c>
      <c r="B1003" s="24">
        <v>45708</v>
      </c>
      <c r="C1003" s="24">
        <v>45673</v>
      </c>
      <c r="D1003" t="s">
        <v>696</v>
      </c>
      <c r="E1003" t="s">
        <v>697</v>
      </c>
      <c r="G1003" t="s">
        <v>2214</v>
      </c>
      <c r="H1003" s="19" t="s">
        <v>700</v>
      </c>
      <c r="I1003" s="19" t="s">
        <v>701</v>
      </c>
      <c r="J1003" s="11" t="s">
        <v>1536</v>
      </c>
      <c r="K1003" t="s">
        <v>10</v>
      </c>
      <c r="L1003" s="19">
        <v>3000</v>
      </c>
      <c r="M1003" t="s">
        <v>1472</v>
      </c>
      <c r="N1003" t="s">
        <v>11</v>
      </c>
      <c r="O1003" s="26">
        <v>6.01</v>
      </c>
      <c r="P1003" s="12">
        <f>ROUND(O1003*L1003,2)</f>
        <v>18030</v>
      </c>
      <c r="Q1003" s="13">
        <f>IF(N1003="HKD",7.8,IF(N1003="CNY",7.30034,1))</f>
        <v>7.3003400000000003</v>
      </c>
      <c r="R1003" s="15">
        <f>+ROUND(O1003/Q1003,4)</f>
        <v>0.82320000000000004</v>
      </c>
      <c r="S1003" s="14">
        <f>ROUND(R1003*L1003,2)</f>
        <v>2469.6</v>
      </c>
      <c r="T1003" s="15" t="s">
        <v>349</v>
      </c>
      <c r="U1003" t="s">
        <v>36</v>
      </c>
    </row>
    <row r="1004" spans="1:21" x14ac:dyDescent="0.2">
      <c r="A1004" t="s">
        <v>2055</v>
      </c>
      <c r="B1004" s="24">
        <v>45708</v>
      </c>
      <c r="C1004" s="24">
        <v>45646</v>
      </c>
      <c r="D1004" t="s">
        <v>569</v>
      </c>
      <c r="E1004" t="s">
        <v>570</v>
      </c>
      <c r="G1004" t="s">
        <v>2182</v>
      </c>
      <c r="H1004" s="19" t="s">
        <v>1764</v>
      </c>
      <c r="I1004" s="19" t="s">
        <v>1765</v>
      </c>
      <c r="J1004" s="11" t="str">
        <f>+LEFT(U1004,4)</f>
        <v>MISC</v>
      </c>
      <c r="K1004" t="s">
        <v>10</v>
      </c>
      <c r="L1004" s="19">
        <v>2010</v>
      </c>
      <c r="M1004" t="s">
        <v>1472</v>
      </c>
      <c r="N1004" t="s">
        <v>11</v>
      </c>
      <c r="O1004" s="26">
        <v>4.5961999999999996</v>
      </c>
      <c r="P1004" s="12">
        <f>ROUND(O1004*L1004,2)</f>
        <v>9238.36</v>
      </c>
      <c r="Q1004" s="13">
        <f>IF(N1004="HKD",7.8,IF(N1004="CNY",7.30034,1))</f>
        <v>7.3003400000000003</v>
      </c>
      <c r="R1004" s="15">
        <f>+ROUND(O1004/Q1004,4)</f>
        <v>0.62960000000000005</v>
      </c>
      <c r="S1004" s="14">
        <f>ROUND(R1004*L1004,2)</f>
        <v>1265.5</v>
      </c>
      <c r="T1004" s="15" t="s">
        <v>349</v>
      </c>
      <c r="U1004" t="s">
        <v>25</v>
      </c>
    </row>
    <row r="1005" spans="1:21" x14ac:dyDescent="0.2">
      <c r="A1005" t="s">
        <v>2091</v>
      </c>
      <c r="B1005" s="24">
        <v>45709</v>
      </c>
      <c r="C1005" s="24">
        <v>45646</v>
      </c>
      <c r="D1005" t="s">
        <v>252</v>
      </c>
      <c r="E1005" t="s">
        <v>253</v>
      </c>
      <c r="G1005" t="s">
        <v>2169</v>
      </c>
      <c r="H1005" s="19" t="s">
        <v>1788</v>
      </c>
      <c r="I1005" s="19" t="s">
        <v>1789</v>
      </c>
      <c r="J1005" s="11" t="str">
        <f>+LEFT(U1005,4)</f>
        <v>MISC</v>
      </c>
      <c r="K1005" t="s">
        <v>10</v>
      </c>
      <c r="L1005" s="19">
        <v>6030</v>
      </c>
      <c r="M1005" t="s">
        <v>1472</v>
      </c>
      <c r="N1005" t="s">
        <v>11</v>
      </c>
      <c r="O1005" s="26">
        <v>7.2556000000000003</v>
      </c>
      <c r="P1005" s="12">
        <f>ROUND(O1005*L1005,2)</f>
        <v>43751.27</v>
      </c>
      <c r="Q1005" s="13">
        <f>IF(N1005="HKD",7.8,IF(N1005="CNY",7.30034,1))</f>
        <v>7.3003400000000003</v>
      </c>
      <c r="R1005" s="15">
        <f>+ROUND(O1005/Q1005,4)</f>
        <v>0.99390000000000001</v>
      </c>
      <c r="S1005" s="14">
        <f>ROUND(R1005*L1005,2)</f>
        <v>5993.22</v>
      </c>
      <c r="T1005" s="15" t="s">
        <v>349</v>
      </c>
      <c r="U1005" t="s">
        <v>25</v>
      </c>
    </row>
    <row r="1006" spans="1:21" x14ac:dyDescent="0.2">
      <c r="A1006" t="s">
        <v>1874</v>
      </c>
      <c r="B1006" s="24">
        <v>45712</v>
      </c>
      <c r="C1006" s="24">
        <v>45670</v>
      </c>
      <c r="D1006" t="s">
        <v>28</v>
      </c>
      <c r="E1006" t="s">
        <v>29</v>
      </c>
      <c r="G1006" t="s">
        <v>2151</v>
      </c>
      <c r="H1006" s="19" t="s">
        <v>1175</v>
      </c>
      <c r="I1006" s="19" t="s">
        <v>1176</v>
      </c>
      <c r="J1006" s="11" t="str">
        <f>+LEFT(U1006,4)</f>
        <v>MISC</v>
      </c>
      <c r="K1006" t="s">
        <v>10</v>
      </c>
      <c r="L1006" s="19">
        <v>5000</v>
      </c>
      <c r="M1006" t="s">
        <v>1472</v>
      </c>
      <c r="N1006" t="s">
        <v>11</v>
      </c>
      <c r="O1006" s="26">
        <v>0.18160000000000001</v>
      </c>
      <c r="P1006" s="12">
        <f>ROUND(O1006*L1006,2)</f>
        <v>908</v>
      </c>
      <c r="Q1006" s="13">
        <f>IF(N1006="HKD",7.8,IF(N1006="CNY",7.30034,1))</f>
        <v>7.3003400000000003</v>
      </c>
      <c r="R1006" s="15">
        <f>+ROUND(O1006/Q1006,4)</f>
        <v>2.4899999999999999E-2</v>
      </c>
      <c r="S1006" s="14">
        <f>ROUND(R1006*L1006,2)</f>
        <v>124.5</v>
      </c>
      <c r="T1006" s="15" t="s">
        <v>349</v>
      </c>
      <c r="U1006" t="s">
        <v>25</v>
      </c>
    </row>
    <row r="1007" spans="1:21" x14ac:dyDescent="0.2">
      <c r="A1007" t="s">
        <v>1875</v>
      </c>
      <c r="B1007" s="24">
        <v>45712</v>
      </c>
      <c r="C1007" s="24">
        <v>45671</v>
      </c>
      <c r="D1007" t="s">
        <v>28</v>
      </c>
      <c r="E1007" t="s">
        <v>29</v>
      </c>
      <c r="G1007" t="s">
        <v>2151</v>
      </c>
      <c r="H1007" s="19" t="s">
        <v>1175</v>
      </c>
      <c r="I1007" s="19" t="s">
        <v>1176</v>
      </c>
      <c r="J1007" s="11" t="str">
        <f>+LEFT(U1007,4)</f>
        <v>MISC</v>
      </c>
      <c r="K1007" t="s">
        <v>10</v>
      </c>
      <c r="L1007" s="19">
        <v>18000</v>
      </c>
      <c r="M1007" t="s">
        <v>1472</v>
      </c>
      <c r="N1007" t="s">
        <v>11</v>
      </c>
      <c r="O1007" s="26">
        <v>0.18160000000000001</v>
      </c>
      <c r="P1007" s="12">
        <f>ROUND(O1007*L1007,2)</f>
        <v>3268.8</v>
      </c>
      <c r="Q1007" s="13">
        <f>IF(N1007="HKD",7.8,IF(N1007="CNY",7.30034,1))</f>
        <v>7.3003400000000003</v>
      </c>
      <c r="R1007" s="15">
        <f>+ROUND(O1007/Q1007,4)</f>
        <v>2.4899999999999999E-2</v>
      </c>
      <c r="S1007" s="14">
        <f>ROUND(R1007*L1007,2)</f>
        <v>448.2</v>
      </c>
      <c r="T1007" s="15" t="s">
        <v>349</v>
      </c>
      <c r="U1007" t="s">
        <v>25</v>
      </c>
    </row>
    <row r="1008" spans="1:21" x14ac:dyDescent="0.2">
      <c r="A1008" t="s">
        <v>1876</v>
      </c>
      <c r="B1008" s="24">
        <v>45712</v>
      </c>
      <c r="C1008" s="24">
        <v>45695</v>
      </c>
      <c r="D1008" t="s">
        <v>28</v>
      </c>
      <c r="E1008" t="s">
        <v>29</v>
      </c>
      <c r="G1008" t="s">
        <v>2151</v>
      </c>
      <c r="H1008" s="19" t="s">
        <v>1175</v>
      </c>
      <c r="I1008" s="19" t="s">
        <v>1176</v>
      </c>
      <c r="J1008" s="11" t="str">
        <f>+LEFT(U1008,4)</f>
        <v>MISC</v>
      </c>
      <c r="K1008" t="s">
        <v>10</v>
      </c>
      <c r="L1008" s="19">
        <v>3000</v>
      </c>
      <c r="M1008" t="s">
        <v>1472</v>
      </c>
      <c r="N1008" t="s">
        <v>11</v>
      </c>
      <c r="O1008" s="26">
        <v>0.1835</v>
      </c>
      <c r="P1008" s="12">
        <f>ROUND(O1008*L1008,2)</f>
        <v>550.5</v>
      </c>
      <c r="Q1008" s="13">
        <f>IF(N1008="HKD",7.8,IF(N1008="CNY",7.30034,1))</f>
        <v>7.3003400000000003</v>
      </c>
      <c r="R1008" s="15">
        <f>+ROUND(O1008/Q1008,4)</f>
        <v>2.5100000000000001E-2</v>
      </c>
      <c r="S1008" s="14">
        <f>ROUND(R1008*L1008,2)</f>
        <v>75.3</v>
      </c>
      <c r="T1008" s="15" t="s">
        <v>349</v>
      </c>
      <c r="U1008" t="s">
        <v>25</v>
      </c>
    </row>
    <row r="1009" spans="1:21" x14ac:dyDescent="0.2">
      <c r="A1009" t="s">
        <v>1917</v>
      </c>
      <c r="B1009" s="24">
        <v>45712</v>
      </c>
      <c r="C1009" s="24">
        <v>45698</v>
      </c>
      <c r="D1009" t="s">
        <v>268</v>
      </c>
      <c r="E1009" t="s">
        <v>269</v>
      </c>
      <c r="G1009" t="s">
        <v>2168</v>
      </c>
      <c r="H1009" s="19" t="s">
        <v>1651</v>
      </c>
      <c r="I1009" s="19" t="s">
        <v>1652</v>
      </c>
      <c r="J1009" s="11" t="str">
        <f>+LEFT(U1009,4)</f>
        <v>MISC</v>
      </c>
      <c r="K1009" t="s">
        <v>10</v>
      </c>
      <c r="L1009" s="19">
        <v>47</v>
      </c>
      <c r="M1009" t="s">
        <v>136</v>
      </c>
      <c r="N1009" t="s">
        <v>11</v>
      </c>
      <c r="O1009" s="26">
        <v>1.2390000000000001</v>
      </c>
      <c r="P1009" s="12">
        <f>ROUND(O1009*L1009,2)</f>
        <v>58.23</v>
      </c>
      <c r="Q1009" s="13">
        <f>IF(N1009="HKD",7.8,IF(N1009="CNY",7.30034,1))</f>
        <v>7.3003400000000003</v>
      </c>
      <c r="R1009" s="15">
        <f>+ROUND(O1009/Q1009,4)</f>
        <v>0.16969999999999999</v>
      </c>
      <c r="S1009" s="14">
        <f>ROUND(R1009*L1009,2)</f>
        <v>7.98</v>
      </c>
      <c r="T1009" s="15" t="s">
        <v>349</v>
      </c>
      <c r="U1009" t="s">
        <v>25</v>
      </c>
    </row>
    <row r="1010" spans="1:21" x14ac:dyDescent="0.2">
      <c r="A1010" t="s">
        <v>1966</v>
      </c>
      <c r="B1010" s="24">
        <v>45712</v>
      </c>
      <c r="C1010" s="24">
        <v>45707</v>
      </c>
      <c r="D1010" t="s">
        <v>2251</v>
      </c>
      <c r="E1010" t="s">
        <v>2252</v>
      </c>
      <c r="G1010" t="s">
        <v>2178</v>
      </c>
      <c r="H1010" s="19" t="s">
        <v>1686</v>
      </c>
      <c r="I1010" s="19" t="s">
        <v>1687</v>
      </c>
      <c r="J1010" s="11" t="str">
        <f>+LEFT(U1010,4)</f>
        <v>MISC</v>
      </c>
      <c r="K1010" t="s">
        <v>10</v>
      </c>
      <c r="L1010" s="19">
        <v>3000</v>
      </c>
      <c r="M1010" t="s">
        <v>1472</v>
      </c>
      <c r="N1010" t="s">
        <v>11</v>
      </c>
      <c r="O1010" s="26">
        <v>2.6814</v>
      </c>
      <c r="P1010" s="12">
        <f>ROUND(O1010*L1010,2)</f>
        <v>8044.2</v>
      </c>
      <c r="Q1010" s="13">
        <f>IF(N1010="HKD",7.8,IF(N1010="CNY",7.30034,1))</f>
        <v>7.3003400000000003</v>
      </c>
      <c r="R1010" s="15">
        <f>+ROUND(O1010/Q1010,4)</f>
        <v>0.36730000000000002</v>
      </c>
      <c r="S1010" s="14">
        <f>ROUND(R1010*L1010,2)</f>
        <v>1101.9000000000001</v>
      </c>
      <c r="T1010" s="15" t="s">
        <v>349</v>
      </c>
      <c r="U1010" t="s">
        <v>25</v>
      </c>
    </row>
    <row r="1011" spans="1:21" x14ac:dyDescent="0.2">
      <c r="A1011" t="s">
        <v>1967</v>
      </c>
      <c r="B1011" s="24">
        <v>45712</v>
      </c>
      <c r="C1011" s="24">
        <v>45707</v>
      </c>
      <c r="D1011" t="s">
        <v>2251</v>
      </c>
      <c r="E1011" t="s">
        <v>2252</v>
      </c>
      <c r="G1011" t="s">
        <v>2178</v>
      </c>
      <c r="H1011" s="19" t="s">
        <v>1686</v>
      </c>
      <c r="I1011" s="19" t="s">
        <v>1687</v>
      </c>
      <c r="J1011" s="11" t="str">
        <f>+LEFT(U1011,4)</f>
        <v>MISC</v>
      </c>
      <c r="K1011" t="s">
        <v>10</v>
      </c>
      <c r="L1011" s="19">
        <v>2000</v>
      </c>
      <c r="M1011" t="s">
        <v>1472</v>
      </c>
      <c r="N1011" t="s">
        <v>11</v>
      </c>
      <c r="O1011" s="26">
        <v>2.6814</v>
      </c>
      <c r="P1011" s="12">
        <f>ROUND(O1011*L1011,2)</f>
        <v>5362.8</v>
      </c>
      <c r="Q1011" s="13">
        <f>IF(N1011="HKD",7.8,IF(N1011="CNY",7.30034,1))</f>
        <v>7.3003400000000003</v>
      </c>
      <c r="R1011" s="15">
        <f>+ROUND(O1011/Q1011,4)</f>
        <v>0.36730000000000002</v>
      </c>
      <c r="S1011" s="14">
        <f>ROUND(R1011*L1011,2)</f>
        <v>734.6</v>
      </c>
      <c r="T1011" s="15" t="s">
        <v>349</v>
      </c>
      <c r="U1011" t="s">
        <v>25</v>
      </c>
    </row>
    <row r="1012" spans="1:21" x14ac:dyDescent="0.2">
      <c r="A1012" t="s">
        <v>2068</v>
      </c>
      <c r="B1012" s="24">
        <v>45712</v>
      </c>
      <c r="C1012" s="24">
        <v>45698</v>
      </c>
      <c r="D1012" t="s">
        <v>268</v>
      </c>
      <c r="E1012" t="s">
        <v>269</v>
      </c>
      <c r="G1012" t="s">
        <v>2168</v>
      </c>
      <c r="H1012" s="19" t="s">
        <v>1077</v>
      </c>
      <c r="I1012" s="19" t="s">
        <v>1078</v>
      </c>
      <c r="J1012" s="11" t="str">
        <f>+LEFT(U1012,4)</f>
        <v>MISC</v>
      </c>
      <c r="K1012" t="s">
        <v>10</v>
      </c>
      <c r="L1012" s="19">
        <v>50</v>
      </c>
      <c r="M1012" t="s">
        <v>136</v>
      </c>
      <c r="N1012" t="s">
        <v>11</v>
      </c>
      <c r="O1012" s="26">
        <v>5.18</v>
      </c>
      <c r="P1012" s="12">
        <f>ROUND(O1012*L1012,2)</f>
        <v>259</v>
      </c>
      <c r="Q1012" s="13">
        <f>IF(N1012="HKD",7.8,IF(N1012="CNY",7.30034,1))</f>
        <v>7.3003400000000003</v>
      </c>
      <c r="R1012" s="15">
        <f>+ROUND(O1012/Q1012,4)</f>
        <v>0.70960000000000001</v>
      </c>
      <c r="S1012" s="14">
        <f>ROUND(R1012*L1012,2)</f>
        <v>35.479999999999997</v>
      </c>
      <c r="T1012" s="15" t="s">
        <v>349</v>
      </c>
      <c r="U1012" t="s">
        <v>25</v>
      </c>
    </row>
    <row r="1013" spans="1:21" x14ac:dyDescent="0.2">
      <c r="A1013" t="s">
        <v>2082</v>
      </c>
      <c r="B1013" s="24">
        <v>45712</v>
      </c>
      <c r="C1013" s="24">
        <v>45707</v>
      </c>
      <c r="D1013" t="s">
        <v>2253</v>
      </c>
      <c r="E1013" t="s">
        <v>2254</v>
      </c>
      <c r="G1013" t="s">
        <v>2216</v>
      </c>
      <c r="H1013" s="19" t="s">
        <v>1782</v>
      </c>
      <c r="I1013" s="19" t="s">
        <v>1783</v>
      </c>
      <c r="J1013" s="11" t="str">
        <f>+LEFT(U1013,4)</f>
        <v>MISC</v>
      </c>
      <c r="K1013" t="s">
        <v>10</v>
      </c>
      <c r="L1013" s="19">
        <v>2000</v>
      </c>
      <c r="M1013" t="s">
        <v>186</v>
      </c>
      <c r="N1013" t="s">
        <v>11</v>
      </c>
      <c r="O1013" s="26">
        <v>6.0620000000000003</v>
      </c>
      <c r="P1013" s="12">
        <f>ROUND(O1013*L1013,2)</f>
        <v>12124</v>
      </c>
      <c r="Q1013" s="13">
        <f>IF(N1013="HKD",7.8,IF(N1013="CNY",7.30034,1))</f>
        <v>7.3003400000000003</v>
      </c>
      <c r="R1013" s="15">
        <f>+ROUND(O1013/Q1013,4)</f>
        <v>0.83040000000000003</v>
      </c>
      <c r="S1013" s="14">
        <f>ROUND(R1013*L1013,2)</f>
        <v>1660.8</v>
      </c>
      <c r="T1013" s="15" t="s">
        <v>349</v>
      </c>
      <c r="U1013" t="s">
        <v>25</v>
      </c>
    </row>
    <row r="1014" spans="1:21" x14ac:dyDescent="0.2">
      <c r="A1014" t="s">
        <v>2085</v>
      </c>
      <c r="B1014" s="24">
        <v>45712</v>
      </c>
      <c r="C1014" s="24">
        <v>45673</v>
      </c>
      <c r="D1014" t="s">
        <v>268</v>
      </c>
      <c r="E1014" t="s">
        <v>269</v>
      </c>
      <c r="G1014" t="s">
        <v>2168</v>
      </c>
      <c r="H1014" s="19" t="s">
        <v>1073</v>
      </c>
      <c r="I1014" s="19" t="s">
        <v>1074</v>
      </c>
      <c r="J1014" s="11" t="str">
        <f>+LEFT(U1014,4)</f>
        <v>MISC</v>
      </c>
      <c r="K1014" t="s">
        <v>10</v>
      </c>
      <c r="L1014" s="19">
        <v>100</v>
      </c>
      <c r="M1014" t="s">
        <v>136</v>
      </c>
      <c r="N1014" t="s">
        <v>11</v>
      </c>
      <c r="O1014" s="26">
        <v>6.64</v>
      </c>
      <c r="P1014" s="12">
        <f>ROUND(O1014*L1014,2)</f>
        <v>664</v>
      </c>
      <c r="Q1014" s="13">
        <f>IF(N1014="HKD",7.8,IF(N1014="CNY",7.30034,1))</f>
        <v>7.3003400000000003</v>
      </c>
      <c r="R1014" s="15">
        <f>+ROUND(O1014/Q1014,4)</f>
        <v>0.90949999999999998</v>
      </c>
      <c r="S1014" s="14">
        <f>ROUND(R1014*L1014,2)</f>
        <v>90.95</v>
      </c>
      <c r="T1014" s="15" t="s">
        <v>349</v>
      </c>
      <c r="U1014" t="s">
        <v>25</v>
      </c>
    </row>
    <row r="1015" spans="1:21" x14ac:dyDescent="0.2">
      <c r="A1015" t="s">
        <v>2086</v>
      </c>
      <c r="B1015" s="24">
        <v>45712</v>
      </c>
      <c r="C1015" s="24">
        <v>45698</v>
      </c>
      <c r="D1015" t="s">
        <v>268</v>
      </c>
      <c r="E1015" t="s">
        <v>269</v>
      </c>
      <c r="G1015" t="s">
        <v>2168</v>
      </c>
      <c r="H1015" s="19" t="s">
        <v>1073</v>
      </c>
      <c r="I1015" s="19" t="s">
        <v>1074</v>
      </c>
      <c r="J1015" s="11" t="str">
        <f>+LEFT(U1015,4)</f>
        <v>MISC</v>
      </c>
      <c r="K1015" t="s">
        <v>10</v>
      </c>
      <c r="L1015" s="19">
        <v>50</v>
      </c>
      <c r="M1015" t="s">
        <v>136</v>
      </c>
      <c r="N1015" t="s">
        <v>11</v>
      </c>
      <c r="O1015" s="26">
        <v>6.64</v>
      </c>
      <c r="P1015" s="12">
        <f>ROUND(O1015*L1015,2)</f>
        <v>332</v>
      </c>
      <c r="Q1015" s="13">
        <f>IF(N1015="HKD",7.8,IF(N1015="CNY",7.30034,1))</f>
        <v>7.3003400000000003</v>
      </c>
      <c r="R1015" s="15">
        <f>+ROUND(O1015/Q1015,4)</f>
        <v>0.90949999999999998</v>
      </c>
      <c r="S1015" s="14">
        <f>ROUND(R1015*L1015,2)</f>
        <v>45.48</v>
      </c>
      <c r="T1015" s="15" t="s">
        <v>349</v>
      </c>
      <c r="U1015" t="s">
        <v>25</v>
      </c>
    </row>
    <row r="1016" spans="1:21" x14ac:dyDescent="0.2">
      <c r="A1016" t="s">
        <v>2381</v>
      </c>
      <c r="B1016" s="24">
        <v>45730</v>
      </c>
      <c r="C1016" s="24">
        <v>45695</v>
      </c>
      <c r="D1016" t="s">
        <v>569</v>
      </c>
      <c r="E1016" t="s">
        <v>570</v>
      </c>
      <c r="G1016" t="s">
        <v>2914</v>
      </c>
      <c r="H1016" t="s">
        <v>1408</v>
      </c>
      <c r="I1016" t="s">
        <v>1409</v>
      </c>
      <c r="J1016" s="11" t="s">
        <v>1505</v>
      </c>
      <c r="K1016" t="s">
        <v>10</v>
      </c>
      <c r="L1016">
        <v>2050</v>
      </c>
      <c r="M1016" t="s">
        <v>1472</v>
      </c>
      <c r="N1016" t="s">
        <v>11</v>
      </c>
      <c r="O1016">
        <v>4.8019999999999996</v>
      </c>
      <c r="P1016" s="12">
        <f>ROUND(O1016*L1016,2)</f>
        <v>9844.1</v>
      </c>
      <c r="Q1016" s="13">
        <f>IF(N1016="HKD",7.8,IF(N1016="CNY",7.30034,1))</f>
        <v>7.3003400000000003</v>
      </c>
      <c r="R1016" s="15">
        <f>+ROUND(O1016/Q1016,4)</f>
        <v>0.65780000000000005</v>
      </c>
      <c r="S1016" s="14">
        <f>ROUND(R1016*L1016,2)</f>
        <v>1348.49</v>
      </c>
      <c r="T1016" s="15" t="s">
        <v>349</v>
      </c>
      <c r="U1016" t="s">
        <v>36</v>
      </c>
    </row>
    <row r="1017" spans="1:21" x14ac:dyDescent="0.2">
      <c r="A1017" t="s">
        <v>2554</v>
      </c>
      <c r="B1017" s="24">
        <v>45744</v>
      </c>
      <c r="C1017" s="24">
        <v>45716</v>
      </c>
      <c r="D1017" t="s">
        <v>149</v>
      </c>
      <c r="E1017" t="s">
        <v>150</v>
      </c>
      <c r="G1017" t="s">
        <v>2995</v>
      </c>
      <c r="H1017" t="s">
        <v>3172</v>
      </c>
      <c r="I1017" t="s">
        <v>3317</v>
      </c>
      <c r="J1017" s="11" t="str">
        <f>+LEFT(U1017,4)</f>
        <v>GLID</v>
      </c>
      <c r="K1017" t="s">
        <v>10</v>
      </c>
      <c r="L1017">
        <v>1030</v>
      </c>
      <c r="M1017" t="s">
        <v>1472</v>
      </c>
      <c r="N1017" t="s">
        <v>11</v>
      </c>
      <c r="O1017">
        <v>4.8769</v>
      </c>
      <c r="P1017" s="12">
        <f>ROUND(O1017*L1017,2)</f>
        <v>5023.21</v>
      </c>
      <c r="Q1017" s="13">
        <f>IF(N1017="HKD",7.8,IF(N1017="CNY",7.30034,1))</f>
        <v>7.3003400000000003</v>
      </c>
      <c r="R1017" s="15">
        <f>+ROUND(O1017/Q1017,4)</f>
        <v>0.66800000000000004</v>
      </c>
      <c r="S1017" s="14">
        <f>ROUND(R1017*L1017,2)</f>
        <v>688.04</v>
      </c>
      <c r="T1017" s="15" t="s">
        <v>349</v>
      </c>
      <c r="U1017" t="s">
        <v>78</v>
      </c>
    </row>
    <row r="1018" spans="1:21" x14ac:dyDescent="0.2">
      <c r="A1018" t="s">
        <v>2358</v>
      </c>
      <c r="B1018" s="24">
        <v>45730</v>
      </c>
      <c r="C1018" s="24">
        <v>45680</v>
      </c>
      <c r="D1018" t="s">
        <v>569</v>
      </c>
      <c r="E1018" t="s">
        <v>570</v>
      </c>
      <c r="G1018" t="s">
        <v>2903</v>
      </c>
      <c r="H1018" t="s">
        <v>763</v>
      </c>
      <c r="I1018" t="s">
        <v>764</v>
      </c>
      <c r="J1018" s="11" t="s">
        <v>1505</v>
      </c>
      <c r="K1018" t="s">
        <v>10</v>
      </c>
      <c r="L1018">
        <v>1800</v>
      </c>
      <c r="M1018" t="s">
        <v>1472</v>
      </c>
      <c r="N1018" t="s">
        <v>11</v>
      </c>
      <c r="O1018">
        <v>4.9000000000000004</v>
      </c>
      <c r="P1018" s="12">
        <f>ROUND(O1018*L1018,2)</f>
        <v>8820</v>
      </c>
      <c r="Q1018" s="13">
        <f>IF(N1018="HKD",7.8,IF(N1018="CNY",7.30034,1))</f>
        <v>7.3003400000000003</v>
      </c>
      <c r="R1018" s="15">
        <f>+ROUND(O1018/Q1018,4)</f>
        <v>0.67120000000000002</v>
      </c>
      <c r="S1018" s="14">
        <f>ROUND(R1018*L1018,2)</f>
        <v>1208.1600000000001</v>
      </c>
      <c r="T1018" s="15" t="s">
        <v>349</v>
      </c>
      <c r="U1018" t="s">
        <v>36</v>
      </c>
    </row>
    <row r="1019" spans="1:21" x14ac:dyDescent="0.2">
      <c r="A1019" t="s">
        <v>2468</v>
      </c>
      <c r="B1019" s="24">
        <v>45730</v>
      </c>
      <c r="C1019" s="24">
        <v>45706</v>
      </c>
      <c r="D1019" t="s">
        <v>569</v>
      </c>
      <c r="E1019" t="s">
        <v>570</v>
      </c>
      <c r="G1019" t="s">
        <v>2914</v>
      </c>
      <c r="H1019" t="s">
        <v>1408</v>
      </c>
      <c r="I1019" t="s">
        <v>1409</v>
      </c>
      <c r="J1019" s="11" t="s">
        <v>1505</v>
      </c>
      <c r="K1019" t="s">
        <v>10</v>
      </c>
      <c r="L1019">
        <v>1700</v>
      </c>
      <c r="M1019" t="s">
        <v>1472</v>
      </c>
      <c r="N1019" t="s">
        <v>11</v>
      </c>
      <c r="O1019">
        <v>4.9000000000000004</v>
      </c>
      <c r="P1019" s="12">
        <f>ROUND(O1019*L1019,2)</f>
        <v>8330</v>
      </c>
      <c r="Q1019" s="13">
        <f>IF(N1019="HKD",7.8,IF(N1019="CNY",7.30034,1))</f>
        <v>7.3003400000000003</v>
      </c>
      <c r="R1019" s="15">
        <f>+ROUND(O1019/Q1019,4)</f>
        <v>0.67120000000000002</v>
      </c>
      <c r="S1019" s="14">
        <f>ROUND(R1019*L1019,2)</f>
        <v>1141.04</v>
      </c>
      <c r="T1019" s="15" t="s">
        <v>349</v>
      </c>
      <c r="U1019" t="s">
        <v>36</v>
      </c>
    </row>
    <row r="1020" spans="1:21" x14ac:dyDescent="0.2">
      <c r="A1020" t="s">
        <v>2059</v>
      </c>
      <c r="B1020" s="24">
        <v>45721</v>
      </c>
      <c r="C1020" s="24">
        <v>45630</v>
      </c>
      <c r="D1020" t="s">
        <v>830</v>
      </c>
      <c r="E1020" t="s">
        <v>831</v>
      </c>
      <c r="G1020" t="s">
        <v>2856</v>
      </c>
      <c r="H1020" t="s">
        <v>834</v>
      </c>
      <c r="I1020" t="s">
        <v>835</v>
      </c>
      <c r="J1020" s="11" t="str">
        <f>+LEFT(U1020,4)</f>
        <v>SKU-</v>
      </c>
      <c r="K1020" t="s">
        <v>98</v>
      </c>
      <c r="L1020">
        <v>200</v>
      </c>
      <c r="M1020" t="s">
        <v>1472</v>
      </c>
      <c r="N1020" t="s">
        <v>11</v>
      </c>
      <c r="O1020">
        <v>4.9154</v>
      </c>
      <c r="P1020" s="12">
        <f>ROUND(O1020*L1020,2)</f>
        <v>983.08</v>
      </c>
      <c r="Q1020" s="13">
        <f>IF(N1020="HKD",7.8,IF(N1020="CNY",7.30034,1))</f>
        <v>7.3003400000000003</v>
      </c>
      <c r="R1020" s="15">
        <f>+ROUND(O1020/Q1020,4)</f>
        <v>0.67330000000000001</v>
      </c>
      <c r="S1020" s="14">
        <f>ROUND(R1020*L1020,2)</f>
        <v>134.66</v>
      </c>
      <c r="T1020" s="15" t="s">
        <v>349</v>
      </c>
      <c r="U1020" t="s">
        <v>2</v>
      </c>
    </row>
    <row r="1021" spans="1:21" x14ac:dyDescent="0.2">
      <c r="A1021" t="s">
        <v>2297</v>
      </c>
      <c r="B1021" s="24">
        <v>45721</v>
      </c>
      <c r="C1021" s="24">
        <v>45646</v>
      </c>
      <c r="D1021" t="s">
        <v>830</v>
      </c>
      <c r="E1021" t="s">
        <v>831</v>
      </c>
      <c r="G1021" t="s">
        <v>2856</v>
      </c>
      <c r="H1021" t="s">
        <v>834</v>
      </c>
      <c r="I1021" t="s">
        <v>835</v>
      </c>
      <c r="J1021" s="11" t="str">
        <f>+LEFT(U1021,4)</f>
        <v>SKU-</v>
      </c>
      <c r="K1021" t="s">
        <v>98</v>
      </c>
      <c r="L1021">
        <v>2000</v>
      </c>
      <c r="M1021" t="s">
        <v>1472</v>
      </c>
      <c r="N1021" t="s">
        <v>11</v>
      </c>
      <c r="O1021">
        <v>4.9154</v>
      </c>
      <c r="P1021" s="12">
        <f>ROUND(O1021*L1021,2)</f>
        <v>9830.7999999999993</v>
      </c>
      <c r="Q1021" s="13">
        <f>IF(N1021="HKD",7.8,IF(N1021="CNY",7.30034,1))</f>
        <v>7.3003400000000003</v>
      </c>
      <c r="R1021" s="15">
        <f>+ROUND(O1021/Q1021,4)</f>
        <v>0.67330000000000001</v>
      </c>
      <c r="S1021" s="14">
        <f>ROUND(R1021*L1021,2)</f>
        <v>1346.6</v>
      </c>
      <c r="T1021" s="15" t="s">
        <v>349</v>
      </c>
      <c r="U1021" t="s">
        <v>2</v>
      </c>
    </row>
    <row r="1022" spans="1:21" x14ac:dyDescent="0.2">
      <c r="A1022" t="s">
        <v>2742</v>
      </c>
      <c r="B1022" s="24">
        <v>45733</v>
      </c>
      <c r="C1022" s="24">
        <v>45729</v>
      </c>
      <c r="D1022" t="s">
        <v>5</v>
      </c>
      <c r="E1022" t="s">
        <v>6</v>
      </c>
      <c r="G1022" t="s">
        <v>3042</v>
      </c>
      <c r="H1022" t="s">
        <v>3246</v>
      </c>
      <c r="I1022" t="s">
        <v>3453</v>
      </c>
      <c r="J1022" s="11" t="str">
        <f>+LEFT(U1022,4)</f>
        <v>SHTS</v>
      </c>
      <c r="K1022" t="s">
        <v>10</v>
      </c>
      <c r="L1022">
        <v>505</v>
      </c>
      <c r="M1022" t="s">
        <v>1472</v>
      </c>
      <c r="N1022" t="s">
        <v>11</v>
      </c>
      <c r="O1022">
        <v>4.95</v>
      </c>
      <c r="P1022" s="12">
        <f>ROUND(O1022*L1022,2)</f>
        <v>2499.75</v>
      </c>
      <c r="Q1022" s="13">
        <f>IF(N1022="HKD",7.8,IF(N1022="CNY",7.30034,1))</f>
        <v>7.3003400000000003</v>
      </c>
      <c r="R1022" s="15">
        <f>+ROUND(O1022/Q1022,4)</f>
        <v>0.67810000000000004</v>
      </c>
      <c r="S1022" s="14">
        <f>ROUND(R1022*L1022,2)</f>
        <v>342.44</v>
      </c>
      <c r="T1022" s="15" t="s">
        <v>349</v>
      </c>
      <c r="U1022" t="s">
        <v>9</v>
      </c>
    </row>
    <row r="1023" spans="1:21" x14ac:dyDescent="0.2">
      <c r="A1023" t="s">
        <v>2414</v>
      </c>
      <c r="B1023" s="24">
        <v>45744</v>
      </c>
      <c r="C1023" s="24">
        <v>45702</v>
      </c>
      <c r="D1023" t="s">
        <v>21</v>
      </c>
      <c r="E1023" t="s">
        <v>22</v>
      </c>
      <c r="G1023" t="s">
        <v>2929</v>
      </c>
      <c r="H1023" t="s">
        <v>3105</v>
      </c>
      <c r="I1023" t="s">
        <v>3320</v>
      </c>
      <c r="J1023" s="11" t="str">
        <f>+LEFT(U1023,4)</f>
        <v>HDL-</v>
      </c>
      <c r="K1023" t="s">
        <v>98</v>
      </c>
      <c r="L1023">
        <v>1030</v>
      </c>
      <c r="M1023" t="s">
        <v>1472</v>
      </c>
      <c r="N1023" t="s">
        <v>11</v>
      </c>
      <c r="O1023">
        <v>4.9718999999999998</v>
      </c>
      <c r="P1023" s="12">
        <f>ROUND(O1023*L1023,2)</f>
        <v>5121.0600000000004</v>
      </c>
      <c r="Q1023" s="13">
        <f>IF(N1023="HKD",7.8,IF(N1023="CNY",7.30034,1))</f>
        <v>7.3003400000000003</v>
      </c>
      <c r="R1023" s="15">
        <f>+ROUND(O1023/Q1023,4)</f>
        <v>0.68110000000000004</v>
      </c>
      <c r="S1023" s="14">
        <f>ROUND(R1023*L1023,2)</f>
        <v>701.53</v>
      </c>
      <c r="T1023" s="15" t="s">
        <v>349</v>
      </c>
      <c r="U1023" t="s">
        <v>228</v>
      </c>
    </row>
    <row r="1024" spans="1:21" x14ac:dyDescent="0.2">
      <c r="A1024" t="s">
        <v>2415</v>
      </c>
      <c r="B1024" s="24">
        <v>45744</v>
      </c>
      <c r="C1024" s="24">
        <v>45702</v>
      </c>
      <c r="D1024" t="s">
        <v>21</v>
      </c>
      <c r="E1024" t="s">
        <v>22</v>
      </c>
      <c r="G1024" t="s">
        <v>2929</v>
      </c>
      <c r="H1024" t="s">
        <v>3106</v>
      </c>
      <c r="I1024" t="s">
        <v>3321</v>
      </c>
      <c r="J1024" s="11" t="str">
        <f>+LEFT(U1024,4)</f>
        <v>HDL-</v>
      </c>
      <c r="K1024" t="s">
        <v>98</v>
      </c>
      <c r="L1024">
        <v>1030</v>
      </c>
      <c r="M1024" t="s">
        <v>1472</v>
      </c>
      <c r="N1024" t="s">
        <v>11</v>
      </c>
      <c r="O1024">
        <v>4.9718999999999998</v>
      </c>
      <c r="P1024" s="12">
        <f>ROUND(O1024*L1024,2)</f>
        <v>5121.0600000000004</v>
      </c>
      <c r="Q1024" s="13">
        <f>IF(N1024="HKD",7.8,IF(N1024="CNY",7.30034,1))</f>
        <v>7.3003400000000003</v>
      </c>
      <c r="R1024" s="15">
        <f>+ROUND(O1024/Q1024,4)</f>
        <v>0.68110000000000004</v>
      </c>
      <c r="S1024" s="14">
        <f>ROUND(R1024*L1024,2)</f>
        <v>701.53</v>
      </c>
      <c r="T1024" s="15" t="s">
        <v>349</v>
      </c>
      <c r="U1024" t="s">
        <v>228</v>
      </c>
    </row>
    <row r="1025" spans="1:21" x14ac:dyDescent="0.2">
      <c r="A1025" t="s">
        <v>2416</v>
      </c>
      <c r="B1025" s="24">
        <v>45744</v>
      </c>
      <c r="C1025" s="24">
        <v>45702</v>
      </c>
      <c r="D1025" t="s">
        <v>21</v>
      </c>
      <c r="E1025" t="s">
        <v>22</v>
      </c>
      <c r="G1025" t="s">
        <v>2929</v>
      </c>
      <c r="H1025" t="s">
        <v>3107</v>
      </c>
      <c r="I1025" t="s">
        <v>3322</v>
      </c>
      <c r="J1025" s="11" t="str">
        <f>+LEFT(U1025,4)</f>
        <v>HDL-</v>
      </c>
      <c r="K1025" t="s">
        <v>98</v>
      </c>
      <c r="L1025">
        <v>1030</v>
      </c>
      <c r="M1025" t="s">
        <v>1472</v>
      </c>
      <c r="N1025" t="s">
        <v>11</v>
      </c>
      <c r="O1025">
        <v>4.9718999999999998</v>
      </c>
      <c r="P1025" s="12">
        <f>ROUND(O1025*L1025,2)</f>
        <v>5121.0600000000004</v>
      </c>
      <c r="Q1025" s="13">
        <f>IF(N1025="HKD",7.8,IF(N1025="CNY",7.30034,1))</f>
        <v>7.3003400000000003</v>
      </c>
      <c r="R1025" s="15">
        <f>+ROUND(O1025/Q1025,4)</f>
        <v>0.68110000000000004</v>
      </c>
      <c r="S1025" s="14">
        <f>ROUND(R1025*L1025,2)</f>
        <v>701.53</v>
      </c>
      <c r="T1025" s="15" t="s">
        <v>349</v>
      </c>
      <c r="U1025" t="s">
        <v>228</v>
      </c>
    </row>
    <row r="1026" spans="1:21" x14ac:dyDescent="0.2">
      <c r="A1026" t="s">
        <v>2693</v>
      </c>
      <c r="B1026" s="24">
        <v>45747</v>
      </c>
      <c r="C1026" s="24">
        <v>45728</v>
      </c>
      <c r="D1026" t="s">
        <v>280</v>
      </c>
      <c r="E1026" t="s">
        <v>281</v>
      </c>
      <c r="G1026" t="s">
        <v>3032</v>
      </c>
      <c r="H1026" t="s">
        <v>278</v>
      </c>
      <c r="I1026" t="s">
        <v>279</v>
      </c>
      <c r="J1026" s="11" t="str">
        <f>+LEFT(U1026,4)</f>
        <v>BOX-</v>
      </c>
      <c r="K1026" t="s">
        <v>10</v>
      </c>
      <c r="L1026">
        <v>3000</v>
      </c>
      <c r="M1026" t="s">
        <v>1472</v>
      </c>
      <c r="N1026" t="s">
        <v>11</v>
      </c>
      <c r="O1026">
        <v>5</v>
      </c>
      <c r="P1026" s="12">
        <f>ROUND(O1026*L1026,2)</f>
        <v>15000</v>
      </c>
      <c r="Q1026" s="13">
        <f>IF(N1026="HKD",7.8,IF(N1026="CNY",7.30034,1))</f>
        <v>7.3003400000000003</v>
      </c>
      <c r="R1026" s="15">
        <f>+ROUND(O1026/Q1026,4)</f>
        <v>0.68489999999999995</v>
      </c>
      <c r="S1026" s="14">
        <f>ROUND(R1026*L1026,2)</f>
        <v>2054.6999999999998</v>
      </c>
      <c r="T1026" s="15" t="s">
        <v>349</v>
      </c>
      <c r="U1026" t="s">
        <v>1</v>
      </c>
    </row>
    <row r="1027" spans="1:21" x14ac:dyDescent="0.2">
      <c r="A1027" t="s">
        <v>2064</v>
      </c>
      <c r="B1027" s="24">
        <v>45719</v>
      </c>
      <c r="C1027" s="24">
        <v>45630</v>
      </c>
      <c r="D1027" t="s">
        <v>830</v>
      </c>
      <c r="E1027" t="s">
        <v>831</v>
      </c>
      <c r="G1027" t="s">
        <v>2857</v>
      </c>
      <c r="H1027" t="s">
        <v>828</v>
      </c>
      <c r="I1027" t="s">
        <v>829</v>
      </c>
      <c r="J1027" s="11" t="str">
        <f>+LEFT(U1027,4)</f>
        <v>SKU-</v>
      </c>
      <c r="K1027" t="s">
        <v>98</v>
      </c>
      <c r="L1027">
        <v>200</v>
      </c>
      <c r="M1027" t="s">
        <v>1472</v>
      </c>
      <c r="N1027" t="s">
        <v>11</v>
      </c>
      <c r="O1027">
        <v>5.0862999999999996</v>
      </c>
      <c r="P1027" s="12">
        <f>ROUND(O1027*L1027,2)</f>
        <v>1017.26</v>
      </c>
      <c r="Q1027" s="13">
        <f>IF(N1027="HKD",7.8,IF(N1027="CNY",7.30034,1))</f>
        <v>7.3003400000000003</v>
      </c>
      <c r="R1027" s="15">
        <f>+ROUND(O1027/Q1027,4)</f>
        <v>0.69669999999999999</v>
      </c>
      <c r="S1027" s="14">
        <f>ROUND(R1027*L1027,2)</f>
        <v>139.34</v>
      </c>
      <c r="T1027" s="15" t="s">
        <v>349</v>
      </c>
      <c r="U1027" t="s">
        <v>2</v>
      </c>
    </row>
    <row r="1028" spans="1:21" x14ac:dyDescent="0.2">
      <c r="A1028" t="s">
        <v>2298</v>
      </c>
      <c r="B1028" s="24">
        <v>45719</v>
      </c>
      <c r="C1028" s="24">
        <v>45646</v>
      </c>
      <c r="D1028" t="s">
        <v>830</v>
      </c>
      <c r="E1028" t="s">
        <v>831</v>
      </c>
      <c r="G1028" t="s">
        <v>2857</v>
      </c>
      <c r="H1028" t="s">
        <v>828</v>
      </c>
      <c r="I1028" t="s">
        <v>829</v>
      </c>
      <c r="J1028" s="11" t="str">
        <f>+LEFT(U1028,4)</f>
        <v>SKU-</v>
      </c>
      <c r="K1028" t="s">
        <v>98</v>
      </c>
      <c r="L1028">
        <v>3500</v>
      </c>
      <c r="M1028" t="s">
        <v>1472</v>
      </c>
      <c r="N1028" t="s">
        <v>11</v>
      </c>
      <c r="O1028">
        <v>5.0862999999999996</v>
      </c>
      <c r="P1028" s="12">
        <f>ROUND(O1028*L1028,2)</f>
        <v>17802.05</v>
      </c>
      <c r="Q1028" s="13">
        <f>IF(N1028="HKD",7.8,IF(N1028="CNY",7.30034,1))</f>
        <v>7.3003400000000003</v>
      </c>
      <c r="R1028" s="15">
        <f>+ROUND(O1028/Q1028,4)</f>
        <v>0.69669999999999999</v>
      </c>
      <c r="S1028" s="14">
        <f>ROUND(R1028*L1028,2)</f>
        <v>2438.4499999999998</v>
      </c>
      <c r="T1028" s="15" t="s">
        <v>349</v>
      </c>
      <c r="U1028" t="s">
        <v>2</v>
      </c>
    </row>
    <row r="1029" spans="1:21" x14ac:dyDescent="0.2">
      <c r="A1029" t="s">
        <v>2377</v>
      </c>
      <c r="B1029" s="24">
        <v>45743</v>
      </c>
      <c r="C1029" s="24">
        <v>45695</v>
      </c>
      <c r="D1029" t="s">
        <v>143</v>
      </c>
      <c r="E1029" t="s">
        <v>144</v>
      </c>
      <c r="G1029" t="s">
        <v>2913</v>
      </c>
      <c r="H1029" t="s">
        <v>141</v>
      </c>
      <c r="I1029" t="s">
        <v>142</v>
      </c>
      <c r="J1029" s="11" t="str">
        <f>+LEFT(U1029,4)</f>
        <v>KNOB</v>
      </c>
      <c r="K1029" t="s">
        <v>10</v>
      </c>
      <c r="L1029">
        <v>2900</v>
      </c>
      <c r="M1029" t="s">
        <v>1472</v>
      </c>
      <c r="N1029" t="s">
        <v>11</v>
      </c>
      <c r="O1029">
        <v>5.0999999999999996</v>
      </c>
      <c r="P1029" s="12">
        <f>ROUND(O1029*L1029,2)</f>
        <v>14790</v>
      </c>
      <c r="Q1029" s="13">
        <f>IF(N1029="HKD",7.8,IF(N1029="CNY",7.30034,1))</f>
        <v>7.3003400000000003</v>
      </c>
      <c r="R1029" s="15">
        <f>+ROUND(O1029/Q1029,4)</f>
        <v>0.6986</v>
      </c>
      <c r="S1029" s="14">
        <f>ROUND(R1029*L1029,2)</f>
        <v>2025.94</v>
      </c>
      <c r="T1029" s="15" t="s">
        <v>349</v>
      </c>
      <c r="U1029" t="s">
        <v>32</v>
      </c>
    </row>
    <row r="1030" spans="1:21" x14ac:dyDescent="0.2">
      <c r="A1030" t="s">
        <v>2789</v>
      </c>
      <c r="B1030" s="24">
        <v>45740</v>
      </c>
      <c r="C1030" s="24">
        <v>45734</v>
      </c>
      <c r="D1030" t="s">
        <v>121</v>
      </c>
      <c r="E1030" t="s">
        <v>122</v>
      </c>
      <c r="G1030" t="s">
        <v>3050</v>
      </c>
      <c r="H1030" t="s">
        <v>3261</v>
      </c>
      <c r="I1030" t="s">
        <v>3468</v>
      </c>
      <c r="J1030" s="11" t="str">
        <f>+LEFT(U1030,4)</f>
        <v>HDL-</v>
      </c>
      <c r="K1030" t="s">
        <v>10</v>
      </c>
      <c r="L1030">
        <v>150</v>
      </c>
      <c r="M1030" t="s">
        <v>1472</v>
      </c>
      <c r="N1030" t="s">
        <v>11</v>
      </c>
      <c r="O1030">
        <v>5.1675000000000004</v>
      </c>
      <c r="P1030" s="12">
        <f>ROUND(O1030*L1030,2)</f>
        <v>775.13</v>
      </c>
      <c r="Q1030" s="13">
        <f>IF(N1030="HKD",7.8,IF(N1030="CNY",7.30034,1))</f>
        <v>7.3003400000000003</v>
      </c>
      <c r="R1030" s="15">
        <f>+ROUND(O1030/Q1030,4)</f>
        <v>0.70779999999999998</v>
      </c>
      <c r="S1030" s="14">
        <f>ROUND(R1030*L1030,2)</f>
        <v>106.17</v>
      </c>
      <c r="T1030" s="15" t="s">
        <v>349</v>
      </c>
      <c r="U1030" t="s">
        <v>228</v>
      </c>
    </row>
    <row r="1031" spans="1:21" x14ac:dyDescent="0.2">
      <c r="A1031" t="s">
        <v>2645</v>
      </c>
      <c r="B1031" s="24">
        <v>45736</v>
      </c>
      <c r="C1031" s="24">
        <v>45721</v>
      </c>
      <c r="D1031" t="s">
        <v>149</v>
      </c>
      <c r="E1031" t="s">
        <v>150</v>
      </c>
      <c r="G1031" t="s">
        <v>2994</v>
      </c>
      <c r="H1031" t="s">
        <v>3211</v>
      </c>
      <c r="I1031" t="s">
        <v>3418</v>
      </c>
      <c r="J1031" s="11" t="str">
        <f>+LEFT(U1031,4)</f>
        <v>GLID</v>
      </c>
      <c r="K1031" t="s">
        <v>10</v>
      </c>
      <c r="L1031">
        <v>1010</v>
      </c>
      <c r="M1031" t="s">
        <v>1472</v>
      </c>
      <c r="N1031" t="s">
        <v>11</v>
      </c>
      <c r="O1031">
        <v>5.1798000000000002</v>
      </c>
      <c r="P1031" s="12">
        <f>ROUND(O1031*L1031,2)</f>
        <v>5231.6000000000004</v>
      </c>
      <c r="Q1031" s="13">
        <f>IF(N1031="HKD",7.8,IF(N1031="CNY",7.30034,1))</f>
        <v>7.3003400000000003</v>
      </c>
      <c r="R1031" s="15">
        <f>+ROUND(O1031/Q1031,4)</f>
        <v>0.70950000000000002</v>
      </c>
      <c r="S1031" s="14">
        <f>ROUND(R1031*L1031,2)</f>
        <v>716.6</v>
      </c>
      <c r="T1031" s="15" t="s">
        <v>349</v>
      </c>
      <c r="U1031" t="s">
        <v>78</v>
      </c>
    </row>
    <row r="1032" spans="1:21" x14ac:dyDescent="0.2">
      <c r="A1032" t="s">
        <v>2755</v>
      </c>
      <c r="B1032" s="24">
        <v>45744</v>
      </c>
      <c r="C1032" s="24">
        <v>45729</v>
      </c>
      <c r="D1032" t="s">
        <v>149</v>
      </c>
      <c r="E1032" t="s">
        <v>150</v>
      </c>
      <c r="G1032" t="s">
        <v>2995</v>
      </c>
      <c r="H1032" t="s">
        <v>3211</v>
      </c>
      <c r="I1032" t="s">
        <v>3418</v>
      </c>
      <c r="J1032" s="11" t="str">
        <f>+LEFT(U1032,4)</f>
        <v>GLID</v>
      </c>
      <c r="K1032" t="s">
        <v>10</v>
      </c>
      <c r="L1032">
        <v>1010</v>
      </c>
      <c r="M1032" t="s">
        <v>1472</v>
      </c>
      <c r="N1032" t="s">
        <v>11</v>
      </c>
      <c r="O1032">
        <v>5.1798000000000002</v>
      </c>
      <c r="P1032" s="12">
        <f>ROUND(O1032*L1032,2)</f>
        <v>5231.6000000000004</v>
      </c>
      <c r="Q1032" s="13">
        <f>IF(N1032="HKD",7.8,IF(N1032="CNY",7.30034,1))</f>
        <v>7.3003400000000003</v>
      </c>
      <c r="R1032" s="15">
        <f>+ROUND(O1032/Q1032,4)</f>
        <v>0.70950000000000002</v>
      </c>
      <c r="S1032" s="14">
        <f>ROUND(R1032*L1032,2)</f>
        <v>716.6</v>
      </c>
      <c r="T1032" s="15" t="s">
        <v>349</v>
      </c>
      <c r="U1032" t="s">
        <v>78</v>
      </c>
    </row>
    <row r="1033" spans="1:21" x14ac:dyDescent="0.2">
      <c r="A1033" t="s">
        <v>2507</v>
      </c>
      <c r="B1033" s="24">
        <v>45719</v>
      </c>
      <c r="C1033" s="24">
        <v>45713</v>
      </c>
      <c r="D1033" t="s">
        <v>268</v>
      </c>
      <c r="E1033" t="s">
        <v>269</v>
      </c>
      <c r="G1033" t="s">
        <v>2958</v>
      </c>
      <c r="H1033" t="s">
        <v>1077</v>
      </c>
      <c r="I1033" t="s">
        <v>1078</v>
      </c>
      <c r="J1033" s="11" t="str">
        <f>+LEFT(U1033,4)</f>
        <v>MISC</v>
      </c>
      <c r="K1033" t="s">
        <v>10</v>
      </c>
      <c r="L1033">
        <v>250</v>
      </c>
      <c r="M1033" t="s">
        <v>136</v>
      </c>
      <c r="N1033" t="s">
        <v>11</v>
      </c>
      <c r="O1033">
        <v>5.18</v>
      </c>
      <c r="P1033" s="12">
        <f>ROUND(O1033*L1033,2)</f>
        <v>1295</v>
      </c>
      <c r="Q1033" s="13">
        <f>IF(N1033="HKD",7.8,IF(N1033="CNY",7.30034,1))</f>
        <v>7.3003400000000003</v>
      </c>
      <c r="R1033" s="15">
        <f>+ROUND(O1033/Q1033,4)</f>
        <v>0.70960000000000001</v>
      </c>
      <c r="S1033" s="14">
        <f>ROUND(R1033*L1033,2)</f>
        <v>177.4</v>
      </c>
      <c r="T1033" s="15" t="s">
        <v>349</v>
      </c>
      <c r="U1033" t="s">
        <v>25</v>
      </c>
    </row>
    <row r="1034" spans="1:21" x14ac:dyDescent="0.2">
      <c r="A1034" t="s">
        <v>2581</v>
      </c>
      <c r="B1034" s="24">
        <v>45723</v>
      </c>
      <c r="C1034" s="24">
        <v>45716</v>
      </c>
      <c r="D1034" t="s">
        <v>268</v>
      </c>
      <c r="E1034" t="s">
        <v>269</v>
      </c>
      <c r="G1034" t="s">
        <v>3003</v>
      </c>
      <c r="H1034" t="s">
        <v>1077</v>
      </c>
      <c r="I1034" t="s">
        <v>1078</v>
      </c>
      <c r="J1034" s="11" t="str">
        <f>+LEFT(U1034,4)</f>
        <v>MISC</v>
      </c>
      <c r="K1034" t="s">
        <v>10</v>
      </c>
      <c r="L1034">
        <v>50</v>
      </c>
      <c r="M1034" t="s">
        <v>136</v>
      </c>
      <c r="N1034" t="s">
        <v>11</v>
      </c>
      <c r="O1034">
        <v>5.18</v>
      </c>
      <c r="P1034" s="12">
        <f>ROUND(O1034*L1034,2)</f>
        <v>259</v>
      </c>
      <c r="Q1034" s="13">
        <f>IF(N1034="HKD",7.8,IF(N1034="CNY",7.30034,1))</f>
        <v>7.3003400000000003</v>
      </c>
      <c r="R1034" s="15">
        <f>+ROUND(O1034/Q1034,4)</f>
        <v>0.70960000000000001</v>
      </c>
      <c r="S1034" s="14">
        <f>ROUND(R1034*L1034,2)</f>
        <v>35.479999999999997</v>
      </c>
      <c r="T1034" s="15" t="s">
        <v>349</v>
      </c>
      <c r="U1034" t="s">
        <v>25</v>
      </c>
    </row>
    <row r="1035" spans="1:21" x14ac:dyDescent="0.2">
      <c r="A1035" s="19" t="s">
        <v>1103</v>
      </c>
      <c r="B1035" s="20">
        <v>45663</v>
      </c>
      <c r="C1035" s="20">
        <v>45653</v>
      </c>
      <c r="D1035" s="19" t="s">
        <v>169</v>
      </c>
      <c r="E1035" s="19" t="s">
        <v>170</v>
      </c>
      <c r="G1035" s="19" t="s">
        <v>1093</v>
      </c>
      <c r="H1035" s="19" t="s">
        <v>1101</v>
      </c>
      <c r="I1035" s="19" t="s">
        <v>1102</v>
      </c>
      <c r="J1035" s="11" t="str">
        <f>+LEFT(U1035,4)</f>
        <v>PAP-</v>
      </c>
      <c r="K1035" s="19" t="s">
        <v>10</v>
      </c>
      <c r="L1035" s="19">
        <v>10000</v>
      </c>
      <c r="M1035" s="19" t="s">
        <v>1472</v>
      </c>
      <c r="N1035" s="19" t="s">
        <v>11</v>
      </c>
      <c r="O1035" s="26">
        <v>0.1</v>
      </c>
      <c r="P1035" s="12">
        <f>ROUND(O1035*L1035,2)</f>
        <v>1000</v>
      </c>
      <c r="Q1035" s="13">
        <f>IF(N1035="HKD",7.8,IF(N1035="CNY",7.30034,1))</f>
        <v>7.3003400000000003</v>
      </c>
      <c r="R1035" s="15">
        <f>+ROUND(O1035/Q1035,4)</f>
        <v>1.37E-2</v>
      </c>
      <c r="S1035" s="14">
        <f>ROUND(R1035*L1035,2)</f>
        <v>137</v>
      </c>
      <c r="T1035" s="15" t="s">
        <v>349</v>
      </c>
      <c r="U1035" s="19" t="s">
        <v>1094</v>
      </c>
    </row>
    <row r="1036" spans="1:21" x14ac:dyDescent="0.2">
      <c r="A1036" s="19" t="s">
        <v>1100</v>
      </c>
      <c r="B1036" s="20">
        <v>45663</v>
      </c>
      <c r="C1036" s="20">
        <v>45653</v>
      </c>
      <c r="D1036" s="19" t="s">
        <v>169</v>
      </c>
      <c r="E1036" s="19" t="s">
        <v>170</v>
      </c>
      <c r="G1036" s="19" t="s">
        <v>1093</v>
      </c>
      <c r="H1036" s="19" t="s">
        <v>1098</v>
      </c>
      <c r="I1036" s="19" t="s">
        <v>1099</v>
      </c>
      <c r="J1036" s="11" t="str">
        <f>+LEFT(U1036,4)</f>
        <v>PAP-</v>
      </c>
      <c r="K1036" s="19" t="s">
        <v>10</v>
      </c>
      <c r="L1036" s="19">
        <v>15000</v>
      </c>
      <c r="M1036" s="19" t="s">
        <v>1472</v>
      </c>
      <c r="N1036" s="19" t="s">
        <v>11</v>
      </c>
      <c r="O1036" s="26">
        <v>0.23</v>
      </c>
      <c r="P1036" s="12">
        <f>ROUND(O1036*L1036,2)</f>
        <v>3450</v>
      </c>
      <c r="Q1036" s="13">
        <f>IF(N1036="HKD",7.8,IF(N1036="CNY",7.30034,1))</f>
        <v>7.3003400000000003</v>
      </c>
      <c r="R1036" s="15">
        <f>+ROUND(O1036/Q1036,4)</f>
        <v>3.15E-2</v>
      </c>
      <c r="S1036" s="14">
        <f>ROUND(R1036*L1036,2)</f>
        <v>472.5</v>
      </c>
      <c r="T1036" s="15" t="s">
        <v>349</v>
      </c>
      <c r="U1036" s="19" t="s">
        <v>1094</v>
      </c>
    </row>
    <row r="1037" spans="1:21" x14ac:dyDescent="0.2">
      <c r="A1037" s="19" t="s">
        <v>1097</v>
      </c>
      <c r="B1037" s="20">
        <v>45663</v>
      </c>
      <c r="C1037" s="20">
        <v>45653</v>
      </c>
      <c r="D1037" s="19" t="s">
        <v>169</v>
      </c>
      <c r="E1037" s="19" t="s">
        <v>170</v>
      </c>
      <c r="G1037" s="19" t="s">
        <v>1093</v>
      </c>
      <c r="H1037" s="19" t="s">
        <v>1095</v>
      </c>
      <c r="I1037" s="19" t="s">
        <v>1096</v>
      </c>
      <c r="J1037" s="11" t="str">
        <f>+LEFT(U1037,4)</f>
        <v>PAP-</v>
      </c>
      <c r="K1037" s="19" t="s">
        <v>10</v>
      </c>
      <c r="L1037" s="19">
        <v>10000</v>
      </c>
      <c r="M1037" s="19" t="s">
        <v>1472</v>
      </c>
      <c r="N1037" s="19" t="s">
        <v>11</v>
      </c>
      <c r="O1037" s="26">
        <v>0.28999999999999998</v>
      </c>
      <c r="P1037" s="12">
        <f>ROUND(O1037*L1037,2)</f>
        <v>2900</v>
      </c>
      <c r="Q1037" s="13">
        <f>IF(N1037="HKD",7.8,IF(N1037="CNY",7.30034,1))</f>
        <v>7.3003400000000003</v>
      </c>
      <c r="R1037" s="15">
        <f>+ROUND(O1037/Q1037,4)</f>
        <v>3.9699999999999999E-2</v>
      </c>
      <c r="S1037" s="14">
        <f>ROUND(R1037*L1037,2)</f>
        <v>397</v>
      </c>
      <c r="T1037" s="15" t="s">
        <v>349</v>
      </c>
      <c r="U1037" s="19" t="s">
        <v>1094</v>
      </c>
    </row>
    <row r="1038" spans="1:21" x14ac:dyDescent="0.2">
      <c r="A1038" s="19" t="s">
        <v>1092</v>
      </c>
      <c r="B1038" s="20">
        <v>45663</v>
      </c>
      <c r="C1038" s="20">
        <v>45653</v>
      </c>
      <c r="D1038" s="19" t="s">
        <v>169</v>
      </c>
      <c r="E1038" s="19" t="s">
        <v>170</v>
      </c>
      <c r="G1038" s="19" t="s">
        <v>1093</v>
      </c>
      <c r="H1038" s="19" t="s">
        <v>1090</v>
      </c>
      <c r="I1038" s="19" t="s">
        <v>1091</v>
      </c>
      <c r="J1038" s="11" t="str">
        <f>+LEFT(U1038,4)</f>
        <v>PAP-</v>
      </c>
      <c r="K1038" s="19" t="s">
        <v>10</v>
      </c>
      <c r="L1038" s="19">
        <v>16000</v>
      </c>
      <c r="M1038" s="19" t="s">
        <v>1472</v>
      </c>
      <c r="N1038" s="19" t="s">
        <v>11</v>
      </c>
      <c r="O1038" s="26">
        <v>0.47789999999999999</v>
      </c>
      <c r="P1038" s="12">
        <f>ROUND(O1038*L1038,2)</f>
        <v>7646.4</v>
      </c>
      <c r="Q1038" s="13">
        <f>IF(N1038="HKD",7.8,IF(N1038="CNY",7.30034,1))</f>
        <v>7.3003400000000003</v>
      </c>
      <c r="R1038" s="15">
        <f>+ROUND(O1038/Q1038,4)</f>
        <v>6.5500000000000003E-2</v>
      </c>
      <c r="S1038" s="14">
        <f>ROUND(R1038*L1038,2)</f>
        <v>1048</v>
      </c>
      <c r="T1038" s="15" t="s">
        <v>349</v>
      </c>
      <c r="U1038" s="19" t="s">
        <v>1094</v>
      </c>
    </row>
    <row r="1039" spans="1:21" x14ac:dyDescent="0.2">
      <c r="A1039" t="s">
        <v>1886</v>
      </c>
      <c r="B1039" s="24">
        <v>45702</v>
      </c>
      <c r="C1039" s="24">
        <v>45674</v>
      </c>
      <c r="D1039" t="s">
        <v>169</v>
      </c>
      <c r="E1039" t="s">
        <v>170</v>
      </c>
      <c r="G1039" t="s">
        <v>2156</v>
      </c>
      <c r="H1039" s="19" t="s">
        <v>1095</v>
      </c>
      <c r="I1039" s="19" t="s">
        <v>1096</v>
      </c>
      <c r="J1039" s="11" t="str">
        <f>+LEFT(U1039,4)</f>
        <v>PAP-</v>
      </c>
      <c r="K1039" t="s">
        <v>10</v>
      </c>
      <c r="L1039" s="19">
        <v>20000</v>
      </c>
      <c r="M1039" t="s">
        <v>1472</v>
      </c>
      <c r="N1039" t="s">
        <v>11</v>
      </c>
      <c r="O1039" s="26">
        <v>0.28999999999999998</v>
      </c>
      <c r="P1039" s="12">
        <f>ROUND(O1039*L1039,2)</f>
        <v>5800</v>
      </c>
      <c r="Q1039" s="13">
        <f>IF(N1039="HKD",7.8,IF(N1039="CNY",7.30034,1))</f>
        <v>7.3003400000000003</v>
      </c>
      <c r="R1039" s="15">
        <f>+ROUND(O1039/Q1039,4)</f>
        <v>3.9699999999999999E-2</v>
      </c>
      <c r="S1039" s="14">
        <f>ROUND(R1039*L1039,2)</f>
        <v>794</v>
      </c>
      <c r="T1039" s="15" t="s">
        <v>349</v>
      </c>
      <c r="U1039" t="s">
        <v>1094</v>
      </c>
    </row>
    <row r="1040" spans="1:21" x14ac:dyDescent="0.2">
      <c r="A1040" t="s">
        <v>2417</v>
      </c>
      <c r="B1040" s="24">
        <v>45744</v>
      </c>
      <c r="C1040" s="24">
        <v>45702</v>
      </c>
      <c r="D1040" t="s">
        <v>21</v>
      </c>
      <c r="E1040" t="s">
        <v>22</v>
      </c>
      <c r="G1040" t="s">
        <v>2929</v>
      </c>
      <c r="H1040" t="s">
        <v>3108</v>
      </c>
      <c r="I1040" t="s">
        <v>3323</v>
      </c>
      <c r="J1040" s="11" t="str">
        <f>+LEFT(U1040,4)</f>
        <v>HDL-</v>
      </c>
      <c r="K1040" t="s">
        <v>98</v>
      </c>
      <c r="L1040">
        <v>1030</v>
      </c>
      <c r="M1040" t="s">
        <v>1472</v>
      </c>
      <c r="N1040" t="s">
        <v>11</v>
      </c>
      <c r="O1040">
        <v>5.1859000000000002</v>
      </c>
      <c r="P1040" s="12">
        <f>ROUND(O1040*L1040,2)</f>
        <v>5341.48</v>
      </c>
      <c r="Q1040" s="13">
        <f>IF(N1040="HKD",7.8,IF(N1040="CNY",7.30034,1))</f>
        <v>7.3003400000000003</v>
      </c>
      <c r="R1040" s="15">
        <f>+ROUND(O1040/Q1040,4)</f>
        <v>0.71040000000000003</v>
      </c>
      <c r="S1040" s="14">
        <f>ROUND(R1040*L1040,2)</f>
        <v>731.71</v>
      </c>
      <c r="T1040" s="15" t="s">
        <v>349</v>
      </c>
      <c r="U1040" t="s">
        <v>228</v>
      </c>
    </row>
    <row r="1041" spans="1:21" x14ac:dyDescent="0.2">
      <c r="A1041" t="s">
        <v>2418</v>
      </c>
      <c r="B1041" s="24">
        <v>45744</v>
      </c>
      <c r="C1041" s="24">
        <v>45702</v>
      </c>
      <c r="D1041" t="s">
        <v>21</v>
      </c>
      <c r="E1041" t="s">
        <v>22</v>
      </c>
      <c r="G1041" t="s">
        <v>2929</v>
      </c>
      <c r="H1041" t="s">
        <v>3109</v>
      </c>
      <c r="I1041" t="s">
        <v>3324</v>
      </c>
      <c r="J1041" s="11" t="str">
        <f>+LEFT(U1041,4)</f>
        <v>HDL-</v>
      </c>
      <c r="K1041" t="s">
        <v>98</v>
      </c>
      <c r="L1041">
        <v>1030</v>
      </c>
      <c r="M1041" t="s">
        <v>1472</v>
      </c>
      <c r="N1041" t="s">
        <v>11</v>
      </c>
      <c r="O1041">
        <v>5.1859000000000002</v>
      </c>
      <c r="P1041" s="12">
        <f>ROUND(O1041*L1041,2)</f>
        <v>5341.48</v>
      </c>
      <c r="Q1041" s="13">
        <f>IF(N1041="HKD",7.8,IF(N1041="CNY",7.30034,1))</f>
        <v>7.3003400000000003</v>
      </c>
      <c r="R1041" s="15">
        <f>+ROUND(O1041/Q1041,4)</f>
        <v>0.71040000000000003</v>
      </c>
      <c r="S1041" s="14">
        <f>ROUND(R1041*L1041,2)</f>
        <v>731.71</v>
      </c>
      <c r="T1041" s="15" t="s">
        <v>349</v>
      </c>
      <c r="U1041" t="s">
        <v>228</v>
      </c>
    </row>
    <row r="1042" spans="1:21" x14ac:dyDescent="0.2">
      <c r="A1042" t="s">
        <v>2069</v>
      </c>
      <c r="B1042" s="24">
        <v>45728</v>
      </c>
      <c r="C1042" s="24">
        <v>45646</v>
      </c>
      <c r="D1042" t="s">
        <v>866</v>
      </c>
      <c r="E1042" t="s">
        <v>867</v>
      </c>
      <c r="G1042" t="s">
        <v>2864</v>
      </c>
      <c r="H1042" t="s">
        <v>34</v>
      </c>
      <c r="I1042" t="s">
        <v>35</v>
      </c>
      <c r="J1042" s="11" t="s">
        <v>1484</v>
      </c>
      <c r="K1042" t="s">
        <v>10</v>
      </c>
      <c r="L1042">
        <v>8016</v>
      </c>
      <c r="M1042" t="s">
        <v>1472</v>
      </c>
      <c r="N1042" t="s">
        <v>11</v>
      </c>
      <c r="O1042">
        <v>5.2389000000000001</v>
      </c>
      <c r="P1042" s="12">
        <f>ROUND(O1042*L1042,2)</f>
        <v>41995.02</v>
      </c>
      <c r="Q1042" s="13">
        <f>IF(N1042="HKD",7.8,IF(N1042="CNY",7.30034,1))</f>
        <v>7.3003400000000003</v>
      </c>
      <c r="R1042" s="15">
        <f>+ROUND(O1042/Q1042,4)</f>
        <v>0.71760000000000002</v>
      </c>
      <c r="S1042" s="14">
        <f>ROUND(R1042*L1042,2)</f>
        <v>5752.28</v>
      </c>
      <c r="T1042" s="15" t="s">
        <v>349</v>
      </c>
      <c r="U1042" t="s">
        <v>36</v>
      </c>
    </row>
    <row r="1043" spans="1:21" x14ac:dyDescent="0.2">
      <c r="A1043" t="s">
        <v>2419</v>
      </c>
      <c r="B1043" s="24">
        <v>45744</v>
      </c>
      <c r="C1043" s="24">
        <v>45702</v>
      </c>
      <c r="D1043" t="s">
        <v>21</v>
      </c>
      <c r="E1043" t="s">
        <v>22</v>
      </c>
      <c r="G1043" t="s">
        <v>2929</v>
      </c>
      <c r="H1043" t="s">
        <v>3110</v>
      </c>
      <c r="I1043" t="s">
        <v>3325</v>
      </c>
      <c r="J1043" s="11" t="str">
        <f>+LEFT(U1043,4)</f>
        <v>HDL-</v>
      </c>
      <c r="K1043" t="s">
        <v>98</v>
      </c>
      <c r="L1043">
        <v>1030</v>
      </c>
      <c r="M1043" t="s">
        <v>1472</v>
      </c>
      <c r="N1043" t="s">
        <v>11</v>
      </c>
      <c r="O1043">
        <v>5.2427000000000001</v>
      </c>
      <c r="P1043" s="12">
        <f>ROUND(O1043*L1043,2)</f>
        <v>5399.98</v>
      </c>
      <c r="Q1043" s="13">
        <f>IF(N1043="HKD",7.8,IF(N1043="CNY",7.30034,1))</f>
        <v>7.3003400000000003</v>
      </c>
      <c r="R1043" s="15">
        <f>+ROUND(O1043/Q1043,4)</f>
        <v>0.71809999999999996</v>
      </c>
      <c r="S1043" s="14">
        <f>ROUND(R1043*L1043,2)</f>
        <v>739.64</v>
      </c>
      <c r="T1043" s="15" t="s">
        <v>349</v>
      </c>
      <c r="U1043" t="s">
        <v>228</v>
      </c>
    </row>
    <row r="1044" spans="1:21" x14ac:dyDescent="0.2">
      <c r="A1044" t="s">
        <v>2070</v>
      </c>
      <c r="B1044" s="24">
        <v>45729</v>
      </c>
      <c r="C1044" s="24">
        <v>45309</v>
      </c>
      <c r="D1044" t="s">
        <v>866</v>
      </c>
      <c r="E1044" t="s">
        <v>867</v>
      </c>
      <c r="G1044" t="s">
        <v>2837</v>
      </c>
      <c r="H1044" t="s">
        <v>1497</v>
      </c>
      <c r="I1044" t="s">
        <v>1498</v>
      </c>
      <c r="J1044" s="11" t="s">
        <v>1484</v>
      </c>
      <c r="K1044" t="s">
        <v>10</v>
      </c>
      <c r="L1044">
        <v>5000</v>
      </c>
      <c r="M1044" t="s">
        <v>1472</v>
      </c>
      <c r="N1044" t="s">
        <v>11</v>
      </c>
      <c r="O1044">
        <v>5.3574999999999999</v>
      </c>
      <c r="P1044" s="12">
        <f>ROUND(O1044*L1044,2)</f>
        <v>26787.5</v>
      </c>
      <c r="Q1044" s="13">
        <f>IF(N1044="HKD",7.8,IF(N1044="CNY",7.30034,1))</f>
        <v>7.3003400000000003</v>
      </c>
      <c r="R1044" s="15">
        <f>+ROUND(O1044/Q1044,4)</f>
        <v>0.7339</v>
      </c>
      <c r="S1044" s="14">
        <f>ROUND(R1044*L1044,2)</f>
        <v>3669.5</v>
      </c>
      <c r="T1044" s="15" t="s">
        <v>349</v>
      </c>
      <c r="U1044" t="s">
        <v>36</v>
      </c>
    </row>
    <row r="1045" spans="1:21" x14ac:dyDescent="0.2">
      <c r="A1045" t="s">
        <v>910</v>
      </c>
      <c r="B1045" s="24">
        <v>45729</v>
      </c>
      <c r="C1045" s="24">
        <v>45287</v>
      </c>
      <c r="D1045" t="s">
        <v>866</v>
      </c>
      <c r="E1045" t="s">
        <v>867</v>
      </c>
      <c r="G1045" t="s">
        <v>2836</v>
      </c>
      <c r="H1045" t="s">
        <v>908</v>
      </c>
      <c r="I1045" t="s">
        <v>909</v>
      </c>
      <c r="J1045" s="11" t="s">
        <v>1484</v>
      </c>
      <c r="K1045" t="s">
        <v>10</v>
      </c>
      <c r="L1045">
        <v>8016</v>
      </c>
      <c r="M1045" t="s">
        <v>1472</v>
      </c>
      <c r="N1045" t="s">
        <v>11</v>
      </c>
      <c r="O1045">
        <v>5.3804999999999996</v>
      </c>
      <c r="P1045" s="12">
        <f>ROUND(O1045*L1045,2)</f>
        <v>43130.09</v>
      </c>
      <c r="Q1045" s="13">
        <f>IF(N1045="HKD",7.8,IF(N1045="CNY",7.30034,1))</f>
        <v>7.3003400000000003</v>
      </c>
      <c r="R1045" s="15">
        <f>+ROUND(O1045/Q1045,4)</f>
        <v>0.73699999999999999</v>
      </c>
      <c r="S1045" s="14">
        <f>ROUND(R1045*L1045,2)</f>
        <v>5907.79</v>
      </c>
      <c r="T1045" s="15" t="s">
        <v>349</v>
      </c>
      <c r="U1045" t="s">
        <v>36</v>
      </c>
    </row>
    <row r="1046" spans="1:21" x14ac:dyDescent="0.2">
      <c r="A1046" t="s">
        <v>2390</v>
      </c>
      <c r="B1046" s="24">
        <v>45729</v>
      </c>
      <c r="C1046" s="24">
        <v>45695</v>
      </c>
      <c r="D1046" t="s">
        <v>149</v>
      </c>
      <c r="E1046" t="s">
        <v>150</v>
      </c>
      <c r="G1046" t="s">
        <v>2916</v>
      </c>
      <c r="H1046" t="s">
        <v>3092</v>
      </c>
      <c r="I1046" t="s">
        <v>3308</v>
      </c>
      <c r="J1046" s="11" t="str">
        <f>+LEFT(U1046,4)</f>
        <v>GLID</v>
      </c>
      <c r="K1046" t="s">
        <v>10</v>
      </c>
      <c r="L1046">
        <v>1020</v>
      </c>
      <c r="M1046" t="s">
        <v>1472</v>
      </c>
      <c r="N1046" t="s">
        <v>11</v>
      </c>
      <c r="O1046">
        <v>5.4089</v>
      </c>
      <c r="P1046" s="12">
        <f>ROUND(O1046*L1046,2)</f>
        <v>5517.08</v>
      </c>
      <c r="Q1046" s="13">
        <f>IF(N1046="HKD",7.8,IF(N1046="CNY",7.30034,1))</f>
        <v>7.3003400000000003</v>
      </c>
      <c r="R1046" s="15">
        <f>+ROUND(O1046/Q1046,4)</f>
        <v>0.7409</v>
      </c>
      <c r="S1046" s="14">
        <f>ROUND(R1046*L1046,2)</f>
        <v>755.72</v>
      </c>
      <c r="T1046" s="15" t="s">
        <v>349</v>
      </c>
      <c r="U1046" t="s">
        <v>78</v>
      </c>
    </row>
    <row r="1047" spans="1:21" x14ac:dyDescent="0.2">
      <c r="A1047" t="s">
        <v>2354</v>
      </c>
      <c r="B1047" s="24">
        <v>45735</v>
      </c>
      <c r="C1047" s="24">
        <v>45680</v>
      </c>
      <c r="D1047" t="s">
        <v>696</v>
      </c>
      <c r="E1047" t="s">
        <v>697</v>
      </c>
      <c r="G1047" t="s">
        <v>2902</v>
      </c>
      <c r="H1047" t="s">
        <v>694</v>
      </c>
      <c r="I1047" t="s">
        <v>695</v>
      </c>
      <c r="J1047" s="11" t="s">
        <v>1536</v>
      </c>
      <c r="K1047" t="s">
        <v>10</v>
      </c>
      <c r="L1047">
        <v>1600</v>
      </c>
      <c r="M1047" t="s">
        <v>1472</v>
      </c>
      <c r="N1047" t="s">
        <v>11</v>
      </c>
      <c r="O1047">
        <v>5.49</v>
      </c>
      <c r="P1047" s="12">
        <f>ROUND(O1047*L1047,2)</f>
        <v>8784</v>
      </c>
      <c r="Q1047" s="13">
        <f>IF(N1047="HKD",7.8,IF(N1047="CNY",7.30034,1))</f>
        <v>7.3003400000000003</v>
      </c>
      <c r="R1047" s="15">
        <f>+ROUND(O1047/Q1047,4)</f>
        <v>0.752</v>
      </c>
      <c r="S1047" s="14">
        <f>ROUND(R1047*L1047,2)</f>
        <v>1203.2</v>
      </c>
      <c r="T1047" s="15" t="s">
        <v>349</v>
      </c>
      <c r="U1047" t="s">
        <v>36</v>
      </c>
    </row>
    <row r="1048" spans="1:21" x14ac:dyDescent="0.2">
      <c r="A1048" s="19" t="s">
        <v>1280</v>
      </c>
      <c r="B1048" s="20">
        <v>45660</v>
      </c>
      <c r="C1048" s="20">
        <v>45644</v>
      </c>
      <c r="D1048" s="19" t="s">
        <v>1278</v>
      </c>
      <c r="E1048" s="19" t="s">
        <v>1279</v>
      </c>
      <c r="G1048" s="19" t="s">
        <v>1281</v>
      </c>
      <c r="H1048" s="19" t="s">
        <v>1276</v>
      </c>
      <c r="I1048" s="19" t="s">
        <v>1277</v>
      </c>
      <c r="J1048" s="11" t="str">
        <f>+LEFT(U1048,4)</f>
        <v>POLM</v>
      </c>
      <c r="K1048" s="19" t="s">
        <v>10</v>
      </c>
      <c r="L1048" s="19">
        <v>200</v>
      </c>
      <c r="M1048" s="19" t="s">
        <v>1472</v>
      </c>
      <c r="N1048" s="19" t="s">
        <v>11</v>
      </c>
      <c r="O1048" s="26">
        <v>210</v>
      </c>
      <c r="P1048" s="12">
        <f>ROUND(O1048*L1048,2)</f>
        <v>42000</v>
      </c>
      <c r="Q1048" s="13">
        <f>IF(N1048="HKD",7.8,IF(N1048="CNY",7.30034,1))</f>
        <v>7.3003400000000003</v>
      </c>
      <c r="R1048" s="15">
        <f>+ROUND(O1048/Q1048,4)</f>
        <v>28.765799999999999</v>
      </c>
      <c r="S1048" s="14">
        <f>ROUND(R1048*L1048,2)</f>
        <v>5753.16</v>
      </c>
      <c r="T1048" s="15" t="s">
        <v>349</v>
      </c>
      <c r="U1048" s="19" t="s">
        <v>272</v>
      </c>
    </row>
    <row r="1049" spans="1:21" x14ac:dyDescent="0.2">
      <c r="A1049" s="19" t="s">
        <v>270</v>
      </c>
      <c r="B1049" s="20">
        <v>45673</v>
      </c>
      <c r="C1049" s="20">
        <v>45651</v>
      </c>
      <c r="D1049" s="19" t="s">
        <v>268</v>
      </c>
      <c r="E1049" s="19" t="s">
        <v>269</v>
      </c>
      <c r="G1049" s="19" t="s">
        <v>271</v>
      </c>
      <c r="H1049" s="19" t="s">
        <v>266</v>
      </c>
      <c r="I1049" s="19" t="s">
        <v>267</v>
      </c>
      <c r="J1049" s="11" t="str">
        <f>+LEFT(U1049,4)</f>
        <v>POLM</v>
      </c>
      <c r="K1049" s="19" t="s">
        <v>10</v>
      </c>
      <c r="L1049" s="19">
        <v>400</v>
      </c>
      <c r="M1049" s="19" t="s">
        <v>136</v>
      </c>
      <c r="N1049" s="19" t="s">
        <v>11</v>
      </c>
      <c r="O1049" s="26">
        <v>43.3628</v>
      </c>
      <c r="P1049" s="12">
        <f>ROUND(O1049*L1049,2)</f>
        <v>17345.12</v>
      </c>
      <c r="Q1049" s="13">
        <f>IF(N1049="HKD",7.8,IF(N1049="CNY",7.30034,1))</f>
        <v>7.3003400000000003</v>
      </c>
      <c r="R1049" s="15">
        <f>+ROUND(O1049/Q1049,4)</f>
        <v>5.9398</v>
      </c>
      <c r="S1049" s="14">
        <f>ROUND(R1049*L1049,2)</f>
        <v>2375.92</v>
      </c>
      <c r="T1049" s="15" t="s">
        <v>349</v>
      </c>
      <c r="U1049" s="19" t="s">
        <v>272</v>
      </c>
    </row>
    <row r="1050" spans="1:21" x14ac:dyDescent="0.2">
      <c r="A1050" s="19" t="s">
        <v>1126</v>
      </c>
      <c r="B1050" s="20">
        <v>45663</v>
      </c>
      <c r="C1050" s="20">
        <v>45622</v>
      </c>
      <c r="D1050" s="19" t="s">
        <v>169</v>
      </c>
      <c r="E1050" s="19" t="s">
        <v>170</v>
      </c>
      <c r="G1050" s="19" t="s">
        <v>1122</v>
      </c>
      <c r="H1050" s="19" t="s">
        <v>646</v>
      </c>
      <c r="I1050" s="19" t="s">
        <v>647</v>
      </c>
      <c r="J1050" s="11" t="str">
        <f>+LEFT(U1050,4)</f>
        <v>PRIM</v>
      </c>
      <c r="K1050" s="19" t="s">
        <v>10</v>
      </c>
      <c r="L1050" s="19">
        <v>11600</v>
      </c>
      <c r="M1050" s="19" t="s">
        <v>1472</v>
      </c>
      <c r="N1050" s="19" t="s">
        <v>11</v>
      </c>
      <c r="O1050" s="26">
        <v>0.82</v>
      </c>
      <c r="P1050" s="12">
        <f>ROUND(O1050*L1050,2)</f>
        <v>9512</v>
      </c>
      <c r="Q1050" s="13">
        <f>IF(N1050="HKD",7.8,IF(N1050="CNY",7.30034,1))</f>
        <v>7.3003400000000003</v>
      </c>
      <c r="R1050" s="15">
        <f>+ROUND(O1050/Q1050,4)</f>
        <v>0.1123</v>
      </c>
      <c r="S1050" s="14">
        <f>ROUND(R1050*L1050,2)</f>
        <v>1302.68</v>
      </c>
      <c r="T1050" s="15" t="s">
        <v>349</v>
      </c>
      <c r="U1050" s="19" t="s">
        <v>181</v>
      </c>
    </row>
    <row r="1051" spans="1:21" x14ac:dyDescent="0.2">
      <c r="A1051" s="19" t="s">
        <v>648</v>
      </c>
      <c r="B1051" s="20">
        <v>45670</v>
      </c>
      <c r="C1051" s="20">
        <v>45643</v>
      </c>
      <c r="D1051" s="19" t="s">
        <v>169</v>
      </c>
      <c r="E1051" s="19" t="s">
        <v>170</v>
      </c>
      <c r="G1051" s="19" t="s">
        <v>645</v>
      </c>
      <c r="H1051" s="19" t="s">
        <v>646</v>
      </c>
      <c r="I1051" s="19" t="s">
        <v>647</v>
      </c>
      <c r="J1051" s="11" t="str">
        <f>+LEFT(U1051,4)</f>
        <v>PRIM</v>
      </c>
      <c r="K1051" s="19" t="s">
        <v>10</v>
      </c>
      <c r="L1051" s="19">
        <v>14000</v>
      </c>
      <c r="M1051" s="19" t="s">
        <v>1472</v>
      </c>
      <c r="N1051" s="19" t="s">
        <v>11</v>
      </c>
      <c r="O1051" s="26">
        <v>0.82</v>
      </c>
      <c r="P1051" s="12">
        <f>ROUND(O1051*L1051,2)</f>
        <v>11480</v>
      </c>
      <c r="Q1051" s="13">
        <f>IF(N1051="HKD",7.8,IF(N1051="CNY",7.30034,1))</f>
        <v>7.3003400000000003</v>
      </c>
      <c r="R1051" s="15">
        <f>+ROUND(O1051/Q1051,4)</f>
        <v>0.1123</v>
      </c>
      <c r="S1051" s="14">
        <f>ROUND(R1051*L1051,2)</f>
        <v>1572.2</v>
      </c>
      <c r="T1051" s="15" t="s">
        <v>349</v>
      </c>
      <c r="U1051" s="19" t="s">
        <v>181</v>
      </c>
    </row>
    <row r="1052" spans="1:21" x14ac:dyDescent="0.2">
      <c r="A1052" s="19" t="s">
        <v>180</v>
      </c>
      <c r="B1052" s="20">
        <v>45674</v>
      </c>
      <c r="C1052" s="20">
        <v>45663</v>
      </c>
      <c r="D1052" s="19" t="s">
        <v>169</v>
      </c>
      <c r="E1052" s="19" t="s">
        <v>170</v>
      </c>
      <c r="G1052" s="19" t="s">
        <v>172</v>
      </c>
      <c r="H1052" s="19" t="s">
        <v>178</v>
      </c>
      <c r="I1052" s="19" t="s">
        <v>179</v>
      </c>
      <c r="J1052" s="11" t="str">
        <f>+LEFT(U1052,4)</f>
        <v>PRIM</v>
      </c>
      <c r="K1052" s="19" t="s">
        <v>10</v>
      </c>
      <c r="L1052" s="19">
        <v>1000</v>
      </c>
      <c r="M1052" s="19" t="s">
        <v>1472</v>
      </c>
      <c r="N1052" s="19" t="s">
        <v>11</v>
      </c>
      <c r="O1052" s="26">
        <v>1.53</v>
      </c>
      <c r="P1052" s="12">
        <f>ROUND(O1052*L1052,2)</f>
        <v>1530</v>
      </c>
      <c r="Q1052" s="13">
        <f>IF(N1052="HKD",7.8,IF(N1052="CNY",7.30034,1))</f>
        <v>7.3003400000000003</v>
      </c>
      <c r="R1052" s="15">
        <f>+ROUND(O1052/Q1052,4)</f>
        <v>0.20960000000000001</v>
      </c>
      <c r="S1052" s="14">
        <f>ROUND(R1052*L1052,2)</f>
        <v>209.6</v>
      </c>
      <c r="T1052" s="15" t="s">
        <v>349</v>
      </c>
      <c r="U1052" s="19" t="s">
        <v>181</v>
      </c>
    </row>
    <row r="1053" spans="1:21" x14ac:dyDescent="0.2">
      <c r="A1053" t="s">
        <v>1929</v>
      </c>
      <c r="B1053" s="24">
        <v>45702</v>
      </c>
      <c r="C1053" s="24">
        <v>45674</v>
      </c>
      <c r="D1053" t="s">
        <v>169</v>
      </c>
      <c r="E1053" t="s">
        <v>170</v>
      </c>
      <c r="G1053" t="s">
        <v>2171</v>
      </c>
      <c r="H1053" s="19" t="s">
        <v>1657</v>
      </c>
      <c r="I1053" s="19" t="s">
        <v>1658</v>
      </c>
      <c r="J1053" s="11" t="str">
        <f>+LEFT(U1053,4)</f>
        <v>PRIM</v>
      </c>
      <c r="K1053" t="s">
        <v>10</v>
      </c>
      <c r="L1053" s="19">
        <v>1900</v>
      </c>
      <c r="M1053" t="s">
        <v>1472</v>
      </c>
      <c r="N1053" t="s">
        <v>11</v>
      </c>
      <c r="O1053" s="26">
        <v>1.51</v>
      </c>
      <c r="P1053" s="12">
        <f>ROUND(O1053*L1053,2)</f>
        <v>2869</v>
      </c>
      <c r="Q1053" s="13">
        <f>IF(N1053="HKD",7.8,IF(N1053="CNY",7.30034,1))</f>
        <v>7.3003400000000003</v>
      </c>
      <c r="R1053" s="15">
        <f>+ROUND(O1053/Q1053,4)</f>
        <v>0.20680000000000001</v>
      </c>
      <c r="S1053" s="14">
        <f>ROUND(R1053*L1053,2)</f>
        <v>392.92</v>
      </c>
      <c r="T1053" s="15" t="s">
        <v>349</v>
      </c>
      <c r="U1053" t="s">
        <v>181</v>
      </c>
    </row>
    <row r="1054" spans="1:21" x14ac:dyDescent="0.2">
      <c r="A1054" t="s">
        <v>1932</v>
      </c>
      <c r="B1054" s="24">
        <v>45702</v>
      </c>
      <c r="C1054" s="24">
        <v>45674</v>
      </c>
      <c r="D1054" t="s">
        <v>169</v>
      </c>
      <c r="E1054" t="s">
        <v>170</v>
      </c>
      <c r="G1054" t="s">
        <v>2171</v>
      </c>
      <c r="H1054" s="19" t="s">
        <v>178</v>
      </c>
      <c r="I1054" s="19" t="s">
        <v>179</v>
      </c>
      <c r="J1054" s="11" t="str">
        <f>+LEFT(U1054,4)</f>
        <v>PRIM</v>
      </c>
      <c r="K1054" t="s">
        <v>10</v>
      </c>
      <c r="L1054" s="19">
        <v>4000</v>
      </c>
      <c r="M1054" t="s">
        <v>1472</v>
      </c>
      <c r="N1054" t="s">
        <v>11</v>
      </c>
      <c r="O1054" s="26">
        <v>1.53</v>
      </c>
      <c r="P1054" s="12">
        <f>ROUND(O1054*L1054,2)</f>
        <v>6120</v>
      </c>
      <c r="Q1054" s="13">
        <f>IF(N1054="HKD",7.8,IF(N1054="CNY",7.30034,1))</f>
        <v>7.3003400000000003</v>
      </c>
      <c r="R1054" s="15">
        <f>+ROUND(O1054/Q1054,4)</f>
        <v>0.20960000000000001</v>
      </c>
      <c r="S1054" s="14">
        <f>ROUND(R1054*L1054,2)</f>
        <v>838.4</v>
      </c>
      <c r="T1054" s="15" t="s">
        <v>349</v>
      </c>
      <c r="U1054" t="s">
        <v>181</v>
      </c>
    </row>
    <row r="1055" spans="1:21" x14ac:dyDescent="0.2">
      <c r="A1055" t="s">
        <v>1921</v>
      </c>
      <c r="B1055" s="24">
        <v>45708</v>
      </c>
      <c r="C1055" s="24">
        <v>45674</v>
      </c>
      <c r="D1055" t="s">
        <v>169</v>
      </c>
      <c r="E1055" t="s">
        <v>170</v>
      </c>
      <c r="G1055" t="s">
        <v>2170</v>
      </c>
      <c r="H1055" s="19" t="s">
        <v>1655</v>
      </c>
      <c r="I1055" s="19" t="s">
        <v>1656</v>
      </c>
      <c r="J1055" s="11" t="str">
        <f>+LEFT(U1055,4)</f>
        <v>PRIM</v>
      </c>
      <c r="K1055" t="s">
        <v>10</v>
      </c>
      <c r="L1055" s="19">
        <v>2000</v>
      </c>
      <c r="M1055" t="s">
        <v>1472</v>
      </c>
      <c r="N1055" t="s">
        <v>11</v>
      </c>
      <c r="O1055" s="26">
        <v>1.29</v>
      </c>
      <c r="P1055" s="12">
        <f>ROUND(O1055*L1055,2)</f>
        <v>2580</v>
      </c>
      <c r="Q1055" s="13">
        <f>IF(N1055="HKD",7.8,IF(N1055="CNY",7.30034,1))</f>
        <v>7.3003400000000003</v>
      </c>
      <c r="R1055" s="15">
        <f>+ROUND(O1055/Q1055,4)</f>
        <v>0.1767</v>
      </c>
      <c r="S1055" s="14">
        <f>ROUND(R1055*L1055,2)</f>
        <v>353.4</v>
      </c>
      <c r="T1055" s="15" t="s">
        <v>349</v>
      </c>
      <c r="U1055" t="s">
        <v>181</v>
      </c>
    </row>
    <row r="1056" spans="1:21" x14ac:dyDescent="0.2">
      <c r="A1056" t="s">
        <v>2382</v>
      </c>
      <c r="B1056" s="24">
        <v>45730</v>
      </c>
      <c r="C1056" s="24">
        <v>45695</v>
      </c>
      <c r="D1056" t="s">
        <v>569</v>
      </c>
      <c r="E1056" t="s">
        <v>570</v>
      </c>
      <c r="G1056" t="s">
        <v>2914</v>
      </c>
      <c r="H1056" t="s">
        <v>766</v>
      </c>
      <c r="I1056" t="s">
        <v>767</v>
      </c>
      <c r="J1056" s="11" t="s">
        <v>1505</v>
      </c>
      <c r="K1056" t="s">
        <v>10</v>
      </c>
      <c r="L1056">
        <v>3000</v>
      </c>
      <c r="M1056" t="s">
        <v>1472</v>
      </c>
      <c r="N1056" t="s">
        <v>11</v>
      </c>
      <c r="O1056">
        <v>5.5860000000000003</v>
      </c>
      <c r="P1056" s="12">
        <f>ROUND(O1056*L1056,2)</f>
        <v>16758</v>
      </c>
      <c r="Q1056" s="13">
        <f>IF(N1056="HKD",7.8,IF(N1056="CNY",7.30034,1))</f>
        <v>7.3003400000000003</v>
      </c>
      <c r="R1056" s="15">
        <f>+ROUND(O1056/Q1056,4)</f>
        <v>0.76519999999999999</v>
      </c>
      <c r="S1056" s="14">
        <f>ROUND(R1056*L1056,2)</f>
        <v>2295.6</v>
      </c>
      <c r="T1056" s="15" t="s">
        <v>349</v>
      </c>
      <c r="U1056" t="s">
        <v>36</v>
      </c>
    </row>
    <row r="1057" spans="1:21" x14ac:dyDescent="0.2">
      <c r="A1057" t="s">
        <v>2383</v>
      </c>
      <c r="B1057" s="24">
        <v>45730</v>
      </c>
      <c r="C1057" s="24">
        <v>45695</v>
      </c>
      <c r="D1057" t="s">
        <v>569</v>
      </c>
      <c r="E1057" t="s">
        <v>570</v>
      </c>
      <c r="G1057" t="s">
        <v>2914</v>
      </c>
      <c r="H1057" t="s">
        <v>1405</v>
      </c>
      <c r="I1057" t="s">
        <v>1406</v>
      </c>
      <c r="J1057" s="11" t="s">
        <v>1505</v>
      </c>
      <c r="K1057" t="s">
        <v>10</v>
      </c>
      <c r="L1057">
        <v>2000</v>
      </c>
      <c r="M1057" t="s">
        <v>1472</v>
      </c>
      <c r="N1057" t="s">
        <v>11</v>
      </c>
      <c r="O1057">
        <v>5.5860000000000003</v>
      </c>
      <c r="P1057" s="12">
        <f>ROUND(O1057*L1057,2)</f>
        <v>11172</v>
      </c>
      <c r="Q1057" s="13">
        <f>IF(N1057="HKD",7.8,IF(N1057="CNY",7.30034,1))</f>
        <v>7.3003400000000003</v>
      </c>
      <c r="R1057" s="15">
        <f>+ROUND(O1057/Q1057,4)</f>
        <v>0.76519999999999999</v>
      </c>
      <c r="S1057" s="14">
        <f>ROUND(R1057*L1057,2)</f>
        <v>1530.4</v>
      </c>
      <c r="T1057" s="15" t="s">
        <v>349</v>
      </c>
      <c r="U1057" t="s">
        <v>36</v>
      </c>
    </row>
    <row r="1058" spans="1:21" x14ac:dyDescent="0.2">
      <c r="A1058" t="s">
        <v>2376</v>
      </c>
      <c r="B1058" s="24">
        <v>45740</v>
      </c>
      <c r="C1058" s="24">
        <v>45695</v>
      </c>
      <c r="D1058" t="s">
        <v>143</v>
      </c>
      <c r="E1058" t="s">
        <v>144</v>
      </c>
      <c r="G1058" t="s">
        <v>2912</v>
      </c>
      <c r="H1058" t="s">
        <v>3091</v>
      </c>
      <c r="I1058" t="s">
        <v>3307</v>
      </c>
      <c r="J1058" s="11" t="str">
        <f>+LEFT(U1058,4)</f>
        <v>LHDL</v>
      </c>
      <c r="K1058" t="s">
        <v>10</v>
      </c>
      <c r="L1058">
        <v>1000</v>
      </c>
      <c r="M1058" t="s">
        <v>1472</v>
      </c>
      <c r="N1058" t="s">
        <v>11</v>
      </c>
      <c r="O1058">
        <v>5.5971000000000002</v>
      </c>
      <c r="P1058" s="12">
        <f>ROUND(O1058*L1058,2)</f>
        <v>5597.1</v>
      </c>
      <c r="Q1058" s="13">
        <f>IF(N1058="HKD",7.8,IF(N1058="CNY",7.30034,1))</f>
        <v>7.3003400000000003</v>
      </c>
      <c r="R1058" s="15">
        <f>+ROUND(O1058/Q1058,4)</f>
        <v>0.76670000000000005</v>
      </c>
      <c r="S1058" s="14">
        <f>ROUND(R1058*L1058,2)</f>
        <v>766.7</v>
      </c>
      <c r="T1058" s="15" t="s">
        <v>349</v>
      </c>
      <c r="U1058" t="s">
        <v>125</v>
      </c>
    </row>
    <row r="1059" spans="1:21" x14ac:dyDescent="0.2">
      <c r="A1059" t="s">
        <v>2689</v>
      </c>
      <c r="B1059" s="24">
        <v>45733</v>
      </c>
      <c r="C1059" s="24">
        <v>45727</v>
      </c>
      <c r="D1059" t="s">
        <v>5</v>
      </c>
      <c r="E1059" t="s">
        <v>6</v>
      </c>
      <c r="G1059" t="s">
        <v>3031</v>
      </c>
      <c r="H1059" t="s">
        <v>394</v>
      </c>
      <c r="I1059" t="s">
        <v>395</v>
      </c>
      <c r="J1059" s="11" t="str">
        <f>+LEFT(U1059,4)</f>
        <v>BOX-</v>
      </c>
      <c r="K1059" t="s">
        <v>10</v>
      </c>
      <c r="L1059">
        <v>1010</v>
      </c>
      <c r="M1059" t="s">
        <v>1472</v>
      </c>
      <c r="N1059" t="s">
        <v>11</v>
      </c>
      <c r="O1059">
        <v>5.64</v>
      </c>
      <c r="P1059" s="12">
        <f>ROUND(O1059*L1059,2)</f>
        <v>5696.4</v>
      </c>
      <c r="Q1059" s="13">
        <f>IF(N1059="HKD",7.8,IF(N1059="CNY",7.30034,1))</f>
        <v>7.3003400000000003</v>
      </c>
      <c r="R1059" s="15">
        <f>+ROUND(O1059/Q1059,4)</f>
        <v>0.77259999999999995</v>
      </c>
      <c r="S1059" s="14">
        <f>ROUND(R1059*L1059,2)</f>
        <v>780.33</v>
      </c>
      <c r="T1059" s="15" t="s">
        <v>349</v>
      </c>
      <c r="U1059" t="s">
        <v>1</v>
      </c>
    </row>
    <row r="1060" spans="1:21" x14ac:dyDescent="0.2">
      <c r="A1060" t="s">
        <v>2359</v>
      </c>
      <c r="B1060" s="24">
        <v>45730</v>
      </c>
      <c r="C1060" s="24">
        <v>45680</v>
      </c>
      <c r="D1060" t="s">
        <v>569</v>
      </c>
      <c r="E1060" t="s">
        <v>570</v>
      </c>
      <c r="G1060" t="s">
        <v>2903</v>
      </c>
      <c r="H1060" t="s">
        <v>1415</v>
      </c>
      <c r="I1060" t="s">
        <v>1416</v>
      </c>
      <c r="J1060" s="11" t="s">
        <v>1505</v>
      </c>
      <c r="K1060" t="s">
        <v>10</v>
      </c>
      <c r="L1060">
        <v>1500</v>
      </c>
      <c r="M1060" t="s">
        <v>1472</v>
      </c>
      <c r="N1060" t="s">
        <v>11</v>
      </c>
      <c r="O1060">
        <v>5.7</v>
      </c>
      <c r="P1060" s="12">
        <f>ROUND(O1060*L1060,2)</f>
        <v>8550</v>
      </c>
      <c r="Q1060" s="13">
        <f>IF(N1060="HKD",7.8,IF(N1060="CNY",7.30034,1))</f>
        <v>7.3003400000000003</v>
      </c>
      <c r="R1060" s="15">
        <f>+ROUND(O1060/Q1060,4)</f>
        <v>0.78080000000000005</v>
      </c>
      <c r="S1060" s="14">
        <f>ROUND(R1060*L1060,2)</f>
        <v>1171.2</v>
      </c>
      <c r="T1060" s="15" t="s">
        <v>349</v>
      </c>
      <c r="U1060" t="s">
        <v>36</v>
      </c>
    </row>
    <row r="1061" spans="1:21" x14ac:dyDescent="0.2">
      <c r="A1061" t="s">
        <v>2743</v>
      </c>
      <c r="B1061" s="24">
        <v>45733</v>
      </c>
      <c r="C1061" s="24">
        <v>45729</v>
      </c>
      <c r="D1061" t="s">
        <v>5</v>
      </c>
      <c r="E1061" t="s">
        <v>6</v>
      </c>
      <c r="G1061" t="s">
        <v>3044</v>
      </c>
      <c r="H1061" t="s">
        <v>3247</v>
      </c>
      <c r="I1061" t="s">
        <v>3454</v>
      </c>
      <c r="J1061" s="11" t="str">
        <f>+LEFT(U1061,4)</f>
        <v>BOX-</v>
      </c>
      <c r="K1061" t="s">
        <v>10</v>
      </c>
      <c r="L1061">
        <v>505</v>
      </c>
      <c r="M1061" t="s">
        <v>1472</v>
      </c>
      <c r="N1061" t="s">
        <v>11</v>
      </c>
      <c r="O1061">
        <v>5.75</v>
      </c>
      <c r="P1061" s="12">
        <f>ROUND(O1061*L1061,2)</f>
        <v>2903.75</v>
      </c>
      <c r="Q1061" s="13">
        <f>IF(N1061="HKD",7.8,IF(N1061="CNY",7.30034,1))</f>
        <v>7.3003400000000003</v>
      </c>
      <c r="R1061" s="15">
        <f>+ROUND(O1061/Q1061,4)</f>
        <v>0.78759999999999997</v>
      </c>
      <c r="S1061" s="14">
        <f>ROUND(R1061*L1061,2)</f>
        <v>397.74</v>
      </c>
      <c r="T1061" s="15" t="s">
        <v>349</v>
      </c>
      <c r="U1061" t="s">
        <v>1</v>
      </c>
    </row>
    <row r="1062" spans="1:21" x14ac:dyDescent="0.2">
      <c r="A1062" t="s">
        <v>2402</v>
      </c>
      <c r="B1062" s="24">
        <v>45737</v>
      </c>
      <c r="C1062" s="24">
        <v>45698</v>
      </c>
      <c r="D1062" t="s">
        <v>925</v>
      </c>
      <c r="E1062" t="s">
        <v>926</v>
      </c>
      <c r="G1062" t="s">
        <v>2925</v>
      </c>
      <c r="H1062" t="s">
        <v>3100</v>
      </c>
      <c r="I1062" t="s">
        <v>3315</v>
      </c>
      <c r="J1062" s="11" t="str">
        <f>+LEFT(U1062,4)</f>
        <v>KNOB</v>
      </c>
      <c r="K1062" t="s">
        <v>10</v>
      </c>
      <c r="L1062">
        <v>200</v>
      </c>
      <c r="M1062" t="s">
        <v>1472</v>
      </c>
      <c r="N1062" t="s">
        <v>11</v>
      </c>
      <c r="O1062">
        <v>5.7881999999999998</v>
      </c>
      <c r="P1062" s="12">
        <f>ROUND(O1062*L1062,2)</f>
        <v>1157.6400000000001</v>
      </c>
      <c r="Q1062" s="13">
        <f>IF(N1062="HKD",7.8,IF(N1062="CNY",7.30034,1))</f>
        <v>7.3003400000000003</v>
      </c>
      <c r="R1062" s="15">
        <f>+ROUND(O1062/Q1062,4)</f>
        <v>0.79290000000000005</v>
      </c>
      <c r="S1062" s="14">
        <f>ROUND(R1062*L1062,2)</f>
        <v>158.58000000000001</v>
      </c>
      <c r="T1062" s="15" t="s">
        <v>349</v>
      </c>
      <c r="U1062" t="s">
        <v>32</v>
      </c>
    </row>
    <row r="1063" spans="1:21" x14ac:dyDescent="0.2">
      <c r="A1063" s="19" t="s">
        <v>1383</v>
      </c>
      <c r="B1063" s="20">
        <v>45659</v>
      </c>
      <c r="C1063" s="20">
        <v>45610</v>
      </c>
      <c r="D1063" s="19" t="s">
        <v>128</v>
      </c>
      <c r="E1063" s="19" t="s">
        <v>129</v>
      </c>
      <c r="G1063" s="19" t="s">
        <v>1377</v>
      </c>
      <c r="H1063" s="19" t="s">
        <v>954</v>
      </c>
      <c r="I1063" s="19" t="s">
        <v>955</v>
      </c>
      <c r="J1063" s="11" t="str">
        <f>+LEFT(U1063,4)</f>
        <v>RIV-</v>
      </c>
      <c r="K1063" s="19" t="s">
        <v>10</v>
      </c>
      <c r="L1063" s="19">
        <v>3000</v>
      </c>
      <c r="M1063" s="19" t="s">
        <v>1472</v>
      </c>
      <c r="N1063" s="19" t="s">
        <v>11</v>
      </c>
      <c r="O1063" s="26">
        <v>7.0099999999999996E-2</v>
      </c>
      <c r="P1063" s="12">
        <f>ROUND(O1063*L1063,2)</f>
        <v>210.3</v>
      </c>
      <c r="Q1063" s="13">
        <f>IF(N1063="HKD",7.8,IF(N1063="CNY",7.30034,1))</f>
        <v>7.3003400000000003</v>
      </c>
      <c r="R1063" s="15">
        <f>+ROUND(O1063/Q1063,4)</f>
        <v>9.5999999999999992E-3</v>
      </c>
      <c r="S1063" s="14">
        <f>ROUND(R1063*L1063,2)</f>
        <v>28.8</v>
      </c>
      <c r="T1063" s="15" t="s">
        <v>349</v>
      </c>
      <c r="U1063" s="19" t="s">
        <v>132</v>
      </c>
    </row>
    <row r="1064" spans="1:21" x14ac:dyDescent="0.2">
      <c r="A1064" s="19" t="s">
        <v>1382</v>
      </c>
      <c r="B1064" s="20">
        <v>45659</v>
      </c>
      <c r="C1064" s="20">
        <v>45622</v>
      </c>
      <c r="D1064" s="19" t="s">
        <v>128</v>
      </c>
      <c r="E1064" s="19" t="s">
        <v>129</v>
      </c>
      <c r="G1064" s="19" t="s">
        <v>1377</v>
      </c>
      <c r="H1064" s="19" t="s">
        <v>954</v>
      </c>
      <c r="I1064" s="19" t="s">
        <v>955</v>
      </c>
      <c r="J1064" s="11" t="str">
        <f>+LEFT(U1064,4)</f>
        <v>RIV-</v>
      </c>
      <c r="K1064" s="19" t="s">
        <v>10</v>
      </c>
      <c r="L1064" s="19">
        <v>8000</v>
      </c>
      <c r="M1064" s="19" t="s">
        <v>1472</v>
      </c>
      <c r="N1064" s="19" t="s">
        <v>11</v>
      </c>
      <c r="O1064" s="26">
        <v>7.0099999999999996E-2</v>
      </c>
      <c r="P1064" s="12">
        <f>ROUND(O1064*L1064,2)</f>
        <v>560.79999999999995</v>
      </c>
      <c r="Q1064" s="13">
        <f>IF(N1064="HKD",7.8,IF(N1064="CNY",7.30034,1))</f>
        <v>7.3003400000000003</v>
      </c>
      <c r="R1064" s="15">
        <f>+ROUND(O1064/Q1064,4)</f>
        <v>9.5999999999999992E-3</v>
      </c>
      <c r="S1064" s="14">
        <f>ROUND(R1064*L1064,2)</f>
        <v>76.8</v>
      </c>
      <c r="T1064" s="15" t="s">
        <v>349</v>
      </c>
      <c r="U1064" s="19" t="s">
        <v>132</v>
      </c>
    </row>
    <row r="1065" spans="1:21" x14ac:dyDescent="0.2">
      <c r="A1065" s="19" t="s">
        <v>1381</v>
      </c>
      <c r="B1065" s="20">
        <v>45659</v>
      </c>
      <c r="C1065" s="20">
        <v>45622</v>
      </c>
      <c r="D1065" s="19" t="s">
        <v>128</v>
      </c>
      <c r="E1065" s="19" t="s">
        <v>129</v>
      </c>
      <c r="G1065" s="19" t="s">
        <v>1377</v>
      </c>
      <c r="H1065" s="19" t="s">
        <v>954</v>
      </c>
      <c r="I1065" s="19" t="s">
        <v>955</v>
      </c>
      <c r="J1065" s="11" t="str">
        <f>+LEFT(U1065,4)</f>
        <v>RIV-</v>
      </c>
      <c r="K1065" s="19" t="s">
        <v>10</v>
      </c>
      <c r="L1065" s="19">
        <v>12000</v>
      </c>
      <c r="M1065" s="19" t="s">
        <v>1472</v>
      </c>
      <c r="N1065" s="19" t="s">
        <v>11</v>
      </c>
      <c r="O1065" s="26">
        <v>7.0099999999999996E-2</v>
      </c>
      <c r="P1065" s="12">
        <f>ROUND(O1065*L1065,2)</f>
        <v>841.2</v>
      </c>
      <c r="Q1065" s="13">
        <f>IF(N1065="HKD",7.8,IF(N1065="CNY",7.30034,1))</f>
        <v>7.3003400000000003</v>
      </c>
      <c r="R1065" s="15">
        <f>+ROUND(O1065/Q1065,4)</f>
        <v>9.5999999999999992E-3</v>
      </c>
      <c r="S1065" s="14">
        <f>ROUND(R1065*L1065,2)</f>
        <v>115.2</v>
      </c>
      <c r="T1065" s="15" t="s">
        <v>349</v>
      </c>
      <c r="U1065" s="19" t="s">
        <v>132</v>
      </c>
    </row>
    <row r="1066" spans="1:21" x14ac:dyDescent="0.2">
      <c r="A1066" s="19" t="s">
        <v>1380</v>
      </c>
      <c r="B1066" s="20">
        <v>45659</v>
      </c>
      <c r="C1066" s="20">
        <v>45636</v>
      </c>
      <c r="D1066" s="19" t="s">
        <v>128</v>
      </c>
      <c r="E1066" s="19" t="s">
        <v>129</v>
      </c>
      <c r="G1066" s="19" t="s">
        <v>1377</v>
      </c>
      <c r="H1066" s="19" t="s">
        <v>954</v>
      </c>
      <c r="I1066" s="19" t="s">
        <v>955</v>
      </c>
      <c r="J1066" s="11" t="str">
        <f>+LEFT(U1066,4)</f>
        <v>RIV-</v>
      </c>
      <c r="K1066" s="19" t="s">
        <v>10</v>
      </c>
      <c r="L1066" s="19">
        <v>6500</v>
      </c>
      <c r="M1066" s="19" t="s">
        <v>1472</v>
      </c>
      <c r="N1066" s="19" t="s">
        <v>11</v>
      </c>
      <c r="O1066" s="26">
        <v>7.0099999999999996E-2</v>
      </c>
      <c r="P1066" s="12">
        <f>ROUND(O1066*L1066,2)</f>
        <v>455.65</v>
      </c>
      <c r="Q1066" s="13">
        <f>IF(N1066="HKD",7.8,IF(N1066="CNY",7.30034,1))</f>
        <v>7.3003400000000003</v>
      </c>
      <c r="R1066" s="15">
        <f>+ROUND(O1066/Q1066,4)</f>
        <v>9.5999999999999992E-3</v>
      </c>
      <c r="S1066" s="14">
        <f>ROUND(R1066*L1066,2)</f>
        <v>62.4</v>
      </c>
      <c r="T1066" s="15" t="s">
        <v>349</v>
      </c>
      <c r="U1066" s="19" t="s">
        <v>132</v>
      </c>
    </row>
    <row r="1067" spans="1:21" x14ac:dyDescent="0.2">
      <c r="A1067" s="19" t="s">
        <v>1385</v>
      </c>
      <c r="B1067" s="20">
        <v>45659</v>
      </c>
      <c r="C1067" s="20">
        <v>45643</v>
      </c>
      <c r="D1067" s="19" t="s">
        <v>128</v>
      </c>
      <c r="E1067" s="19" t="s">
        <v>129</v>
      </c>
      <c r="G1067" s="19" t="s">
        <v>1377</v>
      </c>
      <c r="H1067" s="19" t="s">
        <v>950</v>
      </c>
      <c r="I1067" s="19" t="s">
        <v>951</v>
      </c>
      <c r="J1067" s="11" t="str">
        <f>+LEFT(U1067,4)</f>
        <v>RIV-</v>
      </c>
      <c r="K1067" s="19" t="s">
        <v>10</v>
      </c>
      <c r="L1067" s="19">
        <v>2050</v>
      </c>
      <c r="M1067" s="19" t="s">
        <v>1472</v>
      </c>
      <c r="N1067" s="19" t="s">
        <v>11</v>
      </c>
      <c r="O1067" s="26">
        <v>0.1016</v>
      </c>
      <c r="P1067" s="12">
        <f>ROUND(O1067*L1067,2)</f>
        <v>208.28</v>
      </c>
      <c r="Q1067" s="13">
        <f>IF(N1067="HKD",7.8,IF(N1067="CNY",7.30034,1))</f>
        <v>7.3003400000000003</v>
      </c>
      <c r="R1067" s="15">
        <f>+ROUND(O1067/Q1067,4)</f>
        <v>1.3899999999999999E-2</v>
      </c>
      <c r="S1067" s="14">
        <f>ROUND(R1067*L1067,2)</f>
        <v>28.5</v>
      </c>
      <c r="T1067" s="15" t="s">
        <v>349</v>
      </c>
      <c r="U1067" s="19" t="s">
        <v>132</v>
      </c>
    </row>
    <row r="1068" spans="1:21" x14ac:dyDescent="0.2">
      <c r="A1068" s="19" t="s">
        <v>952</v>
      </c>
      <c r="B1068" s="20">
        <v>45659</v>
      </c>
      <c r="C1068" s="20">
        <v>45644</v>
      </c>
      <c r="D1068" s="19" t="s">
        <v>128</v>
      </c>
      <c r="E1068" s="19" t="s">
        <v>129</v>
      </c>
      <c r="G1068" s="19" t="s">
        <v>1377</v>
      </c>
      <c r="H1068" s="19" t="s">
        <v>950</v>
      </c>
      <c r="I1068" s="19" t="s">
        <v>951</v>
      </c>
      <c r="J1068" s="11" t="str">
        <f>+LEFT(U1068,4)</f>
        <v>RIV-</v>
      </c>
      <c r="K1068" s="19" t="s">
        <v>10</v>
      </c>
      <c r="L1068" s="19">
        <v>6600</v>
      </c>
      <c r="M1068" s="19" t="s">
        <v>1472</v>
      </c>
      <c r="N1068" s="19" t="s">
        <v>11</v>
      </c>
      <c r="O1068" s="26">
        <v>0.1016</v>
      </c>
      <c r="P1068" s="12">
        <f>ROUND(O1068*L1068,2)</f>
        <v>670.56</v>
      </c>
      <c r="Q1068" s="13">
        <f>IF(N1068="HKD",7.8,IF(N1068="CNY",7.30034,1))</f>
        <v>7.3003400000000003</v>
      </c>
      <c r="R1068" s="15">
        <f>+ROUND(O1068/Q1068,4)</f>
        <v>1.3899999999999999E-2</v>
      </c>
      <c r="S1068" s="14">
        <f>ROUND(R1068*L1068,2)</f>
        <v>91.74</v>
      </c>
      <c r="T1068" s="15" t="s">
        <v>349</v>
      </c>
      <c r="U1068" s="19" t="s">
        <v>132</v>
      </c>
    </row>
    <row r="1069" spans="1:21" x14ac:dyDescent="0.2">
      <c r="A1069" s="19" t="s">
        <v>1384</v>
      </c>
      <c r="B1069" s="20">
        <v>45659</v>
      </c>
      <c r="C1069" s="20">
        <v>45646</v>
      </c>
      <c r="D1069" s="19" t="s">
        <v>128</v>
      </c>
      <c r="E1069" s="19" t="s">
        <v>129</v>
      </c>
      <c r="G1069" s="19" t="s">
        <v>1377</v>
      </c>
      <c r="H1069" s="19" t="s">
        <v>950</v>
      </c>
      <c r="I1069" s="19" t="s">
        <v>951</v>
      </c>
      <c r="J1069" s="11" t="str">
        <f>+LEFT(U1069,4)</f>
        <v>RIV-</v>
      </c>
      <c r="K1069" s="19" t="s">
        <v>10</v>
      </c>
      <c r="L1069" s="19">
        <v>2100</v>
      </c>
      <c r="M1069" s="19" t="s">
        <v>1472</v>
      </c>
      <c r="N1069" s="19" t="s">
        <v>11</v>
      </c>
      <c r="O1069" s="26">
        <v>0.1016</v>
      </c>
      <c r="P1069" s="12">
        <f>ROUND(O1069*L1069,2)</f>
        <v>213.36</v>
      </c>
      <c r="Q1069" s="13">
        <f>IF(N1069="HKD",7.8,IF(N1069="CNY",7.30034,1))</f>
        <v>7.3003400000000003</v>
      </c>
      <c r="R1069" s="15">
        <f>+ROUND(O1069/Q1069,4)</f>
        <v>1.3899999999999999E-2</v>
      </c>
      <c r="S1069" s="14">
        <f>ROUND(R1069*L1069,2)</f>
        <v>29.19</v>
      </c>
      <c r="T1069" s="15" t="s">
        <v>349</v>
      </c>
      <c r="U1069" s="19" t="s">
        <v>132</v>
      </c>
    </row>
    <row r="1070" spans="1:21" x14ac:dyDescent="0.2">
      <c r="A1070" s="19" t="s">
        <v>1364</v>
      </c>
      <c r="B1070" s="20">
        <v>45660</v>
      </c>
      <c r="C1070" s="20">
        <v>45611</v>
      </c>
      <c r="D1070" s="19" t="s">
        <v>235</v>
      </c>
      <c r="E1070" s="19" t="s">
        <v>236</v>
      </c>
      <c r="G1070" s="19" t="s">
        <v>1365</v>
      </c>
      <c r="H1070" s="19" t="s">
        <v>233</v>
      </c>
      <c r="I1070" s="19" t="s">
        <v>234</v>
      </c>
      <c r="J1070" s="11" t="str">
        <f>+LEFT(U1070,4)</f>
        <v>RIV-</v>
      </c>
      <c r="K1070" s="19" t="s">
        <v>10</v>
      </c>
      <c r="L1070" s="19">
        <v>11000</v>
      </c>
      <c r="M1070" s="19" t="s">
        <v>1472</v>
      </c>
      <c r="N1070" s="19" t="s">
        <v>11</v>
      </c>
      <c r="O1070" s="26">
        <v>4.1599999999999998E-2</v>
      </c>
      <c r="P1070" s="12">
        <f>ROUND(O1070*L1070,2)</f>
        <v>457.6</v>
      </c>
      <c r="Q1070" s="13">
        <f>IF(N1070="HKD",7.8,IF(N1070="CNY",7.30034,1))</f>
        <v>7.3003400000000003</v>
      </c>
      <c r="R1070" s="15">
        <f>+ROUND(O1070/Q1070,4)</f>
        <v>5.7000000000000002E-3</v>
      </c>
      <c r="S1070" s="14">
        <f>ROUND(R1070*L1070,2)</f>
        <v>62.7</v>
      </c>
      <c r="T1070" s="15" t="s">
        <v>349</v>
      </c>
      <c r="U1070" s="19" t="s">
        <v>132</v>
      </c>
    </row>
    <row r="1071" spans="1:21" x14ac:dyDescent="0.2">
      <c r="A1071" s="19" t="s">
        <v>1351</v>
      </c>
      <c r="B1071" s="20">
        <v>45660</v>
      </c>
      <c r="C1071" s="20">
        <v>45639</v>
      </c>
      <c r="D1071" s="19" t="s">
        <v>235</v>
      </c>
      <c r="E1071" s="19" t="s">
        <v>236</v>
      </c>
      <c r="G1071" s="19" t="s">
        <v>1347</v>
      </c>
      <c r="H1071" s="19" t="s">
        <v>233</v>
      </c>
      <c r="I1071" s="19" t="s">
        <v>234</v>
      </c>
      <c r="J1071" s="11" t="str">
        <f>+LEFT(U1071,4)</f>
        <v>RIV-</v>
      </c>
      <c r="K1071" s="19" t="s">
        <v>10</v>
      </c>
      <c r="L1071" s="19">
        <v>10000</v>
      </c>
      <c r="M1071" s="19" t="s">
        <v>1472</v>
      </c>
      <c r="N1071" s="19" t="s">
        <v>11</v>
      </c>
      <c r="O1071" s="26">
        <v>4.1599999999999998E-2</v>
      </c>
      <c r="P1071" s="12">
        <f>ROUND(O1071*L1071,2)</f>
        <v>416</v>
      </c>
      <c r="Q1071" s="13">
        <f>IF(N1071="HKD",7.8,IF(N1071="CNY",7.30034,1))</f>
        <v>7.3003400000000003</v>
      </c>
      <c r="R1071" s="15">
        <f>+ROUND(O1071/Q1071,4)</f>
        <v>5.7000000000000002E-3</v>
      </c>
      <c r="S1071" s="14">
        <f>ROUND(R1071*L1071,2)</f>
        <v>57</v>
      </c>
      <c r="T1071" s="15" t="s">
        <v>349</v>
      </c>
      <c r="U1071" s="19" t="s">
        <v>132</v>
      </c>
    </row>
    <row r="1072" spans="1:21" x14ac:dyDescent="0.2">
      <c r="A1072" s="19" t="s">
        <v>1343</v>
      </c>
      <c r="B1072" s="20">
        <v>45660</v>
      </c>
      <c r="C1072" s="20">
        <v>45643</v>
      </c>
      <c r="D1072" s="19" t="s">
        <v>235</v>
      </c>
      <c r="E1072" s="19" t="s">
        <v>236</v>
      </c>
      <c r="G1072" s="19" t="s">
        <v>1340</v>
      </c>
      <c r="H1072" s="19" t="s">
        <v>233</v>
      </c>
      <c r="I1072" s="19" t="s">
        <v>234</v>
      </c>
      <c r="J1072" s="11" t="str">
        <f>+LEFT(U1072,4)</f>
        <v>RIV-</v>
      </c>
      <c r="K1072" s="19" t="s">
        <v>10</v>
      </c>
      <c r="L1072" s="19">
        <v>1600</v>
      </c>
      <c r="M1072" s="19" t="s">
        <v>1472</v>
      </c>
      <c r="N1072" s="19" t="s">
        <v>11</v>
      </c>
      <c r="O1072" s="26">
        <v>4.1599999999999998E-2</v>
      </c>
      <c r="P1072" s="12">
        <f>ROUND(O1072*L1072,2)</f>
        <v>66.56</v>
      </c>
      <c r="Q1072" s="13">
        <f>IF(N1072="HKD",7.8,IF(N1072="CNY",7.30034,1))</f>
        <v>7.3003400000000003</v>
      </c>
      <c r="R1072" s="15">
        <f>+ROUND(O1072/Q1072,4)</f>
        <v>5.7000000000000002E-3</v>
      </c>
      <c r="S1072" s="14">
        <f>ROUND(R1072*L1072,2)</f>
        <v>9.1199999999999992</v>
      </c>
      <c r="T1072" s="15" t="s">
        <v>349</v>
      </c>
      <c r="U1072" s="19" t="s">
        <v>132</v>
      </c>
    </row>
    <row r="1073" spans="1:21" x14ac:dyDescent="0.2">
      <c r="A1073" s="19" t="s">
        <v>952</v>
      </c>
      <c r="B1073" s="20">
        <v>45660</v>
      </c>
      <c r="C1073" s="20">
        <v>45644</v>
      </c>
      <c r="D1073" s="19" t="s">
        <v>128</v>
      </c>
      <c r="E1073" s="19" t="s">
        <v>129</v>
      </c>
      <c r="G1073" s="19" t="s">
        <v>1377</v>
      </c>
      <c r="H1073" s="19" t="s">
        <v>950</v>
      </c>
      <c r="I1073" s="19" t="s">
        <v>951</v>
      </c>
      <c r="J1073" s="11" t="str">
        <f>+LEFT(U1073,4)</f>
        <v>RIV-</v>
      </c>
      <c r="K1073" s="19" t="s">
        <v>10</v>
      </c>
      <c r="L1073" s="19">
        <v>6000</v>
      </c>
      <c r="M1073" s="19" t="s">
        <v>1472</v>
      </c>
      <c r="N1073" s="19" t="s">
        <v>11</v>
      </c>
      <c r="O1073" s="26">
        <v>0.1016</v>
      </c>
      <c r="P1073" s="12">
        <f>ROUND(O1073*L1073,2)</f>
        <v>609.6</v>
      </c>
      <c r="Q1073" s="13">
        <f>IF(N1073="HKD",7.8,IF(N1073="CNY",7.30034,1))</f>
        <v>7.3003400000000003</v>
      </c>
      <c r="R1073" s="15">
        <f>+ROUND(O1073/Q1073,4)</f>
        <v>1.3899999999999999E-2</v>
      </c>
      <c r="S1073" s="14">
        <f>ROUND(R1073*L1073,2)</f>
        <v>83.4</v>
      </c>
      <c r="T1073" s="15" t="s">
        <v>349</v>
      </c>
      <c r="U1073" s="19" t="s">
        <v>132</v>
      </c>
    </row>
    <row r="1074" spans="1:21" x14ac:dyDescent="0.2">
      <c r="A1074" s="19" t="s">
        <v>952</v>
      </c>
      <c r="B1074" s="20">
        <v>45660</v>
      </c>
      <c r="C1074" s="20">
        <v>45644</v>
      </c>
      <c r="D1074" s="19" t="s">
        <v>128</v>
      </c>
      <c r="E1074" s="19" t="s">
        <v>129</v>
      </c>
      <c r="G1074" s="19" t="s">
        <v>1378</v>
      </c>
      <c r="H1074" s="19" t="s">
        <v>950</v>
      </c>
      <c r="I1074" s="19" t="s">
        <v>951</v>
      </c>
      <c r="J1074" s="11" t="str">
        <f>+LEFT(U1074,4)</f>
        <v>RIV-</v>
      </c>
      <c r="K1074" s="19" t="s">
        <v>10</v>
      </c>
      <c r="L1074" s="19">
        <v>-6600</v>
      </c>
      <c r="M1074" s="19" t="s">
        <v>1472</v>
      </c>
      <c r="N1074" s="19" t="s">
        <v>11</v>
      </c>
      <c r="O1074" s="26">
        <v>0.1016</v>
      </c>
      <c r="P1074" s="12">
        <f>ROUND(O1074*L1074,2)</f>
        <v>-670.56</v>
      </c>
      <c r="Q1074" s="13">
        <f>IF(N1074="HKD",7.8,IF(N1074="CNY",7.30034,1))</f>
        <v>7.3003400000000003</v>
      </c>
      <c r="R1074" s="15">
        <f>+ROUND(O1074/Q1074,4)</f>
        <v>1.3899999999999999E-2</v>
      </c>
      <c r="S1074" s="14">
        <f>ROUND(R1074*L1074,2)</f>
        <v>-91.74</v>
      </c>
      <c r="T1074" s="15" t="s">
        <v>349</v>
      </c>
      <c r="U1074" s="19" t="s">
        <v>132</v>
      </c>
    </row>
    <row r="1075" spans="1:21" x14ac:dyDescent="0.2">
      <c r="A1075" s="19" t="s">
        <v>1370</v>
      </c>
      <c r="B1075" s="20">
        <v>45660</v>
      </c>
      <c r="C1075" s="20">
        <v>45618</v>
      </c>
      <c r="D1075" s="19" t="s">
        <v>235</v>
      </c>
      <c r="E1075" s="19" t="s">
        <v>236</v>
      </c>
      <c r="G1075" s="19" t="s">
        <v>1369</v>
      </c>
      <c r="H1075" s="19" t="s">
        <v>1352</v>
      </c>
      <c r="I1075" s="19" t="s">
        <v>1353</v>
      </c>
      <c r="J1075" s="11" t="str">
        <f>+LEFT(U1075,4)</f>
        <v>RIV-</v>
      </c>
      <c r="K1075" s="19" t="s">
        <v>10</v>
      </c>
      <c r="L1075" s="19">
        <v>5600</v>
      </c>
      <c r="M1075" s="19" t="s">
        <v>1472</v>
      </c>
      <c r="N1075" s="19" t="s">
        <v>11</v>
      </c>
      <c r="O1075" s="26">
        <v>0.13550000000000001</v>
      </c>
      <c r="P1075" s="12">
        <f>ROUND(O1075*L1075,2)</f>
        <v>758.8</v>
      </c>
      <c r="Q1075" s="13">
        <f>IF(N1075="HKD",7.8,IF(N1075="CNY",7.30034,1))</f>
        <v>7.3003400000000003</v>
      </c>
      <c r="R1075" s="15">
        <f>+ROUND(O1075/Q1075,4)</f>
        <v>1.8599999999999998E-2</v>
      </c>
      <c r="S1075" s="14">
        <f>ROUND(R1075*L1075,2)</f>
        <v>104.16</v>
      </c>
      <c r="T1075" s="15" t="s">
        <v>349</v>
      </c>
      <c r="U1075" s="19" t="s">
        <v>132</v>
      </c>
    </row>
    <row r="1076" spans="1:21" x14ac:dyDescent="0.2">
      <c r="A1076" s="19" t="s">
        <v>1355</v>
      </c>
      <c r="B1076" s="20">
        <v>45660</v>
      </c>
      <c r="C1076" s="20">
        <v>45636</v>
      </c>
      <c r="D1076" s="19" t="s">
        <v>235</v>
      </c>
      <c r="E1076" s="19" t="s">
        <v>236</v>
      </c>
      <c r="G1076" s="19" t="s">
        <v>1356</v>
      </c>
      <c r="H1076" s="19" t="s">
        <v>1352</v>
      </c>
      <c r="I1076" s="19" t="s">
        <v>1353</v>
      </c>
      <c r="J1076" s="11" t="str">
        <f>+LEFT(U1076,4)</f>
        <v>RIV-</v>
      </c>
      <c r="K1076" s="19" t="s">
        <v>10</v>
      </c>
      <c r="L1076" s="19">
        <v>10500</v>
      </c>
      <c r="M1076" s="19" t="s">
        <v>1472</v>
      </c>
      <c r="N1076" s="19" t="s">
        <v>11</v>
      </c>
      <c r="O1076" s="26">
        <v>0.13550000000000001</v>
      </c>
      <c r="P1076" s="12">
        <f>ROUND(O1076*L1076,2)</f>
        <v>1422.75</v>
      </c>
      <c r="Q1076" s="13">
        <f>IF(N1076="HKD",7.8,IF(N1076="CNY",7.30034,1))</f>
        <v>7.3003400000000003</v>
      </c>
      <c r="R1076" s="15">
        <f>+ROUND(O1076/Q1076,4)</f>
        <v>1.8599999999999998E-2</v>
      </c>
      <c r="S1076" s="14">
        <f>ROUND(R1076*L1076,2)</f>
        <v>195.3</v>
      </c>
      <c r="T1076" s="15" t="s">
        <v>349</v>
      </c>
      <c r="U1076" s="19" t="s">
        <v>132</v>
      </c>
    </row>
    <row r="1077" spans="1:21" x14ac:dyDescent="0.2">
      <c r="A1077" s="19" t="s">
        <v>1354</v>
      </c>
      <c r="B1077" s="20">
        <v>45660</v>
      </c>
      <c r="C1077" s="20">
        <v>45638</v>
      </c>
      <c r="D1077" s="19" t="s">
        <v>235</v>
      </c>
      <c r="E1077" s="19" t="s">
        <v>236</v>
      </c>
      <c r="G1077" s="19" t="s">
        <v>1347</v>
      </c>
      <c r="H1077" s="19" t="s">
        <v>1352</v>
      </c>
      <c r="I1077" s="19" t="s">
        <v>1353</v>
      </c>
      <c r="J1077" s="11" t="str">
        <f>+LEFT(U1077,4)</f>
        <v>RIV-</v>
      </c>
      <c r="K1077" s="19" t="s">
        <v>10</v>
      </c>
      <c r="L1077" s="19">
        <v>1600</v>
      </c>
      <c r="M1077" s="19" t="s">
        <v>1472</v>
      </c>
      <c r="N1077" s="19" t="s">
        <v>11</v>
      </c>
      <c r="O1077" s="26">
        <v>0.13550000000000001</v>
      </c>
      <c r="P1077" s="12">
        <f>ROUND(O1077*L1077,2)</f>
        <v>216.8</v>
      </c>
      <c r="Q1077" s="13">
        <f>IF(N1077="HKD",7.8,IF(N1077="CNY",7.30034,1))</f>
        <v>7.3003400000000003</v>
      </c>
      <c r="R1077" s="15">
        <f>+ROUND(O1077/Q1077,4)</f>
        <v>1.8599999999999998E-2</v>
      </c>
      <c r="S1077" s="14">
        <f>ROUND(R1077*L1077,2)</f>
        <v>29.76</v>
      </c>
      <c r="T1077" s="15" t="s">
        <v>349</v>
      </c>
      <c r="U1077" s="19" t="s">
        <v>132</v>
      </c>
    </row>
    <row r="1078" spans="1:21" x14ac:dyDescent="0.2">
      <c r="A1078" s="19" t="s">
        <v>1367</v>
      </c>
      <c r="B1078" s="20">
        <v>45660</v>
      </c>
      <c r="C1078" s="20">
        <v>45611</v>
      </c>
      <c r="D1078" s="19" t="s">
        <v>235</v>
      </c>
      <c r="E1078" s="19" t="s">
        <v>236</v>
      </c>
      <c r="G1078" s="19" t="s">
        <v>1365</v>
      </c>
      <c r="H1078" s="19" t="s">
        <v>239</v>
      </c>
      <c r="I1078" s="19" t="s">
        <v>240</v>
      </c>
      <c r="J1078" s="11" t="str">
        <f>+LEFT(U1078,4)</f>
        <v>RIV-</v>
      </c>
      <c r="K1078" s="19" t="s">
        <v>10</v>
      </c>
      <c r="L1078" s="19">
        <v>5000</v>
      </c>
      <c r="M1078" s="19" t="s">
        <v>1472</v>
      </c>
      <c r="N1078" s="19" t="s">
        <v>11</v>
      </c>
      <c r="O1078" s="26">
        <v>0.16120000000000001</v>
      </c>
      <c r="P1078" s="12">
        <f>ROUND(O1078*L1078,2)</f>
        <v>806</v>
      </c>
      <c r="Q1078" s="13">
        <f>IF(N1078="HKD",7.8,IF(N1078="CNY",7.30034,1))</f>
        <v>7.3003400000000003</v>
      </c>
      <c r="R1078" s="15">
        <f>+ROUND(O1078/Q1078,4)</f>
        <v>2.2100000000000002E-2</v>
      </c>
      <c r="S1078" s="14">
        <f>ROUND(R1078*L1078,2)</f>
        <v>110.5</v>
      </c>
      <c r="T1078" s="15" t="s">
        <v>349</v>
      </c>
      <c r="U1078" s="19" t="s">
        <v>132</v>
      </c>
    </row>
    <row r="1079" spans="1:21" x14ac:dyDescent="0.2">
      <c r="A1079" s="19" t="s">
        <v>1368</v>
      </c>
      <c r="B1079" s="20">
        <v>45660</v>
      </c>
      <c r="C1079" s="20">
        <v>45618</v>
      </c>
      <c r="D1079" s="19" t="s">
        <v>235</v>
      </c>
      <c r="E1079" s="19" t="s">
        <v>236</v>
      </c>
      <c r="G1079" s="19" t="s">
        <v>1369</v>
      </c>
      <c r="H1079" s="19" t="s">
        <v>239</v>
      </c>
      <c r="I1079" s="19" t="s">
        <v>240</v>
      </c>
      <c r="J1079" s="11" t="str">
        <f>+LEFT(U1079,4)</f>
        <v>RIV-</v>
      </c>
      <c r="K1079" s="19" t="s">
        <v>10</v>
      </c>
      <c r="L1079" s="19">
        <v>17000</v>
      </c>
      <c r="M1079" s="19" t="s">
        <v>1472</v>
      </c>
      <c r="N1079" s="19" t="s">
        <v>11</v>
      </c>
      <c r="O1079" s="26">
        <v>0.16120000000000001</v>
      </c>
      <c r="P1079" s="12">
        <f>ROUND(O1079*L1079,2)</f>
        <v>2740.4</v>
      </c>
      <c r="Q1079" s="13">
        <f>IF(N1079="HKD",7.8,IF(N1079="CNY",7.30034,1))</f>
        <v>7.3003400000000003</v>
      </c>
      <c r="R1079" s="15">
        <f>+ROUND(O1079/Q1079,4)</f>
        <v>2.2100000000000002E-2</v>
      </c>
      <c r="S1079" s="14">
        <f>ROUND(R1079*L1079,2)</f>
        <v>375.7</v>
      </c>
      <c r="T1079" s="15" t="s">
        <v>349</v>
      </c>
      <c r="U1079" s="19" t="s">
        <v>132</v>
      </c>
    </row>
    <row r="1080" spans="1:21" x14ac:dyDescent="0.2">
      <c r="A1080" s="19" t="s">
        <v>1336</v>
      </c>
      <c r="B1080" s="20">
        <v>45660</v>
      </c>
      <c r="C1080" s="20">
        <v>45622</v>
      </c>
      <c r="D1080" s="19" t="s">
        <v>235</v>
      </c>
      <c r="E1080" s="19" t="s">
        <v>236</v>
      </c>
      <c r="G1080" s="19" t="s">
        <v>1335</v>
      </c>
      <c r="H1080" s="19" t="s">
        <v>239</v>
      </c>
      <c r="I1080" s="19" t="s">
        <v>240</v>
      </c>
      <c r="J1080" s="11" t="str">
        <f>+LEFT(U1080,4)</f>
        <v>RIV-</v>
      </c>
      <c r="K1080" s="19" t="s">
        <v>10</v>
      </c>
      <c r="L1080" s="19">
        <v>10000</v>
      </c>
      <c r="M1080" s="19" t="s">
        <v>1472</v>
      </c>
      <c r="N1080" s="19" t="s">
        <v>11</v>
      </c>
      <c r="O1080" s="26">
        <v>0.16120000000000001</v>
      </c>
      <c r="P1080" s="12">
        <f>ROUND(O1080*L1080,2)</f>
        <v>1612</v>
      </c>
      <c r="Q1080" s="13">
        <f>IF(N1080="HKD",7.8,IF(N1080="CNY",7.30034,1))</f>
        <v>7.3003400000000003</v>
      </c>
      <c r="R1080" s="15">
        <f>+ROUND(O1080/Q1080,4)</f>
        <v>2.2100000000000002E-2</v>
      </c>
      <c r="S1080" s="14">
        <f>ROUND(R1080*L1080,2)</f>
        <v>221</v>
      </c>
      <c r="T1080" s="15" t="s">
        <v>349</v>
      </c>
      <c r="U1080" s="19" t="s">
        <v>132</v>
      </c>
    </row>
    <row r="1081" spans="1:21" x14ac:dyDescent="0.2">
      <c r="A1081" s="19" t="s">
        <v>1342</v>
      </c>
      <c r="B1081" s="20">
        <v>45660</v>
      </c>
      <c r="C1081" s="20">
        <v>45643</v>
      </c>
      <c r="D1081" s="19" t="s">
        <v>235</v>
      </c>
      <c r="E1081" s="19" t="s">
        <v>236</v>
      </c>
      <c r="G1081" s="19" t="s">
        <v>1340</v>
      </c>
      <c r="H1081" s="19" t="s">
        <v>239</v>
      </c>
      <c r="I1081" s="19" t="s">
        <v>240</v>
      </c>
      <c r="J1081" s="11" t="str">
        <f>+LEFT(U1081,4)</f>
        <v>RIV-</v>
      </c>
      <c r="K1081" s="19" t="s">
        <v>10</v>
      </c>
      <c r="L1081" s="19">
        <v>9200</v>
      </c>
      <c r="M1081" s="19" t="s">
        <v>1472</v>
      </c>
      <c r="N1081" s="19" t="s">
        <v>11</v>
      </c>
      <c r="O1081" s="26">
        <v>0.16120000000000001</v>
      </c>
      <c r="P1081" s="12">
        <f>ROUND(O1081*L1081,2)</f>
        <v>1483.04</v>
      </c>
      <c r="Q1081" s="13">
        <f>IF(N1081="HKD",7.8,IF(N1081="CNY",7.30034,1))</f>
        <v>7.3003400000000003</v>
      </c>
      <c r="R1081" s="15">
        <f>+ROUND(O1081/Q1081,4)</f>
        <v>2.2100000000000002E-2</v>
      </c>
      <c r="S1081" s="14">
        <f>ROUND(R1081*L1081,2)</f>
        <v>203.32</v>
      </c>
      <c r="T1081" s="15" t="s">
        <v>349</v>
      </c>
      <c r="U1081" s="19" t="s">
        <v>132</v>
      </c>
    </row>
    <row r="1082" spans="1:21" x14ac:dyDescent="0.2">
      <c r="A1082" s="19" t="s">
        <v>1339</v>
      </c>
      <c r="B1082" s="20">
        <v>45660</v>
      </c>
      <c r="C1082" s="20">
        <v>45643</v>
      </c>
      <c r="D1082" s="19" t="s">
        <v>235</v>
      </c>
      <c r="E1082" s="19" t="s">
        <v>236</v>
      </c>
      <c r="G1082" s="19" t="s">
        <v>1340</v>
      </c>
      <c r="H1082" s="19" t="s">
        <v>1337</v>
      </c>
      <c r="I1082" s="19" t="s">
        <v>1338</v>
      </c>
      <c r="J1082" s="11" t="str">
        <f>+LEFT(U1082,4)</f>
        <v>RIV-</v>
      </c>
      <c r="K1082" s="19" t="s">
        <v>10</v>
      </c>
      <c r="L1082" s="19">
        <v>2000</v>
      </c>
      <c r="M1082" s="19" t="s">
        <v>1472</v>
      </c>
      <c r="N1082" s="19" t="s">
        <v>11</v>
      </c>
      <c r="O1082" s="26">
        <v>0.17180000000000001</v>
      </c>
      <c r="P1082" s="12">
        <f>ROUND(O1082*L1082,2)</f>
        <v>343.6</v>
      </c>
      <c r="Q1082" s="13">
        <f>IF(N1082="HKD",7.8,IF(N1082="CNY",7.30034,1))</f>
        <v>7.3003400000000003</v>
      </c>
      <c r="R1082" s="15">
        <f>+ROUND(O1082/Q1082,4)</f>
        <v>2.35E-2</v>
      </c>
      <c r="S1082" s="14">
        <f>ROUND(R1082*L1082,2)</f>
        <v>47</v>
      </c>
      <c r="T1082" s="15" t="s">
        <v>349</v>
      </c>
      <c r="U1082" s="19" t="s">
        <v>132</v>
      </c>
    </row>
    <row r="1083" spans="1:21" x14ac:dyDescent="0.2">
      <c r="A1083" s="19" t="s">
        <v>1366</v>
      </c>
      <c r="B1083" s="20">
        <v>45660</v>
      </c>
      <c r="C1083" s="20">
        <v>45611</v>
      </c>
      <c r="D1083" s="19" t="s">
        <v>235</v>
      </c>
      <c r="E1083" s="19" t="s">
        <v>236</v>
      </c>
      <c r="G1083" s="19" t="s">
        <v>1365</v>
      </c>
      <c r="H1083" s="19" t="s">
        <v>1361</v>
      </c>
      <c r="I1083" s="19" t="s">
        <v>1362</v>
      </c>
      <c r="J1083" s="11" t="str">
        <f>+LEFT(U1083,4)</f>
        <v>RIV-</v>
      </c>
      <c r="K1083" s="19" t="s">
        <v>10</v>
      </c>
      <c r="L1083" s="19">
        <v>6000</v>
      </c>
      <c r="M1083" s="19" t="s">
        <v>1472</v>
      </c>
      <c r="N1083" s="19" t="s">
        <v>11</v>
      </c>
      <c r="O1083" s="26">
        <v>0.17649999999999999</v>
      </c>
      <c r="P1083" s="12">
        <f>ROUND(O1083*L1083,2)</f>
        <v>1059</v>
      </c>
      <c r="Q1083" s="13">
        <f>IF(N1083="HKD",7.8,IF(N1083="CNY",7.30034,1))</f>
        <v>7.3003400000000003</v>
      </c>
      <c r="R1083" s="15">
        <f>+ROUND(O1083/Q1083,4)</f>
        <v>2.4199999999999999E-2</v>
      </c>
      <c r="S1083" s="14">
        <f>ROUND(R1083*L1083,2)</f>
        <v>145.19999999999999</v>
      </c>
      <c r="T1083" s="15" t="s">
        <v>349</v>
      </c>
      <c r="U1083" s="19" t="s">
        <v>132</v>
      </c>
    </row>
    <row r="1084" spans="1:21" x14ac:dyDescent="0.2">
      <c r="A1084" s="19" t="s">
        <v>1363</v>
      </c>
      <c r="B1084" s="20">
        <v>45660</v>
      </c>
      <c r="C1084" s="20">
        <v>45629</v>
      </c>
      <c r="D1084" s="19" t="s">
        <v>235</v>
      </c>
      <c r="E1084" s="19" t="s">
        <v>236</v>
      </c>
      <c r="G1084" s="19" t="s">
        <v>1356</v>
      </c>
      <c r="H1084" s="19" t="s">
        <v>1361</v>
      </c>
      <c r="I1084" s="19" t="s">
        <v>1362</v>
      </c>
      <c r="J1084" s="11" t="str">
        <f>+LEFT(U1084,4)</f>
        <v>RIV-</v>
      </c>
      <c r="K1084" s="19" t="s">
        <v>10</v>
      </c>
      <c r="L1084" s="19">
        <v>8000</v>
      </c>
      <c r="M1084" s="19" t="s">
        <v>1472</v>
      </c>
      <c r="N1084" s="19" t="s">
        <v>11</v>
      </c>
      <c r="O1084" s="26">
        <v>0.17649999999999999</v>
      </c>
      <c r="P1084" s="12">
        <f>ROUND(O1084*L1084,2)</f>
        <v>1412</v>
      </c>
      <c r="Q1084" s="13">
        <f>IF(N1084="HKD",7.8,IF(N1084="CNY",7.30034,1))</f>
        <v>7.3003400000000003</v>
      </c>
      <c r="R1084" s="15">
        <f>+ROUND(O1084/Q1084,4)</f>
        <v>2.4199999999999999E-2</v>
      </c>
      <c r="S1084" s="14">
        <f>ROUND(R1084*L1084,2)</f>
        <v>193.6</v>
      </c>
      <c r="T1084" s="15" t="s">
        <v>349</v>
      </c>
      <c r="U1084" s="19" t="s">
        <v>132</v>
      </c>
    </row>
    <row r="1085" spans="1:21" x14ac:dyDescent="0.2">
      <c r="A1085" s="19" t="s">
        <v>1357</v>
      </c>
      <c r="B1085" s="20">
        <v>45660</v>
      </c>
      <c r="C1085" s="20">
        <v>45636</v>
      </c>
      <c r="D1085" s="19" t="s">
        <v>235</v>
      </c>
      <c r="E1085" s="19" t="s">
        <v>236</v>
      </c>
      <c r="G1085" s="19" t="s">
        <v>1356</v>
      </c>
      <c r="H1085" s="19" t="s">
        <v>242</v>
      </c>
      <c r="I1085" s="19" t="s">
        <v>243</v>
      </c>
      <c r="J1085" s="11" t="str">
        <f>+LEFT(U1085,4)</f>
        <v>RIV-</v>
      </c>
      <c r="K1085" s="19" t="s">
        <v>10</v>
      </c>
      <c r="L1085" s="19">
        <v>2000</v>
      </c>
      <c r="M1085" s="19" t="s">
        <v>1472</v>
      </c>
      <c r="N1085" s="19" t="s">
        <v>11</v>
      </c>
      <c r="O1085" s="26">
        <v>0.1865</v>
      </c>
      <c r="P1085" s="12">
        <f>ROUND(O1085*L1085,2)</f>
        <v>373</v>
      </c>
      <c r="Q1085" s="13">
        <f>IF(N1085="HKD",7.8,IF(N1085="CNY",7.30034,1))</f>
        <v>7.3003400000000003</v>
      </c>
      <c r="R1085" s="15">
        <f>+ROUND(O1085/Q1085,4)</f>
        <v>2.5499999999999998E-2</v>
      </c>
      <c r="S1085" s="14">
        <f>ROUND(R1085*L1085,2)</f>
        <v>51</v>
      </c>
      <c r="T1085" s="15" t="s">
        <v>349</v>
      </c>
      <c r="U1085" s="19" t="s">
        <v>132</v>
      </c>
    </row>
    <row r="1086" spans="1:21" x14ac:dyDescent="0.2">
      <c r="A1086" s="19" t="s">
        <v>1341</v>
      </c>
      <c r="B1086" s="20">
        <v>45660</v>
      </c>
      <c r="C1086" s="20">
        <v>45643</v>
      </c>
      <c r="D1086" s="19" t="s">
        <v>235</v>
      </c>
      <c r="E1086" s="19" t="s">
        <v>236</v>
      </c>
      <c r="G1086" s="19" t="s">
        <v>1340</v>
      </c>
      <c r="H1086" s="19" t="s">
        <v>242</v>
      </c>
      <c r="I1086" s="19" t="s">
        <v>243</v>
      </c>
      <c r="J1086" s="11" t="str">
        <f>+LEFT(U1086,4)</f>
        <v>RIV-</v>
      </c>
      <c r="K1086" s="19" t="s">
        <v>10</v>
      </c>
      <c r="L1086" s="19">
        <v>4100</v>
      </c>
      <c r="M1086" s="19" t="s">
        <v>1472</v>
      </c>
      <c r="N1086" s="19" t="s">
        <v>11</v>
      </c>
      <c r="O1086" s="26">
        <v>0.1865</v>
      </c>
      <c r="P1086" s="12">
        <f>ROUND(O1086*L1086,2)</f>
        <v>764.65</v>
      </c>
      <c r="Q1086" s="13">
        <f>IF(N1086="HKD",7.8,IF(N1086="CNY",7.30034,1))</f>
        <v>7.3003400000000003</v>
      </c>
      <c r="R1086" s="15">
        <f>+ROUND(O1086/Q1086,4)</f>
        <v>2.5499999999999998E-2</v>
      </c>
      <c r="S1086" s="14">
        <f>ROUND(R1086*L1086,2)</f>
        <v>104.55</v>
      </c>
      <c r="T1086" s="15" t="s">
        <v>349</v>
      </c>
      <c r="U1086" s="19" t="s">
        <v>132</v>
      </c>
    </row>
    <row r="1087" spans="1:21" x14ac:dyDescent="0.2">
      <c r="A1087" s="19" t="s">
        <v>1334</v>
      </c>
      <c r="B1087" s="20">
        <v>45660</v>
      </c>
      <c r="C1087" s="20">
        <v>45643</v>
      </c>
      <c r="D1087" s="19" t="s">
        <v>235</v>
      </c>
      <c r="E1087" s="19" t="s">
        <v>236</v>
      </c>
      <c r="G1087" s="19" t="s">
        <v>1335</v>
      </c>
      <c r="H1087" s="19" t="s">
        <v>242</v>
      </c>
      <c r="I1087" s="19" t="s">
        <v>243</v>
      </c>
      <c r="J1087" s="11" t="str">
        <f>+LEFT(U1087,4)</f>
        <v>RIV-</v>
      </c>
      <c r="K1087" s="19" t="s">
        <v>10</v>
      </c>
      <c r="L1087" s="19">
        <v>5000</v>
      </c>
      <c r="M1087" s="19" t="s">
        <v>1472</v>
      </c>
      <c r="N1087" s="19" t="s">
        <v>11</v>
      </c>
      <c r="O1087" s="26">
        <v>0.1865</v>
      </c>
      <c r="P1087" s="12">
        <f>ROUND(O1087*L1087,2)</f>
        <v>932.5</v>
      </c>
      <c r="Q1087" s="13">
        <f>IF(N1087="HKD",7.8,IF(N1087="CNY",7.30034,1))</f>
        <v>7.3003400000000003</v>
      </c>
      <c r="R1087" s="15">
        <f>+ROUND(O1087/Q1087,4)</f>
        <v>2.5499999999999998E-2</v>
      </c>
      <c r="S1087" s="14">
        <f>ROUND(R1087*L1087,2)</f>
        <v>127.5</v>
      </c>
      <c r="T1087" s="15" t="s">
        <v>349</v>
      </c>
      <c r="U1087" s="19" t="s">
        <v>132</v>
      </c>
    </row>
    <row r="1088" spans="1:21" x14ac:dyDescent="0.2">
      <c r="A1088" s="19" t="s">
        <v>1360</v>
      </c>
      <c r="B1088" s="20">
        <v>45660</v>
      </c>
      <c r="C1088" s="20">
        <v>45629</v>
      </c>
      <c r="D1088" s="19" t="s">
        <v>235</v>
      </c>
      <c r="E1088" s="19" t="s">
        <v>236</v>
      </c>
      <c r="G1088" s="19" t="s">
        <v>1356</v>
      </c>
      <c r="H1088" s="19" t="s">
        <v>1358</v>
      </c>
      <c r="I1088" s="19" t="s">
        <v>1359</v>
      </c>
      <c r="J1088" s="11" t="str">
        <f>+LEFT(U1088,4)</f>
        <v>RIV-</v>
      </c>
      <c r="K1088" s="19" t="s">
        <v>10</v>
      </c>
      <c r="L1088" s="19">
        <v>20000</v>
      </c>
      <c r="M1088" s="19" t="s">
        <v>1472</v>
      </c>
      <c r="N1088" s="19" t="s">
        <v>11</v>
      </c>
      <c r="O1088" s="26">
        <v>0.22839999999999999</v>
      </c>
      <c r="P1088" s="12">
        <f>ROUND(O1088*L1088,2)</f>
        <v>4568</v>
      </c>
      <c r="Q1088" s="13">
        <f>IF(N1088="HKD",7.8,IF(N1088="CNY",7.30034,1))</f>
        <v>7.3003400000000003</v>
      </c>
      <c r="R1088" s="15">
        <f>+ROUND(O1088/Q1088,4)</f>
        <v>3.1300000000000001E-2</v>
      </c>
      <c r="S1088" s="14">
        <f>ROUND(R1088*L1088,2)</f>
        <v>626</v>
      </c>
      <c r="T1088" s="15" t="s">
        <v>349</v>
      </c>
      <c r="U1088" s="19" t="s">
        <v>132</v>
      </c>
    </row>
    <row r="1089" spans="1:21" x14ac:dyDescent="0.2">
      <c r="A1089" s="19" t="s">
        <v>961</v>
      </c>
      <c r="B1089" s="20">
        <v>45664</v>
      </c>
      <c r="C1089" s="20">
        <v>45643</v>
      </c>
      <c r="D1089" s="19" t="s">
        <v>128</v>
      </c>
      <c r="E1089" s="19" t="s">
        <v>129</v>
      </c>
      <c r="G1089" s="19" t="s">
        <v>953</v>
      </c>
      <c r="H1089" s="19" t="s">
        <v>958</v>
      </c>
      <c r="I1089" s="19" t="s">
        <v>959</v>
      </c>
      <c r="J1089" s="11" t="str">
        <f>+LEFT(U1089,4)</f>
        <v>RIV-</v>
      </c>
      <c r="K1089" s="19" t="s">
        <v>10</v>
      </c>
      <c r="L1089" s="19">
        <v>4300</v>
      </c>
      <c r="M1089" s="19" t="s">
        <v>1472</v>
      </c>
      <c r="N1089" s="19" t="s">
        <v>11</v>
      </c>
      <c r="O1089" s="26">
        <v>4.8000000000000001E-2</v>
      </c>
      <c r="P1089" s="12">
        <f>ROUND(O1089*L1089,2)</f>
        <v>206.4</v>
      </c>
      <c r="Q1089" s="13">
        <f>IF(N1089="HKD",7.8,IF(N1089="CNY",7.30034,1))</f>
        <v>7.3003400000000003</v>
      </c>
      <c r="R1089" s="15">
        <f>+ROUND(O1089/Q1089,4)</f>
        <v>6.6E-3</v>
      </c>
      <c r="S1089" s="14">
        <f>ROUND(R1089*L1089,2)</f>
        <v>28.38</v>
      </c>
      <c r="T1089" s="15" t="s">
        <v>349</v>
      </c>
      <c r="U1089" s="19" t="s">
        <v>132</v>
      </c>
    </row>
    <row r="1090" spans="1:21" x14ac:dyDescent="0.2">
      <c r="A1090" s="19" t="s">
        <v>960</v>
      </c>
      <c r="B1090" s="20">
        <v>45664</v>
      </c>
      <c r="C1090" s="20">
        <v>45653</v>
      </c>
      <c r="D1090" s="19" t="s">
        <v>128</v>
      </c>
      <c r="E1090" s="19" t="s">
        <v>129</v>
      </c>
      <c r="G1090" s="19" t="s">
        <v>953</v>
      </c>
      <c r="H1090" s="19" t="s">
        <v>958</v>
      </c>
      <c r="I1090" s="19" t="s">
        <v>959</v>
      </c>
      <c r="J1090" s="11" t="str">
        <f>+LEFT(U1090,4)</f>
        <v>RIV-</v>
      </c>
      <c r="K1090" s="19" t="s">
        <v>10</v>
      </c>
      <c r="L1090" s="19">
        <v>1000</v>
      </c>
      <c r="M1090" s="19" t="s">
        <v>1472</v>
      </c>
      <c r="N1090" s="19" t="s">
        <v>11</v>
      </c>
      <c r="O1090" s="26">
        <v>4.8000000000000001E-2</v>
      </c>
      <c r="P1090" s="12">
        <f>ROUND(O1090*L1090,2)</f>
        <v>48</v>
      </c>
      <c r="Q1090" s="13">
        <f>IF(N1090="HKD",7.8,IF(N1090="CNY",7.30034,1))</f>
        <v>7.3003400000000003</v>
      </c>
      <c r="R1090" s="15">
        <f>+ROUND(O1090/Q1090,4)</f>
        <v>6.6E-3</v>
      </c>
      <c r="S1090" s="14">
        <f>ROUND(R1090*L1090,2)</f>
        <v>6.6</v>
      </c>
      <c r="T1090" s="15" t="s">
        <v>349</v>
      </c>
      <c r="U1090" s="19" t="s">
        <v>132</v>
      </c>
    </row>
    <row r="1091" spans="1:21" x14ac:dyDescent="0.2">
      <c r="A1091" s="19" t="s">
        <v>956</v>
      </c>
      <c r="B1091" s="20">
        <v>45664</v>
      </c>
      <c r="C1091" s="20">
        <v>45653</v>
      </c>
      <c r="D1091" s="19" t="s">
        <v>128</v>
      </c>
      <c r="E1091" s="19" t="s">
        <v>129</v>
      </c>
      <c r="G1091" s="19" t="s">
        <v>953</v>
      </c>
      <c r="H1091" s="19" t="s">
        <v>954</v>
      </c>
      <c r="I1091" s="19" t="s">
        <v>955</v>
      </c>
      <c r="J1091" s="11" t="str">
        <f>+LEFT(U1091,4)</f>
        <v>RIV-</v>
      </c>
      <c r="K1091" s="19" t="s">
        <v>10</v>
      </c>
      <c r="L1091" s="19">
        <v>2100</v>
      </c>
      <c r="M1091" s="19" t="s">
        <v>1472</v>
      </c>
      <c r="N1091" s="19" t="s">
        <v>11</v>
      </c>
      <c r="O1091" s="26">
        <v>7.0099999999999996E-2</v>
      </c>
      <c r="P1091" s="12">
        <f>ROUND(O1091*L1091,2)</f>
        <v>147.21</v>
      </c>
      <c r="Q1091" s="13">
        <f>IF(N1091="HKD",7.8,IF(N1091="CNY",7.30034,1))</f>
        <v>7.3003400000000003</v>
      </c>
      <c r="R1091" s="15">
        <f>+ROUND(O1091/Q1091,4)</f>
        <v>9.5999999999999992E-3</v>
      </c>
      <c r="S1091" s="14">
        <f>ROUND(R1091*L1091,2)</f>
        <v>20.16</v>
      </c>
      <c r="T1091" s="15" t="s">
        <v>349</v>
      </c>
      <c r="U1091" s="19" t="s">
        <v>132</v>
      </c>
    </row>
    <row r="1092" spans="1:21" x14ac:dyDescent="0.2">
      <c r="A1092" s="19" t="s">
        <v>957</v>
      </c>
      <c r="B1092" s="20">
        <v>45664</v>
      </c>
      <c r="C1092" s="20">
        <v>45610</v>
      </c>
      <c r="D1092" s="19" t="s">
        <v>128</v>
      </c>
      <c r="E1092" s="19" t="s">
        <v>129</v>
      </c>
      <c r="G1092" s="19" t="s">
        <v>953</v>
      </c>
      <c r="H1092" s="19" t="s">
        <v>950</v>
      </c>
      <c r="I1092" s="19" t="s">
        <v>951</v>
      </c>
      <c r="J1092" s="11" t="str">
        <f>+LEFT(U1092,4)</f>
        <v>RIV-</v>
      </c>
      <c r="K1092" s="19" t="s">
        <v>10</v>
      </c>
      <c r="L1092" s="19">
        <v>2000</v>
      </c>
      <c r="M1092" s="19" t="s">
        <v>1472</v>
      </c>
      <c r="N1092" s="19" t="s">
        <v>11</v>
      </c>
      <c r="O1092" s="26">
        <v>0.1016</v>
      </c>
      <c r="P1092" s="12">
        <f>ROUND(O1092*L1092,2)</f>
        <v>203.2</v>
      </c>
      <c r="Q1092" s="13">
        <f>IF(N1092="HKD",7.8,IF(N1092="CNY",7.30034,1))</f>
        <v>7.3003400000000003</v>
      </c>
      <c r="R1092" s="15">
        <f>+ROUND(O1092/Q1092,4)</f>
        <v>1.3899999999999999E-2</v>
      </c>
      <c r="S1092" s="14">
        <f>ROUND(R1092*L1092,2)</f>
        <v>27.8</v>
      </c>
      <c r="T1092" s="15" t="s">
        <v>349</v>
      </c>
      <c r="U1092" s="19" t="s">
        <v>132</v>
      </c>
    </row>
    <row r="1093" spans="1:21" x14ac:dyDescent="0.2">
      <c r="A1093" s="19" t="s">
        <v>952</v>
      </c>
      <c r="B1093" s="20">
        <v>45664</v>
      </c>
      <c r="C1093" s="20">
        <v>45644</v>
      </c>
      <c r="D1093" s="19" t="s">
        <v>128</v>
      </c>
      <c r="E1093" s="19" t="s">
        <v>129</v>
      </c>
      <c r="G1093" s="19" t="s">
        <v>953</v>
      </c>
      <c r="H1093" s="19" t="s">
        <v>950</v>
      </c>
      <c r="I1093" s="19" t="s">
        <v>951</v>
      </c>
      <c r="J1093" s="11" t="str">
        <f>+LEFT(U1093,4)</f>
        <v>RIV-</v>
      </c>
      <c r="K1093" s="19" t="s">
        <v>10</v>
      </c>
      <c r="L1093" s="19">
        <v>600</v>
      </c>
      <c r="M1093" s="19" t="s">
        <v>1472</v>
      </c>
      <c r="N1093" s="19" t="s">
        <v>11</v>
      </c>
      <c r="O1093" s="26">
        <v>0.1016</v>
      </c>
      <c r="P1093" s="12">
        <f>ROUND(O1093*L1093,2)</f>
        <v>60.96</v>
      </c>
      <c r="Q1093" s="13">
        <f>IF(N1093="HKD",7.8,IF(N1093="CNY",7.30034,1))</f>
        <v>7.3003400000000003</v>
      </c>
      <c r="R1093" s="15">
        <f>+ROUND(O1093/Q1093,4)</f>
        <v>1.3899999999999999E-2</v>
      </c>
      <c r="S1093" s="14">
        <f>ROUND(R1093*L1093,2)</f>
        <v>8.34</v>
      </c>
      <c r="T1093" s="15" t="s">
        <v>349</v>
      </c>
      <c r="U1093" s="19" t="s">
        <v>132</v>
      </c>
    </row>
    <row r="1094" spans="1:21" x14ac:dyDescent="0.2">
      <c r="A1094" s="19" t="s">
        <v>237</v>
      </c>
      <c r="B1094" s="20">
        <v>45674</v>
      </c>
      <c r="C1094" s="20">
        <v>45660</v>
      </c>
      <c r="D1094" s="19" t="s">
        <v>235</v>
      </c>
      <c r="E1094" s="19" t="s">
        <v>236</v>
      </c>
      <c r="G1094" s="19" t="s">
        <v>238</v>
      </c>
      <c r="H1094" s="19" t="s">
        <v>233</v>
      </c>
      <c r="I1094" s="19" t="s">
        <v>234</v>
      </c>
      <c r="J1094" s="11" t="str">
        <f>+LEFT(U1094,4)</f>
        <v>RIV-</v>
      </c>
      <c r="K1094" s="19" t="s">
        <v>10</v>
      </c>
      <c r="L1094" s="19">
        <v>2000</v>
      </c>
      <c r="M1094" s="19" t="s">
        <v>1472</v>
      </c>
      <c r="N1094" s="19" t="s">
        <v>11</v>
      </c>
      <c r="O1094" s="26">
        <v>4.1599999999999998E-2</v>
      </c>
      <c r="P1094" s="12">
        <f>ROUND(O1094*L1094,2)</f>
        <v>83.2</v>
      </c>
      <c r="Q1094" s="13">
        <f>IF(N1094="HKD",7.8,IF(N1094="CNY",7.30034,1))</f>
        <v>7.3003400000000003</v>
      </c>
      <c r="R1094" s="15">
        <f>+ROUND(O1094/Q1094,4)</f>
        <v>5.7000000000000002E-3</v>
      </c>
      <c r="S1094" s="14">
        <f>ROUND(R1094*L1094,2)</f>
        <v>11.4</v>
      </c>
      <c r="T1094" s="15" t="s">
        <v>349</v>
      </c>
      <c r="U1094" s="19" t="s">
        <v>132</v>
      </c>
    </row>
    <row r="1095" spans="1:21" x14ac:dyDescent="0.2">
      <c r="A1095" s="19" t="s">
        <v>241</v>
      </c>
      <c r="B1095" s="20">
        <v>45674</v>
      </c>
      <c r="C1095" s="20">
        <v>45646</v>
      </c>
      <c r="D1095" s="19" t="s">
        <v>235</v>
      </c>
      <c r="E1095" s="19" t="s">
        <v>236</v>
      </c>
      <c r="G1095" s="19" t="s">
        <v>238</v>
      </c>
      <c r="H1095" s="19" t="s">
        <v>239</v>
      </c>
      <c r="I1095" s="19" t="s">
        <v>240</v>
      </c>
      <c r="J1095" s="11" t="str">
        <f>+LEFT(U1095,4)</f>
        <v>RIV-</v>
      </c>
      <c r="K1095" s="19" t="s">
        <v>10</v>
      </c>
      <c r="L1095" s="19">
        <v>18400</v>
      </c>
      <c r="M1095" s="19" t="s">
        <v>1472</v>
      </c>
      <c r="N1095" s="19" t="s">
        <v>11</v>
      </c>
      <c r="O1095" s="26">
        <v>0.16120000000000001</v>
      </c>
      <c r="P1095" s="12">
        <f>ROUND(O1095*L1095,2)</f>
        <v>2966.08</v>
      </c>
      <c r="Q1095" s="13">
        <f>IF(N1095="HKD",7.8,IF(N1095="CNY",7.30034,1))</f>
        <v>7.3003400000000003</v>
      </c>
      <c r="R1095" s="15">
        <f>+ROUND(O1095/Q1095,4)</f>
        <v>2.2100000000000002E-2</v>
      </c>
      <c r="S1095" s="14">
        <f>ROUND(R1095*L1095,2)</f>
        <v>406.64</v>
      </c>
      <c r="T1095" s="15" t="s">
        <v>349</v>
      </c>
      <c r="U1095" s="19" t="s">
        <v>132</v>
      </c>
    </row>
    <row r="1096" spans="1:21" x14ac:dyDescent="0.2">
      <c r="A1096" s="19" t="s">
        <v>244</v>
      </c>
      <c r="B1096" s="20">
        <v>45674</v>
      </c>
      <c r="C1096" s="20">
        <v>45611</v>
      </c>
      <c r="D1096" s="19" t="s">
        <v>235</v>
      </c>
      <c r="E1096" s="19" t="s">
        <v>236</v>
      </c>
      <c r="G1096" s="19" t="s">
        <v>238</v>
      </c>
      <c r="H1096" s="19" t="s">
        <v>242</v>
      </c>
      <c r="I1096" s="19" t="s">
        <v>243</v>
      </c>
      <c r="J1096" s="11" t="str">
        <f>+LEFT(U1096,4)</f>
        <v>RIV-</v>
      </c>
      <c r="K1096" s="19" t="s">
        <v>10</v>
      </c>
      <c r="L1096" s="19">
        <v>4100</v>
      </c>
      <c r="M1096" s="19" t="s">
        <v>1472</v>
      </c>
      <c r="N1096" s="19" t="s">
        <v>11</v>
      </c>
      <c r="O1096" s="26">
        <v>0.1865</v>
      </c>
      <c r="P1096" s="12">
        <f>ROUND(O1096*L1096,2)</f>
        <v>764.65</v>
      </c>
      <c r="Q1096" s="13">
        <f>IF(N1096="HKD",7.8,IF(N1096="CNY",7.30034,1))</f>
        <v>7.3003400000000003</v>
      </c>
      <c r="R1096" s="15">
        <f>+ROUND(O1096/Q1096,4)</f>
        <v>2.5499999999999998E-2</v>
      </c>
      <c r="S1096" s="14">
        <f>ROUND(R1096*L1096,2)</f>
        <v>104.55</v>
      </c>
      <c r="T1096" s="15" t="s">
        <v>349</v>
      </c>
      <c r="U1096" s="19" t="s">
        <v>132</v>
      </c>
    </row>
    <row r="1097" spans="1:21" x14ac:dyDescent="0.2">
      <c r="A1097" s="19" t="s">
        <v>130</v>
      </c>
      <c r="B1097" s="20">
        <v>45677</v>
      </c>
      <c r="C1097" s="20">
        <v>45664</v>
      </c>
      <c r="D1097" s="19" t="s">
        <v>128</v>
      </c>
      <c r="E1097" s="19" t="s">
        <v>129</v>
      </c>
      <c r="G1097" s="19" t="s">
        <v>131</v>
      </c>
      <c r="H1097" s="19" t="s">
        <v>126</v>
      </c>
      <c r="I1097" s="19" t="s">
        <v>127</v>
      </c>
      <c r="J1097" s="11" t="str">
        <f>+LEFT(U1097,4)</f>
        <v>RIV-</v>
      </c>
      <c r="K1097" s="19" t="s">
        <v>10</v>
      </c>
      <c r="L1097" s="19">
        <v>1000</v>
      </c>
      <c r="M1097" s="19" t="s">
        <v>1472</v>
      </c>
      <c r="N1097" s="19" t="s">
        <v>11</v>
      </c>
      <c r="O1097" s="26">
        <v>8.7300000000000003E-2</v>
      </c>
      <c r="P1097" s="12">
        <f>ROUND(O1097*L1097,2)</f>
        <v>87.3</v>
      </c>
      <c r="Q1097" s="13">
        <f>IF(N1097="HKD",7.8,IF(N1097="CNY",7.30034,1))</f>
        <v>7.3003400000000003</v>
      </c>
      <c r="R1097" s="15">
        <f>+ROUND(O1097/Q1097,4)</f>
        <v>1.2E-2</v>
      </c>
      <c r="S1097" s="14">
        <f>ROUND(R1097*L1097,2)</f>
        <v>12</v>
      </c>
      <c r="T1097" s="15" t="s">
        <v>349</v>
      </c>
      <c r="U1097" s="19" t="s">
        <v>132</v>
      </c>
    </row>
    <row r="1098" spans="1:21" x14ac:dyDescent="0.2">
      <c r="A1098" t="s">
        <v>1867</v>
      </c>
      <c r="B1098" s="24">
        <v>45705</v>
      </c>
      <c r="C1098" s="24">
        <v>45671</v>
      </c>
      <c r="D1098" t="s">
        <v>235</v>
      </c>
      <c r="E1098" t="s">
        <v>236</v>
      </c>
      <c r="G1098" t="s">
        <v>2150</v>
      </c>
      <c r="H1098" s="19" t="s">
        <v>239</v>
      </c>
      <c r="I1098" s="19" t="s">
        <v>240</v>
      </c>
      <c r="J1098" s="11" t="str">
        <f>+LEFT(U1098,4)</f>
        <v>RIV-</v>
      </c>
      <c r="K1098" t="s">
        <v>10</v>
      </c>
      <c r="L1098" s="19">
        <v>10000</v>
      </c>
      <c r="M1098" t="s">
        <v>1472</v>
      </c>
      <c r="N1098" t="s">
        <v>11</v>
      </c>
      <c r="O1098" s="26">
        <v>0.16120000000000001</v>
      </c>
      <c r="P1098" s="12">
        <f>ROUND(O1098*L1098,2)</f>
        <v>1612</v>
      </c>
      <c r="Q1098" s="13">
        <f>IF(N1098="HKD",7.8,IF(N1098="CNY",7.30034,1))</f>
        <v>7.3003400000000003</v>
      </c>
      <c r="R1098" s="15">
        <f>+ROUND(O1098/Q1098,4)</f>
        <v>2.2100000000000002E-2</v>
      </c>
      <c r="S1098" s="14">
        <f>ROUND(R1098*L1098,2)</f>
        <v>221</v>
      </c>
      <c r="T1098" s="15" t="s">
        <v>349</v>
      </c>
      <c r="U1098" t="s">
        <v>132</v>
      </c>
    </row>
    <row r="1099" spans="1:21" x14ac:dyDescent="0.2">
      <c r="A1099" t="s">
        <v>1868</v>
      </c>
      <c r="B1099" s="24">
        <v>45705</v>
      </c>
      <c r="C1099" s="24">
        <v>45674</v>
      </c>
      <c r="D1099" t="s">
        <v>235</v>
      </c>
      <c r="E1099" t="s">
        <v>236</v>
      </c>
      <c r="G1099" t="s">
        <v>2150</v>
      </c>
      <c r="H1099" s="19" t="s">
        <v>239</v>
      </c>
      <c r="I1099" s="19" t="s">
        <v>240</v>
      </c>
      <c r="J1099" s="11" t="str">
        <f>+LEFT(U1099,4)</f>
        <v>RIV-</v>
      </c>
      <c r="K1099" t="s">
        <v>10</v>
      </c>
      <c r="L1099" s="19">
        <v>15000</v>
      </c>
      <c r="M1099" t="s">
        <v>1472</v>
      </c>
      <c r="N1099" t="s">
        <v>11</v>
      </c>
      <c r="O1099" s="26">
        <v>0.16120000000000001</v>
      </c>
      <c r="P1099" s="12">
        <f>ROUND(O1099*L1099,2)</f>
        <v>2418</v>
      </c>
      <c r="Q1099" s="13">
        <f>IF(N1099="HKD",7.8,IF(N1099="CNY",7.30034,1))</f>
        <v>7.3003400000000003</v>
      </c>
      <c r="R1099" s="15">
        <f>+ROUND(O1099/Q1099,4)</f>
        <v>2.2100000000000002E-2</v>
      </c>
      <c r="S1099" s="14">
        <f>ROUND(R1099*L1099,2)</f>
        <v>331.5</v>
      </c>
      <c r="T1099" s="15" t="s">
        <v>349</v>
      </c>
      <c r="U1099" t="s">
        <v>132</v>
      </c>
    </row>
    <row r="1100" spans="1:21" x14ac:dyDescent="0.2">
      <c r="A1100" t="s">
        <v>1847</v>
      </c>
      <c r="B1100" s="24">
        <v>45712</v>
      </c>
      <c r="C1100" s="24">
        <v>45664</v>
      </c>
      <c r="D1100" t="s">
        <v>128</v>
      </c>
      <c r="E1100" t="s">
        <v>129</v>
      </c>
      <c r="G1100" t="s">
        <v>2146</v>
      </c>
      <c r="H1100" s="19" t="s">
        <v>1587</v>
      </c>
      <c r="I1100" s="19" t="s">
        <v>1588</v>
      </c>
      <c r="J1100" s="11" t="str">
        <f>+LEFT(U1100,4)</f>
        <v>RIV-</v>
      </c>
      <c r="K1100" t="s">
        <v>10</v>
      </c>
      <c r="L1100" s="19">
        <v>10000</v>
      </c>
      <c r="M1100" t="s">
        <v>1472</v>
      </c>
      <c r="N1100" t="s">
        <v>11</v>
      </c>
      <c r="O1100" s="26">
        <v>9.6100000000000005E-2</v>
      </c>
      <c r="P1100" s="12">
        <f>ROUND(O1100*L1100,2)</f>
        <v>961</v>
      </c>
      <c r="Q1100" s="13">
        <f>IF(N1100="HKD",7.8,IF(N1100="CNY",7.30034,1))</f>
        <v>7.3003400000000003</v>
      </c>
      <c r="R1100" s="15">
        <f>+ROUND(O1100/Q1100,4)</f>
        <v>1.32E-2</v>
      </c>
      <c r="S1100" s="14">
        <f>ROUND(R1100*L1100,2)</f>
        <v>132</v>
      </c>
      <c r="T1100" s="15" t="s">
        <v>349</v>
      </c>
      <c r="U1100" t="s">
        <v>132</v>
      </c>
    </row>
    <row r="1101" spans="1:21" x14ac:dyDescent="0.2">
      <c r="A1101" t="s">
        <v>1848</v>
      </c>
      <c r="B1101" s="24">
        <v>45712</v>
      </c>
      <c r="C1101" s="24">
        <v>45674</v>
      </c>
      <c r="D1101" t="s">
        <v>128</v>
      </c>
      <c r="E1101" t="s">
        <v>129</v>
      </c>
      <c r="G1101" t="s">
        <v>2146</v>
      </c>
      <c r="H1101" s="19" t="s">
        <v>1587</v>
      </c>
      <c r="I1101" s="19" t="s">
        <v>1588</v>
      </c>
      <c r="J1101" s="11" t="str">
        <f>+LEFT(U1101,4)</f>
        <v>RIV-</v>
      </c>
      <c r="K1101" t="s">
        <v>10</v>
      </c>
      <c r="L1101" s="19">
        <v>3000</v>
      </c>
      <c r="M1101" t="s">
        <v>1472</v>
      </c>
      <c r="N1101" t="s">
        <v>11</v>
      </c>
      <c r="O1101" s="26">
        <v>9.6100000000000005E-2</v>
      </c>
      <c r="P1101" s="12">
        <f>ROUND(O1101*L1101,2)</f>
        <v>288.3</v>
      </c>
      <c r="Q1101" s="13">
        <f>IF(N1101="HKD",7.8,IF(N1101="CNY",7.30034,1))</f>
        <v>7.3003400000000003</v>
      </c>
      <c r="R1101" s="15">
        <f>+ROUND(O1101/Q1101,4)</f>
        <v>1.32E-2</v>
      </c>
      <c r="S1101" s="14">
        <f>ROUND(R1101*L1101,2)</f>
        <v>39.6</v>
      </c>
      <c r="T1101" s="15" t="s">
        <v>349</v>
      </c>
      <c r="U1101" t="s">
        <v>132</v>
      </c>
    </row>
    <row r="1102" spans="1:21" x14ac:dyDescent="0.2">
      <c r="A1102" t="s">
        <v>1852</v>
      </c>
      <c r="B1102" s="24">
        <v>45712</v>
      </c>
      <c r="C1102" s="24">
        <v>45674</v>
      </c>
      <c r="D1102" t="s">
        <v>128</v>
      </c>
      <c r="E1102" t="s">
        <v>129</v>
      </c>
      <c r="G1102" t="s">
        <v>2146</v>
      </c>
      <c r="H1102" s="19" t="s">
        <v>950</v>
      </c>
      <c r="I1102" s="19" t="s">
        <v>951</v>
      </c>
      <c r="J1102" s="11" t="str">
        <f>+LEFT(U1102,4)</f>
        <v>RIV-</v>
      </c>
      <c r="K1102" t="s">
        <v>10</v>
      </c>
      <c r="L1102" s="19">
        <v>2000</v>
      </c>
      <c r="M1102" t="s">
        <v>1472</v>
      </c>
      <c r="N1102" t="s">
        <v>11</v>
      </c>
      <c r="O1102" s="26">
        <v>0.1016</v>
      </c>
      <c r="P1102" s="12">
        <f>ROUND(O1102*L1102,2)</f>
        <v>203.2</v>
      </c>
      <c r="Q1102" s="13">
        <f>IF(N1102="HKD",7.8,IF(N1102="CNY",7.30034,1))</f>
        <v>7.3003400000000003</v>
      </c>
      <c r="R1102" s="15">
        <f>+ROUND(O1102/Q1102,4)</f>
        <v>1.3899999999999999E-2</v>
      </c>
      <c r="S1102" s="14">
        <f>ROUND(R1102*L1102,2)</f>
        <v>27.8</v>
      </c>
      <c r="T1102" s="15" t="s">
        <v>349</v>
      </c>
      <c r="U1102" t="s">
        <v>132</v>
      </c>
    </row>
    <row r="1103" spans="1:21" x14ac:dyDescent="0.2">
      <c r="A1103" t="s">
        <v>1864</v>
      </c>
      <c r="B1103" s="24">
        <v>45712</v>
      </c>
      <c r="C1103" s="24">
        <v>45664</v>
      </c>
      <c r="D1103" t="s">
        <v>235</v>
      </c>
      <c r="E1103" t="s">
        <v>236</v>
      </c>
      <c r="G1103" t="s">
        <v>2149</v>
      </c>
      <c r="H1103" s="19" t="s">
        <v>1352</v>
      </c>
      <c r="I1103" s="19" t="s">
        <v>1353</v>
      </c>
      <c r="J1103" s="11" t="str">
        <f>+LEFT(U1103,4)</f>
        <v>RIV-</v>
      </c>
      <c r="K1103" t="s">
        <v>10</v>
      </c>
      <c r="L1103" s="19">
        <v>4800</v>
      </c>
      <c r="M1103" t="s">
        <v>1472</v>
      </c>
      <c r="N1103" t="s">
        <v>11</v>
      </c>
      <c r="O1103" s="26">
        <v>0.13550000000000001</v>
      </c>
      <c r="P1103" s="12">
        <f>ROUND(O1103*L1103,2)</f>
        <v>650.4</v>
      </c>
      <c r="Q1103" s="13">
        <f>IF(N1103="HKD",7.8,IF(N1103="CNY",7.30034,1))</f>
        <v>7.3003400000000003</v>
      </c>
      <c r="R1103" s="15">
        <f>+ROUND(O1103/Q1103,4)</f>
        <v>1.8599999999999998E-2</v>
      </c>
      <c r="S1103" s="14">
        <f>ROUND(R1103*L1103,2)</f>
        <v>89.28</v>
      </c>
      <c r="T1103" s="15" t="s">
        <v>349</v>
      </c>
      <c r="U1103" t="s">
        <v>132</v>
      </c>
    </row>
    <row r="1104" spans="1:21" x14ac:dyDescent="0.2">
      <c r="A1104" t="s">
        <v>1872</v>
      </c>
      <c r="B1104" s="24">
        <v>45712</v>
      </c>
      <c r="C1104" s="24">
        <v>45664</v>
      </c>
      <c r="D1104" t="s">
        <v>235</v>
      </c>
      <c r="E1104" t="s">
        <v>236</v>
      </c>
      <c r="G1104" t="s">
        <v>2149</v>
      </c>
      <c r="H1104" s="19" t="s">
        <v>1361</v>
      </c>
      <c r="I1104" s="19" t="s">
        <v>1362</v>
      </c>
      <c r="J1104" s="11" t="str">
        <f>+LEFT(U1104,4)</f>
        <v>RIV-</v>
      </c>
      <c r="K1104" t="s">
        <v>10</v>
      </c>
      <c r="L1104" s="19">
        <v>17000</v>
      </c>
      <c r="M1104" t="s">
        <v>1472</v>
      </c>
      <c r="N1104" t="s">
        <v>11</v>
      </c>
      <c r="O1104" s="26">
        <v>0.17649999999999999</v>
      </c>
      <c r="P1104" s="12">
        <f>ROUND(O1104*L1104,2)</f>
        <v>3000.5</v>
      </c>
      <c r="Q1104" s="13">
        <f>IF(N1104="HKD",7.8,IF(N1104="CNY",7.30034,1))</f>
        <v>7.3003400000000003</v>
      </c>
      <c r="R1104" s="15">
        <f>+ROUND(O1104/Q1104,4)</f>
        <v>2.4199999999999999E-2</v>
      </c>
      <c r="S1104" s="14">
        <f>ROUND(R1104*L1104,2)</f>
        <v>411.4</v>
      </c>
      <c r="T1104" s="15" t="s">
        <v>349</v>
      </c>
      <c r="U1104" t="s">
        <v>132</v>
      </c>
    </row>
    <row r="1105" spans="1:21" x14ac:dyDescent="0.2">
      <c r="A1105" t="s">
        <v>1873</v>
      </c>
      <c r="B1105" s="24">
        <v>45712</v>
      </c>
      <c r="C1105" s="24">
        <v>45695</v>
      </c>
      <c r="D1105" t="s">
        <v>235</v>
      </c>
      <c r="E1105" t="s">
        <v>236</v>
      </c>
      <c r="G1105" t="s">
        <v>2149</v>
      </c>
      <c r="H1105" s="19" t="s">
        <v>1361</v>
      </c>
      <c r="I1105" s="19" t="s">
        <v>1362</v>
      </c>
      <c r="J1105" s="11" t="str">
        <f>+LEFT(U1105,4)</f>
        <v>RIV-</v>
      </c>
      <c r="K1105" t="s">
        <v>10</v>
      </c>
      <c r="L1105" s="19">
        <v>3000</v>
      </c>
      <c r="M1105" t="s">
        <v>1472</v>
      </c>
      <c r="N1105" t="s">
        <v>11</v>
      </c>
      <c r="O1105" s="26">
        <v>0.17649999999999999</v>
      </c>
      <c r="P1105" s="12">
        <f>ROUND(O1105*L1105,2)</f>
        <v>529.5</v>
      </c>
      <c r="Q1105" s="13">
        <f>IF(N1105="HKD",7.8,IF(N1105="CNY",7.30034,1))</f>
        <v>7.3003400000000003</v>
      </c>
      <c r="R1105" s="15">
        <f>+ROUND(O1105/Q1105,4)</f>
        <v>2.4199999999999999E-2</v>
      </c>
      <c r="S1105" s="14">
        <f>ROUND(R1105*L1105,2)</f>
        <v>72.599999999999994</v>
      </c>
      <c r="T1105" s="15" t="s">
        <v>349</v>
      </c>
      <c r="U1105" t="s">
        <v>132</v>
      </c>
    </row>
    <row r="1106" spans="1:21" x14ac:dyDescent="0.2">
      <c r="A1106" t="s">
        <v>1880</v>
      </c>
      <c r="B1106" s="24">
        <v>45712</v>
      </c>
      <c r="C1106" s="24">
        <v>45698</v>
      </c>
      <c r="D1106" t="s">
        <v>235</v>
      </c>
      <c r="E1106" t="s">
        <v>236</v>
      </c>
      <c r="G1106" t="s">
        <v>2153</v>
      </c>
      <c r="H1106" s="19" t="s">
        <v>1358</v>
      </c>
      <c r="I1106" s="19" t="s">
        <v>1359</v>
      </c>
      <c r="J1106" s="11" t="str">
        <f>+LEFT(U1106,4)</f>
        <v>RIV-</v>
      </c>
      <c r="K1106" t="s">
        <v>10</v>
      </c>
      <c r="L1106" s="19">
        <v>8000</v>
      </c>
      <c r="M1106" t="s">
        <v>1472</v>
      </c>
      <c r="N1106" t="s">
        <v>11</v>
      </c>
      <c r="O1106" s="26">
        <v>0.2331</v>
      </c>
      <c r="P1106" s="12">
        <f>ROUND(O1106*L1106,2)</f>
        <v>1864.8</v>
      </c>
      <c r="Q1106" s="13">
        <f>IF(N1106="HKD",7.8,IF(N1106="CNY",7.30034,1))</f>
        <v>7.3003400000000003</v>
      </c>
      <c r="R1106" s="15">
        <f>+ROUND(O1106/Q1106,4)</f>
        <v>3.1899999999999998E-2</v>
      </c>
      <c r="S1106" s="14">
        <f>ROUND(R1106*L1106,2)</f>
        <v>255.2</v>
      </c>
      <c r="T1106" s="15" t="s">
        <v>349</v>
      </c>
      <c r="U1106" t="s">
        <v>132</v>
      </c>
    </row>
    <row r="1107" spans="1:21" x14ac:dyDescent="0.2">
      <c r="A1107" t="s">
        <v>2289</v>
      </c>
      <c r="B1107" s="24">
        <v>45730</v>
      </c>
      <c r="C1107" s="24">
        <v>45630</v>
      </c>
      <c r="D1107" t="s">
        <v>94</v>
      </c>
      <c r="E1107" t="s">
        <v>95</v>
      </c>
      <c r="G1107" t="s">
        <v>2853</v>
      </c>
      <c r="H1107" t="s">
        <v>360</v>
      </c>
      <c r="I1107" t="s">
        <v>361</v>
      </c>
      <c r="J1107" s="11" t="str">
        <f>+LEFT(U1107,4)</f>
        <v>SKU-</v>
      </c>
      <c r="K1107" t="s">
        <v>98</v>
      </c>
      <c r="L1107">
        <v>1320</v>
      </c>
      <c r="M1107" t="s">
        <v>1472</v>
      </c>
      <c r="N1107" t="s">
        <v>11</v>
      </c>
      <c r="O1107">
        <v>5.8230000000000004</v>
      </c>
      <c r="P1107" s="12">
        <f>ROUND(O1107*L1107,2)</f>
        <v>7686.36</v>
      </c>
      <c r="Q1107" s="13">
        <f>IF(N1107="HKD",7.8,IF(N1107="CNY",7.30034,1))</f>
        <v>7.3003400000000003</v>
      </c>
      <c r="R1107" s="15">
        <f>+ROUND(O1107/Q1107,4)</f>
        <v>0.79759999999999998</v>
      </c>
      <c r="S1107" s="14">
        <f>ROUND(R1107*L1107,2)</f>
        <v>1052.83</v>
      </c>
      <c r="T1107" s="15" t="s">
        <v>349</v>
      </c>
      <c r="U1107" t="s">
        <v>2</v>
      </c>
    </row>
    <row r="1108" spans="1:21" x14ac:dyDescent="0.2">
      <c r="A1108" t="s">
        <v>2289</v>
      </c>
      <c r="B1108" s="24">
        <v>45730</v>
      </c>
      <c r="C1108" s="24">
        <v>45630</v>
      </c>
      <c r="D1108" t="s">
        <v>94</v>
      </c>
      <c r="E1108" t="s">
        <v>95</v>
      </c>
      <c r="G1108" t="s">
        <v>2854</v>
      </c>
      <c r="H1108" t="s">
        <v>360</v>
      </c>
      <c r="I1108" t="s">
        <v>361</v>
      </c>
      <c r="J1108" s="11" t="str">
        <f>+LEFT(U1108,4)</f>
        <v>SKU-</v>
      </c>
      <c r="K1108" t="s">
        <v>98</v>
      </c>
      <c r="L1108">
        <v>7600</v>
      </c>
      <c r="M1108" t="s">
        <v>1472</v>
      </c>
      <c r="N1108" t="s">
        <v>11</v>
      </c>
      <c r="O1108">
        <v>5.8230000000000004</v>
      </c>
      <c r="P1108" s="12">
        <f>ROUND(O1108*L1108,2)</f>
        <v>44254.8</v>
      </c>
      <c r="Q1108" s="13">
        <f>IF(N1108="HKD",7.8,IF(N1108="CNY",7.30034,1))</f>
        <v>7.3003400000000003</v>
      </c>
      <c r="R1108" s="15">
        <f>+ROUND(O1108/Q1108,4)</f>
        <v>0.79759999999999998</v>
      </c>
      <c r="S1108" s="14">
        <f>ROUND(R1108*L1108,2)</f>
        <v>6061.76</v>
      </c>
      <c r="T1108" s="15" t="s">
        <v>349</v>
      </c>
      <c r="U1108" t="s">
        <v>2</v>
      </c>
    </row>
    <row r="1109" spans="1:21" x14ac:dyDescent="0.2">
      <c r="A1109" t="s">
        <v>2289</v>
      </c>
      <c r="B1109" s="24">
        <v>45733</v>
      </c>
      <c r="C1109" s="24">
        <v>45630</v>
      </c>
      <c r="D1109" t="s">
        <v>94</v>
      </c>
      <c r="E1109" t="s">
        <v>95</v>
      </c>
      <c r="G1109" t="s">
        <v>2852</v>
      </c>
      <c r="H1109" t="s">
        <v>360</v>
      </c>
      <c r="I1109" t="s">
        <v>361</v>
      </c>
      <c r="J1109" s="11" t="str">
        <f>+LEFT(U1109,4)</f>
        <v>SKU-</v>
      </c>
      <c r="K1109" t="s">
        <v>98</v>
      </c>
      <c r="L1109">
        <v>2380</v>
      </c>
      <c r="M1109" t="s">
        <v>1472</v>
      </c>
      <c r="N1109" t="s">
        <v>11</v>
      </c>
      <c r="O1109">
        <v>5.8230000000000004</v>
      </c>
      <c r="P1109" s="12">
        <f>ROUND(O1109*L1109,2)</f>
        <v>13858.74</v>
      </c>
      <c r="Q1109" s="13">
        <f>IF(N1109="HKD",7.8,IF(N1109="CNY",7.30034,1))</f>
        <v>7.3003400000000003</v>
      </c>
      <c r="R1109" s="15">
        <f>+ROUND(O1109/Q1109,4)</f>
        <v>0.79759999999999998</v>
      </c>
      <c r="S1109" s="14">
        <f>ROUND(R1109*L1109,2)</f>
        <v>1898.29</v>
      </c>
      <c r="T1109" s="15" t="s">
        <v>349</v>
      </c>
      <c r="U1109" t="s">
        <v>2</v>
      </c>
    </row>
    <row r="1110" spans="1:21" x14ac:dyDescent="0.2">
      <c r="A1110" t="s">
        <v>2295</v>
      </c>
      <c r="B1110" s="24">
        <v>45733</v>
      </c>
      <c r="C1110" s="24">
        <v>45646</v>
      </c>
      <c r="D1110" t="s">
        <v>94</v>
      </c>
      <c r="E1110" t="s">
        <v>95</v>
      </c>
      <c r="G1110" t="s">
        <v>2852</v>
      </c>
      <c r="H1110" t="s">
        <v>360</v>
      </c>
      <c r="I1110" t="s">
        <v>361</v>
      </c>
      <c r="J1110" s="11" t="str">
        <f>+LEFT(U1110,4)</f>
        <v>SKU-</v>
      </c>
      <c r="K1110" t="s">
        <v>98</v>
      </c>
      <c r="L1110">
        <v>6000</v>
      </c>
      <c r="M1110" t="s">
        <v>1472</v>
      </c>
      <c r="N1110" t="s">
        <v>11</v>
      </c>
      <c r="O1110">
        <v>5.8230000000000004</v>
      </c>
      <c r="P1110" s="12">
        <f>ROUND(O1110*L1110,2)</f>
        <v>34938</v>
      </c>
      <c r="Q1110" s="13">
        <f>IF(N1110="HKD",7.8,IF(N1110="CNY",7.30034,1))</f>
        <v>7.3003400000000003</v>
      </c>
      <c r="R1110" s="15">
        <f>+ROUND(O1110/Q1110,4)</f>
        <v>0.79759999999999998</v>
      </c>
      <c r="S1110" s="14">
        <f>ROUND(R1110*L1110,2)</f>
        <v>4785.6000000000004</v>
      </c>
      <c r="T1110" s="15" t="s">
        <v>349</v>
      </c>
      <c r="U1110" t="s">
        <v>2</v>
      </c>
    </row>
    <row r="1111" spans="1:21" x14ac:dyDescent="0.2">
      <c r="A1111" t="s">
        <v>918</v>
      </c>
      <c r="B1111" s="24">
        <v>45728</v>
      </c>
      <c r="C1111" s="24">
        <v>45646</v>
      </c>
      <c r="D1111" t="s">
        <v>866</v>
      </c>
      <c r="E1111" t="s">
        <v>867</v>
      </c>
      <c r="G1111" t="s">
        <v>2864</v>
      </c>
      <c r="H1111" t="s">
        <v>916</v>
      </c>
      <c r="I1111" t="s">
        <v>917</v>
      </c>
      <c r="J1111" s="11" t="s">
        <v>1484</v>
      </c>
      <c r="K1111" t="s">
        <v>10</v>
      </c>
      <c r="L1111">
        <v>24</v>
      </c>
      <c r="M1111" t="s">
        <v>1472</v>
      </c>
      <c r="N1111" t="s">
        <v>11</v>
      </c>
      <c r="O1111">
        <v>5.9381000000000004</v>
      </c>
      <c r="P1111" s="12">
        <f>ROUND(O1111*L1111,2)</f>
        <v>142.51</v>
      </c>
      <c r="Q1111" s="13">
        <f>IF(N1111="HKD",7.8,IF(N1111="CNY",7.30034,1))</f>
        <v>7.3003400000000003</v>
      </c>
      <c r="R1111" s="15">
        <f>+ROUND(O1111/Q1111,4)</f>
        <v>0.81340000000000001</v>
      </c>
      <c r="S1111" s="14">
        <f>ROUND(R1111*L1111,2)</f>
        <v>19.52</v>
      </c>
      <c r="T1111" s="15" t="s">
        <v>349</v>
      </c>
      <c r="U1111" t="s">
        <v>36</v>
      </c>
    </row>
    <row r="1112" spans="1:21" x14ac:dyDescent="0.2">
      <c r="A1112" t="s">
        <v>918</v>
      </c>
      <c r="B1112" s="24">
        <v>45728</v>
      </c>
      <c r="C1112" s="24">
        <v>45646</v>
      </c>
      <c r="D1112" t="s">
        <v>866</v>
      </c>
      <c r="E1112" t="s">
        <v>867</v>
      </c>
      <c r="G1112" t="s">
        <v>2864</v>
      </c>
      <c r="H1112" t="s">
        <v>916</v>
      </c>
      <c r="I1112" t="s">
        <v>917</v>
      </c>
      <c r="J1112" s="11" t="s">
        <v>1484</v>
      </c>
      <c r="K1112" t="s">
        <v>10</v>
      </c>
      <c r="L1112">
        <v>10008</v>
      </c>
      <c r="M1112" t="s">
        <v>1472</v>
      </c>
      <c r="N1112" t="s">
        <v>11</v>
      </c>
      <c r="O1112">
        <v>5.9381000000000004</v>
      </c>
      <c r="P1112" s="12">
        <f>ROUND(O1112*L1112,2)</f>
        <v>59428.5</v>
      </c>
      <c r="Q1112" s="13">
        <f>IF(N1112="HKD",7.8,IF(N1112="CNY",7.30034,1))</f>
        <v>7.3003400000000003</v>
      </c>
      <c r="R1112" s="15">
        <f>+ROUND(O1112/Q1112,4)</f>
        <v>0.81340000000000001</v>
      </c>
      <c r="S1112" s="14">
        <f>ROUND(R1112*L1112,2)</f>
        <v>8140.51</v>
      </c>
      <c r="T1112" s="15" t="s">
        <v>349</v>
      </c>
      <c r="U1112" t="s">
        <v>36</v>
      </c>
    </row>
    <row r="1113" spans="1:21" x14ac:dyDescent="0.2">
      <c r="A1113" t="s">
        <v>2274</v>
      </c>
      <c r="B1113" s="24">
        <v>45729</v>
      </c>
      <c r="C1113" s="24">
        <v>45498</v>
      </c>
      <c r="D1113" t="s">
        <v>866</v>
      </c>
      <c r="E1113" t="s">
        <v>867</v>
      </c>
      <c r="G1113" t="s">
        <v>2841</v>
      </c>
      <c r="H1113" t="s">
        <v>916</v>
      </c>
      <c r="I1113" t="s">
        <v>917</v>
      </c>
      <c r="J1113" s="11" t="s">
        <v>1484</v>
      </c>
      <c r="K1113" t="s">
        <v>10</v>
      </c>
      <c r="L1113">
        <v>-4992</v>
      </c>
      <c r="M1113" t="s">
        <v>1472</v>
      </c>
      <c r="N1113" t="s">
        <v>11</v>
      </c>
      <c r="O1113">
        <v>5.9381000000000004</v>
      </c>
      <c r="P1113" s="12">
        <f>ROUND(O1113*L1113,2)</f>
        <v>-29643</v>
      </c>
      <c r="Q1113" s="13">
        <f>IF(N1113="HKD",7.8,IF(N1113="CNY",7.30034,1))</f>
        <v>7.3003400000000003</v>
      </c>
      <c r="R1113" s="15">
        <f>+ROUND(O1113/Q1113,4)</f>
        <v>0.81340000000000001</v>
      </c>
      <c r="S1113" s="14">
        <f>ROUND(R1113*L1113,2)</f>
        <v>-4060.49</v>
      </c>
      <c r="T1113" s="15" t="s">
        <v>349</v>
      </c>
      <c r="U1113" t="s">
        <v>36</v>
      </c>
    </row>
    <row r="1114" spans="1:21" x14ac:dyDescent="0.2">
      <c r="A1114" t="s">
        <v>2327</v>
      </c>
      <c r="B1114" s="24">
        <v>45726</v>
      </c>
      <c r="C1114" s="24">
        <v>45664</v>
      </c>
      <c r="D1114" t="s">
        <v>2817</v>
      </c>
      <c r="E1114" t="s">
        <v>2818</v>
      </c>
      <c r="G1114" t="s">
        <v>2883</v>
      </c>
      <c r="H1114" t="s">
        <v>3083</v>
      </c>
      <c r="I1114" t="s">
        <v>3299</v>
      </c>
      <c r="J1114" s="11" t="str">
        <f>+LEFT(U1114,4)</f>
        <v>STM-</v>
      </c>
      <c r="K1114" t="s">
        <v>10</v>
      </c>
      <c r="L1114">
        <v>1008</v>
      </c>
      <c r="M1114" t="s">
        <v>1472</v>
      </c>
      <c r="N1114" t="s">
        <v>2246</v>
      </c>
      <c r="O1114">
        <v>6</v>
      </c>
      <c r="P1114" s="12">
        <f>ROUND(O1114*L1114,2)</f>
        <v>6048</v>
      </c>
      <c r="Q1114" s="13">
        <f>IF(N1114="HKD",7.8,IF(N1114="CNY",7.30034,1))</f>
        <v>1</v>
      </c>
      <c r="R1114" s="15">
        <f>+ROUND(O1114/Q1114,4)</f>
        <v>6</v>
      </c>
      <c r="S1114" s="14">
        <f>ROUND(R1114*L1114,2)</f>
        <v>6048</v>
      </c>
      <c r="T1114" s="15" t="s">
        <v>349</v>
      </c>
      <c r="U1114" t="s">
        <v>3482</v>
      </c>
    </row>
    <row r="1115" spans="1:21" x14ac:dyDescent="0.2">
      <c r="A1115" t="s">
        <v>2355</v>
      </c>
      <c r="B1115" s="24">
        <v>45735</v>
      </c>
      <c r="C1115" s="24">
        <v>45680</v>
      </c>
      <c r="D1115" t="s">
        <v>696</v>
      </c>
      <c r="E1115" t="s">
        <v>697</v>
      </c>
      <c r="G1115" t="s">
        <v>2902</v>
      </c>
      <c r="H1115" t="s">
        <v>700</v>
      </c>
      <c r="I1115" t="s">
        <v>701</v>
      </c>
      <c r="J1115" s="11" t="s">
        <v>1536</v>
      </c>
      <c r="K1115" t="s">
        <v>10</v>
      </c>
      <c r="L1115">
        <v>1900</v>
      </c>
      <c r="M1115" t="s">
        <v>1472</v>
      </c>
      <c r="N1115" t="s">
        <v>11</v>
      </c>
      <c r="O1115">
        <v>6.01</v>
      </c>
      <c r="P1115" s="12">
        <f>ROUND(O1115*L1115,2)</f>
        <v>11419</v>
      </c>
      <c r="Q1115" s="13">
        <f>IF(N1115="HKD",7.8,IF(N1115="CNY",7.30034,1))</f>
        <v>7.3003400000000003</v>
      </c>
      <c r="R1115" s="15">
        <f>+ROUND(O1115/Q1115,4)</f>
        <v>0.82320000000000004</v>
      </c>
      <c r="S1115" s="14">
        <f>ROUND(R1115*L1115,2)</f>
        <v>1564.08</v>
      </c>
      <c r="T1115" s="15" t="s">
        <v>349</v>
      </c>
      <c r="U1115" t="s">
        <v>36</v>
      </c>
    </row>
    <row r="1116" spans="1:21" x14ac:dyDescent="0.2">
      <c r="A1116" t="s">
        <v>2378</v>
      </c>
      <c r="B1116" s="24">
        <v>45735</v>
      </c>
      <c r="C1116" s="24">
        <v>45695</v>
      </c>
      <c r="D1116" t="s">
        <v>696</v>
      </c>
      <c r="E1116" t="s">
        <v>697</v>
      </c>
      <c r="G1116" t="s">
        <v>2902</v>
      </c>
      <c r="H1116" t="s">
        <v>700</v>
      </c>
      <c r="I1116" t="s">
        <v>701</v>
      </c>
      <c r="J1116" s="11" t="s">
        <v>1536</v>
      </c>
      <c r="K1116" t="s">
        <v>10</v>
      </c>
      <c r="L1116">
        <v>2100</v>
      </c>
      <c r="M1116" t="s">
        <v>1472</v>
      </c>
      <c r="N1116" t="s">
        <v>11</v>
      </c>
      <c r="O1116">
        <v>6.01</v>
      </c>
      <c r="P1116" s="12">
        <f>ROUND(O1116*L1116,2)</f>
        <v>12621</v>
      </c>
      <c r="Q1116" s="13">
        <f>IF(N1116="HKD",7.8,IF(N1116="CNY",7.30034,1))</f>
        <v>7.3003400000000003</v>
      </c>
      <c r="R1116" s="15">
        <f>+ROUND(O1116/Q1116,4)</f>
        <v>0.82320000000000004</v>
      </c>
      <c r="S1116" s="14">
        <f>ROUND(R1116*L1116,2)</f>
        <v>1728.72</v>
      </c>
      <c r="T1116" s="15" t="s">
        <v>349</v>
      </c>
      <c r="U1116" t="s">
        <v>36</v>
      </c>
    </row>
    <row r="1117" spans="1:21" x14ac:dyDescent="0.2">
      <c r="A1117" t="s">
        <v>2385</v>
      </c>
      <c r="B1117" s="24">
        <v>45737</v>
      </c>
      <c r="C1117" s="24">
        <v>45695</v>
      </c>
      <c r="D1117" t="s">
        <v>569</v>
      </c>
      <c r="E1117" t="s">
        <v>570</v>
      </c>
      <c r="G1117" t="s">
        <v>2871</v>
      </c>
      <c r="H1117" t="s">
        <v>1780</v>
      </c>
      <c r="I1117" t="s">
        <v>1781</v>
      </c>
      <c r="J1117" s="11" t="str">
        <f>+LEFT(U1117,4)</f>
        <v>MISC</v>
      </c>
      <c r="K1117" t="s">
        <v>10</v>
      </c>
      <c r="L1117">
        <v>1100</v>
      </c>
      <c r="M1117" t="s">
        <v>1472</v>
      </c>
      <c r="N1117" t="s">
        <v>11</v>
      </c>
      <c r="O1117">
        <v>6.02</v>
      </c>
      <c r="P1117" s="12">
        <f>ROUND(O1117*L1117,2)</f>
        <v>6622</v>
      </c>
      <c r="Q1117" s="13">
        <f>IF(N1117="HKD",7.8,IF(N1117="CNY",7.30034,1))</f>
        <v>7.3003400000000003</v>
      </c>
      <c r="R1117" s="15">
        <f>+ROUND(O1117/Q1117,4)</f>
        <v>0.8246</v>
      </c>
      <c r="S1117" s="14">
        <f>ROUND(R1117*L1117,2)</f>
        <v>907.06</v>
      </c>
      <c r="T1117" s="15" t="s">
        <v>349</v>
      </c>
      <c r="U1117" t="s">
        <v>25</v>
      </c>
    </row>
    <row r="1118" spans="1:21" x14ac:dyDescent="0.2">
      <c r="A1118" t="s">
        <v>868</v>
      </c>
      <c r="B1118" s="24">
        <v>45729</v>
      </c>
      <c r="C1118" s="24">
        <v>45309</v>
      </c>
      <c r="D1118" t="s">
        <v>866</v>
      </c>
      <c r="E1118" t="s">
        <v>867</v>
      </c>
      <c r="G1118" t="s">
        <v>2837</v>
      </c>
      <c r="H1118" t="s">
        <v>864</v>
      </c>
      <c r="I1118" t="s">
        <v>865</v>
      </c>
      <c r="J1118" s="11" t="s">
        <v>1484</v>
      </c>
      <c r="K1118" t="s">
        <v>10</v>
      </c>
      <c r="L1118">
        <v>3000</v>
      </c>
      <c r="M1118" t="s">
        <v>1472</v>
      </c>
      <c r="N1118" t="s">
        <v>11</v>
      </c>
      <c r="O1118">
        <v>6.0212000000000003</v>
      </c>
      <c r="P1118" s="12">
        <f>ROUND(O1118*L1118,2)</f>
        <v>18063.599999999999</v>
      </c>
      <c r="Q1118" s="13">
        <f>IF(N1118="HKD",7.8,IF(N1118="CNY",7.30034,1))</f>
        <v>7.3003400000000003</v>
      </c>
      <c r="R1118" s="15">
        <f>+ROUND(O1118/Q1118,4)</f>
        <v>0.82479999999999998</v>
      </c>
      <c r="S1118" s="14">
        <f>ROUND(R1118*L1118,2)</f>
        <v>2474.4</v>
      </c>
      <c r="T1118" s="15" t="s">
        <v>349</v>
      </c>
      <c r="U1118" t="s">
        <v>36</v>
      </c>
    </row>
    <row r="1119" spans="1:21" x14ac:dyDescent="0.2">
      <c r="A1119" t="s">
        <v>2555</v>
      </c>
      <c r="B1119" s="24">
        <v>45744</v>
      </c>
      <c r="C1119" s="24">
        <v>45716</v>
      </c>
      <c r="D1119" t="s">
        <v>149</v>
      </c>
      <c r="E1119" t="s">
        <v>150</v>
      </c>
      <c r="G1119" t="s">
        <v>2995</v>
      </c>
      <c r="H1119" t="s">
        <v>1309</v>
      </c>
      <c r="I1119" t="s">
        <v>1310</v>
      </c>
      <c r="J1119" s="11" t="str">
        <f>+LEFT(U1119,4)</f>
        <v>GLID</v>
      </c>
      <c r="K1119" t="s">
        <v>10</v>
      </c>
      <c r="L1119">
        <v>1200</v>
      </c>
      <c r="M1119" t="s">
        <v>1472</v>
      </c>
      <c r="N1119" t="s">
        <v>11</v>
      </c>
      <c r="O1119">
        <v>6.1177000000000001</v>
      </c>
      <c r="P1119" s="12">
        <f>ROUND(O1119*L1119,2)</f>
        <v>7341.24</v>
      </c>
      <c r="Q1119" s="13">
        <f>IF(N1119="HKD",7.8,IF(N1119="CNY",7.30034,1))</f>
        <v>7.3003400000000003</v>
      </c>
      <c r="R1119" s="15">
        <f>+ROUND(O1119/Q1119,4)</f>
        <v>0.83799999999999997</v>
      </c>
      <c r="S1119" s="14">
        <f>ROUND(R1119*L1119,2)</f>
        <v>1005.6</v>
      </c>
      <c r="T1119" s="15" t="s">
        <v>349</v>
      </c>
      <c r="U1119" t="s">
        <v>78</v>
      </c>
    </row>
    <row r="1120" spans="1:21" x14ac:dyDescent="0.2">
      <c r="A1120" t="s">
        <v>2810</v>
      </c>
      <c r="B1120" s="24">
        <v>45744</v>
      </c>
      <c r="C1120" s="24">
        <v>45742</v>
      </c>
      <c r="D1120" t="s">
        <v>2253</v>
      </c>
      <c r="E1120" t="s">
        <v>2254</v>
      </c>
      <c r="G1120" t="s">
        <v>3056</v>
      </c>
      <c r="H1120" t="s">
        <v>3270</v>
      </c>
      <c r="I1120" t="s">
        <v>3477</v>
      </c>
      <c r="J1120" s="11" t="str">
        <f>+LEFT(U1120,4)</f>
        <v>MISC</v>
      </c>
      <c r="K1120" t="s">
        <v>10</v>
      </c>
      <c r="L1120">
        <v>3000</v>
      </c>
      <c r="M1120" t="s">
        <v>186</v>
      </c>
      <c r="N1120" t="s">
        <v>11</v>
      </c>
      <c r="O1120">
        <v>6.1504000000000003</v>
      </c>
      <c r="P1120" s="12">
        <f>ROUND(O1120*L1120,2)</f>
        <v>18451.2</v>
      </c>
      <c r="Q1120" s="13">
        <f>IF(N1120="HKD",7.8,IF(N1120="CNY",7.30034,1))</f>
        <v>7.3003400000000003</v>
      </c>
      <c r="R1120" s="15">
        <f>+ROUND(O1120/Q1120,4)</f>
        <v>0.84250000000000003</v>
      </c>
      <c r="S1120" s="14">
        <f>ROUND(R1120*L1120,2)</f>
        <v>2527.5</v>
      </c>
      <c r="T1120" s="15" t="s">
        <v>349</v>
      </c>
      <c r="U1120" t="s">
        <v>25</v>
      </c>
    </row>
    <row r="1121" spans="1:21" x14ac:dyDescent="0.2">
      <c r="A1121" t="s">
        <v>2290</v>
      </c>
      <c r="B1121" s="24">
        <v>45719</v>
      </c>
      <c r="C1121" s="24">
        <v>45630</v>
      </c>
      <c r="D1121" t="s">
        <v>94</v>
      </c>
      <c r="E1121" t="s">
        <v>95</v>
      </c>
      <c r="G1121" t="s">
        <v>2855</v>
      </c>
      <c r="H1121" t="s">
        <v>92</v>
      </c>
      <c r="I1121" t="s">
        <v>93</v>
      </c>
      <c r="J1121" s="11" t="str">
        <f>+LEFT(U1121,4)</f>
        <v>SKU-</v>
      </c>
      <c r="K1121" t="s">
        <v>98</v>
      </c>
      <c r="L1121">
        <v>2500</v>
      </c>
      <c r="M1121" t="s">
        <v>1472</v>
      </c>
      <c r="N1121" t="s">
        <v>11</v>
      </c>
      <c r="O1121">
        <v>6.298</v>
      </c>
      <c r="P1121" s="12">
        <f>ROUND(O1121*L1121,2)</f>
        <v>15745</v>
      </c>
      <c r="Q1121" s="13">
        <f>IF(N1121="HKD",7.8,IF(N1121="CNY",7.30034,1))</f>
        <v>7.3003400000000003</v>
      </c>
      <c r="R1121" s="15">
        <f>+ROUND(O1121/Q1121,4)</f>
        <v>0.86270000000000002</v>
      </c>
      <c r="S1121" s="14">
        <f>ROUND(R1121*L1121,2)</f>
        <v>2156.75</v>
      </c>
      <c r="T1121" s="15" t="s">
        <v>349</v>
      </c>
      <c r="U1121" t="s">
        <v>2</v>
      </c>
    </row>
    <row r="1122" spans="1:21" x14ac:dyDescent="0.2">
      <c r="A1122" t="s">
        <v>2296</v>
      </c>
      <c r="B1122" s="24">
        <v>45719</v>
      </c>
      <c r="C1122" s="24">
        <v>45646</v>
      </c>
      <c r="D1122" t="s">
        <v>94</v>
      </c>
      <c r="E1122" t="s">
        <v>95</v>
      </c>
      <c r="G1122" t="s">
        <v>2855</v>
      </c>
      <c r="H1122" t="s">
        <v>92</v>
      </c>
      <c r="I1122" t="s">
        <v>93</v>
      </c>
      <c r="J1122" s="11" t="str">
        <f>+LEFT(U1122,4)</f>
        <v>SKU-</v>
      </c>
      <c r="K1122" t="s">
        <v>98</v>
      </c>
      <c r="L1122">
        <v>2000</v>
      </c>
      <c r="M1122" t="s">
        <v>1472</v>
      </c>
      <c r="N1122" t="s">
        <v>11</v>
      </c>
      <c r="O1122">
        <v>6.298</v>
      </c>
      <c r="P1122" s="12">
        <f>ROUND(O1122*L1122,2)</f>
        <v>12596</v>
      </c>
      <c r="Q1122" s="13">
        <f>IF(N1122="HKD",7.8,IF(N1122="CNY",7.30034,1))</f>
        <v>7.3003400000000003</v>
      </c>
      <c r="R1122" s="15">
        <f>+ROUND(O1122/Q1122,4)</f>
        <v>0.86270000000000002</v>
      </c>
      <c r="S1122" s="14">
        <f>ROUND(R1122*L1122,2)</f>
        <v>1725.4</v>
      </c>
      <c r="T1122" s="15" t="s">
        <v>349</v>
      </c>
      <c r="U1122" t="s">
        <v>2</v>
      </c>
    </row>
    <row r="1123" spans="1:21" x14ac:dyDescent="0.2">
      <c r="A1123" t="s">
        <v>2799</v>
      </c>
      <c r="B1123" s="24">
        <v>45736</v>
      </c>
      <c r="C1123" s="24">
        <v>45735</v>
      </c>
      <c r="D1123" t="s">
        <v>5</v>
      </c>
      <c r="E1123" t="s">
        <v>6</v>
      </c>
      <c r="G1123" t="s">
        <v>2900</v>
      </c>
      <c r="H1123" t="s">
        <v>3266</v>
      </c>
      <c r="I1123" t="s">
        <v>3473</v>
      </c>
      <c r="J1123" s="11" t="str">
        <f>+LEFT(U1123,4)</f>
        <v>BOX-</v>
      </c>
      <c r="K1123" t="s">
        <v>10</v>
      </c>
      <c r="L1123">
        <v>1010</v>
      </c>
      <c r="M1123" t="s">
        <v>1472</v>
      </c>
      <c r="N1123" t="s">
        <v>11</v>
      </c>
      <c r="O1123">
        <v>6.35</v>
      </c>
      <c r="P1123" s="12">
        <f>ROUND(O1123*L1123,2)</f>
        <v>6413.5</v>
      </c>
      <c r="Q1123" s="13">
        <f>IF(N1123="HKD",7.8,IF(N1123="CNY",7.30034,1))</f>
        <v>7.3003400000000003</v>
      </c>
      <c r="R1123" s="15">
        <f>+ROUND(O1123/Q1123,4)</f>
        <v>0.86980000000000002</v>
      </c>
      <c r="S1123" s="14">
        <f>ROUND(R1123*L1123,2)</f>
        <v>878.5</v>
      </c>
      <c r="T1123" s="15" t="s">
        <v>349</v>
      </c>
      <c r="U1123" t="s">
        <v>1</v>
      </c>
    </row>
    <row r="1124" spans="1:21" x14ac:dyDescent="0.2">
      <c r="A1124" t="s">
        <v>2367</v>
      </c>
      <c r="B1124" s="24">
        <v>45719</v>
      </c>
      <c r="C1124" s="24">
        <v>45695</v>
      </c>
      <c r="D1124" t="s">
        <v>21</v>
      </c>
      <c r="E1124" t="s">
        <v>22</v>
      </c>
      <c r="G1124" t="s">
        <v>2905</v>
      </c>
      <c r="H1124" t="s">
        <v>3089</v>
      </c>
      <c r="I1124" t="s">
        <v>3305</v>
      </c>
      <c r="J1124" s="11" t="str">
        <f>+LEFT(U1124,4)</f>
        <v>HDL-</v>
      </c>
      <c r="K1124" t="s">
        <v>10</v>
      </c>
      <c r="L1124">
        <v>1000</v>
      </c>
      <c r="M1124" t="s">
        <v>1472</v>
      </c>
      <c r="N1124" t="s">
        <v>11</v>
      </c>
      <c r="O1124">
        <v>6.3521000000000001</v>
      </c>
      <c r="P1124" s="12">
        <f>ROUND(O1124*L1124,2)</f>
        <v>6352.1</v>
      </c>
      <c r="Q1124" s="13">
        <f>IF(N1124="HKD",7.8,IF(N1124="CNY",7.30034,1))</f>
        <v>7.3003400000000003</v>
      </c>
      <c r="R1124" s="15">
        <f>+ROUND(O1124/Q1124,4)</f>
        <v>0.87009999999999998</v>
      </c>
      <c r="S1124" s="14">
        <f>ROUND(R1124*L1124,2)</f>
        <v>870.1</v>
      </c>
      <c r="T1124" s="15" t="s">
        <v>349</v>
      </c>
      <c r="U1124" t="s">
        <v>228</v>
      </c>
    </row>
    <row r="1125" spans="1:21" x14ac:dyDescent="0.2">
      <c r="A1125" s="19" t="s">
        <v>1376</v>
      </c>
      <c r="B1125" s="20">
        <v>45660</v>
      </c>
      <c r="C1125" s="20">
        <v>45609</v>
      </c>
      <c r="D1125" s="19" t="s">
        <v>235</v>
      </c>
      <c r="E1125" s="19" t="s">
        <v>236</v>
      </c>
      <c r="G1125" s="19" t="s">
        <v>1369</v>
      </c>
      <c r="H1125" s="19" t="s">
        <v>1374</v>
      </c>
      <c r="I1125" s="19" t="s">
        <v>1375</v>
      </c>
      <c r="J1125" s="11" t="str">
        <f>+LEFT(U1125,4)</f>
        <v>SCR-</v>
      </c>
      <c r="K1125" s="19" t="s">
        <v>10</v>
      </c>
      <c r="L1125" s="19">
        <v>1000</v>
      </c>
      <c r="M1125" s="19" t="s">
        <v>1472</v>
      </c>
      <c r="N1125" s="19" t="s">
        <v>11</v>
      </c>
      <c r="O1125" s="26">
        <v>0.12939999999999999</v>
      </c>
      <c r="P1125" s="12">
        <f>ROUND(O1125*L1125,2)</f>
        <v>129.4</v>
      </c>
      <c r="Q1125" s="13">
        <f>IF(N1125="HKD",7.8,IF(N1125="CNY",7.30034,1))</f>
        <v>7.3003400000000003</v>
      </c>
      <c r="R1125" s="15">
        <f>+ROUND(O1125/Q1125,4)</f>
        <v>1.77E-2</v>
      </c>
      <c r="S1125" s="14">
        <f>ROUND(R1125*L1125,2)</f>
        <v>17.7</v>
      </c>
      <c r="T1125" s="15" t="s">
        <v>349</v>
      </c>
      <c r="U1125" s="19" t="s">
        <v>166</v>
      </c>
    </row>
    <row r="1126" spans="1:21" x14ac:dyDescent="0.2">
      <c r="A1126" s="19" t="s">
        <v>1373</v>
      </c>
      <c r="B1126" s="20">
        <v>45660</v>
      </c>
      <c r="C1126" s="20">
        <v>45609</v>
      </c>
      <c r="D1126" s="19" t="s">
        <v>235</v>
      </c>
      <c r="E1126" s="19" t="s">
        <v>236</v>
      </c>
      <c r="G1126" s="19" t="s">
        <v>1369</v>
      </c>
      <c r="H1126" s="19" t="s">
        <v>1371</v>
      </c>
      <c r="I1126" s="19" t="s">
        <v>1372</v>
      </c>
      <c r="J1126" s="11" t="str">
        <f>+LEFT(U1126,4)</f>
        <v>SCR-</v>
      </c>
      <c r="K1126" s="19" t="s">
        <v>10</v>
      </c>
      <c r="L1126" s="19">
        <v>250</v>
      </c>
      <c r="M1126" s="19" t="s">
        <v>1472</v>
      </c>
      <c r="N1126" s="19" t="s">
        <v>11</v>
      </c>
      <c r="O1126" s="26">
        <v>0.28810000000000002</v>
      </c>
      <c r="P1126" s="12">
        <f>ROUND(O1126*L1126,2)</f>
        <v>72.03</v>
      </c>
      <c r="Q1126" s="13">
        <f>IF(N1126="HKD",7.8,IF(N1126="CNY",7.30034,1))</f>
        <v>7.3003400000000003</v>
      </c>
      <c r="R1126" s="15">
        <f>+ROUND(O1126/Q1126,4)</f>
        <v>3.95E-2</v>
      </c>
      <c r="S1126" s="14">
        <f>ROUND(R1126*L1126,2)</f>
        <v>9.8800000000000008</v>
      </c>
      <c r="T1126" s="15" t="s">
        <v>349</v>
      </c>
      <c r="U1126" s="19" t="s">
        <v>166</v>
      </c>
    </row>
    <row r="1127" spans="1:21" x14ac:dyDescent="0.2">
      <c r="A1127" s="19" t="s">
        <v>1346</v>
      </c>
      <c r="B1127" s="20">
        <v>45660</v>
      </c>
      <c r="C1127" s="20">
        <v>45639</v>
      </c>
      <c r="D1127" s="19" t="s">
        <v>235</v>
      </c>
      <c r="E1127" s="19" t="s">
        <v>236</v>
      </c>
      <c r="G1127" s="19" t="s">
        <v>1347</v>
      </c>
      <c r="H1127" s="19" t="s">
        <v>1344</v>
      </c>
      <c r="I1127" s="19" t="s">
        <v>1345</v>
      </c>
      <c r="J1127" s="11" t="str">
        <f>+LEFT(U1127,4)</f>
        <v>SCR-</v>
      </c>
      <c r="K1127" s="19" t="s">
        <v>10</v>
      </c>
      <c r="L1127" s="19">
        <v>3000</v>
      </c>
      <c r="M1127" s="19" t="s">
        <v>1472</v>
      </c>
      <c r="N1127" s="19" t="s">
        <v>11</v>
      </c>
      <c r="O1127" s="26">
        <v>0.47449999999999998</v>
      </c>
      <c r="P1127" s="12">
        <f>ROUND(O1127*L1127,2)</f>
        <v>1423.5</v>
      </c>
      <c r="Q1127" s="13">
        <f>IF(N1127="HKD",7.8,IF(N1127="CNY",7.30034,1))</f>
        <v>7.3003400000000003</v>
      </c>
      <c r="R1127" s="15">
        <f>+ROUND(O1127/Q1127,4)</f>
        <v>6.5000000000000002E-2</v>
      </c>
      <c r="S1127" s="14">
        <f>ROUND(R1127*L1127,2)</f>
        <v>195</v>
      </c>
      <c r="T1127" s="15" t="s">
        <v>349</v>
      </c>
      <c r="U1127" s="19" t="s">
        <v>166</v>
      </c>
    </row>
    <row r="1128" spans="1:21" x14ac:dyDescent="0.2">
      <c r="A1128" s="19" t="s">
        <v>1350</v>
      </c>
      <c r="B1128" s="20">
        <v>45660</v>
      </c>
      <c r="C1128" s="20">
        <v>45639</v>
      </c>
      <c r="D1128" s="19" t="s">
        <v>235</v>
      </c>
      <c r="E1128" s="19" t="s">
        <v>236</v>
      </c>
      <c r="G1128" s="19" t="s">
        <v>1347</v>
      </c>
      <c r="H1128" s="19" t="s">
        <v>1348</v>
      </c>
      <c r="I1128" s="19" t="s">
        <v>1349</v>
      </c>
      <c r="J1128" s="11" t="str">
        <f>+LEFT(U1128,4)</f>
        <v>SCR-</v>
      </c>
      <c r="K1128" s="19" t="s">
        <v>10</v>
      </c>
      <c r="L1128" s="19">
        <v>2500</v>
      </c>
      <c r="M1128" s="19" t="s">
        <v>1472</v>
      </c>
      <c r="N1128" s="19" t="s">
        <v>11</v>
      </c>
      <c r="O1128" s="26">
        <v>0.67030000000000001</v>
      </c>
      <c r="P1128" s="12">
        <f>ROUND(O1128*L1128,2)</f>
        <v>1675.75</v>
      </c>
      <c r="Q1128" s="13">
        <f>IF(N1128="HKD",7.8,IF(N1128="CNY",7.30034,1))</f>
        <v>7.3003400000000003</v>
      </c>
      <c r="R1128" s="15">
        <f>+ROUND(O1128/Q1128,4)</f>
        <v>9.1800000000000007E-2</v>
      </c>
      <c r="S1128" s="14">
        <f>ROUND(R1128*L1128,2)</f>
        <v>229.5</v>
      </c>
      <c r="T1128" s="15" t="s">
        <v>349</v>
      </c>
      <c r="U1128" s="19" t="s">
        <v>166</v>
      </c>
    </row>
    <row r="1129" spans="1:21" x14ac:dyDescent="0.2">
      <c r="A1129" s="19" t="s">
        <v>604</v>
      </c>
      <c r="B1129" s="20">
        <v>45670</v>
      </c>
      <c r="C1129" s="20">
        <v>45622</v>
      </c>
      <c r="D1129" s="19" t="s">
        <v>162</v>
      </c>
      <c r="E1129" s="19" t="s">
        <v>163</v>
      </c>
      <c r="G1129" s="19" t="s">
        <v>602</v>
      </c>
      <c r="H1129" s="19" t="s">
        <v>599</v>
      </c>
      <c r="I1129" s="19" t="s">
        <v>600</v>
      </c>
      <c r="J1129" s="11" t="str">
        <f>+LEFT(U1129,4)</f>
        <v>SCR-</v>
      </c>
      <c r="K1129" s="19" t="s">
        <v>10</v>
      </c>
      <c r="L1129" s="19">
        <v>15000</v>
      </c>
      <c r="M1129" s="19" t="s">
        <v>1472</v>
      </c>
      <c r="N1129" s="19" t="s">
        <v>11</v>
      </c>
      <c r="O1129" s="26">
        <v>4.2000000000000003E-2</v>
      </c>
      <c r="P1129" s="12">
        <f>ROUND(O1129*L1129,2)</f>
        <v>630</v>
      </c>
      <c r="Q1129" s="13">
        <f>IF(N1129="HKD",7.8,IF(N1129="CNY",7.30034,1))</f>
        <v>7.3003400000000003</v>
      </c>
      <c r="R1129" s="15">
        <f>+ROUND(O1129/Q1129,4)</f>
        <v>5.7999999999999996E-3</v>
      </c>
      <c r="S1129" s="14">
        <f>ROUND(R1129*L1129,2)</f>
        <v>87</v>
      </c>
      <c r="T1129" s="15" t="s">
        <v>349</v>
      </c>
      <c r="U1129" s="19" t="s">
        <v>166</v>
      </c>
    </row>
    <row r="1130" spans="1:21" x14ac:dyDescent="0.2">
      <c r="A1130" s="19" t="s">
        <v>603</v>
      </c>
      <c r="B1130" s="20">
        <v>45670</v>
      </c>
      <c r="C1130" s="20">
        <v>45643</v>
      </c>
      <c r="D1130" s="19" t="s">
        <v>162</v>
      </c>
      <c r="E1130" s="19" t="s">
        <v>163</v>
      </c>
      <c r="G1130" s="19" t="s">
        <v>602</v>
      </c>
      <c r="H1130" s="19" t="s">
        <v>599</v>
      </c>
      <c r="I1130" s="19" t="s">
        <v>600</v>
      </c>
      <c r="J1130" s="11" t="str">
        <f>+LEFT(U1130,4)</f>
        <v>SCR-</v>
      </c>
      <c r="K1130" s="19" t="s">
        <v>10</v>
      </c>
      <c r="L1130" s="19">
        <v>7300</v>
      </c>
      <c r="M1130" s="19" t="s">
        <v>1472</v>
      </c>
      <c r="N1130" s="19" t="s">
        <v>11</v>
      </c>
      <c r="O1130" s="26">
        <v>4.2000000000000003E-2</v>
      </c>
      <c r="P1130" s="12">
        <f>ROUND(O1130*L1130,2)</f>
        <v>306.60000000000002</v>
      </c>
      <c r="Q1130" s="13">
        <f>IF(N1130="HKD",7.8,IF(N1130="CNY",7.30034,1))</f>
        <v>7.3003400000000003</v>
      </c>
      <c r="R1130" s="15">
        <f>+ROUND(O1130/Q1130,4)</f>
        <v>5.7999999999999996E-3</v>
      </c>
      <c r="S1130" s="14">
        <f>ROUND(R1130*L1130,2)</f>
        <v>42.34</v>
      </c>
      <c r="T1130" s="15" t="s">
        <v>349</v>
      </c>
      <c r="U1130" s="19" t="s">
        <v>166</v>
      </c>
    </row>
    <row r="1131" spans="1:21" x14ac:dyDescent="0.2">
      <c r="A1131" s="19" t="s">
        <v>601</v>
      </c>
      <c r="B1131" s="20">
        <v>45670</v>
      </c>
      <c r="C1131" s="20">
        <v>45646</v>
      </c>
      <c r="D1131" s="19" t="s">
        <v>162</v>
      </c>
      <c r="E1131" s="19" t="s">
        <v>163</v>
      </c>
      <c r="G1131" s="19" t="s">
        <v>602</v>
      </c>
      <c r="H1131" s="19" t="s">
        <v>599</v>
      </c>
      <c r="I1131" s="19" t="s">
        <v>600</v>
      </c>
      <c r="J1131" s="11" t="str">
        <f>+LEFT(U1131,4)</f>
        <v>SCR-</v>
      </c>
      <c r="K1131" s="19" t="s">
        <v>10</v>
      </c>
      <c r="L1131" s="19">
        <v>2200</v>
      </c>
      <c r="M1131" s="19" t="s">
        <v>1472</v>
      </c>
      <c r="N1131" s="19" t="s">
        <v>11</v>
      </c>
      <c r="O1131" s="26">
        <v>4.2000000000000003E-2</v>
      </c>
      <c r="P1131" s="12">
        <f>ROUND(O1131*L1131,2)</f>
        <v>92.4</v>
      </c>
      <c r="Q1131" s="13">
        <f>IF(N1131="HKD",7.8,IF(N1131="CNY",7.30034,1))</f>
        <v>7.3003400000000003</v>
      </c>
      <c r="R1131" s="15">
        <f>+ROUND(O1131/Q1131,4)</f>
        <v>5.7999999999999996E-3</v>
      </c>
      <c r="S1131" s="14">
        <f>ROUND(R1131*L1131,2)</f>
        <v>12.76</v>
      </c>
      <c r="T1131" s="15" t="s">
        <v>349</v>
      </c>
      <c r="U1131" s="19" t="s">
        <v>166</v>
      </c>
    </row>
    <row r="1132" spans="1:21" x14ac:dyDescent="0.2">
      <c r="A1132" s="19" t="s">
        <v>595</v>
      </c>
      <c r="B1132" s="20">
        <v>45670</v>
      </c>
      <c r="C1132" s="20">
        <v>45630</v>
      </c>
      <c r="D1132" s="19" t="s">
        <v>162</v>
      </c>
      <c r="E1132" s="19" t="s">
        <v>163</v>
      </c>
      <c r="G1132" s="19" t="s">
        <v>590</v>
      </c>
      <c r="H1132" s="19" t="s">
        <v>592</v>
      </c>
      <c r="I1132" s="19" t="s">
        <v>593</v>
      </c>
      <c r="J1132" s="11" t="str">
        <f>+LEFT(U1132,4)</f>
        <v>SCR-</v>
      </c>
      <c r="K1132" s="19" t="s">
        <v>10</v>
      </c>
      <c r="L1132" s="19">
        <v>21000</v>
      </c>
      <c r="M1132" s="19" t="s">
        <v>1472</v>
      </c>
      <c r="N1132" s="19" t="s">
        <v>11</v>
      </c>
      <c r="O1132" s="26">
        <v>6.8599999999999994E-2</v>
      </c>
      <c r="P1132" s="12">
        <f>ROUND(O1132*L1132,2)</f>
        <v>1440.6</v>
      </c>
      <c r="Q1132" s="13">
        <f>IF(N1132="HKD",7.8,IF(N1132="CNY",7.30034,1))</f>
        <v>7.3003400000000003</v>
      </c>
      <c r="R1132" s="15">
        <f>+ROUND(O1132/Q1132,4)</f>
        <v>9.4000000000000004E-3</v>
      </c>
      <c r="S1132" s="14">
        <f>ROUND(R1132*L1132,2)</f>
        <v>197.4</v>
      </c>
      <c r="T1132" s="15" t="s">
        <v>349</v>
      </c>
      <c r="U1132" s="19" t="s">
        <v>166</v>
      </c>
    </row>
    <row r="1133" spans="1:21" x14ac:dyDescent="0.2">
      <c r="A1133" s="19" t="s">
        <v>609</v>
      </c>
      <c r="B1133" s="20">
        <v>45670</v>
      </c>
      <c r="C1133" s="20">
        <v>45636</v>
      </c>
      <c r="D1133" s="19" t="s">
        <v>162</v>
      </c>
      <c r="E1133" s="19" t="s">
        <v>163</v>
      </c>
      <c r="G1133" s="19" t="s">
        <v>602</v>
      </c>
      <c r="H1133" s="19" t="s">
        <v>606</v>
      </c>
      <c r="I1133" s="19" t="s">
        <v>607</v>
      </c>
      <c r="J1133" s="11" t="str">
        <f>+LEFT(U1133,4)</f>
        <v>SCR-</v>
      </c>
      <c r="K1133" s="19" t="s">
        <v>10</v>
      </c>
      <c r="L1133" s="19">
        <v>1100</v>
      </c>
      <c r="M1133" s="19" t="s">
        <v>1472</v>
      </c>
      <c r="N1133" s="19" t="s">
        <v>11</v>
      </c>
      <c r="O1133" s="26">
        <v>6.9000000000000006E-2</v>
      </c>
      <c r="P1133" s="12">
        <f>ROUND(O1133*L1133,2)</f>
        <v>75.900000000000006</v>
      </c>
      <c r="Q1133" s="13">
        <f>IF(N1133="HKD",7.8,IF(N1133="CNY",7.30034,1))</f>
        <v>7.3003400000000003</v>
      </c>
      <c r="R1133" s="15">
        <f>+ROUND(O1133/Q1133,4)</f>
        <v>9.4999999999999998E-3</v>
      </c>
      <c r="S1133" s="14">
        <f>ROUND(R1133*L1133,2)</f>
        <v>10.45</v>
      </c>
      <c r="T1133" s="15" t="s">
        <v>349</v>
      </c>
      <c r="U1133" s="19" t="s">
        <v>166</v>
      </c>
    </row>
    <row r="1134" spans="1:21" x14ac:dyDescent="0.2">
      <c r="A1134" s="19" t="s">
        <v>608</v>
      </c>
      <c r="B1134" s="20">
        <v>45670</v>
      </c>
      <c r="C1134" s="20">
        <v>45653</v>
      </c>
      <c r="D1134" s="19" t="s">
        <v>162</v>
      </c>
      <c r="E1134" s="19" t="s">
        <v>163</v>
      </c>
      <c r="G1134" s="19" t="s">
        <v>602</v>
      </c>
      <c r="H1134" s="19" t="s">
        <v>606</v>
      </c>
      <c r="I1134" s="19" t="s">
        <v>607</v>
      </c>
      <c r="J1134" s="11" t="str">
        <f>+LEFT(U1134,4)</f>
        <v>SCR-</v>
      </c>
      <c r="K1134" s="19" t="s">
        <v>10</v>
      </c>
      <c r="L1134" s="19">
        <v>1000</v>
      </c>
      <c r="M1134" s="19" t="s">
        <v>1472</v>
      </c>
      <c r="N1134" s="19" t="s">
        <v>11</v>
      </c>
      <c r="O1134" s="26">
        <v>6.9000000000000006E-2</v>
      </c>
      <c r="P1134" s="12">
        <f>ROUND(O1134*L1134,2)</f>
        <v>69</v>
      </c>
      <c r="Q1134" s="13">
        <f>IF(N1134="HKD",7.8,IF(N1134="CNY",7.30034,1))</f>
        <v>7.3003400000000003</v>
      </c>
      <c r="R1134" s="15">
        <f>+ROUND(O1134/Q1134,4)</f>
        <v>9.4999999999999998E-3</v>
      </c>
      <c r="S1134" s="14">
        <f>ROUND(R1134*L1134,2)</f>
        <v>9.5</v>
      </c>
      <c r="T1134" s="15" t="s">
        <v>349</v>
      </c>
      <c r="U1134" s="19" t="s">
        <v>166</v>
      </c>
    </row>
    <row r="1135" spans="1:21" x14ac:dyDescent="0.2">
      <c r="A1135" s="19" t="s">
        <v>598</v>
      </c>
      <c r="B1135" s="20">
        <v>45670</v>
      </c>
      <c r="C1135" s="20">
        <v>45636</v>
      </c>
      <c r="D1135" s="19" t="s">
        <v>162</v>
      </c>
      <c r="E1135" s="19" t="s">
        <v>163</v>
      </c>
      <c r="G1135" s="19" t="s">
        <v>590</v>
      </c>
      <c r="H1135" s="19" t="s">
        <v>592</v>
      </c>
      <c r="I1135" s="19" t="s">
        <v>593</v>
      </c>
      <c r="J1135" s="11" t="str">
        <f>+LEFT(U1135,4)</f>
        <v>SCR-</v>
      </c>
      <c r="K1135" s="19" t="s">
        <v>10</v>
      </c>
      <c r="L1135" s="19">
        <v>2100</v>
      </c>
      <c r="M1135" s="19" t="s">
        <v>1472</v>
      </c>
      <c r="N1135" s="19" t="s">
        <v>11</v>
      </c>
      <c r="O1135" s="26">
        <v>7.0000000000000007E-2</v>
      </c>
      <c r="P1135" s="12">
        <f>ROUND(O1135*L1135,2)</f>
        <v>147</v>
      </c>
      <c r="Q1135" s="13">
        <f>IF(N1135="HKD",7.8,IF(N1135="CNY",7.30034,1))</f>
        <v>7.3003400000000003</v>
      </c>
      <c r="R1135" s="15">
        <f>+ROUND(O1135/Q1135,4)</f>
        <v>9.5999999999999992E-3</v>
      </c>
      <c r="S1135" s="14">
        <f>ROUND(R1135*L1135,2)</f>
        <v>20.16</v>
      </c>
      <c r="T1135" s="15" t="s">
        <v>349</v>
      </c>
      <c r="U1135" s="19" t="s">
        <v>166</v>
      </c>
    </row>
    <row r="1136" spans="1:21" x14ac:dyDescent="0.2">
      <c r="A1136" s="19" t="s">
        <v>597</v>
      </c>
      <c r="B1136" s="20">
        <v>45670</v>
      </c>
      <c r="C1136" s="20">
        <v>45639</v>
      </c>
      <c r="D1136" s="19" t="s">
        <v>162</v>
      </c>
      <c r="E1136" s="19" t="s">
        <v>163</v>
      </c>
      <c r="G1136" s="19" t="s">
        <v>590</v>
      </c>
      <c r="H1136" s="19" t="s">
        <v>592</v>
      </c>
      <c r="I1136" s="19" t="s">
        <v>593</v>
      </c>
      <c r="J1136" s="11" t="str">
        <f>+LEFT(U1136,4)</f>
        <v>SCR-</v>
      </c>
      <c r="K1136" s="19" t="s">
        <v>10</v>
      </c>
      <c r="L1136" s="19">
        <v>3100</v>
      </c>
      <c r="M1136" s="19" t="s">
        <v>1472</v>
      </c>
      <c r="N1136" s="19" t="s">
        <v>11</v>
      </c>
      <c r="O1136" s="26">
        <v>7.0000000000000007E-2</v>
      </c>
      <c r="P1136" s="12">
        <f>ROUND(O1136*L1136,2)</f>
        <v>217</v>
      </c>
      <c r="Q1136" s="13">
        <f>IF(N1136="HKD",7.8,IF(N1136="CNY",7.30034,1))</f>
        <v>7.3003400000000003</v>
      </c>
      <c r="R1136" s="15">
        <f>+ROUND(O1136/Q1136,4)</f>
        <v>9.5999999999999992E-3</v>
      </c>
      <c r="S1136" s="14">
        <f>ROUND(R1136*L1136,2)</f>
        <v>29.76</v>
      </c>
      <c r="T1136" s="15" t="s">
        <v>349</v>
      </c>
      <c r="U1136" s="19" t="s">
        <v>166</v>
      </c>
    </row>
    <row r="1137" spans="1:21" x14ac:dyDescent="0.2">
      <c r="A1137" s="19" t="s">
        <v>596</v>
      </c>
      <c r="B1137" s="20">
        <v>45670</v>
      </c>
      <c r="C1137" s="20">
        <v>45643</v>
      </c>
      <c r="D1137" s="19" t="s">
        <v>162</v>
      </c>
      <c r="E1137" s="19" t="s">
        <v>163</v>
      </c>
      <c r="G1137" s="19" t="s">
        <v>590</v>
      </c>
      <c r="H1137" s="19" t="s">
        <v>592</v>
      </c>
      <c r="I1137" s="19" t="s">
        <v>593</v>
      </c>
      <c r="J1137" s="11" t="str">
        <f>+LEFT(U1137,4)</f>
        <v>SCR-</v>
      </c>
      <c r="K1137" s="19" t="s">
        <v>10</v>
      </c>
      <c r="L1137" s="19">
        <v>3100</v>
      </c>
      <c r="M1137" s="19" t="s">
        <v>1472</v>
      </c>
      <c r="N1137" s="19" t="s">
        <v>11</v>
      </c>
      <c r="O1137" s="26">
        <v>7.0000000000000007E-2</v>
      </c>
      <c r="P1137" s="12">
        <f>ROUND(O1137*L1137,2)</f>
        <v>217</v>
      </c>
      <c r="Q1137" s="13">
        <f>IF(N1137="HKD",7.8,IF(N1137="CNY",7.30034,1))</f>
        <v>7.3003400000000003</v>
      </c>
      <c r="R1137" s="15">
        <f>+ROUND(O1137/Q1137,4)</f>
        <v>9.5999999999999992E-3</v>
      </c>
      <c r="S1137" s="14">
        <f>ROUND(R1137*L1137,2)</f>
        <v>29.76</v>
      </c>
      <c r="T1137" s="15" t="s">
        <v>349</v>
      </c>
      <c r="U1137" s="19" t="s">
        <v>166</v>
      </c>
    </row>
    <row r="1138" spans="1:21" x14ac:dyDescent="0.2">
      <c r="A1138" s="19" t="s">
        <v>594</v>
      </c>
      <c r="B1138" s="20">
        <v>45670</v>
      </c>
      <c r="C1138" s="20">
        <v>45646</v>
      </c>
      <c r="D1138" s="19" t="s">
        <v>162</v>
      </c>
      <c r="E1138" s="19" t="s">
        <v>163</v>
      </c>
      <c r="G1138" s="19" t="s">
        <v>590</v>
      </c>
      <c r="H1138" s="19" t="s">
        <v>592</v>
      </c>
      <c r="I1138" s="19" t="s">
        <v>593</v>
      </c>
      <c r="J1138" s="11" t="str">
        <f>+LEFT(U1138,4)</f>
        <v>SCR-</v>
      </c>
      <c r="K1138" s="19" t="s">
        <v>10</v>
      </c>
      <c r="L1138" s="19">
        <v>13500</v>
      </c>
      <c r="M1138" s="19" t="s">
        <v>1472</v>
      </c>
      <c r="N1138" s="19" t="s">
        <v>11</v>
      </c>
      <c r="O1138" s="26">
        <v>7.0000000000000007E-2</v>
      </c>
      <c r="P1138" s="12">
        <f>ROUND(O1138*L1138,2)</f>
        <v>945</v>
      </c>
      <c r="Q1138" s="13">
        <f>IF(N1138="HKD",7.8,IF(N1138="CNY",7.30034,1))</f>
        <v>7.3003400000000003</v>
      </c>
      <c r="R1138" s="15">
        <f>+ROUND(O1138/Q1138,4)</f>
        <v>9.5999999999999992E-3</v>
      </c>
      <c r="S1138" s="14">
        <f>ROUND(R1138*L1138,2)</f>
        <v>129.6</v>
      </c>
      <c r="T1138" s="15" t="s">
        <v>349</v>
      </c>
      <c r="U1138" s="19" t="s">
        <v>166</v>
      </c>
    </row>
    <row r="1139" spans="1:21" x14ac:dyDescent="0.2">
      <c r="A1139" s="19" t="s">
        <v>586</v>
      </c>
      <c r="B1139" s="20">
        <v>45670</v>
      </c>
      <c r="C1139" s="20">
        <v>45643</v>
      </c>
      <c r="D1139" s="19" t="s">
        <v>162</v>
      </c>
      <c r="E1139" s="19" t="s">
        <v>163</v>
      </c>
      <c r="G1139" s="19" t="s">
        <v>576</v>
      </c>
      <c r="H1139" s="19" t="s">
        <v>583</v>
      </c>
      <c r="I1139" s="19" t="s">
        <v>584</v>
      </c>
      <c r="J1139" s="11" t="str">
        <f>+LEFT(U1139,4)</f>
        <v>SCR-</v>
      </c>
      <c r="K1139" s="19" t="s">
        <v>10</v>
      </c>
      <c r="L1139" s="19">
        <v>2000</v>
      </c>
      <c r="M1139" s="19" t="s">
        <v>1472</v>
      </c>
      <c r="N1139" s="19" t="s">
        <v>11</v>
      </c>
      <c r="O1139" s="26">
        <v>9.2999999999999999E-2</v>
      </c>
      <c r="P1139" s="12">
        <f>ROUND(O1139*L1139,2)</f>
        <v>186</v>
      </c>
      <c r="Q1139" s="13">
        <f>IF(N1139="HKD",7.8,IF(N1139="CNY",7.30034,1))</f>
        <v>7.3003400000000003</v>
      </c>
      <c r="R1139" s="15">
        <f>+ROUND(O1139/Q1139,4)</f>
        <v>1.2699999999999999E-2</v>
      </c>
      <c r="S1139" s="14">
        <f>ROUND(R1139*L1139,2)</f>
        <v>25.4</v>
      </c>
      <c r="T1139" s="15" t="s">
        <v>349</v>
      </c>
      <c r="U1139" s="19" t="s">
        <v>166</v>
      </c>
    </row>
    <row r="1140" spans="1:21" x14ac:dyDescent="0.2">
      <c r="A1140" s="19" t="s">
        <v>585</v>
      </c>
      <c r="B1140" s="20">
        <v>45670</v>
      </c>
      <c r="C1140" s="20">
        <v>45646</v>
      </c>
      <c r="D1140" s="19" t="s">
        <v>162</v>
      </c>
      <c r="E1140" s="19" t="s">
        <v>163</v>
      </c>
      <c r="G1140" s="19" t="s">
        <v>576</v>
      </c>
      <c r="H1140" s="19" t="s">
        <v>583</v>
      </c>
      <c r="I1140" s="19" t="s">
        <v>584</v>
      </c>
      <c r="J1140" s="11" t="str">
        <f>+LEFT(U1140,4)</f>
        <v>SCR-</v>
      </c>
      <c r="K1140" s="19" t="s">
        <v>10</v>
      </c>
      <c r="L1140" s="19">
        <v>9250</v>
      </c>
      <c r="M1140" s="19" t="s">
        <v>1472</v>
      </c>
      <c r="N1140" s="19" t="s">
        <v>11</v>
      </c>
      <c r="O1140" s="26">
        <v>9.2999999999999999E-2</v>
      </c>
      <c r="P1140" s="12">
        <f>ROUND(O1140*L1140,2)</f>
        <v>860.25</v>
      </c>
      <c r="Q1140" s="13">
        <f>IF(N1140="HKD",7.8,IF(N1140="CNY",7.30034,1))</f>
        <v>7.3003400000000003</v>
      </c>
      <c r="R1140" s="15">
        <f>+ROUND(O1140/Q1140,4)</f>
        <v>1.2699999999999999E-2</v>
      </c>
      <c r="S1140" s="14">
        <f>ROUND(R1140*L1140,2)</f>
        <v>117.48</v>
      </c>
      <c r="T1140" s="15" t="s">
        <v>349</v>
      </c>
      <c r="U1140" s="19" t="s">
        <v>166</v>
      </c>
    </row>
    <row r="1141" spans="1:21" x14ac:dyDescent="0.2">
      <c r="A1141" s="19" t="s">
        <v>582</v>
      </c>
      <c r="B1141" s="20">
        <v>45670</v>
      </c>
      <c r="C1141" s="20">
        <v>45629</v>
      </c>
      <c r="D1141" s="19" t="s">
        <v>162</v>
      </c>
      <c r="E1141" s="19" t="s">
        <v>163</v>
      </c>
      <c r="G1141" s="19" t="s">
        <v>576</v>
      </c>
      <c r="H1141" s="19" t="s">
        <v>578</v>
      </c>
      <c r="I1141" s="19" t="s">
        <v>579</v>
      </c>
      <c r="J1141" s="11" t="str">
        <f>+LEFT(U1141,4)</f>
        <v>SCR-</v>
      </c>
      <c r="K1141" s="19" t="s">
        <v>10</v>
      </c>
      <c r="L1141" s="19">
        <v>6000</v>
      </c>
      <c r="M1141" s="19" t="s">
        <v>1472</v>
      </c>
      <c r="N1141" s="19" t="s">
        <v>11</v>
      </c>
      <c r="O1141" s="26">
        <v>9.8000000000000004E-2</v>
      </c>
      <c r="P1141" s="12">
        <f>ROUND(O1141*L1141,2)</f>
        <v>588</v>
      </c>
      <c r="Q1141" s="13">
        <f>IF(N1141="HKD",7.8,IF(N1141="CNY",7.30034,1))</f>
        <v>7.3003400000000003</v>
      </c>
      <c r="R1141" s="15">
        <f>+ROUND(O1141/Q1141,4)</f>
        <v>1.34E-2</v>
      </c>
      <c r="S1141" s="14">
        <f>ROUND(R1141*L1141,2)</f>
        <v>80.400000000000006</v>
      </c>
      <c r="T1141" s="15" t="s">
        <v>349</v>
      </c>
      <c r="U1141" s="19" t="s">
        <v>166</v>
      </c>
    </row>
    <row r="1142" spans="1:21" x14ac:dyDescent="0.2">
      <c r="A1142" s="19" t="s">
        <v>581</v>
      </c>
      <c r="B1142" s="20">
        <v>45670</v>
      </c>
      <c r="C1142" s="20">
        <v>45643</v>
      </c>
      <c r="D1142" s="19" t="s">
        <v>162</v>
      </c>
      <c r="E1142" s="19" t="s">
        <v>163</v>
      </c>
      <c r="G1142" s="19" t="s">
        <v>576</v>
      </c>
      <c r="H1142" s="19" t="s">
        <v>578</v>
      </c>
      <c r="I1142" s="19" t="s">
        <v>579</v>
      </c>
      <c r="J1142" s="11" t="str">
        <f>+LEFT(U1142,4)</f>
        <v>SCR-</v>
      </c>
      <c r="K1142" s="19" t="s">
        <v>10</v>
      </c>
      <c r="L1142" s="19">
        <v>4200</v>
      </c>
      <c r="M1142" s="19" t="s">
        <v>1472</v>
      </c>
      <c r="N1142" s="19" t="s">
        <v>11</v>
      </c>
      <c r="O1142" s="26">
        <v>9.8000000000000004E-2</v>
      </c>
      <c r="P1142" s="12">
        <f>ROUND(O1142*L1142,2)</f>
        <v>411.6</v>
      </c>
      <c r="Q1142" s="13">
        <f>IF(N1142="HKD",7.8,IF(N1142="CNY",7.30034,1))</f>
        <v>7.3003400000000003</v>
      </c>
      <c r="R1142" s="15">
        <f>+ROUND(O1142/Q1142,4)</f>
        <v>1.34E-2</v>
      </c>
      <c r="S1142" s="14">
        <f>ROUND(R1142*L1142,2)</f>
        <v>56.28</v>
      </c>
      <c r="T1142" s="15" t="s">
        <v>349</v>
      </c>
      <c r="U1142" s="19" t="s">
        <v>166</v>
      </c>
    </row>
    <row r="1143" spans="1:21" x14ac:dyDescent="0.2">
      <c r="A1143" s="19" t="s">
        <v>580</v>
      </c>
      <c r="B1143" s="20">
        <v>45670</v>
      </c>
      <c r="C1143" s="20">
        <v>45653</v>
      </c>
      <c r="D1143" s="19" t="s">
        <v>162</v>
      </c>
      <c r="E1143" s="19" t="s">
        <v>163</v>
      </c>
      <c r="G1143" s="19" t="s">
        <v>576</v>
      </c>
      <c r="H1143" s="19" t="s">
        <v>578</v>
      </c>
      <c r="I1143" s="19" t="s">
        <v>579</v>
      </c>
      <c r="J1143" s="11" t="str">
        <f>+LEFT(U1143,4)</f>
        <v>SCR-</v>
      </c>
      <c r="K1143" s="19" t="s">
        <v>10</v>
      </c>
      <c r="L1143" s="19">
        <v>1000</v>
      </c>
      <c r="M1143" s="19" t="s">
        <v>1472</v>
      </c>
      <c r="N1143" s="19" t="s">
        <v>11</v>
      </c>
      <c r="O1143" s="26">
        <v>9.8000000000000004E-2</v>
      </c>
      <c r="P1143" s="12">
        <f>ROUND(O1143*L1143,2)</f>
        <v>98</v>
      </c>
      <c r="Q1143" s="13">
        <f>IF(N1143="HKD",7.8,IF(N1143="CNY",7.30034,1))</f>
        <v>7.3003400000000003</v>
      </c>
      <c r="R1143" s="15">
        <f>+ROUND(O1143/Q1143,4)</f>
        <v>1.34E-2</v>
      </c>
      <c r="S1143" s="14">
        <f>ROUND(R1143*L1143,2)</f>
        <v>13.4</v>
      </c>
      <c r="T1143" s="15" t="s">
        <v>349</v>
      </c>
      <c r="U1143" s="19" t="s">
        <v>166</v>
      </c>
    </row>
    <row r="1144" spans="1:21" x14ac:dyDescent="0.2">
      <c r="A1144" s="19" t="s">
        <v>577</v>
      </c>
      <c r="B1144" s="20">
        <v>45670</v>
      </c>
      <c r="C1144" s="20">
        <v>45646</v>
      </c>
      <c r="D1144" s="19" t="s">
        <v>162</v>
      </c>
      <c r="E1144" s="19" t="s">
        <v>163</v>
      </c>
      <c r="G1144" s="19" t="s">
        <v>576</v>
      </c>
      <c r="H1144" s="19" t="s">
        <v>573</v>
      </c>
      <c r="I1144" s="19" t="s">
        <v>574</v>
      </c>
      <c r="J1144" s="11" t="str">
        <f>+LEFT(U1144,4)</f>
        <v>SCR-</v>
      </c>
      <c r="K1144" s="19" t="s">
        <v>10</v>
      </c>
      <c r="L1144" s="19">
        <v>400</v>
      </c>
      <c r="M1144" s="19" t="s">
        <v>1472</v>
      </c>
      <c r="N1144" s="19" t="s">
        <v>11</v>
      </c>
      <c r="O1144" s="26">
        <v>0.11700000000000001</v>
      </c>
      <c r="P1144" s="12">
        <f>ROUND(O1144*L1144,2)</f>
        <v>46.8</v>
      </c>
      <c r="Q1144" s="13">
        <f>IF(N1144="HKD",7.8,IF(N1144="CNY",7.30034,1))</f>
        <v>7.3003400000000003</v>
      </c>
      <c r="R1144" s="15">
        <f>+ROUND(O1144/Q1144,4)</f>
        <v>1.6E-2</v>
      </c>
      <c r="S1144" s="14">
        <f>ROUND(R1144*L1144,2)</f>
        <v>6.4</v>
      </c>
      <c r="T1144" s="15" t="s">
        <v>349</v>
      </c>
      <c r="U1144" s="19" t="s">
        <v>166</v>
      </c>
    </row>
    <row r="1145" spans="1:21" x14ac:dyDescent="0.2">
      <c r="A1145" s="19" t="s">
        <v>575</v>
      </c>
      <c r="B1145" s="20">
        <v>45670</v>
      </c>
      <c r="C1145" s="20">
        <v>45664</v>
      </c>
      <c r="D1145" s="19" t="s">
        <v>162</v>
      </c>
      <c r="E1145" s="19" t="s">
        <v>163</v>
      </c>
      <c r="G1145" s="19" t="s">
        <v>576</v>
      </c>
      <c r="H1145" s="19" t="s">
        <v>573</v>
      </c>
      <c r="I1145" s="19" t="s">
        <v>574</v>
      </c>
      <c r="J1145" s="11" t="str">
        <f>+LEFT(U1145,4)</f>
        <v>SCR-</v>
      </c>
      <c r="K1145" s="19" t="s">
        <v>10</v>
      </c>
      <c r="L1145" s="19">
        <v>1500</v>
      </c>
      <c r="M1145" s="19" t="s">
        <v>1472</v>
      </c>
      <c r="N1145" s="19" t="s">
        <v>11</v>
      </c>
      <c r="O1145" s="26">
        <v>0.11700000000000001</v>
      </c>
      <c r="P1145" s="12">
        <f>ROUND(O1145*L1145,2)</f>
        <v>175.5</v>
      </c>
      <c r="Q1145" s="13">
        <f>IF(N1145="HKD",7.8,IF(N1145="CNY",7.30034,1))</f>
        <v>7.3003400000000003</v>
      </c>
      <c r="R1145" s="15">
        <f>+ROUND(O1145/Q1145,4)</f>
        <v>1.6E-2</v>
      </c>
      <c r="S1145" s="14">
        <f>ROUND(R1145*L1145,2)</f>
        <v>24</v>
      </c>
      <c r="T1145" s="15" t="s">
        <v>349</v>
      </c>
      <c r="U1145" s="19" t="s">
        <v>166</v>
      </c>
    </row>
    <row r="1146" spans="1:21" x14ac:dyDescent="0.2">
      <c r="A1146" s="19" t="s">
        <v>605</v>
      </c>
      <c r="B1146" s="20">
        <v>45670</v>
      </c>
      <c r="C1146" s="20">
        <v>45643</v>
      </c>
      <c r="D1146" s="19" t="s">
        <v>162</v>
      </c>
      <c r="E1146" s="19" t="s">
        <v>163</v>
      </c>
      <c r="G1146" s="19" t="s">
        <v>602</v>
      </c>
      <c r="H1146" s="19" t="s">
        <v>160</v>
      </c>
      <c r="I1146" s="19" t="s">
        <v>161</v>
      </c>
      <c r="J1146" s="11" t="str">
        <f>+LEFT(U1146,4)</f>
        <v>SCR-</v>
      </c>
      <c r="K1146" s="19" t="s">
        <v>10</v>
      </c>
      <c r="L1146" s="19">
        <v>7200</v>
      </c>
      <c r="M1146" s="19" t="s">
        <v>1472</v>
      </c>
      <c r="N1146" s="19" t="s">
        <v>11</v>
      </c>
      <c r="O1146" s="26">
        <v>0.14199999999999999</v>
      </c>
      <c r="P1146" s="12">
        <f>ROUND(O1146*L1146,2)</f>
        <v>1022.4</v>
      </c>
      <c r="Q1146" s="13">
        <f>IF(N1146="HKD",7.8,IF(N1146="CNY",7.30034,1))</f>
        <v>7.3003400000000003</v>
      </c>
      <c r="R1146" s="15">
        <f>+ROUND(O1146/Q1146,4)</f>
        <v>1.95E-2</v>
      </c>
      <c r="S1146" s="14">
        <f>ROUND(R1146*L1146,2)</f>
        <v>140.4</v>
      </c>
      <c r="T1146" s="15" t="s">
        <v>349</v>
      </c>
      <c r="U1146" s="19" t="s">
        <v>166</v>
      </c>
    </row>
    <row r="1147" spans="1:21" x14ac:dyDescent="0.2">
      <c r="A1147" s="19" t="s">
        <v>589</v>
      </c>
      <c r="B1147" s="20">
        <v>45670</v>
      </c>
      <c r="C1147" s="20">
        <v>45639</v>
      </c>
      <c r="D1147" s="19" t="s">
        <v>162</v>
      </c>
      <c r="E1147" s="19" t="s">
        <v>163</v>
      </c>
      <c r="G1147" s="19" t="s">
        <v>590</v>
      </c>
      <c r="H1147" s="19" t="s">
        <v>587</v>
      </c>
      <c r="I1147" s="19" t="s">
        <v>588</v>
      </c>
      <c r="J1147" s="11" t="str">
        <f>+LEFT(U1147,4)</f>
        <v>SCR-</v>
      </c>
      <c r="K1147" s="19" t="s">
        <v>10</v>
      </c>
      <c r="L1147" s="19">
        <v>13000</v>
      </c>
      <c r="M1147" s="19" t="s">
        <v>1472</v>
      </c>
      <c r="N1147" s="19" t="s">
        <v>11</v>
      </c>
      <c r="O1147" s="26">
        <v>0.153</v>
      </c>
      <c r="P1147" s="12">
        <f>ROUND(O1147*L1147,2)</f>
        <v>1989</v>
      </c>
      <c r="Q1147" s="13">
        <f>IF(N1147="HKD",7.8,IF(N1147="CNY",7.30034,1))</f>
        <v>7.3003400000000003</v>
      </c>
      <c r="R1147" s="15">
        <f>+ROUND(O1147/Q1147,4)</f>
        <v>2.1000000000000001E-2</v>
      </c>
      <c r="S1147" s="14">
        <f>ROUND(R1147*L1147,2)</f>
        <v>273</v>
      </c>
      <c r="T1147" s="15" t="s">
        <v>349</v>
      </c>
      <c r="U1147" s="19" t="s">
        <v>166</v>
      </c>
    </row>
    <row r="1148" spans="1:21" x14ac:dyDescent="0.2">
      <c r="A1148" s="19" t="s">
        <v>591</v>
      </c>
      <c r="B1148" s="20">
        <v>45670</v>
      </c>
      <c r="C1148" s="20">
        <v>45644</v>
      </c>
      <c r="D1148" s="19" t="s">
        <v>162</v>
      </c>
      <c r="E1148" s="19" t="s">
        <v>163</v>
      </c>
      <c r="G1148" s="19" t="s">
        <v>590</v>
      </c>
      <c r="H1148" s="19" t="s">
        <v>587</v>
      </c>
      <c r="I1148" s="19" t="s">
        <v>588</v>
      </c>
      <c r="J1148" s="11" t="str">
        <f>+LEFT(U1148,4)</f>
        <v>SCR-</v>
      </c>
      <c r="K1148" s="19" t="s">
        <v>10</v>
      </c>
      <c r="L1148" s="19">
        <v>9800</v>
      </c>
      <c r="M1148" s="19" t="s">
        <v>1472</v>
      </c>
      <c r="N1148" s="19" t="s">
        <v>11</v>
      </c>
      <c r="O1148" s="26">
        <v>0.153</v>
      </c>
      <c r="P1148" s="12">
        <f>ROUND(O1148*L1148,2)</f>
        <v>1499.4</v>
      </c>
      <c r="Q1148" s="13">
        <f>IF(N1148="HKD",7.8,IF(N1148="CNY",7.30034,1))</f>
        <v>7.3003400000000003</v>
      </c>
      <c r="R1148" s="15">
        <f>+ROUND(O1148/Q1148,4)</f>
        <v>2.1000000000000001E-2</v>
      </c>
      <c r="S1148" s="14">
        <f>ROUND(R1148*L1148,2)</f>
        <v>205.8</v>
      </c>
      <c r="T1148" s="15" t="s">
        <v>349</v>
      </c>
      <c r="U1148" s="19" t="s">
        <v>166</v>
      </c>
    </row>
    <row r="1149" spans="1:21" x14ac:dyDescent="0.2">
      <c r="A1149" s="19" t="s">
        <v>164</v>
      </c>
      <c r="B1149" s="20">
        <v>45675</v>
      </c>
      <c r="C1149" s="20">
        <v>45670</v>
      </c>
      <c r="D1149" s="19" t="s">
        <v>162</v>
      </c>
      <c r="E1149" s="19" t="s">
        <v>163</v>
      </c>
      <c r="G1149" s="19" t="s">
        <v>165</v>
      </c>
      <c r="H1149" s="19" t="s">
        <v>160</v>
      </c>
      <c r="I1149" s="19" t="s">
        <v>161</v>
      </c>
      <c r="J1149" s="11" t="str">
        <f>+LEFT(U1149,4)</f>
        <v>SCR-</v>
      </c>
      <c r="K1149" s="19" t="s">
        <v>10</v>
      </c>
      <c r="L1149" s="19">
        <v>3200</v>
      </c>
      <c r="M1149" s="19" t="s">
        <v>1472</v>
      </c>
      <c r="N1149" s="19" t="s">
        <v>11</v>
      </c>
      <c r="O1149" s="26">
        <v>0.14199999999999999</v>
      </c>
      <c r="P1149" s="12">
        <f>ROUND(O1149*L1149,2)</f>
        <v>454.4</v>
      </c>
      <c r="Q1149" s="13">
        <f>IF(N1149="HKD",7.8,IF(N1149="CNY",7.30034,1))</f>
        <v>7.3003400000000003</v>
      </c>
      <c r="R1149" s="15">
        <f>+ROUND(O1149/Q1149,4)</f>
        <v>1.95E-2</v>
      </c>
      <c r="S1149" s="14">
        <f>ROUND(R1149*L1149,2)</f>
        <v>62.4</v>
      </c>
      <c r="T1149" s="15" t="s">
        <v>349</v>
      </c>
      <c r="U1149" s="19" t="s">
        <v>166</v>
      </c>
    </row>
    <row r="1150" spans="1:21" x14ac:dyDescent="0.2">
      <c r="A1150" t="s">
        <v>1830</v>
      </c>
      <c r="B1150" s="24">
        <v>45712</v>
      </c>
      <c r="C1150" s="24">
        <v>45670</v>
      </c>
      <c r="D1150" t="s">
        <v>162</v>
      </c>
      <c r="E1150" t="s">
        <v>163</v>
      </c>
      <c r="G1150" t="s">
        <v>2139</v>
      </c>
      <c r="H1150" s="19" t="s">
        <v>599</v>
      </c>
      <c r="I1150" s="19" t="s">
        <v>600</v>
      </c>
      <c r="J1150" s="11" t="str">
        <f>+LEFT(U1150,4)</f>
        <v>SCR-</v>
      </c>
      <c r="K1150" t="s">
        <v>10</v>
      </c>
      <c r="L1150" s="19">
        <v>22600</v>
      </c>
      <c r="M1150" t="s">
        <v>1472</v>
      </c>
      <c r="N1150" t="s">
        <v>11</v>
      </c>
      <c r="O1150" s="26">
        <v>4.1200000000000001E-2</v>
      </c>
      <c r="P1150" s="12">
        <f>ROUND(O1150*L1150,2)</f>
        <v>931.12</v>
      </c>
      <c r="Q1150" s="13">
        <f>IF(N1150="HKD",7.8,IF(N1150="CNY",7.30034,1))</f>
        <v>7.3003400000000003</v>
      </c>
      <c r="R1150" s="15">
        <f>+ROUND(O1150/Q1150,4)</f>
        <v>5.5999999999999999E-3</v>
      </c>
      <c r="S1150" s="14">
        <f>ROUND(R1150*L1150,2)</f>
        <v>126.56</v>
      </c>
      <c r="T1150" s="15" t="s">
        <v>349</v>
      </c>
      <c r="U1150" t="s">
        <v>166</v>
      </c>
    </row>
    <row r="1151" spans="1:21" x14ac:dyDescent="0.2">
      <c r="A1151" t="s">
        <v>1830</v>
      </c>
      <c r="B1151" s="24">
        <v>45712</v>
      </c>
      <c r="C1151" s="24">
        <v>45670</v>
      </c>
      <c r="D1151" t="s">
        <v>162</v>
      </c>
      <c r="E1151" t="s">
        <v>163</v>
      </c>
      <c r="G1151" t="s">
        <v>2140</v>
      </c>
      <c r="H1151" s="19" t="s">
        <v>599</v>
      </c>
      <c r="I1151" s="19" t="s">
        <v>600</v>
      </c>
      <c r="J1151" s="11" t="str">
        <f>+LEFT(U1151,4)</f>
        <v>SCR-</v>
      </c>
      <c r="K1151" t="s">
        <v>10</v>
      </c>
      <c r="L1151" s="19">
        <v>-26000</v>
      </c>
      <c r="M1151" t="s">
        <v>1472</v>
      </c>
      <c r="N1151" t="s">
        <v>11</v>
      </c>
      <c r="O1151" s="26">
        <v>4.1200000000000001E-2</v>
      </c>
      <c r="P1151" s="12">
        <f>ROUND(O1151*L1151,2)</f>
        <v>-1071.2</v>
      </c>
      <c r="Q1151" s="13">
        <f>IF(N1151="HKD",7.8,IF(N1151="CNY",7.30034,1))</f>
        <v>7.3003400000000003</v>
      </c>
      <c r="R1151" s="15">
        <f>+ROUND(O1151/Q1151,4)</f>
        <v>5.5999999999999999E-3</v>
      </c>
      <c r="S1151" s="14">
        <f>ROUND(R1151*L1151,2)</f>
        <v>-145.6</v>
      </c>
      <c r="T1151" s="15" t="s">
        <v>349</v>
      </c>
      <c r="U1151" t="s">
        <v>166</v>
      </c>
    </row>
    <row r="1152" spans="1:21" x14ac:dyDescent="0.2">
      <c r="A1152" t="s">
        <v>1830</v>
      </c>
      <c r="B1152" s="24">
        <v>45712</v>
      </c>
      <c r="C1152" s="24">
        <v>45670</v>
      </c>
      <c r="D1152" t="s">
        <v>162</v>
      </c>
      <c r="E1152" t="s">
        <v>163</v>
      </c>
      <c r="G1152" t="s">
        <v>2139</v>
      </c>
      <c r="H1152" s="19" t="s">
        <v>599</v>
      </c>
      <c r="I1152" s="19" t="s">
        <v>600</v>
      </c>
      <c r="J1152" s="11" t="str">
        <f>+LEFT(U1152,4)</f>
        <v>SCR-</v>
      </c>
      <c r="K1152" t="s">
        <v>10</v>
      </c>
      <c r="L1152" s="19">
        <v>26000</v>
      </c>
      <c r="M1152" t="s">
        <v>1472</v>
      </c>
      <c r="N1152" t="s">
        <v>11</v>
      </c>
      <c r="O1152" s="26">
        <v>4.1200000000000001E-2</v>
      </c>
      <c r="P1152" s="12">
        <f>ROUND(O1152*L1152,2)</f>
        <v>1071.2</v>
      </c>
      <c r="Q1152" s="13">
        <f>IF(N1152="HKD",7.8,IF(N1152="CNY",7.30034,1))</f>
        <v>7.3003400000000003</v>
      </c>
      <c r="R1152" s="15">
        <f>+ROUND(O1152/Q1152,4)</f>
        <v>5.5999999999999999E-3</v>
      </c>
      <c r="S1152" s="14">
        <f>ROUND(R1152*L1152,2)</f>
        <v>145.6</v>
      </c>
      <c r="T1152" s="15" t="s">
        <v>349</v>
      </c>
      <c r="U1152" t="s">
        <v>166</v>
      </c>
    </row>
    <row r="1153" spans="1:21" x14ac:dyDescent="0.2">
      <c r="A1153" t="s">
        <v>1839</v>
      </c>
      <c r="B1153" s="24">
        <v>45712</v>
      </c>
      <c r="C1153" s="24">
        <v>45674</v>
      </c>
      <c r="D1153" t="s">
        <v>162</v>
      </c>
      <c r="E1153" t="s">
        <v>163</v>
      </c>
      <c r="G1153" t="s">
        <v>2139</v>
      </c>
      <c r="H1153" s="19" t="s">
        <v>592</v>
      </c>
      <c r="I1153" s="19" t="s">
        <v>593</v>
      </c>
      <c r="J1153" s="11" t="str">
        <f>+LEFT(U1153,4)</f>
        <v>SCR-</v>
      </c>
      <c r="K1153" t="s">
        <v>10</v>
      </c>
      <c r="L1153" s="19">
        <v>3100</v>
      </c>
      <c r="M1153" t="s">
        <v>1472</v>
      </c>
      <c r="N1153" t="s">
        <v>11</v>
      </c>
      <c r="O1153" s="26">
        <v>7.0000000000000007E-2</v>
      </c>
      <c r="P1153" s="12">
        <f>ROUND(O1153*L1153,2)</f>
        <v>217</v>
      </c>
      <c r="Q1153" s="13">
        <f>IF(N1153="HKD",7.8,IF(N1153="CNY",7.30034,1))</f>
        <v>7.3003400000000003</v>
      </c>
      <c r="R1153" s="15">
        <f>+ROUND(O1153/Q1153,4)</f>
        <v>9.5999999999999992E-3</v>
      </c>
      <c r="S1153" s="14">
        <f>ROUND(R1153*L1153,2)</f>
        <v>29.76</v>
      </c>
      <c r="T1153" s="15" t="s">
        <v>349</v>
      </c>
      <c r="U1153" t="s">
        <v>166</v>
      </c>
    </row>
    <row r="1154" spans="1:21" x14ac:dyDescent="0.2">
      <c r="A1154" t="s">
        <v>1846</v>
      </c>
      <c r="B1154" s="24">
        <v>45712</v>
      </c>
      <c r="C1154" s="24">
        <v>45674</v>
      </c>
      <c r="D1154" t="s">
        <v>162</v>
      </c>
      <c r="E1154" t="s">
        <v>163</v>
      </c>
      <c r="G1154" t="s">
        <v>2139</v>
      </c>
      <c r="H1154" s="19" t="s">
        <v>583</v>
      </c>
      <c r="I1154" s="19" t="s">
        <v>584</v>
      </c>
      <c r="J1154" s="11" t="str">
        <f>+LEFT(U1154,4)</f>
        <v>SCR-</v>
      </c>
      <c r="K1154" t="s">
        <v>10</v>
      </c>
      <c r="L1154" s="19">
        <v>2000</v>
      </c>
      <c r="M1154" t="s">
        <v>1472</v>
      </c>
      <c r="N1154" t="s">
        <v>11</v>
      </c>
      <c r="O1154" s="26">
        <v>9.2999999999999999E-2</v>
      </c>
      <c r="P1154" s="12">
        <f>ROUND(O1154*L1154,2)</f>
        <v>186</v>
      </c>
      <c r="Q1154" s="13">
        <f>IF(N1154="HKD",7.8,IF(N1154="CNY",7.30034,1))</f>
        <v>7.3003400000000003</v>
      </c>
      <c r="R1154" s="15">
        <f>+ROUND(O1154/Q1154,4)</f>
        <v>1.2699999999999999E-2</v>
      </c>
      <c r="S1154" s="14">
        <f>ROUND(R1154*L1154,2)</f>
        <v>25.4</v>
      </c>
      <c r="T1154" s="15" t="s">
        <v>349</v>
      </c>
      <c r="U1154" t="s">
        <v>166</v>
      </c>
    </row>
    <row r="1155" spans="1:21" x14ac:dyDescent="0.2">
      <c r="A1155" t="s">
        <v>1849</v>
      </c>
      <c r="B1155" s="24">
        <v>45712</v>
      </c>
      <c r="C1155" s="24">
        <v>45670</v>
      </c>
      <c r="D1155" t="s">
        <v>162</v>
      </c>
      <c r="E1155" t="s">
        <v>163</v>
      </c>
      <c r="G1155" t="s">
        <v>2139</v>
      </c>
      <c r="H1155" s="19" t="s">
        <v>578</v>
      </c>
      <c r="I1155" s="19" t="s">
        <v>579</v>
      </c>
      <c r="J1155" s="11" t="str">
        <f>+LEFT(U1155,4)</f>
        <v>SCR-</v>
      </c>
      <c r="K1155" t="s">
        <v>10</v>
      </c>
      <c r="L1155" s="19">
        <v>1040</v>
      </c>
      <c r="M1155" t="s">
        <v>1472</v>
      </c>
      <c r="N1155" t="s">
        <v>11</v>
      </c>
      <c r="O1155" s="26">
        <v>9.8000000000000004E-2</v>
      </c>
      <c r="P1155" s="12">
        <f>ROUND(O1155*L1155,2)</f>
        <v>101.92</v>
      </c>
      <c r="Q1155" s="13">
        <f>IF(N1155="HKD",7.8,IF(N1155="CNY",7.30034,1))</f>
        <v>7.3003400000000003</v>
      </c>
      <c r="R1155" s="15">
        <f>+ROUND(O1155/Q1155,4)</f>
        <v>1.34E-2</v>
      </c>
      <c r="S1155" s="14">
        <f>ROUND(R1155*L1155,2)</f>
        <v>13.94</v>
      </c>
      <c r="T1155" s="15" t="s">
        <v>349</v>
      </c>
      <c r="U1155" t="s">
        <v>166</v>
      </c>
    </row>
    <row r="1156" spans="1:21" x14ac:dyDescent="0.2">
      <c r="A1156" t="s">
        <v>1850</v>
      </c>
      <c r="B1156" s="24">
        <v>45712</v>
      </c>
      <c r="C1156" s="24">
        <v>45671</v>
      </c>
      <c r="D1156" t="s">
        <v>162</v>
      </c>
      <c r="E1156" t="s">
        <v>163</v>
      </c>
      <c r="G1156" t="s">
        <v>2139</v>
      </c>
      <c r="H1156" s="19" t="s">
        <v>578</v>
      </c>
      <c r="I1156" s="19" t="s">
        <v>579</v>
      </c>
      <c r="J1156" s="11" t="str">
        <f>+LEFT(U1156,4)</f>
        <v>SCR-</v>
      </c>
      <c r="K1156" t="s">
        <v>10</v>
      </c>
      <c r="L1156" s="19">
        <v>10000</v>
      </c>
      <c r="M1156" t="s">
        <v>1472</v>
      </c>
      <c r="N1156" t="s">
        <v>11</v>
      </c>
      <c r="O1156" s="26">
        <v>9.8000000000000004E-2</v>
      </c>
      <c r="P1156" s="12">
        <f>ROUND(O1156*L1156,2)</f>
        <v>980</v>
      </c>
      <c r="Q1156" s="13">
        <f>IF(N1156="HKD",7.8,IF(N1156="CNY",7.30034,1))</f>
        <v>7.3003400000000003</v>
      </c>
      <c r="R1156" s="15">
        <f>+ROUND(O1156/Q1156,4)</f>
        <v>1.34E-2</v>
      </c>
      <c r="S1156" s="14">
        <f>ROUND(R1156*L1156,2)</f>
        <v>134</v>
      </c>
      <c r="T1156" s="15" t="s">
        <v>349</v>
      </c>
      <c r="U1156" t="s">
        <v>166</v>
      </c>
    </row>
    <row r="1157" spans="1:21" x14ac:dyDescent="0.2">
      <c r="A1157" t="s">
        <v>1851</v>
      </c>
      <c r="B1157" s="24">
        <v>45712</v>
      </c>
      <c r="C1157" s="24">
        <v>45695</v>
      </c>
      <c r="D1157" t="s">
        <v>162</v>
      </c>
      <c r="E1157" t="s">
        <v>163</v>
      </c>
      <c r="G1157" t="s">
        <v>2139</v>
      </c>
      <c r="H1157" s="19" t="s">
        <v>578</v>
      </c>
      <c r="I1157" s="19" t="s">
        <v>579</v>
      </c>
      <c r="J1157" s="11" t="str">
        <f>+LEFT(U1157,4)</f>
        <v>SCR-</v>
      </c>
      <c r="K1157" t="s">
        <v>10</v>
      </c>
      <c r="L1157" s="19">
        <v>2200</v>
      </c>
      <c r="M1157" t="s">
        <v>1472</v>
      </c>
      <c r="N1157" t="s">
        <v>11</v>
      </c>
      <c r="O1157" s="26">
        <v>9.8000000000000004E-2</v>
      </c>
      <c r="P1157" s="12">
        <f>ROUND(O1157*L1157,2)</f>
        <v>215.6</v>
      </c>
      <c r="Q1157" s="13">
        <f>IF(N1157="HKD",7.8,IF(N1157="CNY",7.30034,1))</f>
        <v>7.3003400000000003</v>
      </c>
      <c r="R1157" s="15">
        <f>+ROUND(O1157/Q1157,4)</f>
        <v>1.34E-2</v>
      </c>
      <c r="S1157" s="14">
        <f>ROUND(R1157*L1157,2)</f>
        <v>29.48</v>
      </c>
      <c r="T1157" s="15" t="s">
        <v>349</v>
      </c>
      <c r="U1157" t="s">
        <v>166</v>
      </c>
    </row>
    <row r="1158" spans="1:21" x14ac:dyDescent="0.2">
      <c r="A1158" t="s">
        <v>1865</v>
      </c>
      <c r="B1158" s="24">
        <v>45712</v>
      </c>
      <c r="C1158" s="24">
        <v>45670</v>
      </c>
      <c r="D1158" t="s">
        <v>162</v>
      </c>
      <c r="E1158" t="s">
        <v>163</v>
      </c>
      <c r="G1158" t="s">
        <v>2139</v>
      </c>
      <c r="H1158" s="19" t="s">
        <v>160</v>
      </c>
      <c r="I1158" s="19" t="s">
        <v>161</v>
      </c>
      <c r="J1158" s="11" t="str">
        <f>+LEFT(U1158,4)</f>
        <v>SCR-</v>
      </c>
      <c r="K1158" t="s">
        <v>10</v>
      </c>
      <c r="L1158" s="19">
        <v>27000</v>
      </c>
      <c r="M1158" t="s">
        <v>1472</v>
      </c>
      <c r="N1158" t="s">
        <v>11</v>
      </c>
      <c r="O1158" s="26">
        <v>0.13919999999999999</v>
      </c>
      <c r="P1158" s="12">
        <f>ROUND(O1158*L1158,2)</f>
        <v>3758.4</v>
      </c>
      <c r="Q1158" s="13">
        <f>IF(N1158="HKD",7.8,IF(N1158="CNY",7.30034,1))</f>
        <v>7.3003400000000003</v>
      </c>
      <c r="R1158" s="15">
        <f>+ROUND(O1158/Q1158,4)</f>
        <v>1.9099999999999999E-2</v>
      </c>
      <c r="S1158" s="14">
        <f>ROUND(R1158*L1158,2)</f>
        <v>515.70000000000005</v>
      </c>
      <c r="T1158" s="15" t="s">
        <v>349</v>
      </c>
      <c r="U1158" t="s">
        <v>166</v>
      </c>
    </row>
    <row r="1159" spans="1:21" x14ac:dyDescent="0.2">
      <c r="A1159" t="s">
        <v>1885</v>
      </c>
      <c r="B1159" s="24">
        <v>45712</v>
      </c>
      <c r="C1159" s="24">
        <v>45698</v>
      </c>
      <c r="D1159" t="s">
        <v>235</v>
      </c>
      <c r="E1159" t="s">
        <v>236</v>
      </c>
      <c r="G1159" t="s">
        <v>2153</v>
      </c>
      <c r="H1159" s="19" t="s">
        <v>1371</v>
      </c>
      <c r="I1159" s="19" t="s">
        <v>1372</v>
      </c>
      <c r="J1159" s="11" t="str">
        <f>+LEFT(U1159,4)</f>
        <v>SCR-</v>
      </c>
      <c r="K1159" t="s">
        <v>10</v>
      </c>
      <c r="L1159" s="19">
        <v>200</v>
      </c>
      <c r="M1159" t="s">
        <v>1472</v>
      </c>
      <c r="N1159" t="s">
        <v>11</v>
      </c>
      <c r="O1159" s="26">
        <v>0.28810000000000002</v>
      </c>
      <c r="P1159" s="12">
        <f>ROUND(O1159*L1159,2)</f>
        <v>57.62</v>
      </c>
      <c r="Q1159" s="13">
        <f>IF(N1159="HKD",7.8,IF(N1159="CNY",7.30034,1))</f>
        <v>7.3003400000000003</v>
      </c>
      <c r="R1159" s="15">
        <f>+ROUND(O1159/Q1159,4)</f>
        <v>3.95E-2</v>
      </c>
      <c r="S1159" s="14">
        <f>ROUND(R1159*L1159,2)</f>
        <v>7.9</v>
      </c>
      <c r="T1159" s="15" t="s">
        <v>349</v>
      </c>
      <c r="U1159" t="s">
        <v>166</v>
      </c>
    </row>
    <row r="1160" spans="1:21" x14ac:dyDescent="0.2">
      <c r="A1160" t="s">
        <v>1885</v>
      </c>
      <c r="B1160" s="24">
        <v>45712</v>
      </c>
      <c r="C1160" s="24">
        <v>45698</v>
      </c>
      <c r="D1160" t="s">
        <v>235</v>
      </c>
      <c r="E1160" t="s">
        <v>236</v>
      </c>
      <c r="G1160" t="s">
        <v>2153</v>
      </c>
      <c r="H1160" s="19" t="s">
        <v>1371</v>
      </c>
      <c r="I1160" s="19" t="s">
        <v>1372</v>
      </c>
      <c r="J1160" s="11" t="str">
        <f>+LEFT(U1160,4)</f>
        <v>SCR-</v>
      </c>
      <c r="K1160" t="s">
        <v>10</v>
      </c>
      <c r="L1160" s="19">
        <v>500</v>
      </c>
      <c r="M1160" t="s">
        <v>1472</v>
      </c>
      <c r="N1160" t="s">
        <v>11</v>
      </c>
      <c r="O1160" s="26">
        <v>0.28810000000000002</v>
      </c>
      <c r="P1160" s="12">
        <f>ROUND(O1160*L1160,2)</f>
        <v>144.05000000000001</v>
      </c>
      <c r="Q1160" s="13">
        <f>IF(N1160="HKD",7.8,IF(N1160="CNY",7.30034,1))</f>
        <v>7.3003400000000003</v>
      </c>
      <c r="R1160" s="15">
        <f>+ROUND(O1160/Q1160,4)</f>
        <v>3.95E-2</v>
      </c>
      <c r="S1160" s="14">
        <f>ROUND(R1160*L1160,2)</f>
        <v>19.75</v>
      </c>
      <c r="T1160" s="15" t="s">
        <v>349</v>
      </c>
      <c r="U1160" t="s">
        <v>166</v>
      </c>
    </row>
    <row r="1161" spans="1:21" x14ac:dyDescent="0.2">
      <c r="A1161" t="s">
        <v>1892</v>
      </c>
      <c r="B1161" s="24">
        <v>45712</v>
      </c>
      <c r="C1161" s="24">
        <v>45695</v>
      </c>
      <c r="D1161" t="s">
        <v>235</v>
      </c>
      <c r="E1161" t="s">
        <v>236</v>
      </c>
      <c r="G1161" t="s">
        <v>2149</v>
      </c>
      <c r="H1161" s="19" t="s">
        <v>1344</v>
      </c>
      <c r="I1161" s="19" t="s">
        <v>1345</v>
      </c>
      <c r="J1161" s="11" t="str">
        <f>+LEFT(U1161,4)</f>
        <v>SCR-</v>
      </c>
      <c r="K1161" t="s">
        <v>10</v>
      </c>
      <c r="L1161" s="19">
        <v>1750</v>
      </c>
      <c r="M1161" t="s">
        <v>1472</v>
      </c>
      <c r="N1161" t="s">
        <v>11</v>
      </c>
      <c r="O1161" s="26">
        <v>0.47449999999999998</v>
      </c>
      <c r="P1161" s="12">
        <f>ROUND(O1161*L1161,2)</f>
        <v>830.38</v>
      </c>
      <c r="Q1161" s="13">
        <f>IF(N1161="HKD",7.8,IF(N1161="CNY",7.30034,1))</f>
        <v>7.3003400000000003</v>
      </c>
      <c r="R1161" s="15">
        <f>+ROUND(O1161/Q1161,4)</f>
        <v>6.5000000000000002E-2</v>
      </c>
      <c r="S1161" s="14">
        <f>ROUND(R1161*L1161,2)</f>
        <v>113.75</v>
      </c>
      <c r="T1161" s="15" t="s">
        <v>349</v>
      </c>
      <c r="U1161" t="s">
        <v>166</v>
      </c>
    </row>
    <row r="1162" spans="1:21" x14ac:dyDescent="0.2">
      <c r="A1162" t="s">
        <v>1830</v>
      </c>
      <c r="B1162" s="24">
        <v>45713</v>
      </c>
      <c r="C1162" s="24">
        <v>45670</v>
      </c>
      <c r="D1162" t="s">
        <v>162</v>
      </c>
      <c r="E1162" t="s">
        <v>163</v>
      </c>
      <c r="G1162" t="s">
        <v>2138</v>
      </c>
      <c r="H1162" s="19" t="s">
        <v>599</v>
      </c>
      <c r="I1162" s="19" t="s">
        <v>600</v>
      </c>
      <c r="J1162" s="11" t="str">
        <f>+LEFT(U1162,4)</f>
        <v>SCR-</v>
      </c>
      <c r="K1162" t="s">
        <v>10</v>
      </c>
      <c r="L1162" s="19">
        <v>3400</v>
      </c>
      <c r="M1162" t="s">
        <v>1472</v>
      </c>
      <c r="N1162" t="s">
        <v>11</v>
      </c>
      <c r="O1162" s="26">
        <v>4.1200000000000001E-2</v>
      </c>
      <c r="P1162" s="12">
        <f>ROUND(O1162*L1162,2)</f>
        <v>140.08000000000001</v>
      </c>
      <c r="Q1162" s="13">
        <f>IF(N1162="HKD",7.8,IF(N1162="CNY",7.30034,1))</f>
        <v>7.3003400000000003</v>
      </c>
      <c r="R1162" s="15">
        <f>+ROUND(O1162/Q1162,4)</f>
        <v>5.5999999999999999E-3</v>
      </c>
      <c r="S1162" s="14">
        <f>ROUND(R1162*L1162,2)</f>
        <v>19.04</v>
      </c>
      <c r="T1162" s="15" t="s">
        <v>349</v>
      </c>
      <c r="U1162" t="s">
        <v>166</v>
      </c>
    </row>
    <row r="1163" spans="1:21" x14ac:dyDescent="0.2">
      <c r="A1163" t="s">
        <v>2771</v>
      </c>
      <c r="B1163" s="24">
        <v>45742</v>
      </c>
      <c r="C1163" s="24">
        <v>45730</v>
      </c>
      <c r="D1163" t="s">
        <v>287</v>
      </c>
      <c r="E1163" t="s">
        <v>288</v>
      </c>
      <c r="G1163" t="s">
        <v>2851</v>
      </c>
      <c r="H1163" t="s">
        <v>76</v>
      </c>
      <c r="I1163" t="s">
        <v>77</v>
      </c>
      <c r="J1163" s="11" t="str">
        <f>+LEFT(U1163,4)</f>
        <v>GLID</v>
      </c>
      <c r="K1163" t="s">
        <v>10</v>
      </c>
      <c r="L1163">
        <v>3100</v>
      </c>
      <c r="M1163" t="s">
        <v>1472</v>
      </c>
      <c r="N1163" t="s">
        <v>11</v>
      </c>
      <c r="O1163">
        <v>6.4610000000000003</v>
      </c>
      <c r="P1163" s="12">
        <f>ROUND(O1163*L1163,2)</f>
        <v>20029.099999999999</v>
      </c>
      <c r="Q1163" s="13">
        <f>IF(N1163="HKD",7.8,IF(N1163="CNY",7.30034,1))</f>
        <v>7.3003400000000003</v>
      </c>
      <c r="R1163" s="15">
        <f>+ROUND(O1163/Q1163,4)</f>
        <v>0.88500000000000001</v>
      </c>
      <c r="S1163" s="14">
        <f>ROUND(R1163*L1163,2)</f>
        <v>2743.5</v>
      </c>
      <c r="T1163" s="15" t="s">
        <v>349</v>
      </c>
      <c r="U1163" t="s">
        <v>78</v>
      </c>
    </row>
    <row r="1164" spans="1:21" x14ac:dyDescent="0.2">
      <c r="A1164" t="s">
        <v>2808</v>
      </c>
      <c r="B1164" s="24">
        <v>45742</v>
      </c>
      <c r="C1164" s="24">
        <v>45737</v>
      </c>
      <c r="D1164" t="s">
        <v>5</v>
      </c>
      <c r="E1164" t="s">
        <v>6</v>
      </c>
      <c r="G1164" t="s">
        <v>3054</v>
      </c>
      <c r="H1164" t="s">
        <v>3269</v>
      </c>
      <c r="I1164" t="s">
        <v>3476</v>
      </c>
      <c r="J1164" s="11" t="str">
        <f>+LEFT(U1164,4)</f>
        <v>BOX-</v>
      </c>
      <c r="K1164" t="s">
        <v>10</v>
      </c>
      <c r="L1164">
        <v>505</v>
      </c>
      <c r="M1164" t="s">
        <v>1472</v>
      </c>
      <c r="N1164" t="s">
        <v>11</v>
      </c>
      <c r="O1164">
        <v>6.52</v>
      </c>
      <c r="P1164" s="12">
        <f>ROUND(O1164*L1164,2)</f>
        <v>3292.6</v>
      </c>
      <c r="Q1164" s="13">
        <f>IF(N1164="HKD",7.8,IF(N1164="CNY",7.30034,1))</f>
        <v>7.3003400000000003</v>
      </c>
      <c r="R1164" s="15">
        <f>+ROUND(O1164/Q1164,4)</f>
        <v>0.8931</v>
      </c>
      <c r="S1164" s="14">
        <f>ROUND(R1164*L1164,2)</f>
        <v>451.02</v>
      </c>
      <c r="T1164" s="15" t="s">
        <v>349</v>
      </c>
      <c r="U1164" t="s">
        <v>1</v>
      </c>
    </row>
    <row r="1165" spans="1:21" x14ac:dyDescent="0.2">
      <c r="A1165" t="s">
        <v>2344</v>
      </c>
      <c r="B1165" s="24">
        <v>45720</v>
      </c>
      <c r="C1165" s="24">
        <v>45677</v>
      </c>
      <c r="D1165" t="s">
        <v>287</v>
      </c>
      <c r="E1165" t="s">
        <v>288</v>
      </c>
      <c r="G1165" t="s">
        <v>2899</v>
      </c>
      <c r="H1165" t="s">
        <v>79</v>
      </c>
      <c r="I1165" t="s">
        <v>80</v>
      </c>
      <c r="J1165" s="11" t="s">
        <v>1478</v>
      </c>
      <c r="K1165" t="s">
        <v>10</v>
      </c>
      <c r="L1165">
        <v>1050</v>
      </c>
      <c r="M1165" t="s">
        <v>1472</v>
      </c>
      <c r="N1165" t="s">
        <v>11</v>
      </c>
      <c r="O1165">
        <v>6.5929000000000002</v>
      </c>
      <c r="P1165" s="12">
        <f>ROUND(O1165*L1165,2)</f>
        <v>6922.55</v>
      </c>
      <c r="Q1165" s="13">
        <f>IF(N1165="HKD",7.8,IF(N1165="CNY",7.30034,1))</f>
        <v>7.3003400000000003</v>
      </c>
      <c r="R1165" s="15">
        <f>+ROUND(O1165/Q1165,4)</f>
        <v>0.90310000000000001</v>
      </c>
      <c r="S1165" s="14">
        <f>ROUND(R1165*L1165,2)</f>
        <v>948.26</v>
      </c>
      <c r="T1165" s="15" t="s">
        <v>349</v>
      </c>
      <c r="U1165" t="s">
        <v>36</v>
      </c>
    </row>
    <row r="1166" spans="1:21" x14ac:dyDescent="0.2">
      <c r="A1166" t="s">
        <v>2344</v>
      </c>
      <c r="B1166" s="24">
        <v>45742</v>
      </c>
      <c r="C1166" s="24">
        <v>45677</v>
      </c>
      <c r="D1166" t="s">
        <v>287</v>
      </c>
      <c r="E1166" t="s">
        <v>288</v>
      </c>
      <c r="G1166" t="s">
        <v>2884</v>
      </c>
      <c r="H1166" t="s">
        <v>79</v>
      </c>
      <c r="I1166" t="s">
        <v>80</v>
      </c>
      <c r="J1166" s="11" t="s">
        <v>1478</v>
      </c>
      <c r="K1166" t="s">
        <v>10</v>
      </c>
      <c r="L1166">
        <v>-120</v>
      </c>
      <c r="M1166" t="s">
        <v>1472</v>
      </c>
      <c r="N1166" t="s">
        <v>11</v>
      </c>
      <c r="O1166">
        <v>6.5929000000000002</v>
      </c>
      <c r="P1166" s="12">
        <f>ROUND(O1166*L1166,2)</f>
        <v>-791.15</v>
      </c>
      <c r="Q1166" s="13">
        <f>IF(N1166="HKD",7.8,IF(N1166="CNY",7.30034,1))</f>
        <v>7.3003400000000003</v>
      </c>
      <c r="R1166" s="15">
        <f>+ROUND(O1166/Q1166,4)</f>
        <v>0.90310000000000001</v>
      </c>
      <c r="S1166" s="14">
        <f>ROUND(R1166*L1166,2)</f>
        <v>-108.37</v>
      </c>
      <c r="T1166" s="15" t="s">
        <v>349</v>
      </c>
      <c r="U1166" t="s">
        <v>36</v>
      </c>
    </row>
    <row r="1167" spans="1:21" x14ac:dyDescent="0.2">
      <c r="A1167" t="s">
        <v>2770</v>
      </c>
      <c r="B1167" s="24">
        <v>45742</v>
      </c>
      <c r="C1167" s="24">
        <v>45730</v>
      </c>
      <c r="D1167" t="s">
        <v>287</v>
      </c>
      <c r="E1167" t="s">
        <v>288</v>
      </c>
      <c r="G1167" t="s">
        <v>2851</v>
      </c>
      <c r="H1167" t="s">
        <v>79</v>
      </c>
      <c r="I1167" t="s">
        <v>80</v>
      </c>
      <c r="J1167" s="11" t="s">
        <v>1478</v>
      </c>
      <c r="K1167" t="s">
        <v>10</v>
      </c>
      <c r="L1167">
        <v>2050</v>
      </c>
      <c r="M1167" t="s">
        <v>1472</v>
      </c>
      <c r="N1167" t="s">
        <v>11</v>
      </c>
      <c r="O1167">
        <v>6.5929000000000002</v>
      </c>
      <c r="P1167" s="12">
        <f>ROUND(O1167*L1167,2)</f>
        <v>13515.45</v>
      </c>
      <c r="Q1167" s="13">
        <f>IF(N1167="HKD",7.8,IF(N1167="CNY",7.30034,1))</f>
        <v>7.3003400000000003</v>
      </c>
      <c r="R1167" s="15">
        <f>+ROUND(O1167/Q1167,4)</f>
        <v>0.90310000000000001</v>
      </c>
      <c r="S1167" s="14">
        <f>ROUND(R1167*L1167,2)</f>
        <v>1851.36</v>
      </c>
      <c r="T1167" s="15" t="s">
        <v>349</v>
      </c>
      <c r="U1167" t="s">
        <v>36</v>
      </c>
    </row>
    <row r="1168" spans="1:21" x14ac:dyDescent="0.2">
      <c r="A1168" t="s">
        <v>914</v>
      </c>
      <c r="B1168" s="24">
        <v>45728</v>
      </c>
      <c r="C1168" s="24">
        <v>45526</v>
      </c>
      <c r="D1168" t="s">
        <v>866</v>
      </c>
      <c r="E1168" t="s">
        <v>867</v>
      </c>
      <c r="G1168" t="s">
        <v>2844</v>
      </c>
      <c r="H1168" t="s">
        <v>912</v>
      </c>
      <c r="I1168" t="s">
        <v>913</v>
      </c>
      <c r="J1168" s="11" t="s">
        <v>1484</v>
      </c>
      <c r="K1168" t="s">
        <v>10</v>
      </c>
      <c r="L1168">
        <v>12000</v>
      </c>
      <c r="M1168" t="s">
        <v>1472</v>
      </c>
      <c r="N1168" t="s">
        <v>11</v>
      </c>
      <c r="O1168">
        <v>6.5929000000000002</v>
      </c>
      <c r="P1168" s="12">
        <f>ROUND(O1168*L1168,2)</f>
        <v>79114.8</v>
      </c>
      <c r="Q1168" s="13">
        <f>IF(N1168="HKD",7.8,IF(N1168="CNY",7.30034,1))</f>
        <v>7.3003400000000003</v>
      </c>
      <c r="R1168" s="15">
        <f>+ROUND(O1168/Q1168,4)</f>
        <v>0.90310000000000001</v>
      </c>
      <c r="S1168" s="14">
        <f>ROUND(R1168*L1168,2)</f>
        <v>10837.2</v>
      </c>
      <c r="T1168" s="15" t="s">
        <v>349</v>
      </c>
      <c r="U1168" t="s">
        <v>36</v>
      </c>
    </row>
    <row r="1169" spans="1:21" x14ac:dyDescent="0.2">
      <c r="A1169" t="s">
        <v>291</v>
      </c>
      <c r="B1169" s="24">
        <v>45742</v>
      </c>
      <c r="C1169" s="24">
        <v>45670</v>
      </c>
      <c r="D1169" t="s">
        <v>287</v>
      </c>
      <c r="E1169" t="s">
        <v>288</v>
      </c>
      <c r="G1169" t="s">
        <v>2884</v>
      </c>
      <c r="H1169" t="s">
        <v>76</v>
      </c>
      <c r="I1169" t="s">
        <v>77</v>
      </c>
      <c r="J1169" s="11" t="str">
        <f>+LEFT(U1169,4)</f>
        <v>GLID</v>
      </c>
      <c r="K1169" t="s">
        <v>10</v>
      </c>
      <c r="L1169">
        <v>-110</v>
      </c>
      <c r="M1169" t="s">
        <v>1472</v>
      </c>
      <c r="N1169" t="s">
        <v>11</v>
      </c>
      <c r="O1169">
        <v>6.5929000000000002</v>
      </c>
      <c r="P1169" s="12">
        <f>ROUND(O1169*L1169,2)</f>
        <v>-725.22</v>
      </c>
      <c r="Q1169" s="13">
        <f>IF(N1169="HKD",7.8,IF(N1169="CNY",7.30034,1))</f>
        <v>7.3003400000000003</v>
      </c>
      <c r="R1169" s="15">
        <f>+ROUND(O1169/Q1169,4)</f>
        <v>0.90310000000000001</v>
      </c>
      <c r="S1169" s="14">
        <f>ROUND(R1169*L1169,2)</f>
        <v>-99.34</v>
      </c>
      <c r="T1169" s="15" t="s">
        <v>349</v>
      </c>
      <c r="U1169" t="s">
        <v>78</v>
      </c>
    </row>
    <row r="1170" spans="1:21" x14ac:dyDescent="0.2">
      <c r="A1170" t="s">
        <v>2508</v>
      </c>
      <c r="B1170" s="24">
        <v>45719</v>
      </c>
      <c r="C1170" s="24">
        <v>45713</v>
      </c>
      <c r="D1170" t="s">
        <v>268</v>
      </c>
      <c r="E1170" t="s">
        <v>269</v>
      </c>
      <c r="G1170" t="s">
        <v>2958</v>
      </c>
      <c r="H1170" t="s">
        <v>1073</v>
      </c>
      <c r="I1170" t="s">
        <v>1074</v>
      </c>
      <c r="J1170" s="11" t="str">
        <f>+LEFT(U1170,4)</f>
        <v>MISC</v>
      </c>
      <c r="K1170" t="s">
        <v>10</v>
      </c>
      <c r="L1170">
        <v>250</v>
      </c>
      <c r="M1170" t="s">
        <v>136</v>
      </c>
      <c r="N1170" t="s">
        <v>11</v>
      </c>
      <c r="O1170">
        <v>6.64</v>
      </c>
      <c r="P1170" s="12">
        <f>ROUND(O1170*L1170,2)</f>
        <v>1660</v>
      </c>
      <c r="Q1170" s="13">
        <f>IF(N1170="HKD",7.8,IF(N1170="CNY",7.30034,1))</f>
        <v>7.3003400000000003</v>
      </c>
      <c r="R1170" s="15">
        <f>+ROUND(O1170/Q1170,4)</f>
        <v>0.90949999999999998</v>
      </c>
      <c r="S1170" s="14">
        <f>ROUND(R1170*L1170,2)</f>
        <v>227.38</v>
      </c>
      <c r="T1170" s="15" t="s">
        <v>349</v>
      </c>
      <c r="U1170" t="s">
        <v>25</v>
      </c>
    </row>
    <row r="1171" spans="1:21" x14ac:dyDescent="0.2">
      <c r="A1171" t="s">
        <v>876</v>
      </c>
      <c r="B1171" s="24">
        <v>45729</v>
      </c>
      <c r="C1171" s="24">
        <v>45287</v>
      </c>
      <c r="D1171" t="s">
        <v>866</v>
      </c>
      <c r="E1171" t="s">
        <v>867</v>
      </c>
      <c r="G1171" t="s">
        <v>2836</v>
      </c>
      <c r="H1171" t="s">
        <v>874</v>
      </c>
      <c r="I1171" t="s">
        <v>875</v>
      </c>
      <c r="J1171" s="11" t="s">
        <v>1484</v>
      </c>
      <c r="K1171" t="s">
        <v>10</v>
      </c>
      <c r="L1171">
        <v>6000</v>
      </c>
      <c r="M1171" t="s">
        <v>1472</v>
      </c>
      <c r="N1171" t="s">
        <v>11</v>
      </c>
      <c r="O1171">
        <v>6.6637000000000004</v>
      </c>
      <c r="P1171" s="12">
        <f>ROUND(O1171*L1171,2)</f>
        <v>39982.199999999997</v>
      </c>
      <c r="Q1171" s="13">
        <f>IF(N1171="HKD",7.8,IF(N1171="CNY",7.30034,1))</f>
        <v>7.3003400000000003</v>
      </c>
      <c r="R1171" s="15">
        <f>+ROUND(O1171/Q1171,4)</f>
        <v>0.91279999999999994</v>
      </c>
      <c r="S1171" s="14">
        <f>ROUND(R1171*L1171,2)</f>
        <v>5476.8</v>
      </c>
      <c r="T1171" s="15" t="s">
        <v>349</v>
      </c>
      <c r="U1171" t="s">
        <v>36</v>
      </c>
    </row>
    <row r="1172" spans="1:21" x14ac:dyDescent="0.2">
      <c r="A1172" t="s">
        <v>2560</v>
      </c>
      <c r="B1172" s="24">
        <v>45735</v>
      </c>
      <c r="C1172" s="24">
        <v>45716</v>
      </c>
      <c r="D1172" t="s">
        <v>696</v>
      </c>
      <c r="E1172" t="s">
        <v>697</v>
      </c>
      <c r="G1172" t="s">
        <v>2996</v>
      </c>
      <c r="H1172" t="s">
        <v>3175</v>
      </c>
      <c r="I1172" t="s">
        <v>3382</v>
      </c>
      <c r="J1172" s="11" t="str">
        <f>+LEFT(U1172,4)</f>
        <v>GLID</v>
      </c>
      <c r="K1172" t="s">
        <v>10</v>
      </c>
      <c r="L1172">
        <v>1010</v>
      </c>
      <c r="M1172" t="s">
        <v>1472</v>
      </c>
      <c r="N1172" t="s">
        <v>11</v>
      </c>
      <c r="O1172">
        <v>7.12</v>
      </c>
      <c r="P1172" s="12">
        <f>ROUND(O1172*L1172,2)</f>
        <v>7191.2</v>
      </c>
      <c r="Q1172" s="13">
        <f>IF(N1172="HKD",7.8,IF(N1172="CNY",7.30034,1))</f>
        <v>7.3003400000000003</v>
      </c>
      <c r="R1172" s="15">
        <f>+ROUND(O1172/Q1172,4)</f>
        <v>0.97529999999999994</v>
      </c>
      <c r="S1172" s="14">
        <f>ROUND(R1172*L1172,2)</f>
        <v>985.05</v>
      </c>
      <c r="T1172" s="15" t="s">
        <v>349</v>
      </c>
      <c r="U1172" t="s">
        <v>78</v>
      </c>
    </row>
    <row r="1173" spans="1:21" x14ac:dyDescent="0.2">
      <c r="A1173" t="s">
        <v>2316</v>
      </c>
      <c r="B1173" s="24">
        <v>45727</v>
      </c>
      <c r="C1173" s="24">
        <v>45664</v>
      </c>
      <c r="D1173" t="s">
        <v>287</v>
      </c>
      <c r="E1173" t="s">
        <v>288</v>
      </c>
      <c r="G1173" t="s">
        <v>2876</v>
      </c>
      <c r="H1173" t="s">
        <v>1557</v>
      </c>
      <c r="I1173" t="s">
        <v>1558</v>
      </c>
      <c r="J1173" s="11" t="s">
        <v>1478</v>
      </c>
      <c r="K1173" t="s">
        <v>10</v>
      </c>
      <c r="L1173">
        <v>2080</v>
      </c>
      <c r="M1173" t="s">
        <v>1472</v>
      </c>
      <c r="N1173" t="s">
        <v>11</v>
      </c>
      <c r="O1173">
        <v>7.2716000000000003</v>
      </c>
      <c r="P1173" s="12">
        <f>ROUND(O1173*L1173,2)</f>
        <v>15124.93</v>
      </c>
      <c r="Q1173" s="13">
        <f>IF(N1173="HKD",7.8,IF(N1173="CNY",7.30034,1))</f>
        <v>7.3003400000000003</v>
      </c>
      <c r="R1173" s="15">
        <f>+ROUND(O1173/Q1173,4)</f>
        <v>0.99609999999999999</v>
      </c>
      <c r="S1173" s="14">
        <f>ROUND(R1173*L1173,2)</f>
        <v>2071.89</v>
      </c>
      <c r="T1173" s="15" t="s">
        <v>349</v>
      </c>
      <c r="U1173" t="s">
        <v>36</v>
      </c>
    </row>
    <row r="1174" spans="1:21" x14ac:dyDescent="0.2">
      <c r="A1174" t="s">
        <v>2316</v>
      </c>
      <c r="B1174" s="24">
        <v>45742</v>
      </c>
      <c r="C1174" s="24">
        <v>45664</v>
      </c>
      <c r="D1174" t="s">
        <v>287</v>
      </c>
      <c r="E1174" t="s">
        <v>288</v>
      </c>
      <c r="G1174" t="s">
        <v>2851</v>
      </c>
      <c r="H1174" t="s">
        <v>1557</v>
      </c>
      <c r="I1174" t="s">
        <v>1558</v>
      </c>
      <c r="J1174" s="11" t="s">
        <v>1478</v>
      </c>
      <c r="K1174" t="s">
        <v>10</v>
      </c>
      <c r="L1174">
        <v>200</v>
      </c>
      <c r="M1174" t="s">
        <v>1472</v>
      </c>
      <c r="N1174" t="s">
        <v>11</v>
      </c>
      <c r="O1174">
        <v>7.2716000000000003</v>
      </c>
      <c r="P1174" s="12">
        <f>ROUND(O1174*L1174,2)</f>
        <v>1454.32</v>
      </c>
      <c r="Q1174" s="13">
        <f>IF(N1174="HKD",7.8,IF(N1174="CNY",7.30034,1))</f>
        <v>7.3003400000000003</v>
      </c>
      <c r="R1174" s="15">
        <f>+ROUND(O1174/Q1174,4)</f>
        <v>0.99609999999999999</v>
      </c>
      <c r="S1174" s="14">
        <f>ROUND(R1174*L1174,2)</f>
        <v>199.22</v>
      </c>
      <c r="T1174" s="15" t="s">
        <v>349</v>
      </c>
      <c r="U1174" t="s">
        <v>36</v>
      </c>
    </row>
    <row r="1175" spans="1:21" x14ac:dyDescent="0.2">
      <c r="A1175" t="s">
        <v>2276</v>
      </c>
      <c r="B1175" s="24">
        <v>45720</v>
      </c>
      <c r="C1175" s="24">
        <v>45576</v>
      </c>
      <c r="D1175" t="s">
        <v>121</v>
      </c>
      <c r="E1175" t="s">
        <v>122</v>
      </c>
      <c r="G1175" t="s">
        <v>2845</v>
      </c>
      <c r="H1175" t="s">
        <v>3058</v>
      </c>
      <c r="I1175" t="s">
        <v>3275</v>
      </c>
      <c r="J1175" s="11" t="str">
        <f>+LEFT(U1175,4)</f>
        <v>LHDL</v>
      </c>
      <c r="K1175" t="s">
        <v>10</v>
      </c>
      <c r="L1175">
        <v>1620</v>
      </c>
      <c r="M1175" t="s">
        <v>1472</v>
      </c>
      <c r="N1175" t="s">
        <v>11</v>
      </c>
      <c r="O1175">
        <v>7.3152999999999997</v>
      </c>
      <c r="P1175" s="12">
        <f>ROUND(O1175*L1175,2)</f>
        <v>11850.79</v>
      </c>
      <c r="Q1175" s="13">
        <f>IF(N1175="HKD",7.8,IF(N1175="CNY",7.30034,1))</f>
        <v>7.3003400000000003</v>
      </c>
      <c r="R1175" s="15">
        <f>+ROUND(O1175/Q1175,4)</f>
        <v>1.002</v>
      </c>
      <c r="S1175" s="14">
        <f>ROUND(R1175*L1175,2)</f>
        <v>1623.24</v>
      </c>
      <c r="T1175" s="15" t="s">
        <v>349</v>
      </c>
      <c r="U1175" t="s">
        <v>125</v>
      </c>
    </row>
    <row r="1176" spans="1:21" x14ac:dyDescent="0.2">
      <c r="A1176" t="s">
        <v>2277</v>
      </c>
      <c r="B1176" s="24">
        <v>45720</v>
      </c>
      <c r="C1176" s="24">
        <v>45576</v>
      </c>
      <c r="D1176" t="s">
        <v>121</v>
      </c>
      <c r="E1176" t="s">
        <v>122</v>
      </c>
      <c r="G1176" t="s">
        <v>2845</v>
      </c>
      <c r="H1176" t="s">
        <v>3059</v>
      </c>
      <c r="I1176" t="s">
        <v>963</v>
      </c>
      <c r="J1176" s="11" t="str">
        <f>+LEFT(U1176,4)</f>
        <v>LHDL</v>
      </c>
      <c r="K1176" t="s">
        <v>10</v>
      </c>
      <c r="L1176">
        <v>1010</v>
      </c>
      <c r="M1176" t="s">
        <v>1472</v>
      </c>
      <c r="N1176" t="s">
        <v>11</v>
      </c>
      <c r="O1176">
        <v>7.3506999999999998</v>
      </c>
      <c r="P1176" s="12">
        <f>ROUND(O1176*L1176,2)</f>
        <v>7424.21</v>
      </c>
      <c r="Q1176" s="13">
        <f>IF(N1176="HKD",7.8,IF(N1176="CNY",7.30034,1))</f>
        <v>7.3003400000000003</v>
      </c>
      <c r="R1176" s="15">
        <f>+ROUND(O1176/Q1176,4)</f>
        <v>1.0068999999999999</v>
      </c>
      <c r="S1176" s="14">
        <f>ROUND(R1176*L1176,2)</f>
        <v>1016.97</v>
      </c>
      <c r="T1176" s="15" t="s">
        <v>349</v>
      </c>
      <c r="U1176" t="s">
        <v>125</v>
      </c>
    </row>
    <row r="1177" spans="1:21" x14ac:dyDescent="0.2">
      <c r="A1177" t="s">
        <v>2287</v>
      </c>
      <c r="B1177" s="24">
        <v>45720</v>
      </c>
      <c r="C1177" s="24">
        <v>45611</v>
      </c>
      <c r="D1177" t="s">
        <v>121</v>
      </c>
      <c r="E1177" t="s">
        <v>122</v>
      </c>
      <c r="G1177" t="s">
        <v>2845</v>
      </c>
      <c r="H1177" t="s">
        <v>3059</v>
      </c>
      <c r="I1177" t="s">
        <v>963</v>
      </c>
      <c r="J1177" s="11" t="str">
        <f>+LEFT(U1177,4)</f>
        <v>LHDL</v>
      </c>
      <c r="K1177" t="s">
        <v>10</v>
      </c>
      <c r="L1177">
        <v>1010</v>
      </c>
      <c r="M1177" t="s">
        <v>1472</v>
      </c>
      <c r="N1177" t="s">
        <v>11</v>
      </c>
      <c r="O1177">
        <v>7.3506999999999998</v>
      </c>
      <c r="P1177" s="12">
        <f>ROUND(O1177*L1177,2)</f>
        <v>7424.21</v>
      </c>
      <c r="Q1177" s="13">
        <f>IF(N1177="HKD",7.8,IF(N1177="CNY",7.30034,1))</f>
        <v>7.3003400000000003</v>
      </c>
      <c r="R1177" s="15">
        <f>+ROUND(O1177/Q1177,4)</f>
        <v>1.0068999999999999</v>
      </c>
      <c r="S1177" s="14">
        <f>ROUND(R1177*L1177,2)</f>
        <v>1016.97</v>
      </c>
      <c r="T1177" s="15" t="s">
        <v>349</v>
      </c>
      <c r="U1177" t="s">
        <v>125</v>
      </c>
    </row>
    <row r="1178" spans="1:21" x14ac:dyDescent="0.2">
      <c r="A1178" s="19" t="s">
        <v>1395</v>
      </c>
      <c r="B1178" s="20">
        <v>45659</v>
      </c>
      <c r="C1178" s="20">
        <v>45610</v>
      </c>
      <c r="D1178" s="19" t="s">
        <v>143</v>
      </c>
      <c r="E1178" s="19" t="s">
        <v>144</v>
      </c>
      <c r="G1178" s="19" t="s">
        <v>1396</v>
      </c>
      <c r="H1178" s="19" t="s">
        <v>1393</v>
      </c>
      <c r="I1178" s="19" t="s">
        <v>1394</v>
      </c>
      <c r="J1178" s="11" t="str">
        <f>+LEFT(U1178,4)</f>
        <v>SHDL</v>
      </c>
      <c r="K1178" s="19" t="s">
        <v>10</v>
      </c>
      <c r="L1178" s="19">
        <v>2000</v>
      </c>
      <c r="M1178" s="19" t="s">
        <v>1472</v>
      </c>
      <c r="N1178" s="19" t="s">
        <v>11</v>
      </c>
      <c r="O1178" s="26">
        <v>7.2710999999999997</v>
      </c>
      <c r="P1178" s="12">
        <f>ROUND(O1178*L1178,2)</f>
        <v>14542.2</v>
      </c>
      <c r="Q1178" s="13">
        <f>IF(N1178="HKD",7.8,IF(N1178="CNY",7.30034,1))</f>
        <v>7.3003400000000003</v>
      </c>
      <c r="R1178" s="15">
        <f>+ROUND(O1178/Q1178,4)</f>
        <v>0.996</v>
      </c>
      <c r="S1178" s="14">
        <f>ROUND(R1178*L1178,2)</f>
        <v>1992</v>
      </c>
      <c r="T1178" s="15" t="s">
        <v>349</v>
      </c>
      <c r="U1178" s="19" t="s">
        <v>722</v>
      </c>
    </row>
    <row r="1179" spans="1:21" x14ac:dyDescent="0.2">
      <c r="A1179" s="19" t="s">
        <v>964</v>
      </c>
      <c r="B1179" s="20">
        <v>45664</v>
      </c>
      <c r="C1179" s="20">
        <v>45610</v>
      </c>
      <c r="D1179" s="19" t="s">
        <v>128</v>
      </c>
      <c r="E1179" s="19" t="s">
        <v>129</v>
      </c>
      <c r="G1179" s="19" t="s">
        <v>953</v>
      </c>
      <c r="H1179" s="19" t="s">
        <v>962</v>
      </c>
      <c r="I1179" s="19" t="s">
        <v>963</v>
      </c>
      <c r="J1179" s="11" t="str">
        <f>+LEFT(U1179,4)</f>
        <v>SHDL</v>
      </c>
      <c r="K1179" s="19" t="s">
        <v>10</v>
      </c>
      <c r="L1179" s="19">
        <v>1810</v>
      </c>
      <c r="M1179" s="19" t="s">
        <v>1472</v>
      </c>
      <c r="N1179" s="19" t="s">
        <v>11</v>
      </c>
      <c r="O1179" s="26">
        <v>3.9451000000000001</v>
      </c>
      <c r="P1179" s="12">
        <f>ROUND(O1179*L1179,2)</f>
        <v>7140.63</v>
      </c>
      <c r="Q1179" s="13">
        <f>IF(N1179="HKD",7.8,IF(N1179="CNY",7.30034,1))</f>
        <v>7.3003400000000003</v>
      </c>
      <c r="R1179" s="15">
        <f>+ROUND(O1179/Q1179,4)</f>
        <v>0.54039999999999999</v>
      </c>
      <c r="S1179" s="14">
        <f>ROUND(R1179*L1179,2)</f>
        <v>978.12</v>
      </c>
      <c r="T1179" s="15" t="s">
        <v>349</v>
      </c>
      <c r="U1179" s="19" t="s">
        <v>722</v>
      </c>
    </row>
    <row r="1180" spans="1:21" x14ac:dyDescent="0.2">
      <c r="A1180" s="19" t="s">
        <v>725</v>
      </c>
      <c r="B1180" s="20">
        <v>45667</v>
      </c>
      <c r="C1180" s="20">
        <v>45646</v>
      </c>
      <c r="D1180" s="19" t="s">
        <v>709</v>
      </c>
      <c r="E1180" s="19" t="s">
        <v>710</v>
      </c>
      <c r="G1180" s="19" t="s">
        <v>712</v>
      </c>
      <c r="H1180" s="19" t="s">
        <v>723</v>
      </c>
      <c r="I1180" s="19" t="s">
        <v>724</v>
      </c>
      <c r="J1180" s="11" t="str">
        <f>+LEFT(U1180,4)</f>
        <v>SHDL</v>
      </c>
      <c r="K1180" s="19" t="s">
        <v>10</v>
      </c>
      <c r="L1180" s="19">
        <v>2000</v>
      </c>
      <c r="M1180" s="19" t="s">
        <v>1472</v>
      </c>
      <c r="N1180" s="19" t="s">
        <v>11</v>
      </c>
      <c r="O1180" s="26">
        <v>1.6517999999999999</v>
      </c>
      <c r="P1180" s="12">
        <f>ROUND(O1180*L1180,2)</f>
        <v>3303.6</v>
      </c>
      <c r="Q1180" s="13">
        <f>IF(N1180="HKD",7.8,IF(N1180="CNY",7.30034,1))</f>
        <v>7.3003400000000003</v>
      </c>
      <c r="R1180" s="15">
        <f>+ROUND(O1180/Q1180,4)</f>
        <v>0.2263</v>
      </c>
      <c r="S1180" s="14">
        <f>ROUND(R1180*L1180,2)</f>
        <v>452.6</v>
      </c>
      <c r="T1180" s="15" t="s">
        <v>349</v>
      </c>
      <c r="U1180" s="19" t="s">
        <v>722</v>
      </c>
    </row>
    <row r="1181" spans="1:21" x14ac:dyDescent="0.2">
      <c r="A1181" s="19" t="s">
        <v>721</v>
      </c>
      <c r="B1181" s="20">
        <v>45667</v>
      </c>
      <c r="C1181" s="20">
        <v>45646</v>
      </c>
      <c r="D1181" s="19" t="s">
        <v>709</v>
      </c>
      <c r="E1181" s="19" t="s">
        <v>710</v>
      </c>
      <c r="G1181" s="19" t="s">
        <v>712</v>
      </c>
      <c r="H1181" s="19" t="s">
        <v>719</v>
      </c>
      <c r="I1181" s="19" t="s">
        <v>720</v>
      </c>
      <c r="J1181" s="11" t="str">
        <f>+LEFT(U1181,4)</f>
        <v>SHDL</v>
      </c>
      <c r="K1181" s="19" t="s">
        <v>10</v>
      </c>
      <c r="L1181" s="19">
        <v>2050</v>
      </c>
      <c r="M1181" s="19" t="s">
        <v>1472</v>
      </c>
      <c r="N1181" s="19" t="s">
        <v>11</v>
      </c>
      <c r="O1181" s="26">
        <v>1.8811</v>
      </c>
      <c r="P1181" s="12">
        <f>ROUND(O1181*L1181,2)</f>
        <v>3856.26</v>
      </c>
      <c r="Q1181" s="13">
        <f>IF(N1181="HKD",7.8,IF(N1181="CNY",7.30034,1))</f>
        <v>7.3003400000000003</v>
      </c>
      <c r="R1181" s="15">
        <f>+ROUND(O1181/Q1181,4)</f>
        <v>0.25769999999999998</v>
      </c>
      <c r="S1181" s="14">
        <f>ROUND(R1181*L1181,2)</f>
        <v>528.29</v>
      </c>
      <c r="T1181" s="15" t="s">
        <v>349</v>
      </c>
      <c r="U1181" s="19" t="s">
        <v>722</v>
      </c>
    </row>
    <row r="1182" spans="1:21" x14ac:dyDescent="0.2">
      <c r="A1182" s="19" t="s">
        <v>743</v>
      </c>
      <c r="B1182" s="20">
        <v>45667</v>
      </c>
      <c r="C1182" s="20">
        <v>45615</v>
      </c>
      <c r="D1182" s="19" t="s">
        <v>709</v>
      </c>
      <c r="E1182" s="19" t="s">
        <v>710</v>
      </c>
      <c r="G1182" s="19" t="s">
        <v>712</v>
      </c>
      <c r="H1182" s="19" t="s">
        <v>741</v>
      </c>
      <c r="I1182" s="19" t="s">
        <v>742</v>
      </c>
      <c r="J1182" s="11" t="str">
        <f>+LEFT(U1182,4)</f>
        <v>SHDL</v>
      </c>
      <c r="K1182" s="19" t="s">
        <v>10</v>
      </c>
      <c r="L1182" s="19">
        <v>3030</v>
      </c>
      <c r="M1182" s="19" t="s">
        <v>1472</v>
      </c>
      <c r="N1182" s="19" t="s">
        <v>11</v>
      </c>
      <c r="O1182" s="26">
        <v>3.5945999999999998</v>
      </c>
      <c r="P1182" s="12">
        <f>ROUND(O1182*L1182,2)</f>
        <v>10891.64</v>
      </c>
      <c r="Q1182" s="13">
        <f>IF(N1182="HKD",7.8,IF(N1182="CNY",7.30034,1))</f>
        <v>7.3003400000000003</v>
      </c>
      <c r="R1182" s="15">
        <f>+ROUND(O1182/Q1182,4)</f>
        <v>0.4924</v>
      </c>
      <c r="S1182" s="14">
        <f>ROUND(R1182*L1182,2)</f>
        <v>1491.97</v>
      </c>
      <c r="T1182" s="15" t="s">
        <v>349</v>
      </c>
      <c r="U1182" s="19" t="s">
        <v>722</v>
      </c>
    </row>
    <row r="1183" spans="1:21" x14ac:dyDescent="0.2">
      <c r="A1183" t="s">
        <v>1946</v>
      </c>
      <c r="B1183" s="24">
        <v>45707</v>
      </c>
      <c r="C1183" s="24">
        <v>45664</v>
      </c>
      <c r="D1183" t="s">
        <v>2249</v>
      </c>
      <c r="E1183" t="s">
        <v>2250</v>
      </c>
      <c r="G1183" t="s">
        <v>2175</v>
      </c>
      <c r="H1183" s="19" t="s">
        <v>1666</v>
      </c>
      <c r="I1183" s="19" t="s">
        <v>1667</v>
      </c>
      <c r="J1183" s="11" t="str">
        <f>+LEFT(U1183,4)</f>
        <v>SHDL</v>
      </c>
      <c r="K1183" t="s">
        <v>10</v>
      </c>
      <c r="L1183" s="19">
        <v>2000</v>
      </c>
      <c r="M1183" t="s">
        <v>1472</v>
      </c>
      <c r="N1183" t="s">
        <v>11</v>
      </c>
      <c r="O1183" s="26">
        <v>1.8651</v>
      </c>
      <c r="P1183" s="12">
        <f>ROUND(O1183*L1183,2)</f>
        <v>3730.2</v>
      </c>
      <c r="Q1183" s="13">
        <f>IF(N1183="HKD",7.8,IF(N1183="CNY",7.30034,1))</f>
        <v>7.3003400000000003</v>
      </c>
      <c r="R1183" s="15">
        <f>+ROUND(O1183/Q1183,4)</f>
        <v>0.2555</v>
      </c>
      <c r="S1183" s="14">
        <f>ROUND(R1183*L1183,2)</f>
        <v>511</v>
      </c>
      <c r="T1183" s="15" t="s">
        <v>349</v>
      </c>
      <c r="U1183" t="s">
        <v>722</v>
      </c>
    </row>
    <row r="1184" spans="1:21" x14ac:dyDescent="0.2">
      <c r="A1184" t="s">
        <v>1939</v>
      </c>
      <c r="B1184" s="24">
        <v>45713</v>
      </c>
      <c r="C1184" s="24">
        <v>45671</v>
      </c>
      <c r="D1184" t="s">
        <v>709</v>
      </c>
      <c r="E1184" t="s">
        <v>710</v>
      </c>
      <c r="G1184" t="s">
        <v>2159</v>
      </c>
      <c r="H1184" s="19" t="s">
        <v>723</v>
      </c>
      <c r="I1184" s="19" t="s">
        <v>724</v>
      </c>
      <c r="J1184" s="11" t="str">
        <f>+LEFT(U1184,4)</f>
        <v>SHDL</v>
      </c>
      <c r="K1184" t="s">
        <v>10</v>
      </c>
      <c r="L1184" s="19">
        <v>4100</v>
      </c>
      <c r="M1184" t="s">
        <v>1472</v>
      </c>
      <c r="N1184" t="s">
        <v>11</v>
      </c>
      <c r="O1184" s="26">
        <v>1.6517999999999999</v>
      </c>
      <c r="P1184" s="12">
        <f>ROUND(O1184*L1184,2)</f>
        <v>6772.38</v>
      </c>
      <c r="Q1184" s="13">
        <f>IF(N1184="HKD",7.8,IF(N1184="CNY",7.30034,1))</f>
        <v>7.3003400000000003</v>
      </c>
      <c r="R1184" s="15">
        <f>+ROUND(O1184/Q1184,4)</f>
        <v>0.2263</v>
      </c>
      <c r="S1184" s="14">
        <f>ROUND(R1184*L1184,2)</f>
        <v>927.83</v>
      </c>
      <c r="T1184" s="15" t="s">
        <v>349</v>
      </c>
      <c r="U1184" t="s">
        <v>722</v>
      </c>
    </row>
    <row r="1185" spans="1:21" x14ac:dyDescent="0.2">
      <c r="A1185" t="s">
        <v>1940</v>
      </c>
      <c r="B1185" s="24">
        <v>45713</v>
      </c>
      <c r="C1185" s="24">
        <v>45695</v>
      </c>
      <c r="D1185" t="s">
        <v>709</v>
      </c>
      <c r="E1185" t="s">
        <v>710</v>
      </c>
      <c r="G1185" t="s">
        <v>2159</v>
      </c>
      <c r="H1185" s="19" t="s">
        <v>723</v>
      </c>
      <c r="I1185" s="19" t="s">
        <v>724</v>
      </c>
      <c r="J1185" s="11" t="str">
        <f>+LEFT(U1185,4)</f>
        <v>SHDL</v>
      </c>
      <c r="K1185" t="s">
        <v>10</v>
      </c>
      <c r="L1185" s="19">
        <v>2000</v>
      </c>
      <c r="M1185" t="s">
        <v>1472</v>
      </c>
      <c r="N1185" t="s">
        <v>11</v>
      </c>
      <c r="O1185" s="26">
        <v>1.6517999999999999</v>
      </c>
      <c r="P1185" s="12">
        <f>ROUND(O1185*L1185,2)</f>
        <v>3303.6</v>
      </c>
      <c r="Q1185" s="13">
        <f>IF(N1185="HKD",7.8,IF(N1185="CNY",7.30034,1))</f>
        <v>7.3003400000000003</v>
      </c>
      <c r="R1185" s="15">
        <f>+ROUND(O1185/Q1185,4)</f>
        <v>0.2263</v>
      </c>
      <c r="S1185" s="14">
        <f>ROUND(R1185*L1185,2)</f>
        <v>452.6</v>
      </c>
      <c r="T1185" s="15" t="s">
        <v>349</v>
      </c>
      <c r="U1185" t="s">
        <v>722</v>
      </c>
    </row>
    <row r="1186" spans="1:21" x14ac:dyDescent="0.2">
      <c r="A1186" t="s">
        <v>1948</v>
      </c>
      <c r="B1186" s="24">
        <v>45713</v>
      </c>
      <c r="C1186" s="24">
        <v>45670</v>
      </c>
      <c r="D1186" t="s">
        <v>709</v>
      </c>
      <c r="E1186" t="s">
        <v>710</v>
      </c>
      <c r="G1186" t="s">
        <v>2160</v>
      </c>
      <c r="H1186" s="19" t="s">
        <v>719</v>
      </c>
      <c r="I1186" s="19" t="s">
        <v>720</v>
      </c>
      <c r="J1186" s="11" t="str">
        <f>+LEFT(U1186,4)</f>
        <v>SHDL</v>
      </c>
      <c r="K1186" t="s">
        <v>10</v>
      </c>
      <c r="L1186" s="19">
        <v>2030</v>
      </c>
      <c r="M1186" t="s">
        <v>1472</v>
      </c>
      <c r="N1186" t="s">
        <v>11</v>
      </c>
      <c r="O1186" s="26">
        <v>1.8811</v>
      </c>
      <c r="P1186" s="12">
        <f>ROUND(O1186*L1186,2)</f>
        <v>3818.63</v>
      </c>
      <c r="Q1186" s="13">
        <f>IF(N1186="HKD",7.8,IF(N1186="CNY",7.30034,1))</f>
        <v>7.3003400000000003</v>
      </c>
      <c r="R1186" s="15">
        <f>+ROUND(O1186/Q1186,4)</f>
        <v>0.25769999999999998</v>
      </c>
      <c r="S1186" s="14">
        <f>ROUND(R1186*L1186,2)</f>
        <v>523.13</v>
      </c>
      <c r="T1186" s="15" t="s">
        <v>349</v>
      </c>
      <c r="U1186" t="s">
        <v>722</v>
      </c>
    </row>
    <row r="1187" spans="1:21" x14ac:dyDescent="0.2">
      <c r="A1187" t="s">
        <v>1949</v>
      </c>
      <c r="B1187" s="24">
        <v>45713</v>
      </c>
      <c r="C1187" s="24">
        <v>45671</v>
      </c>
      <c r="D1187" t="s">
        <v>709</v>
      </c>
      <c r="E1187" t="s">
        <v>710</v>
      </c>
      <c r="G1187" t="s">
        <v>2160</v>
      </c>
      <c r="H1187" s="19" t="s">
        <v>719</v>
      </c>
      <c r="I1187" s="19" t="s">
        <v>720</v>
      </c>
      <c r="J1187" s="11" t="str">
        <f>+LEFT(U1187,4)</f>
        <v>SHDL</v>
      </c>
      <c r="K1187" t="s">
        <v>10</v>
      </c>
      <c r="L1187" s="19">
        <v>4100</v>
      </c>
      <c r="M1187" t="s">
        <v>1472</v>
      </c>
      <c r="N1187" t="s">
        <v>11</v>
      </c>
      <c r="O1187" s="26">
        <v>1.8811</v>
      </c>
      <c r="P1187" s="12">
        <f>ROUND(O1187*L1187,2)</f>
        <v>7712.51</v>
      </c>
      <c r="Q1187" s="13">
        <f>IF(N1187="HKD",7.8,IF(N1187="CNY",7.30034,1))</f>
        <v>7.3003400000000003</v>
      </c>
      <c r="R1187" s="15">
        <f>+ROUND(O1187/Q1187,4)</f>
        <v>0.25769999999999998</v>
      </c>
      <c r="S1187" s="14">
        <f>ROUND(R1187*L1187,2)</f>
        <v>1056.57</v>
      </c>
      <c r="T1187" s="15" t="s">
        <v>349</v>
      </c>
      <c r="U1187" t="s">
        <v>722</v>
      </c>
    </row>
    <row r="1188" spans="1:21" x14ac:dyDescent="0.2">
      <c r="A1188" t="s">
        <v>1950</v>
      </c>
      <c r="B1188" s="24">
        <v>45713</v>
      </c>
      <c r="C1188" s="24">
        <v>45695</v>
      </c>
      <c r="D1188" t="s">
        <v>709</v>
      </c>
      <c r="E1188" t="s">
        <v>710</v>
      </c>
      <c r="G1188" t="s">
        <v>2160</v>
      </c>
      <c r="H1188" s="19" t="s">
        <v>719</v>
      </c>
      <c r="I1188" s="19" t="s">
        <v>720</v>
      </c>
      <c r="J1188" s="11" t="str">
        <f>+LEFT(U1188,4)</f>
        <v>SHDL</v>
      </c>
      <c r="K1188" t="s">
        <v>10</v>
      </c>
      <c r="L1188" s="19">
        <v>2000</v>
      </c>
      <c r="M1188" t="s">
        <v>1472</v>
      </c>
      <c r="N1188" t="s">
        <v>11</v>
      </c>
      <c r="O1188" s="26">
        <v>1.8811</v>
      </c>
      <c r="P1188" s="12">
        <f>ROUND(O1188*L1188,2)</f>
        <v>3762.2</v>
      </c>
      <c r="Q1188" s="13">
        <f>IF(N1188="HKD",7.8,IF(N1188="CNY",7.30034,1))</f>
        <v>7.3003400000000003</v>
      </c>
      <c r="R1188" s="15">
        <f>+ROUND(O1188/Q1188,4)</f>
        <v>0.25769999999999998</v>
      </c>
      <c r="S1188" s="14">
        <f>ROUND(R1188*L1188,2)</f>
        <v>515.4</v>
      </c>
      <c r="T1188" s="15" t="s">
        <v>349</v>
      </c>
      <c r="U1188" t="s">
        <v>722</v>
      </c>
    </row>
    <row r="1189" spans="1:21" x14ac:dyDescent="0.2">
      <c r="A1189" t="s">
        <v>1965</v>
      </c>
      <c r="B1189" s="24">
        <v>45713</v>
      </c>
      <c r="C1189" s="24">
        <v>45660</v>
      </c>
      <c r="D1189" t="s">
        <v>709</v>
      </c>
      <c r="E1189" t="s">
        <v>710</v>
      </c>
      <c r="G1189" t="s">
        <v>2166</v>
      </c>
      <c r="H1189" s="19" t="s">
        <v>1684</v>
      </c>
      <c r="I1189" s="19" t="s">
        <v>1685</v>
      </c>
      <c r="J1189" s="11" t="str">
        <f>+LEFT(U1189,4)</f>
        <v>SHDL</v>
      </c>
      <c r="K1189" t="s">
        <v>10</v>
      </c>
      <c r="L1189" s="19">
        <v>1800</v>
      </c>
      <c r="M1189" t="s">
        <v>1472</v>
      </c>
      <c r="N1189" t="s">
        <v>11</v>
      </c>
      <c r="O1189" s="26">
        <v>2.6659999999999999</v>
      </c>
      <c r="P1189" s="12">
        <f>ROUND(O1189*L1189,2)</f>
        <v>4798.8</v>
      </c>
      <c r="Q1189" s="13">
        <f>IF(N1189="HKD",7.8,IF(N1189="CNY",7.30034,1))</f>
        <v>7.3003400000000003</v>
      </c>
      <c r="R1189" s="15">
        <f>+ROUND(O1189/Q1189,4)</f>
        <v>0.36520000000000002</v>
      </c>
      <c r="S1189" s="14">
        <f>ROUND(R1189*L1189,2)</f>
        <v>657.36</v>
      </c>
      <c r="T1189" s="15" t="s">
        <v>349</v>
      </c>
      <c r="U1189" t="s">
        <v>722</v>
      </c>
    </row>
    <row r="1190" spans="1:21" x14ac:dyDescent="0.2">
      <c r="A1190" t="s">
        <v>2556</v>
      </c>
      <c r="B1190" s="24">
        <v>45744</v>
      </c>
      <c r="C1190" s="24">
        <v>45716</v>
      </c>
      <c r="D1190" t="s">
        <v>149</v>
      </c>
      <c r="E1190" t="s">
        <v>150</v>
      </c>
      <c r="G1190" t="s">
        <v>2995</v>
      </c>
      <c r="H1190" t="s">
        <v>3173</v>
      </c>
      <c r="I1190" t="s">
        <v>3380</v>
      </c>
      <c r="J1190" s="11" t="str">
        <f>+LEFT(U1190,4)</f>
        <v>GLID</v>
      </c>
      <c r="K1190" t="s">
        <v>10</v>
      </c>
      <c r="L1190">
        <v>1030</v>
      </c>
      <c r="M1190" t="s">
        <v>1472</v>
      </c>
      <c r="N1190" t="s">
        <v>11</v>
      </c>
      <c r="O1190">
        <v>7.3867000000000003</v>
      </c>
      <c r="P1190" s="12">
        <f>ROUND(O1190*L1190,2)</f>
        <v>7608.3</v>
      </c>
      <c r="Q1190" s="13">
        <f>IF(N1190="HKD",7.8,IF(N1190="CNY",7.30034,1))</f>
        <v>7.3003400000000003</v>
      </c>
      <c r="R1190" s="15">
        <f>+ROUND(O1190/Q1190,4)</f>
        <v>1.0118</v>
      </c>
      <c r="S1190" s="14">
        <f>ROUND(R1190*L1190,2)</f>
        <v>1042.1500000000001</v>
      </c>
      <c r="T1190" s="15" t="s">
        <v>349</v>
      </c>
      <c r="U1190" t="s">
        <v>78</v>
      </c>
    </row>
    <row r="1191" spans="1:21" x14ac:dyDescent="0.2">
      <c r="A1191" t="s">
        <v>2288</v>
      </c>
      <c r="B1191" s="24">
        <v>45720</v>
      </c>
      <c r="C1191" s="24">
        <v>45611</v>
      </c>
      <c r="D1191" t="s">
        <v>121</v>
      </c>
      <c r="E1191" t="s">
        <v>122</v>
      </c>
      <c r="G1191" t="s">
        <v>2845</v>
      </c>
      <c r="H1191" t="s">
        <v>1794</v>
      </c>
      <c r="I1191" t="s">
        <v>1795</v>
      </c>
      <c r="J1191" s="11" t="str">
        <f>+LEFT(U1191,4)</f>
        <v>LHDL</v>
      </c>
      <c r="K1191" t="s">
        <v>10</v>
      </c>
      <c r="L1191">
        <v>510</v>
      </c>
      <c r="M1191" t="s">
        <v>1472</v>
      </c>
      <c r="N1191" t="s">
        <v>11</v>
      </c>
      <c r="O1191">
        <v>7.4212999999999996</v>
      </c>
      <c r="P1191" s="12">
        <f>ROUND(O1191*L1191,2)</f>
        <v>3784.86</v>
      </c>
      <c r="Q1191" s="13">
        <f>IF(N1191="HKD",7.8,IF(N1191="CNY",7.30034,1))</f>
        <v>7.3003400000000003</v>
      </c>
      <c r="R1191" s="15">
        <f>+ROUND(O1191/Q1191,4)</f>
        <v>1.0165999999999999</v>
      </c>
      <c r="S1191" s="14">
        <f>ROUND(R1191*L1191,2)</f>
        <v>518.47</v>
      </c>
      <c r="T1191" s="15" t="s">
        <v>349</v>
      </c>
      <c r="U1191" t="s">
        <v>125</v>
      </c>
    </row>
    <row r="1192" spans="1:21" x14ac:dyDescent="0.2">
      <c r="A1192" t="s">
        <v>2283</v>
      </c>
      <c r="B1192" s="24">
        <v>45723</v>
      </c>
      <c r="C1192" s="24">
        <v>45596</v>
      </c>
      <c r="D1192" t="s">
        <v>287</v>
      </c>
      <c r="E1192" t="s">
        <v>288</v>
      </c>
      <c r="G1192" t="s">
        <v>2850</v>
      </c>
      <c r="H1192" t="s">
        <v>3064</v>
      </c>
      <c r="I1192" t="s">
        <v>83</v>
      </c>
      <c r="J1192" s="11" t="s">
        <v>1478</v>
      </c>
      <c r="K1192" t="s">
        <v>10</v>
      </c>
      <c r="L1192">
        <v>-79</v>
      </c>
      <c r="M1192" t="s">
        <v>1472</v>
      </c>
      <c r="N1192" t="s">
        <v>11</v>
      </c>
      <c r="O1192">
        <v>7.4237000000000002</v>
      </c>
      <c r="P1192" s="12">
        <f>ROUND(O1192*L1192,2)</f>
        <v>-586.47</v>
      </c>
      <c r="Q1192" s="13">
        <f>IF(N1192="HKD",7.8,IF(N1192="CNY",7.30034,1))</f>
        <v>7.3003400000000003</v>
      </c>
      <c r="R1192" s="15">
        <f>+ROUND(O1192/Q1192,4)</f>
        <v>1.0168999999999999</v>
      </c>
      <c r="S1192" s="14">
        <f>ROUND(R1192*L1192,2)</f>
        <v>-80.34</v>
      </c>
      <c r="T1192" s="15" t="s">
        <v>349</v>
      </c>
      <c r="U1192" t="s">
        <v>36</v>
      </c>
    </row>
    <row r="1193" spans="1:21" x14ac:dyDescent="0.2">
      <c r="A1193" t="s">
        <v>705</v>
      </c>
      <c r="B1193" s="24">
        <v>45723</v>
      </c>
      <c r="C1193" s="24">
        <v>45639</v>
      </c>
      <c r="D1193" t="s">
        <v>287</v>
      </c>
      <c r="E1193" t="s">
        <v>288</v>
      </c>
      <c r="G1193" t="s">
        <v>2850</v>
      </c>
      <c r="H1193" t="s">
        <v>703</v>
      </c>
      <c r="I1193" t="s">
        <v>704</v>
      </c>
      <c r="J1193" s="11" t="s">
        <v>1478</v>
      </c>
      <c r="K1193" t="s">
        <v>10</v>
      </c>
      <c r="L1193">
        <v>-78</v>
      </c>
      <c r="M1193" t="s">
        <v>1472</v>
      </c>
      <c r="N1193" t="s">
        <v>11</v>
      </c>
      <c r="O1193">
        <v>7.4237000000000002</v>
      </c>
      <c r="P1193" s="12">
        <f>ROUND(O1193*L1193,2)</f>
        <v>-579.04999999999995</v>
      </c>
      <c r="Q1193" s="13">
        <f>IF(N1193="HKD",7.8,IF(N1193="CNY",7.30034,1))</f>
        <v>7.3003400000000003</v>
      </c>
      <c r="R1193" s="15">
        <f>+ROUND(O1193/Q1193,4)</f>
        <v>1.0168999999999999</v>
      </c>
      <c r="S1193" s="14">
        <f>ROUND(R1193*L1193,2)</f>
        <v>-79.319999999999993</v>
      </c>
      <c r="T1193" s="15" t="s">
        <v>349</v>
      </c>
      <c r="U1193" t="s">
        <v>36</v>
      </c>
    </row>
    <row r="1194" spans="1:21" x14ac:dyDescent="0.2">
      <c r="A1194" t="s">
        <v>2342</v>
      </c>
      <c r="B1194" s="24">
        <v>45723</v>
      </c>
      <c r="C1194" s="24">
        <v>45674</v>
      </c>
      <c r="D1194" t="s">
        <v>287</v>
      </c>
      <c r="E1194" t="s">
        <v>288</v>
      </c>
      <c r="G1194" t="s">
        <v>2897</v>
      </c>
      <c r="H1194" t="s">
        <v>3064</v>
      </c>
      <c r="I1194" t="s">
        <v>83</v>
      </c>
      <c r="J1194" s="11" t="s">
        <v>1478</v>
      </c>
      <c r="K1194" t="s">
        <v>10</v>
      </c>
      <c r="L1194">
        <v>2100</v>
      </c>
      <c r="M1194" t="s">
        <v>1472</v>
      </c>
      <c r="N1194" t="s">
        <v>11</v>
      </c>
      <c r="O1194">
        <v>7.4237000000000002</v>
      </c>
      <c r="P1194" s="12">
        <f>ROUND(O1194*L1194,2)</f>
        <v>15589.77</v>
      </c>
      <c r="Q1194" s="13">
        <f>IF(N1194="HKD",7.8,IF(N1194="CNY",7.30034,1))</f>
        <v>7.3003400000000003</v>
      </c>
      <c r="R1194" s="15">
        <f>+ROUND(O1194/Q1194,4)</f>
        <v>1.0168999999999999</v>
      </c>
      <c r="S1194" s="14">
        <f>ROUND(R1194*L1194,2)</f>
        <v>2135.4899999999998</v>
      </c>
      <c r="T1194" s="15" t="s">
        <v>349</v>
      </c>
      <c r="U1194" t="s">
        <v>36</v>
      </c>
    </row>
    <row r="1195" spans="1:21" x14ac:dyDescent="0.2">
      <c r="A1195" t="s">
        <v>705</v>
      </c>
      <c r="B1195" s="24">
        <v>45742</v>
      </c>
      <c r="C1195" s="24">
        <v>45639</v>
      </c>
      <c r="D1195" t="s">
        <v>287</v>
      </c>
      <c r="E1195" t="s">
        <v>288</v>
      </c>
      <c r="G1195" t="s">
        <v>2851</v>
      </c>
      <c r="H1195" t="s">
        <v>703</v>
      </c>
      <c r="I1195" t="s">
        <v>704</v>
      </c>
      <c r="J1195" s="11" t="s">
        <v>1478</v>
      </c>
      <c r="K1195" t="s">
        <v>10</v>
      </c>
      <c r="L1195">
        <v>78</v>
      </c>
      <c r="M1195" t="s">
        <v>1472</v>
      </c>
      <c r="N1195" t="s">
        <v>11</v>
      </c>
      <c r="O1195">
        <v>7.4237000000000002</v>
      </c>
      <c r="P1195" s="12">
        <f>ROUND(O1195*L1195,2)</f>
        <v>579.04999999999995</v>
      </c>
      <c r="Q1195" s="13">
        <f>IF(N1195="HKD",7.8,IF(N1195="CNY",7.30034,1))</f>
        <v>7.3003400000000003</v>
      </c>
      <c r="R1195" s="15">
        <f>+ROUND(O1195/Q1195,4)</f>
        <v>1.0168999999999999</v>
      </c>
      <c r="S1195" s="14">
        <f>ROUND(R1195*L1195,2)</f>
        <v>79.319999999999993</v>
      </c>
      <c r="T1195" s="15" t="s">
        <v>349</v>
      </c>
      <c r="U1195" t="s">
        <v>36</v>
      </c>
    </row>
    <row r="1196" spans="1:21" x14ac:dyDescent="0.2">
      <c r="A1196" t="s">
        <v>2342</v>
      </c>
      <c r="B1196" s="24">
        <v>45742</v>
      </c>
      <c r="C1196" s="24">
        <v>45674</v>
      </c>
      <c r="D1196" t="s">
        <v>287</v>
      </c>
      <c r="E1196" t="s">
        <v>288</v>
      </c>
      <c r="G1196" t="s">
        <v>2884</v>
      </c>
      <c r="H1196" t="s">
        <v>3064</v>
      </c>
      <c r="I1196" t="s">
        <v>83</v>
      </c>
      <c r="J1196" s="11" t="s">
        <v>1478</v>
      </c>
      <c r="K1196" t="s">
        <v>10</v>
      </c>
      <c r="L1196">
        <v>-90</v>
      </c>
      <c r="M1196" t="s">
        <v>1472</v>
      </c>
      <c r="N1196" t="s">
        <v>11</v>
      </c>
      <c r="O1196">
        <v>7.4237000000000002</v>
      </c>
      <c r="P1196" s="12">
        <f>ROUND(O1196*L1196,2)</f>
        <v>-668.13</v>
      </c>
      <c r="Q1196" s="13">
        <f>IF(N1196="HKD",7.8,IF(N1196="CNY",7.30034,1))</f>
        <v>7.3003400000000003</v>
      </c>
      <c r="R1196" s="15">
        <f>+ROUND(O1196/Q1196,4)</f>
        <v>1.0168999999999999</v>
      </c>
      <c r="S1196" s="14">
        <f>ROUND(R1196*L1196,2)</f>
        <v>-91.52</v>
      </c>
      <c r="T1196" s="15" t="s">
        <v>349</v>
      </c>
      <c r="U1196" t="s">
        <v>36</v>
      </c>
    </row>
    <row r="1197" spans="1:21" x14ac:dyDescent="0.2">
      <c r="A1197" s="19" t="s">
        <v>1085</v>
      </c>
      <c r="B1197" s="20">
        <v>45663</v>
      </c>
      <c r="C1197" s="20">
        <v>45653</v>
      </c>
      <c r="D1197" s="19" t="s">
        <v>5</v>
      </c>
      <c r="E1197" s="19" t="s">
        <v>6</v>
      </c>
      <c r="G1197" s="19" t="s">
        <v>1084</v>
      </c>
      <c r="H1197" s="19" t="s">
        <v>493</v>
      </c>
      <c r="I1197" s="19" t="s">
        <v>494</v>
      </c>
      <c r="J1197" s="11" t="str">
        <f>+LEFT(U1197,4)</f>
        <v>SHTS</v>
      </c>
      <c r="K1197" s="19" t="s">
        <v>10</v>
      </c>
      <c r="L1197" s="19">
        <v>2020</v>
      </c>
      <c r="M1197" s="19" t="s">
        <v>1472</v>
      </c>
      <c r="N1197" s="19" t="s">
        <v>11</v>
      </c>
      <c r="O1197" s="26">
        <v>1.75</v>
      </c>
      <c r="P1197" s="12">
        <f>ROUND(O1197*L1197,2)</f>
        <v>3535</v>
      </c>
      <c r="Q1197" s="13">
        <f>IF(N1197="HKD",7.8,IF(N1197="CNY",7.30034,1))</f>
        <v>7.3003400000000003</v>
      </c>
      <c r="R1197" s="15">
        <f>+ROUND(O1197/Q1197,4)</f>
        <v>0.2397</v>
      </c>
      <c r="S1197" s="14">
        <f>ROUND(R1197*L1197,2)</f>
        <v>484.19</v>
      </c>
      <c r="T1197" s="15" t="s">
        <v>349</v>
      </c>
      <c r="U1197" s="19" t="s">
        <v>9</v>
      </c>
    </row>
    <row r="1198" spans="1:21" x14ac:dyDescent="0.2">
      <c r="A1198" s="19" t="s">
        <v>1083</v>
      </c>
      <c r="B1198" s="20">
        <v>45663</v>
      </c>
      <c r="C1198" s="20">
        <v>45653</v>
      </c>
      <c r="D1198" s="19" t="s">
        <v>5</v>
      </c>
      <c r="E1198" s="19" t="s">
        <v>6</v>
      </c>
      <c r="G1198" s="19" t="s">
        <v>1084</v>
      </c>
      <c r="H1198" s="19" t="s">
        <v>1081</v>
      </c>
      <c r="I1198" s="19" t="s">
        <v>1082</v>
      </c>
      <c r="J1198" s="11" t="str">
        <f>+LEFT(U1198,4)</f>
        <v>SHTS</v>
      </c>
      <c r="K1198" s="19" t="s">
        <v>10</v>
      </c>
      <c r="L1198" s="19">
        <v>1010</v>
      </c>
      <c r="M1198" s="19" t="s">
        <v>1472</v>
      </c>
      <c r="N1198" s="19" t="s">
        <v>11</v>
      </c>
      <c r="O1198" s="26">
        <v>4.5199999999999996</v>
      </c>
      <c r="P1198" s="12">
        <f>ROUND(O1198*L1198,2)</f>
        <v>4565.2</v>
      </c>
      <c r="Q1198" s="13">
        <f>IF(N1198="HKD",7.8,IF(N1198="CNY",7.30034,1))</f>
        <v>7.3003400000000003</v>
      </c>
      <c r="R1198" s="15">
        <f>+ROUND(O1198/Q1198,4)</f>
        <v>0.61909999999999998</v>
      </c>
      <c r="S1198" s="14">
        <f>ROUND(R1198*L1198,2)</f>
        <v>625.29</v>
      </c>
      <c r="T1198" s="15" t="s">
        <v>349</v>
      </c>
      <c r="U1198" s="19" t="s">
        <v>9</v>
      </c>
    </row>
    <row r="1199" spans="1:21" x14ac:dyDescent="0.2">
      <c r="A1199" s="19" t="s">
        <v>498</v>
      </c>
      <c r="B1199" s="20">
        <v>45670</v>
      </c>
      <c r="C1199" s="20">
        <v>45653</v>
      </c>
      <c r="D1199" s="19" t="s">
        <v>5</v>
      </c>
      <c r="E1199" s="19" t="s">
        <v>6</v>
      </c>
      <c r="G1199" s="19" t="s">
        <v>492</v>
      </c>
      <c r="H1199" s="19" t="s">
        <v>496</v>
      </c>
      <c r="I1199" s="19" t="s">
        <v>497</v>
      </c>
      <c r="J1199" s="11" t="str">
        <f>+LEFT(U1199,4)</f>
        <v>SHTS</v>
      </c>
      <c r="K1199" s="19" t="s">
        <v>10</v>
      </c>
      <c r="L1199" s="19">
        <v>1010</v>
      </c>
      <c r="M1199" s="19" t="s">
        <v>1472</v>
      </c>
      <c r="N1199" s="19" t="s">
        <v>11</v>
      </c>
      <c r="O1199" s="26">
        <v>1.3</v>
      </c>
      <c r="P1199" s="12">
        <f>ROUND(O1199*L1199,2)</f>
        <v>1313</v>
      </c>
      <c r="Q1199" s="13">
        <f>IF(N1199="HKD",7.8,IF(N1199="CNY",7.30034,1))</f>
        <v>7.3003400000000003</v>
      </c>
      <c r="R1199" s="15">
        <f>+ROUND(O1199/Q1199,4)</f>
        <v>0.17810000000000001</v>
      </c>
      <c r="S1199" s="14">
        <f>ROUND(R1199*L1199,2)</f>
        <v>179.88</v>
      </c>
      <c r="T1199" s="15" t="s">
        <v>349</v>
      </c>
      <c r="U1199" s="19" t="s">
        <v>9</v>
      </c>
    </row>
    <row r="1200" spans="1:21" x14ac:dyDescent="0.2">
      <c r="A1200" s="19" t="s">
        <v>491</v>
      </c>
      <c r="B1200" s="20">
        <v>45670</v>
      </c>
      <c r="C1200" s="20">
        <v>45653</v>
      </c>
      <c r="D1200" s="19" t="s">
        <v>5</v>
      </c>
      <c r="E1200" s="19" t="s">
        <v>6</v>
      </c>
      <c r="G1200" s="19" t="s">
        <v>492</v>
      </c>
      <c r="H1200" s="19" t="s">
        <v>489</v>
      </c>
      <c r="I1200" s="19" t="s">
        <v>490</v>
      </c>
      <c r="J1200" s="11" t="str">
        <f>+LEFT(U1200,4)</f>
        <v>SHTS</v>
      </c>
      <c r="K1200" s="19" t="s">
        <v>10</v>
      </c>
      <c r="L1200" s="19">
        <v>1010</v>
      </c>
      <c r="M1200" s="19" t="s">
        <v>1472</v>
      </c>
      <c r="N1200" s="19" t="s">
        <v>11</v>
      </c>
      <c r="O1200" s="26">
        <v>1.66</v>
      </c>
      <c r="P1200" s="12">
        <f>ROUND(O1200*L1200,2)</f>
        <v>1676.6</v>
      </c>
      <c r="Q1200" s="13">
        <f>IF(N1200="HKD",7.8,IF(N1200="CNY",7.30034,1))</f>
        <v>7.3003400000000003</v>
      </c>
      <c r="R1200" s="15">
        <f>+ROUND(O1200/Q1200,4)</f>
        <v>0.22739999999999999</v>
      </c>
      <c r="S1200" s="14">
        <f>ROUND(R1200*L1200,2)</f>
        <v>229.67</v>
      </c>
      <c r="T1200" s="15" t="s">
        <v>349</v>
      </c>
      <c r="U1200" s="19" t="s">
        <v>9</v>
      </c>
    </row>
    <row r="1201" spans="1:21" x14ac:dyDescent="0.2">
      <c r="A1201" s="19" t="s">
        <v>495</v>
      </c>
      <c r="B1201" s="20">
        <v>45670</v>
      </c>
      <c r="C1201" s="20">
        <v>45653</v>
      </c>
      <c r="D1201" s="19" t="s">
        <v>5</v>
      </c>
      <c r="E1201" s="19" t="s">
        <v>6</v>
      </c>
      <c r="G1201" s="19" t="s">
        <v>492</v>
      </c>
      <c r="H1201" s="19" t="s">
        <v>493</v>
      </c>
      <c r="I1201" s="19" t="s">
        <v>494</v>
      </c>
      <c r="J1201" s="11" t="str">
        <f>+LEFT(U1201,4)</f>
        <v>SHTS</v>
      </c>
      <c r="K1201" s="19" t="s">
        <v>10</v>
      </c>
      <c r="L1201" s="19">
        <v>1010</v>
      </c>
      <c r="M1201" s="19" t="s">
        <v>1472</v>
      </c>
      <c r="N1201" s="19" t="s">
        <v>11</v>
      </c>
      <c r="O1201" s="26">
        <v>1.75</v>
      </c>
      <c r="P1201" s="12">
        <f>ROUND(O1201*L1201,2)</f>
        <v>1767.5</v>
      </c>
      <c r="Q1201" s="13">
        <f>IF(N1201="HKD",7.8,IF(N1201="CNY",7.30034,1))</f>
        <v>7.3003400000000003</v>
      </c>
      <c r="R1201" s="15">
        <f>+ROUND(O1201/Q1201,4)</f>
        <v>0.2397</v>
      </c>
      <c r="S1201" s="14">
        <f>ROUND(R1201*L1201,2)</f>
        <v>242.1</v>
      </c>
      <c r="T1201" s="15" t="s">
        <v>349</v>
      </c>
      <c r="U1201" s="19" t="s">
        <v>9</v>
      </c>
    </row>
    <row r="1202" spans="1:21" x14ac:dyDescent="0.2">
      <c r="A1202" s="19" t="s">
        <v>517</v>
      </c>
      <c r="B1202" s="20">
        <v>45670</v>
      </c>
      <c r="C1202" s="20">
        <v>45663</v>
      </c>
      <c r="D1202" s="19" t="s">
        <v>5</v>
      </c>
      <c r="E1202" s="19" t="s">
        <v>6</v>
      </c>
      <c r="G1202" s="19" t="s">
        <v>492</v>
      </c>
      <c r="H1202" s="19" t="s">
        <v>515</v>
      </c>
      <c r="I1202" s="19" t="s">
        <v>516</v>
      </c>
      <c r="J1202" s="11" t="str">
        <f>+LEFT(U1202,4)</f>
        <v>SHTS</v>
      </c>
      <c r="K1202" s="19" t="s">
        <v>10</v>
      </c>
      <c r="L1202" s="19">
        <v>1010</v>
      </c>
      <c r="M1202" s="19" t="s">
        <v>1472</v>
      </c>
      <c r="N1202" s="19" t="s">
        <v>11</v>
      </c>
      <c r="O1202" s="26">
        <v>2.09</v>
      </c>
      <c r="P1202" s="12">
        <f>ROUND(O1202*L1202,2)</f>
        <v>2110.9</v>
      </c>
      <c r="Q1202" s="13">
        <f>IF(N1202="HKD",7.8,IF(N1202="CNY",7.30034,1))</f>
        <v>7.3003400000000003</v>
      </c>
      <c r="R1202" s="15">
        <f>+ROUND(O1202/Q1202,4)</f>
        <v>0.2863</v>
      </c>
      <c r="S1202" s="14">
        <f>ROUND(R1202*L1202,2)</f>
        <v>289.16000000000003</v>
      </c>
      <c r="T1202" s="15" t="s">
        <v>349</v>
      </c>
      <c r="U1202" s="19" t="s">
        <v>9</v>
      </c>
    </row>
    <row r="1203" spans="1:21" x14ac:dyDescent="0.2">
      <c r="A1203" s="19" t="s">
        <v>502</v>
      </c>
      <c r="B1203" s="20">
        <v>45670</v>
      </c>
      <c r="C1203" s="20">
        <v>45663</v>
      </c>
      <c r="D1203" s="19" t="s">
        <v>5</v>
      </c>
      <c r="E1203" s="19" t="s">
        <v>6</v>
      </c>
      <c r="G1203" s="19" t="s">
        <v>492</v>
      </c>
      <c r="H1203" s="19" t="s">
        <v>499</v>
      </c>
      <c r="I1203" s="19" t="s">
        <v>500</v>
      </c>
      <c r="J1203" s="11" t="str">
        <f>+LEFT(U1203,4)</f>
        <v>SHTS</v>
      </c>
      <c r="K1203" s="19" t="s">
        <v>10</v>
      </c>
      <c r="L1203" s="19">
        <v>510</v>
      </c>
      <c r="M1203" s="19" t="s">
        <v>1472</v>
      </c>
      <c r="N1203" s="19" t="s">
        <v>11</v>
      </c>
      <c r="O1203" s="26">
        <v>2.2999999999999998</v>
      </c>
      <c r="P1203" s="12">
        <f>ROUND(O1203*L1203,2)</f>
        <v>1173</v>
      </c>
      <c r="Q1203" s="13">
        <f>IF(N1203="HKD",7.8,IF(N1203="CNY",7.30034,1))</f>
        <v>7.3003400000000003</v>
      </c>
      <c r="R1203" s="15">
        <f>+ROUND(O1203/Q1203,4)</f>
        <v>0.31509999999999999</v>
      </c>
      <c r="S1203" s="14">
        <f>ROUND(R1203*L1203,2)</f>
        <v>160.69999999999999</v>
      </c>
      <c r="T1203" s="15" t="s">
        <v>349</v>
      </c>
      <c r="U1203" s="19" t="s">
        <v>9</v>
      </c>
    </row>
    <row r="1204" spans="1:21" x14ac:dyDescent="0.2">
      <c r="A1204" s="19" t="s">
        <v>501</v>
      </c>
      <c r="B1204" s="20">
        <v>45670</v>
      </c>
      <c r="C1204" s="20">
        <v>45663</v>
      </c>
      <c r="D1204" s="19" t="s">
        <v>5</v>
      </c>
      <c r="E1204" s="19" t="s">
        <v>6</v>
      </c>
      <c r="G1204" s="19" t="s">
        <v>492</v>
      </c>
      <c r="H1204" s="19" t="s">
        <v>499</v>
      </c>
      <c r="I1204" s="19" t="s">
        <v>500</v>
      </c>
      <c r="J1204" s="11" t="str">
        <f>+LEFT(U1204,4)</f>
        <v>SHTS</v>
      </c>
      <c r="K1204" s="19" t="s">
        <v>10</v>
      </c>
      <c r="L1204" s="19">
        <v>1010</v>
      </c>
      <c r="M1204" s="19" t="s">
        <v>1472</v>
      </c>
      <c r="N1204" s="19" t="s">
        <v>11</v>
      </c>
      <c r="O1204" s="26">
        <v>2.2999999999999998</v>
      </c>
      <c r="P1204" s="12">
        <f>ROUND(O1204*L1204,2)</f>
        <v>2323</v>
      </c>
      <c r="Q1204" s="13">
        <f>IF(N1204="HKD",7.8,IF(N1204="CNY",7.30034,1))</f>
        <v>7.3003400000000003</v>
      </c>
      <c r="R1204" s="15">
        <f>+ROUND(O1204/Q1204,4)</f>
        <v>0.31509999999999999</v>
      </c>
      <c r="S1204" s="14">
        <f>ROUND(R1204*L1204,2)</f>
        <v>318.25</v>
      </c>
      <c r="T1204" s="15" t="s">
        <v>349</v>
      </c>
      <c r="U1204" s="19" t="s">
        <v>9</v>
      </c>
    </row>
    <row r="1205" spans="1:21" x14ac:dyDescent="0.2">
      <c r="A1205" s="19" t="s">
        <v>511</v>
      </c>
      <c r="B1205" s="20">
        <v>45670</v>
      </c>
      <c r="C1205" s="20">
        <v>45663</v>
      </c>
      <c r="D1205" s="19" t="s">
        <v>5</v>
      </c>
      <c r="E1205" s="19" t="s">
        <v>6</v>
      </c>
      <c r="G1205" s="19" t="s">
        <v>492</v>
      </c>
      <c r="H1205" s="19" t="s">
        <v>509</v>
      </c>
      <c r="I1205" s="19" t="s">
        <v>510</v>
      </c>
      <c r="J1205" s="11" t="str">
        <f>+LEFT(U1205,4)</f>
        <v>SHTS</v>
      </c>
      <c r="K1205" s="19" t="s">
        <v>10</v>
      </c>
      <c r="L1205" s="19">
        <v>1010</v>
      </c>
      <c r="M1205" s="19" t="s">
        <v>1472</v>
      </c>
      <c r="N1205" s="19" t="s">
        <v>11</v>
      </c>
      <c r="O1205" s="26">
        <v>2.46</v>
      </c>
      <c r="P1205" s="12">
        <f>ROUND(O1205*L1205,2)</f>
        <v>2484.6</v>
      </c>
      <c r="Q1205" s="13">
        <f>IF(N1205="HKD",7.8,IF(N1205="CNY",7.30034,1))</f>
        <v>7.3003400000000003</v>
      </c>
      <c r="R1205" s="15">
        <f>+ROUND(O1205/Q1205,4)</f>
        <v>0.33700000000000002</v>
      </c>
      <c r="S1205" s="14">
        <f>ROUND(R1205*L1205,2)</f>
        <v>340.37</v>
      </c>
      <c r="T1205" s="15" t="s">
        <v>349</v>
      </c>
      <c r="U1205" s="19" t="s">
        <v>9</v>
      </c>
    </row>
    <row r="1206" spans="1:21" x14ac:dyDescent="0.2">
      <c r="A1206" s="19" t="s">
        <v>514</v>
      </c>
      <c r="B1206" s="20">
        <v>45670</v>
      </c>
      <c r="C1206" s="20">
        <v>45663</v>
      </c>
      <c r="D1206" s="19" t="s">
        <v>5</v>
      </c>
      <c r="E1206" s="19" t="s">
        <v>6</v>
      </c>
      <c r="G1206" s="19" t="s">
        <v>492</v>
      </c>
      <c r="H1206" s="19" t="s">
        <v>512</v>
      </c>
      <c r="I1206" s="19" t="s">
        <v>513</v>
      </c>
      <c r="J1206" s="11" t="str">
        <f>+LEFT(U1206,4)</f>
        <v>SHTS</v>
      </c>
      <c r="K1206" s="19" t="s">
        <v>10</v>
      </c>
      <c r="L1206" s="19">
        <v>1010</v>
      </c>
      <c r="M1206" s="19" t="s">
        <v>1472</v>
      </c>
      <c r="N1206" s="19" t="s">
        <v>11</v>
      </c>
      <c r="O1206" s="26">
        <v>2.56</v>
      </c>
      <c r="P1206" s="12">
        <f>ROUND(O1206*L1206,2)</f>
        <v>2585.6</v>
      </c>
      <c r="Q1206" s="13">
        <f>IF(N1206="HKD",7.8,IF(N1206="CNY",7.30034,1))</f>
        <v>7.3003400000000003</v>
      </c>
      <c r="R1206" s="15">
        <f>+ROUND(O1206/Q1206,4)</f>
        <v>0.35070000000000001</v>
      </c>
      <c r="S1206" s="14">
        <f>ROUND(R1206*L1206,2)</f>
        <v>354.21</v>
      </c>
      <c r="T1206" s="15" t="s">
        <v>349</v>
      </c>
      <c r="U1206" s="19" t="s">
        <v>9</v>
      </c>
    </row>
    <row r="1207" spans="1:21" x14ac:dyDescent="0.2">
      <c r="A1207" s="19" t="s">
        <v>505</v>
      </c>
      <c r="B1207" s="20">
        <v>45670</v>
      </c>
      <c r="C1207" s="20">
        <v>45663</v>
      </c>
      <c r="D1207" s="19" t="s">
        <v>5</v>
      </c>
      <c r="E1207" s="19" t="s">
        <v>6</v>
      </c>
      <c r="G1207" s="19" t="s">
        <v>492</v>
      </c>
      <c r="H1207" s="19" t="s">
        <v>503</v>
      </c>
      <c r="I1207" s="19" t="s">
        <v>504</v>
      </c>
      <c r="J1207" s="11" t="str">
        <f>+LEFT(U1207,4)</f>
        <v>SHTS</v>
      </c>
      <c r="K1207" s="19" t="s">
        <v>10</v>
      </c>
      <c r="L1207" s="19">
        <v>1010</v>
      </c>
      <c r="M1207" s="19" t="s">
        <v>1472</v>
      </c>
      <c r="N1207" s="19" t="s">
        <v>11</v>
      </c>
      <c r="O1207" s="26">
        <v>2.84</v>
      </c>
      <c r="P1207" s="12">
        <f>ROUND(O1207*L1207,2)</f>
        <v>2868.4</v>
      </c>
      <c r="Q1207" s="13">
        <f>IF(N1207="HKD",7.8,IF(N1207="CNY",7.30034,1))</f>
        <v>7.3003400000000003</v>
      </c>
      <c r="R1207" s="15">
        <f>+ROUND(O1207/Q1207,4)</f>
        <v>0.38900000000000001</v>
      </c>
      <c r="S1207" s="14">
        <f>ROUND(R1207*L1207,2)</f>
        <v>392.89</v>
      </c>
      <c r="T1207" s="15" t="s">
        <v>349</v>
      </c>
      <c r="U1207" s="19" t="s">
        <v>9</v>
      </c>
    </row>
    <row r="1208" spans="1:21" x14ac:dyDescent="0.2">
      <c r="A1208" s="19" t="s">
        <v>508</v>
      </c>
      <c r="B1208" s="20">
        <v>45670</v>
      </c>
      <c r="C1208" s="20">
        <v>45663</v>
      </c>
      <c r="D1208" s="19" t="s">
        <v>5</v>
      </c>
      <c r="E1208" s="19" t="s">
        <v>6</v>
      </c>
      <c r="G1208" s="19" t="s">
        <v>492</v>
      </c>
      <c r="H1208" s="19" t="s">
        <v>506</v>
      </c>
      <c r="I1208" s="19" t="s">
        <v>507</v>
      </c>
      <c r="J1208" s="11" t="str">
        <f>+LEFT(U1208,4)</f>
        <v>SHTS</v>
      </c>
      <c r="K1208" s="19" t="s">
        <v>10</v>
      </c>
      <c r="L1208" s="19">
        <v>1010</v>
      </c>
      <c r="M1208" s="19" t="s">
        <v>1472</v>
      </c>
      <c r="N1208" s="19" t="s">
        <v>11</v>
      </c>
      <c r="O1208" s="26">
        <v>2.86</v>
      </c>
      <c r="P1208" s="12">
        <f>ROUND(O1208*L1208,2)</f>
        <v>2888.6</v>
      </c>
      <c r="Q1208" s="13">
        <f>IF(N1208="HKD",7.8,IF(N1208="CNY",7.30034,1))</f>
        <v>7.3003400000000003</v>
      </c>
      <c r="R1208" s="15">
        <f>+ROUND(O1208/Q1208,4)</f>
        <v>0.39179999999999998</v>
      </c>
      <c r="S1208" s="14">
        <f>ROUND(R1208*L1208,2)</f>
        <v>395.72</v>
      </c>
      <c r="T1208" s="15" t="s">
        <v>349</v>
      </c>
      <c r="U1208" s="19" t="s">
        <v>9</v>
      </c>
    </row>
    <row r="1209" spans="1:21" x14ac:dyDescent="0.2">
      <c r="A1209" s="19" t="s">
        <v>432</v>
      </c>
      <c r="B1209" s="20">
        <v>45670</v>
      </c>
      <c r="C1209" s="20">
        <v>45663</v>
      </c>
      <c r="D1209" s="19" t="s">
        <v>5</v>
      </c>
      <c r="E1209" s="19" t="s">
        <v>6</v>
      </c>
      <c r="G1209" s="19" t="s">
        <v>433</v>
      </c>
      <c r="H1209" s="19" t="s">
        <v>430</v>
      </c>
      <c r="I1209" s="19" t="s">
        <v>431</v>
      </c>
      <c r="J1209" s="11" t="str">
        <f>+LEFT(U1209,4)</f>
        <v>SHTS</v>
      </c>
      <c r="K1209" s="19" t="s">
        <v>10</v>
      </c>
      <c r="L1209" s="19">
        <v>1010</v>
      </c>
      <c r="M1209" s="19" t="s">
        <v>1472</v>
      </c>
      <c r="N1209" s="19" t="s">
        <v>11</v>
      </c>
      <c r="O1209" s="26">
        <v>3.33</v>
      </c>
      <c r="P1209" s="12">
        <f>ROUND(O1209*L1209,2)</f>
        <v>3363.3</v>
      </c>
      <c r="Q1209" s="13">
        <f>IF(N1209="HKD",7.8,IF(N1209="CNY",7.30034,1))</f>
        <v>7.3003400000000003</v>
      </c>
      <c r="R1209" s="15">
        <f>+ROUND(O1209/Q1209,4)</f>
        <v>0.45610000000000001</v>
      </c>
      <c r="S1209" s="14">
        <f>ROUND(R1209*L1209,2)</f>
        <v>460.66</v>
      </c>
      <c r="T1209" s="15" t="s">
        <v>349</v>
      </c>
      <c r="U1209" s="19" t="s">
        <v>9</v>
      </c>
    </row>
    <row r="1210" spans="1:21" x14ac:dyDescent="0.2">
      <c r="A1210" s="19" t="s">
        <v>523</v>
      </c>
      <c r="B1210" s="20">
        <v>45670</v>
      </c>
      <c r="C1210" s="20">
        <v>45663</v>
      </c>
      <c r="D1210" s="19" t="s">
        <v>5</v>
      </c>
      <c r="E1210" s="19" t="s">
        <v>6</v>
      </c>
      <c r="G1210" s="19" t="s">
        <v>492</v>
      </c>
      <c r="H1210" s="19" t="s">
        <v>521</v>
      </c>
      <c r="I1210" s="19" t="s">
        <v>522</v>
      </c>
      <c r="J1210" s="11" t="str">
        <f>+LEFT(U1210,4)</f>
        <v>SHTS</v>
      </c>
      <c r="K1210" s="19" t="s">
        <v>10</v>
      </c>
      <c r="L1210" s="19">
        <v>1010</v>
      </c>
      <c r="M1210" s="19" t="s">
        <v>1472</v>
      </c>
      <c r="N1210" s="19" t="s">
        <v>11</v>
      </c>
      <c r="O1210" s="26">
        <v>3.45</v>
      </c>
      <c r="P1210" s="12">
        <f>ROUND(O1210*L1210,2)</f>
        <v>3484.5</v>
      </c>
      <c r="Q1210" s="13">
        <f>IF(N1210="HKD",7.8,IF(N1210="CNY",7.30034,1))</f>
        <v>7.3003400000000003</v>
      </c>
      <c r="R1210" s="15">
        <f>+ROUND(O1210/Q1210,4)</f>
        <v>0.47260000000000002</v>
      </c>
      <c r="S1210" s="14">
        <f>ROUND(R1210*L1210,2)</f>
        <v>477.33</v>
      </c>
      <c r="T1210" s="15" t="s">
        <v>349</v>
      </c>
      <c r="U1210" s="19" t="s">
        <v>9</v>
      </c>
    </row>
    <row r="1211" spans="1:21" x14ac:dyDescent="0.2">
      <c r="A1211" s="19" t="s">
        <v>457</v>
      </c>
      <c r="B1211" s="20">
        <v>45670</v>
      </c>
      <c r="C1211" s="20">
        <v>45663</v>
      </c>
      <c r="D1211" s="19" t="s">
        <v>5</v>
      </c>
      <c r="E1211" s="19" t="s">
        <v>6</v>
      </c>
      <c r="G1211" s="19" t="s">
        <v>458</v>
      </c>
      <c r="H1211" s="19" t="s">
        <v>455</v>
      </c>
      <c r="I1211" s="19" t="s">
        <v>456</v>
      </c>
      <c r="J1211" s="11" t="str">
        <f>+LEFT(U1211,4)</f>
        <v>SHTS</v>
      </c>
      <c r="K1211" s="19" t="s">
        <v>10</v>
      </c>
      <c r="L1211" s="19">
        <v>1010</v>
      </c>
      <c r="M1211" s="19" t="s">
        <v>1472</v>
      </c>
      <c r="N1211" s="19" t="s">
        <v>11</v>
      </c>
      <c r="O1211" s="26">
        <v>4.63</v>
      </c>
      <c r="P1211" s="12">
        <f>ROUND(O1211*L1211,2)</f>
        <v>4676.3</v>
      </c>
      <c r="Q1211" s="13">
        <f>IF(N1211="HKD",7.8,IF(N1211="CNY",7.30034,1))</f>
        <v>7.3003400000000003</v>
      </c>
      <c r="R1211" s="15">
        <f>+ROUND(O1211/Q1211,4)</f>
        <v>0.63419999999999999</v>
      </c>
      <c r="S1211" s="14">
        <f>ROUND(R1211*L1211,2)</f>
        <v>640.54</v>
      </c>
      <c r="T1211" s="15" t="s">
        <v>349</v>
      </c>
      <c r="U1211" s="19" t="s">
        <v>9</v>
      </c>
    </row>
    <row r="1212" spans="1:21" x14ac:dyDescent="0.2">
      <c r="A1212" s="19" t="s">
        <v>520</v>
      </c>
      <c r="B1212" s="20">
        <v>45670</v>
      </c>
      <c r="C1212" s="20">
        <v>45663</v>
      </c>
      <c r="D1212" s="19" t="s">
        <v>5</v>
      </c>
      <c r="E1212" s="19" t="s">
        <v>6</v>
      </c>
      <c r="G1212" s="19" t="s">
        <v>492</v>
      </c>
      <c r="H1212" s="19" t="s">
        <v>518</v>
      </c>
      <c r="I1212" s="19" t="s">
        <v>519</v>
      </c>
      <c r="J1212" s="11" t="str">
        <f>+LEFT(U1212,4)</f>
        <v>SHTS</v>
      </c>
      <c r="K1212" s="19" t="s">
        <v>10</v>
      </c>
      <c r="L1212" s="19">
        <v>505</v>
      </c>
      <c r="M1212" s="19" t="s">
        <v>1472</v>
      </c>
      <c r="N1212" s="19" t="s">
        <v>11</v>
      </c>
      <c r="O1212" s="26">
        <v>4.95</v>
      </c>
      <c r="P1212" s="12">
        <f>ROUND(O1212*L1212,2)</f>
        <v>2499.75</v>
      </c>
      <c r="Q1212" s="13">
        <f>IF(N1212="HKD",7.8,IF(N1212="CNY",7.30034,1))</f>
        <v>7.3003400000000003</v>
      </c>
      <c r="R1212" s="15">
        <f>+ROUND(O1212/Q1212,4)</f>
        <v>0.67810000000000004</v>
      </c>
      <c r="S1212" s="14">
        <f>ROUND(R1212*L1212,2)</f>
        <v>342.44</v>
      </c>
      <c r="T1212" s="15" t="s">
        <v>349</v>
      </c>
      <c r="U1212" s="19" t="s">
        <v>9</v>
      </c>
    </row>
    <row r="1213" spans="1:21" x14ac:dyDescent="0.2">
      <c r="A1213" s="19" t="s">
        <v>378</v>
      </c>
      <c r="B1213" s="20">
        <v>45671</v>
      </c>
      <c r="C1213" s="20">
        <v>45663</v>
      </c>
      <c r="D1213" s="19" t="s">
        <v>5</v>
      </c>
      <c r="E1213" s="19" t="s">
        <v>6</v>
      </c>
      <c r="G1213" s="19" t="s">
        <v>379</v>
      </c>
      <c r="H1213" s="19" t="s">
        <v>376</v>
      </c>
      <c r="I1213" s="19" t="s">
        <v>377</v>
      </c>
      <c r="J1213" s="11" t="str">
        <f>+LEFT(U1213,4)</f>
        <v>SHTS</v>
      </c>
      <c r="K1213" s="19" t="s">
        <v>10</v>
      </c>
      <c r="L1213" s="19">
        <v>1005</v>
      </c>
      <c r="M1213" s="19" t="s">
        <v>1472</v>
      </c>
      <c r="N1213" s="19" t="s">
        <v>11</v>
      </c>
      <c r="O1213" s="26">
        <v>3</v>
      </c>
      <c r="P1213" s="12">
        <f>ROUND(O1213*L1213,2)</f>
        <v>3015</v>
      </c>
      <c r="Q1213" s="13">
        <f>IF(N1213="HKD",7.8,IF(N1213="CNY",7.30034,1))</f>
        <v>7.3003400000000003</v>
      </c>
      <c r="R1213" s="15">
        <f>+ROUND(O1213/Q1213,4)</f>
        <v>0.41089999999999999</v>
      </c>
      <c r="S1213" s="14">
        <f>ROUND(R1213*L1213,2)</f>
        <v>412.95</v>
      </c>
      <c r="T1213" s="15" t="s">
        <v>349</v>
      </c>
      <c r="U1213" s="19" t="s">
        <v>9</v>
      </c>
    </row>
    <row r="1214" spans="1:21" x14ac:dyDescent="0.2">
      <c r="A1214" s="19" t="s">
        <v>90</v>
      </c>
      <c r="B1214" s="20">
        <v>45678</v>
      </c>
      <c r="C1214" s="20">
        <v>45677</v>
      </c>
      <c r="D1214" s="19" t="s">
        <v>5</v>
      </c>
      <c r="E1214" s="19" t="s">
        <v>6</v>
      </c>
      <c r="G1214" s="19" t="s">
        <v>91</v>
      </c>
      <c r="H1214" s="19" t="s">
        <v>88</v>
      </c>
      <c r="I1214" s="19" t="s">
        <v>89</v>
      </c>
      <c r="J1214" s="11" t="str">
        <f>+LEFT(U1214,4)</f>
        <v>SHTS</v>
      </c>
      <c r="K1214" s="19" t="s">
        <v>10</v>
      </c>
      <c r="L1214" s="19">
        <v>1010</v>
      </c>
      <c r="M1214" s="19" t="s">
        <v>1472</v>
      </c>
      <c r="N1214" s="19" t="s">
        <v>11</v>
      </c>
      <c r="O1214" s="26">
        <v>3.22</v>
      </c>
      <c r="P1214" s="12">
        <f>ROUND(O1214*L1214,2)</f>
        <v>3252.2</v>
      </c>
      <c r="Q1214" s="13">
        <f>IF(N1214="HKD",7.8,IF(N1214="CNY",7.30034,1))</f>
        <v>7.3003400000000003</v>
      </c>
      <c r="R1214" s="15">
        <f>+ROUND(O1214/Q1214,4)</f>
        <v>0.44109999999999999</v>
      </c>
      <c r="S1214" s="14">
        <f>ROUND(R1214*L1214,2)</f>
        <v>445.51</v>
      </c>
      <c r="T1214" s="15" t="s">
        <v>349</v>
      </c>
      <c r="U1214" s="19" t="s">
        <v>9</v>
      </c>
    </row>
    <row r="1215" spans="1:21" x14ac:dyDescent="0.2">
      <c r="A1215" s="19" t="s">
        <v>7</v>
      </c>
      <c r="B1215" s="20">
        <v>45681</v>
      </c>
      <c r="C1215" s="20">
        <v>45575</v>
      </c>
      <c r="D1215" s="19" t="s">
        <v>5</v>
      </c>
      <c r="E1215" s="19" t="s">
        <v>6</v>
      </c>
      <c r="G1215" s="19" t="s">
        <v>8</v>
      </c>
      <c r="H1215" s="19" t="s">
        <v>3</v>
      </c>
      <c r="I1215" s="19" t="s">
        <v>4</v>
      </c>
      <c r="J1215" s="11" t="str">
        <f>+LEFT(U1215,4)</f>
        <v>SHTS</v>
      </c>
      <c r="K1215" s="19" t="s">
        <v>10</v>
      </c>
      <c r="L1215" s="19">
        <v>500</v>
      </c>
      <c r="M1215" s="19" t="s">
        <v>1472</v>
      </c>
      <c r="N1215" s="19" t="s">
        <v>11</v>
      </c>
      <c r="O1215" s="26">
        <v>2.94</v>
      </c>
      <c r="P1215" s="12">
        <f>ROUND(O1215*L1215,2)</f>
        <v>1470</v>
      </c>
      <c r="Q1215" s="13">
        <f>IF(N1215="HKD",7.8,IF(N1215="CNY",7.30034,1))</f>
        <v>7.3003400000000003</v>
      </c>
      <c r="R1215" s="15">
        <f>+ROUND(O1215/Q1215,4)</f>
        <v>0.4027</v>
      </c>
      <c r="S1215" s="14">
        <f>ROUND(R1215*L1215,2)</f>
        <v>201.35</v>
      </c>
      <c r="T1215" s="15" t="s">
        <v>349</v>
      </c>
      <c r="U1215" s="19" t="s">
        <v>9</v>
      </c>
    </row>
    <row r="1216" spans="1:21" x14ac:dyDescent="0.2">
      <c r="A1216" t="s">
        <v>1943</v>
      </c>
      <c r="B1216" s="24">
        <v>45698</v>
      </c>
      <c r="C1216" s="24">
        <v>45653</v>
      </c>
      <c r="D1216" t="s">
        <v>5</v>
      </c>
      <c r="E1216" t="s">
        <v>6</v>
      </c>
      <c r="G1216" t="s">
        <v>2174</v>
      </c>
      <c r="H1216" s="19" t="s">
        <v>1662</v>
      </c>
      <c r="I1216" s="19" t="s">
        <v>1663</v>
      </c>
      <c r="J1216" s="11" t="str">
        <f>+LEFT(U1216,4)</f>
        <v>SHTS</v>
      </c>
      <c r="K1216" t="s">
        <v>10</v>
      </c>
      <c r="L1216" s="19">
        <v>1010</v>
      </c>
      <c r="M1216" t="s">
        <v>1472</v>
      </c>
      <c r="N1216" t="s">
        <v>11</v>
      </c>
      <c r="O1216" s="26">
        <v>1.77</v>
      </c>
      <c r="P1216" s="12">
        <f>ROUND(O1216*L1216,2)</f>
        <v>1787.7</v>
      </c>
      <c r="Q1216" s="13">
        <f>IF(N1216="HKD",7.8,IF(N1216="CNY",7.30034,1))</f>
        <v>7.3003400000000003</v>
      </c>
      <c r="R1216" s="15">
        <f>+ROUND(O1216/Q1216,4)</f>
        <v>0.24249999999999999</v>
      </c>
      <c r="S1216" s="14">
        <f>ROUND(R1216*L1216,2)</f>
        <v>244.93</v>
      </c>
      <c r="T1216" s="15" t="s">
        <v>349</v>
      </c>
      <c r="U1216" t="s">
        <v>9</v>
      </c>
    </row>
    <row r="1217" spans="1:21" x14ac:dyDescent="0.2">
      <c r="A1217" t="s">
        <v>1960</v>
      </c>
      <c r="B1217" s="24">
        <v>45698</v>
      </c>
      <c r="C1217" s="24">
        <v>45677</v>
      </c>
      <c r="D1217" t="s">
        <v>5</v>
      </c>
      <c r="E1217" t="s">
        <v>6</v>
      </c>
      <c r="G1217" t="s">
        <v>2174</v>
      </c>
      <c r="H1217" s="19" t="s">
        <v>512</v>
      </c>
      <c r="I1217" s="19" t="s">
        <v>513</v>
      </c>
      <c r="J1217" s="11" t="str">
        <f>+LEFT(U1217,4)</f>
        <v>SHTS</v>
      </c>
      <c r="K1217" t="s">
        <v>10</v>
      </c>
      <c r="L1217" s="19">
        <v>1010</v>
      </c>
      <c r="M1217" t="s">
        <v>1472</v>
      </c>
      <c r="N1217" t="s">
        <v>11</v>
      </c>
      <c r="O1217" s="26">
        <v>2.56</v>
      </c>
      <c r="P1217" s="12">
        <f>ROUND(O1217*L1217,2)</f>
        <v>2585.6</v>
      </c>
      <c r="Q1217" s="13">
        <f>IF(N1217="HKD",7.8,IF(N1217="CNY",7.30034,1))</f>
        <v>7.3003400000000003</v>
      </c>
      <c r="R1217" s="15">
        <f>+ROUND(O1217/Q1217,4)</f>
        <v>0.35070000000000001</v>
      </c>
      <c r="S1217" s="14">
        <f>ROUND(R1217*L1217,2)</f>
        <v>354.21</v>
      </c>
      <c r="T1217" s="15" t="s">
        <v>349</v>
      </c>
      <c r="U1217" t="s">
        <v>9</v>
      </c>
    </row>
    <row r="1218" spans="1:21" x14ac:dyDescent="0.2">
      <c r="A1218" t="s">
        <v>1973</v>
      </c>
      <c r="B1218" s="24">
        <v>45698</v>
      </c>
      <c r="C1218" s="24">
        <v>45677</v>
      </c>
      <c r="D1218" t="s">
        <v>5</v>
      </c>
      <c r="E1218" t="s">
        <v>6</v>
      </c>
      <c r="G1218" t="s">
        <v>2174</v>
      </c>
      <c r="H1218" s="19" t="s">
        <v>1691</v>
      </c>
      <c r="I1218" s="19" t="s">
        <v>1692</v>
      </c>
      <c r="J1218" s="11" t="str">
        <f>+LEFT(U1218,4)</f>
        <v>SHTS</v>
      </c>
      <c r="K1218" t="s">
        <v>10</v>
      </c>
      <c r="L1218" s="19">
        <v>1010</v>
      </c>
      <c r="M1218" t="s">
        <v>1472</v>
      </c>
      <c r="N1218" t="s">
        <v>11</v>
      </c>
      <c r="O1218" s="26">
        <v>2.8</v>
      </c>
      <c r="P1218" s="12">
        <f>ROUND(O1218*L1218,2)</f>
        <v>2828</v>
      </c>
      <c r="Q1218" s="13">
        <f>IF(N1218="HKD",7.8,IF(N1218="CNY",7.30034,1))</f>
        <v>7.3003400000000003</v>
      </c>
      <c r="R1218" s="15">
        <f>+ROUND(O1218/Q1218,4)</f>
        <v>0.38350000000000001</v>
      </c>
      <c r="S1218" s="14">
        <f>ROUND(R1218*L1218,2)</f>
        <v>387.34</v>
      </c>
      <c r="T1218" s="15" t="s">
        <v>349</v>
      </c>
      <c r="U1218" t="s">
        <v>9</v>
      </c>
    </row>
    <row r="1219" spans="1:21" x14ac:dyDescent="0.2">
      <c r="A1219" t="s">
        <v>2043</v>
      </c>
      <c r="B1219" s="24">
        <v>45698</v>
      </c>
      <c r="C1219" s="24">
        <v>45677</v>
      </c>
      <c r="D1219" t="s">
        <v>5</v>
      </c>
      <c r="E1219" t="s">
        <v>6</v>
      </c>
      <c r="G1219" t="s">
        <v>2174</v>
      </c>
      <c r="H1219" s="19" t="s">
        <v>1754</v>
      </c>
      <c r="I1219" s="19" t="s">
        <v>1755</v>
      </c>
      <c r="J1219" s="11" t="str">
        <f>+LEFT(U1219,4)</f>
        <v>SHTS</v>
      </c>
      <c r="K1219" t="s">
        <v>10</v>
      </c>
      <c r="L1219" s="19">
        <v>1010</v>
      </c>
      <c r="M1219" t="s">
        <v>1472</v>
      </c>
      <c r="N1219" t="s">
        <v>11</v>
      </c>
      <c r="O1219" s="26">
        <v>4.0199999999999996</v>
      </c>
      <c r="P1219" s="12">
        <f>ROUND(O1219*L1219,2)</f>
        <v>4060.2</v>
      </c>
      <c r="Q1219" s="13">
        <f>IF(N1219="HKD",7.8,IF(N1219="CNY",7.30034,1))</f>
        <v>7.3003400000000003</v>
      </c>
      <c r="R1219" s="15">
        <f>+ROUND(O1219/Q1219,4)</f>
        <v>0.55069999999999997</v>
      </c>
      <c r="S1219" s="14">
        <f>ROUND(R1219*L1219,2)</f>
        <v>556.21</v>
      </c>
      <c r="T1219" s="15" t="s">
        <v>349</v>
      </c>
      <c r="U1219" t="s">
        <v>9</v>
      </c>
    </row>
    <row r="1220" spans="1:21" x14ac:dyDescent="0.2">
      <c r="A1220" t="s">
        <v>1936</v>
      </c>
      <c r="B1220" s="24">
        <v>45699</v>
      </c>
      <c r="C1220" s="24">
        <v>45677</v>
      </c>
      <c r="D1220" t="s">
        <v>5</v>
      </c>
      <c r="E1220" t="s">
        <v>6</v>
      </c>
      <c r="G1220" t="s">
        <v>2172</v>
      </c>
      <c r="H1220" s="19" t="s">
        <v>1660</v>
      </c>
      <c r="I1220" s="19" t="s">
        <v>1661</v>
      </c>
      <c r="J1220" s="11" t="str">
        <f>+LEFT(U1220,4)</f>
        <v>SHTS</v>
      </c>
      <c r="K1220" t="s">
        <v>10</v>
      </c>
      <c r="L1220" s="19">
        <v>2020</v>
      </c>
      <c r="M1220" t="s">
        <v>1472</v>
      </c>
      <c r="N1220" t="s">
        <v>11</v>
      </c>
      <c r="O1220" s="26">
        <v>1.63</v>
      </c>
      <c r="P1220" s="12">
        <f>ROUND(O1220*L1220,2)</f>
        <v>3292.6</v>
      </c>
      <c r="Q1220" s="13">
        <f>IF(N1220="HKD",7.8,IF(N1220="CNY",7.30034,1))</f>
        <v>7.3003400000000003</v>
      </c>
      <c r="R1220" s="15">
        <f>+ROUND(O1220/Q1220,4)</f>
        <v>0.2233</v>
      </c>
      <c r="S1220" s="14">
        <f>ROUND(R1220*L1220,2)</f>
        <v>451.07</v>
      </c>
      <c r="T1220" s="15" t="s">
        <v>349</v>
      </c>
      <c r="U1220" t="s">
        <v>9</v>
      </c>
    </row>
    <row r="1221" spans="1:21" x14ac:dyDescent="0.2">
      <c r="A1221" t="s">
        <v>1937</v>
      </c>
      <c r="B1221" s="24">
        <v>45699</v>
      </c>
      <c r="C1221" s="24">
        <v>45677</v>
      </c>
      <c r="D1221" t="s">
        <v>5</v>
      </c>
      <c r="E1221" t="s">
        <v>6</v>
      </c>
      <c r="G1221" t="s">
        <v>2172</v>
      </c>
      <c r="H1221" s="19" t="s">
        <v>493</v>
      </c>
      <c r="I1221" s="19" t="s">
        <v>494</v>
      </c>
      <c r="J1221" s="11" t="str">
        <f>+LEFT(U1221,4)</f>
        <v>SHTS</v>
      </c>
      <c r="K1221" t="s">
        <v>10</v>
      </c>
      <c r="L1221" s="19">
        <v>1010</v>
      </c>
      <c r="M1221" t="s">
        <v>1472</v>
      </c>
      <c r="N1221" t="s">
        <v>11</v>
      </c>
      <c r="O1221" s="26">
        <v>1.64</v>
      </c>
      <c r="P1221" s="12">
        <f>ROUND(O1221*L1221,2)</f>
        <v>1656.4</v>
      </c>
      <c r="Q1221" s="13">
        <f>IF(N1221="HKD",7.8,IF(N1221="CNY",7.30034,1))</f>
        <v>7.3003400000000003</v>
      </c>
      <c r="R1221" s="15">
        <f>+ROUND(O1221/Q1221,4)</f>
        <v>0.22459999999999999</v>
      </c>
      <c r="S1221" s="14">
        <f>ROUND(R1221*L1221,2)</f>
        <v>226.85</v>
      </c>
      <c r="T1221" s="15" t="s">
        <v>349</v>
      </c>
      <c r="U1221" t="s">
        <v>9</v>
      </c>
    </row>
    <row r="1222" spans="1:21" x14ac:dyDescent="0.2">
      <c r="A1222" t="s">
        <v>1941</v>
      </c>
      <c r="B1222" s="24">
        <v>45699</v>
      </c>
      <c r="C1222" s="24">
        <v>45653</v>
      </c>
      <c r="D1222" t="s">
        <v>5</v>
      </c>
      <c r="E1222" t="s">
        <v>6</v>
      </c>
      <c r="G1222" t="s">
        <v>2172</v>
      </c>
      <c r="H1222" s="19" t="s">
        <v>489</v>
      </c>
      <c r="I1222" s="19" t="s">
        <v>490</v>
      </c>
      <c r="J1222" s="11" t="str">
        <f>+LEFT(U1222,4)</f>
        <v>SHTS</v>
      </c>
      <c r="K1222" t="s">
        <v>10</v>
      </c>
      <c r="L1222" s="19">
        <v>1010</v>
      </c>
      <c r="M1222" t="s">
        <v>1472</v>
      </c>
      <c r="N1222" t="s">
        <v>11</v>
      </c>
      <c r="O1222" s="26">
        <v>1.66</v>
      </c>
      <c r="P1222" s="12">
        <f>ROUND(O1222*L1222,2)</f>
        <v>1676.6</v>
      </c>
      <c r="Q1222" s="13">
        <f>IF(N1222="HKD",7.8,IF(N1222="CNY",7.30034,1))</f>
        <v>7.3003400000000003</v>
      </c>
      <c r="R1222" s="15">
        <f>+ROUND(O1222/Q1222,4)</f>
        <v>0.22739999999999999</v>
      </c>
      <c r="S1222" s="14">
        <f>ROUND(R1222*L1222,2)</f>
        <v>229.67</v>
      </c>
      <c r="T1222" s="15" t="s">
        <v>349</v>
      </c>
      <c r="U1222" t="s">
        <v>9</v>
      </c>
    </row>
    <row r="1223" spans="1:21" x14ac:dyDescent="0.2">
      <c r="A1223" t="s">
        <v>1942</v>
      </c>
      <c r="B1223" s="24">
        <v>45699</v>
      </c>
      <c r="C1223" s="24">
        <v>45653</v>
      </c>
      <c r="D1223" t="s">
        <v>5</v>
      </c>
      <c r="E1223" t="s">
        <v>6</v>
      </c>
      <c r="G1223" t="s">
        <v>2172</v>
      </c>
      <c r="H1223" s="19" t="s">
        <v>489</v>
      </c>
      <c r="I1223" s="19" t="s">
        <v>490</v>
      </c>
      <c r="J1223" s="11" t="str">
        <f>+LEFT(U1223,4)</f>
        <v>SHTS</v>
      </c>
      <c r="K1223" t="s">
        <v>10</v>
      </c>
      <c r="L1223" s="19">
        <v>2020</v>
      </c>
      <c r="M1223" t="s">
        <v>1472</v>
      </c>
      <c r="N1223" t="s">
        <v>11</v>
      </c>
      <c r="O1223" s="26">
        <v>1.66</v>
      </c>
      <c r="P1223" s="12">
        <f>ROUND(O1223*L1223,2)</f>
        <v>3353.2</v>
      </c>
      <c r="Q1223" s="13">
        <f>IF(N1223="HKD",7.8,IF(N1223="CNY",7.30034,1))</f>
        <v>7.3003400000000003</v>
      </c>
      <c r="R1223" s="15">
        <f>+ROUND(O1223/Q1223,4)</f>
        <v>0.22739999999999999</v>
      </c>
      <c r="S1223" s="14">
        <f>ROUND(R1223*L1223,2)</f>
        <v>459.35</v>
      </c>
      <c r="T1223" s="15" t="s">
        <v>349</v>
      </c>
      <c r="U1223" t="s">
        <v>9</v>
      </c>
    </row>
    <row r="1224" spans="1:21" x14ac:dyDescent="0.2">
      <c r="A1224" t="s">
        <v>1944</v>
      </c>
      <c r="B1224" s="24">
        <v>45699</v>
      </c>
      <c r="C1224" s="24">
        <v>45677</v>
      </c>
      <c r="D1224" t="s">
        <v>5</v>
      </c>
      <c r="E1224" t="s">
        <v>6</v>
      </c>
      <c r="G1224" t="s">
        <v>2172</v>
      </c>
      <c r="H1224" s="19" t="s">
        <v>1664</v>
      </c>
      <c r="I1224" s="19" t="s">
        <v>1665</v>
      </c>
      <c r="J1224" s="11" t="str">
        <f>+LEFT(U1224,4)</f>
        <v>SHTS</v>
      </c>
      <c r="K1224" t="s">
        <v>10</v>
      </c>
      <c r="L1224" s="19">
        <v>3020</v>
      </c>
      <c r="M1224" t="s">
        <v>1472</v>
      </c>
      <c r="N1224" t="s">
        <v>11</v>
      </c>
      <c r="O1224" s="26">
        <v>1.82</v>
      </c>
      <c r="P1224" s="12">
        <f>ROUND(O1224*L1224,2)</f>
        <v>5496.4</v>
      </c>
      <c r="Q1224" s="13">
        <f>IF(N1224="HKD",7.8,IF(N1224="CNY",7.30034,1))</f>
        <v>7.3003400000000003</v>
      </c>
      <c r="R1224" s="15">
        <f>+ROUND(O1224/Q1224,4)</f>
        <v>0.24929999999999999</v>
      </c>
      <c r="S1224" s="14">
        <f>ROUND(R1224*L1224,2)</f>
        <v>752.89</v>
      </c>
      <c r="T1224" s="15" t="s">
        <v>349</v>
      </c>
      <c r="U1224" t="s">
        <v>9</v>
      </c>
    </row>
    <row r="1225" spans="1:21" x14ac:dyDescent="0.2">
      <c r="A1225" t="s">
        <v>1953</v>
      </c>
      <c r="B1225" s="24">
        <v>45699</v>
      </c>
      <c r="C1225" s="24">
        <v>45677</v>
      </c>
      <c r="D1225" t="s">
        <v>5</v>
      </c>
      <c r="E1225" t="s">
        <v>6</v>
      </c>
      <c r="G1225" t="s">
        <v>2172</v>
      </c>
      <c r="H1225" s="19" t="s">
        <v>1670</v>
      </c>
      <c r="I1225" s="19" t="s">
        <v>1671</v>
      </c>
      <c r="J1225" s="11" t="str">
        <f>+LEFT(U1225,4)</f>
        <v>SHTS</v>
      </c>
      <c r="K1225" t="s">
        <v>10</v>
      </c>
      <c r="L1225" s="19">
        <v>1010</v>
      </c>
      <c r="M1225" t="s">
        <v>1472</v>
      </c>
      <c r="N1225" t="s">
        <v>11</v>
      </c>
      <c r="O1225" s="26">
        <v>2.02</v>
      </c>
      <c r="P1225" s="12">
        <f>ROUND(O1225*L1225,2)</f>
        <v>2040.2</v>
      </c>
      <c r="Q1225" s="13">
        <f>IF(N1225="HKD",7.8,IF(N1225="CNY",7.30034,1))</f>
        <v>7.3003400000000003</v>
      </c>
      <c r="R1225" s="15">
        <f>+ROUND(O1225/Q1225,4)</f>
        <v>0.2767</v>
      </c>
      <c r="S1225" s="14">
        <f>ROUND(R1225*L1225,2)</f>
        <v>279.47000000000003</v>
      </c>
      <c r="T1225" s="15" t="s">
        <v>349</v>
      </c>
      <c r="U1225" t="s">
        <v>9</v>
      </c>
    </row>
    <row r="1226" spans="1:21" x14ac:dyDescent="0.2">
      <c r="A1226" t="s">
        <v>1955</v>
      </c>
      <c r="B1226" s="24">
        <v>45699</v>
      </c>
      <c r="C1226" s="24">
        <v>45677</v>
      </c>
      <c r="D1226" t="s">
        <v>5</v>
      </c>
      <c r="E1226" t="s">
        <v>6</v>
      </c>
      <c r="G1226" t="s">
        <v>2172</v>
      </c>
      <c r="H1226" s="19" t="s">
        <v>1672</v>
      </c>
      <c r="I1226" s="19" t="s">
        <v>1673</v>
      </c>
      <c r="J1226" s="11" t="str">
        <f>+LEFT(U1226,4)</f>
        <v>SHTS</v>
      </c>
      <c r="K1226" t="s">
        <v>10</v>
      </c>
      <c r="L1226" s="19">
        <v>2020</v>
      </c>
      <c r="M1226" t="s">
        <v>1472</v>
      </c>
      <c r="N1226" t="s">
        <v>11</v>
      </c>
      <c r="O1226" s="26">
        <v>2.12</v>
      </c>
      <c r="P1226" s="12">
        <f>ROUND(O1226*L1226,2)</f>
        <v>4282.3999999999996</v>
      </c>
      <c r="Q1226" s="13">
        <f>IF(N1226="HKD",7.8,IF(N1226="CNY",7.30034,1))</f>
        <v>7.3003400000000003</v>
      </c>
      <c r="R1226" s="15">
        <f>+ROUND(O1226/Q1226,4)</f>
        <v>0.29039999999999999</v>
      </c>
      <c r="S1226" s="14">
        <f>ROUND(R1226*L1226,2)</f>
        <v>586.61</v>
      </c>
      <c r="T1226" s="15" t="s">
        <v>349</v>
      </c>
      <c r="U1226" t="s">
        <v>9</v>
      </c>
    </row>
    <row r="1227" spans="1:21" x14ac:dyDescent="0.2">
      <c r="A1227" t="s">
        <v>1958</v>
      </c>
      <c r="B1227" s="24">
        <v>45699</v>
      </c>
      <c r="C1227" s="24">
        <v>45677</v>
      </c>
      <c r="D1227" t="s">
        <v>5</v>
      </c>
      <c r="E1227" t="s">
        <v>6</v>
      </c>
      <c r="G1227" t="s">
        <v>2172</v>
      </c>
      <c r="H1227" s="19" t="s">
        <v>1676</v>
      </c>
      <c r="I1227" s="19" t="s">
        <v>1677</v>
      </c>
      <c r="J1227" s="11" t="str">
        <f>+LEFT(U1227,4)</f>
        <v>SHTS</v>
      </c>
      <c r="K1227" t="s">
        <v>10</v>
      </c>
      <c r="L1227" s="19">
        <v>1010</v>
      </c>
      <c r="M1227" t="s">
        <v>1472</v>
      </c>
      <c r="N1227" t="s">
        <v>11</v>
      </c>
      <c r="O1227" s="26">
        <v>2.27</v>
      </c>
      <c r="P1227" s="12">
        <f>ROUND(O1227*L1227,2)</f>
        <v>2292.6999999999998</v>
      </c>
      <c r="Q1227" s="13">
        <f>IF(N1227="HKD",7.8,IF(N1227="CNY",7.30034,1))</f>
        <v>7.3003400000000003</v>
      </c>
      <c r="R1227" s="15">
        <f>+ROUND(O1227/Q1227,4)</f>
        <v>0.31090000000000001</v>
      </c>
      <c r="S1227" s="14">
        <f>ROUND(R1227*L1227,2)</f>
        <v>314.01</v>
      </c>
      <c r="T1227" s="15" t="s">
        <v>349</v>
      </c>
      <c r="U1227" t="s">
        <v>9</v>
      </c>
    </row>
    <row r="1228" spans="1:21" x14ac:dyDescent="0.2">
      <c r="A1228" t="s">
        <v>1962</v>
      </c>
      <c r="B1228" s="24">
        <v>45699</v>
      </c>
      <c r="C1228" s="24">
        <v>45677</v>
      </c>
      <c r="D1228" t="s">
        <v>5</v>
      </c>
      <c r="E1228" t="s">
        <v>6</v>
      </c>
      <c r="G1228" t="s">
        <v>2172</v>
      </c>
      <c r="H1228" s="19" t="s">
        <v>1680</v>
      </c>
      <c r="I1228" s="19" t="s">
        <v>1681</v>
      </c>
      <c r="J1228" s="11" t="str">
        <f>+LEFT(U1228,4)</f>
        <v>SHTS</v>
      </c>
      <c r="K1228" t="s">
        <v>10</v>
      </c>
      <c r="L1228" s="19">
        <v>1260</v>
      </c>
      <c r="M1228" t="s">
        <v>1472</v>
      </c>
      <c r="N1228" t="s">
        <v>11</v>
      </c>
      <c r="O1228" s="26">
        <v>2.59</v>
      </c>
      <c r="P1228" s="12">
        <f>ROUND(O1228*L1228,2)</f>
        <v>3263.4</v>
      </c>
      <c r="Q1228" s="13">
        <f>IF(N1228="HKD",7.8,IF(N1228="CNY",7.30034,1))</f>
        <v>7.3003400000000003</v>
      </c>
      <c r="R1228" s="15">
        <f>+ROUND(O1228/Q1228,4)</f>
        <v>0.3548</v>
      </c>
      <c r="S1228" s="14">
        <f>ROUND(R1228*L1228,2)</f>
        <v>447.05</v>
      </c>
      <c r="T1228" s="15" t="s">
        <v>349</v>
      </c>
      <c r="U1228" t="s">
        <v>9</v>
      </c>
    </row>
    <row r="1229" spans="1:21" x14ac:dyDescent="0.2">
      <c r="A1229" t="s">
        <v>1988</v>
      </c>
      <c r="B1229" s="24">
        <v>45699</v>
      </c>
      <c r="C1229" s="24">
        <v>45677</v>
      </c>
      <c r="D1229" t="s">
        <v>5</v>
      </c>
      <c r="E1229" t="s">
        <v>6</v>
      </c>
      <c r="G1229" t="s">
        <v>2172</v>
      </c>
      <c r="H1229" s="19" t="s">
        <v>1711</v>
      </c>
      <c r="I1229" s="19" t="s">
        <v>1712</v>
      </c>
      <c r="J1229" s="11" t="str">
        <f>+LEFT(U1229,4)</f>
        <v>SHTS</v>
      </c>
      <c r="K1229" t="s">
        <v>10</v>
      </c>
      <c r="L1229" s="19">
        <v>1010</v>
      </c>
      <c r="M1229" t="s">
        <v>1472</v>
      </c>
      <c r="N1229" t="s">
        <v>11</v>
      </c>
      <c r="O1229" s="26">
        <v>3.09</v>
      </c>
      <c r="P1229" s="12">
        <f>ROUND(O1229*L1229,2)</f>
        <v>3120.9</v>
      </c>
      <c r="Q1229" s="13">
        <f>IF(N1229="HKD",7.8,IF(N1229="CNY",7.30034,1))</f>
        <v>7.3003400000000003</v>
      </c>
      <c r="R1229" s="15">
        <f>+ROUND(O1229/Q1229,4)</f>
        <v>0.42330000000000001</v>
      </c>
      <c r="S1229" s="14">
        <f>ROUND(R1229*L1229,2)</f>
        <v>427.53</v>
      </c>
      <c r="T1229" s="15" t="s">
        <v>349</v>
      </c>
      <c r="U1229" t="s">
        <v>9</v>
      </c>
    </row>
    <row r="1230" spans="1:21" x14ac:dyDescent="0.2">
      <c r="A1230" t="s">
        <v>2052</v>
      </c>
      <c r="B1230" s="24">
        <v>45699</v>
      </c>
      <c r="C1230" s="24">
        <v>45677</v>
      </c>
      <c r="D1230" t="s">
        <v>5</v>
      </c>
      <c r="E1230" t="s">
        <v>6</v>
      </c>
      <c r="G1230" t="s">
        <v>2172</v>
      </c>
      <c r="H1230" s="19" t="s">
        <v>1081</v>
      </c>
      <c r="I1230" s="19" t="s">
        <v>1082</v>
      </c>
      <c r="J1230" s="11" t="str">
        <f>+LEFT(U1230,4)</f>
        <v>SHTS</v>
      </c>
      <c r="K1230" t="s">
        <v>10</v>
      </c>
      <c r="L1230" s="19">
        <v>1010</v>
      </c>
      <c r="M1230" t="s">
        <v>1472</v>
      </c>
      <c r="N1230" t="s">
        <v>11</v>
      </c>
      <c r="O1230" s="26">
        <v>4.5199999999999996</v>
      </c>
      <c r="P1230" s="12">
        <f>ROUND(O1230*L1230,2)</f>
        <v>4565.2</v>
      </c>
      <c r="Q1230" s="13">
        <f>IF(N1230="HKD",7.8,IF(N1230="CNY",7.30034,1))</f>
        <v>7.3003400000000003</v>
      </c>
      <c r="R1230" s="15">
        <f>+ROUND(O1230/Q1230,4)</f>
        <v>0.61909999999999998</v>
      </c>
      <c r="S1230" s="14">
        <f>ROUND(R1230*L1230,2)</f>
        <v>625.29</v>
      </c>
      <c r="T1230" s="15" t="s">
        <v>349</v>
      </c>
      <c r="U1230" t="s">
        <v>9</v>
      </c>
    </row>
    <row r="1231" spans="1:21" x14ac:dyDescent="0.2">
      <c r="A1231" t="s">
        <v>2061</v>
      </c>
      <c r="B1231" s="24">
        <v>45699</v>
      </c>
      <c r="C1231" s="24">
        <v>45677</v>
      </c>
      <c r="D1231" t="s">
        <v>5</v>
      </c>
      <c r="E1231" t="s">
        <v>6</v>
      </c>
      <c r="G1231" t="s">
        <v>2172</v>
      </c>
      <c r="H1231" s="19" t="s">
        <v>1766</v>
      </c>
      <c r="I1231" s="19" t="s">
        <v>1767</v>
      </c>
      <c r="J1231" s="11" t="str">
        <f>+LEFT(U1231,4)</f>
        <v>SHTS</v>
      </c>
      <c r="K1231" t="s">
        <v>10</v>
      </c>
      <c r="L1231" s="19">
        <v>1010</v>
      </c>
      <c r="M1231" t="s">
        <v>1472</v>
      </c>
      <c r="N1231" t="s">
        <v>11</v>
      </c>
      <c r="O1231" s="26">
        <v>5.0199999999999996</v>
      </c>
      <c r="P1231" s="12">
        <f>ROUND(O1231*L1231,2)</f>
        <v>5070.2</v>
      </c>
      <c r="Q1231" s="13">
        <f>IF(N1231="HKD",7.8,IF(N1231="CNY",7.30034,1))</f>
        <v>7.3003400000000003</v>
      </c>
      <c r="R1231" s="15">
        <f>+ROUND(O1231/Q1231,4)</f>
        <v>0.68759999999999999</v>
      </c>
      <c r="S1231" s="14">
        <f>ROUND(R1231*L1231,2)</f>
        <v>694.48</v>
      </c>
      <c r="T1231" s="15" t="s">
        <v>349</v>
      </c>
      <c r="U1231" t="s">
        <v>9</v>
      </c>
    </row>
    <row r="1232" spans="1:21" x14ac:dyDescent="0.2">
      <c r="A1232" t="s">
        <v>2084</v>
      </c>
      <c r="B1232" s="24">
        <v>45705</v>
      </c>
      <c r="C1232" s="24">
        <v>45677</v>
      </c>
      <c r="D1232" t="s">
        <v>5</v>
      </c>
      <c r="E1232" t="s">
        <v>6</v>
      </c>
      <c r="G1232" t="s">
        <v>2211</v>
      </c>
      <c r="H1232" s="19" t="s">
        <v>455</v>
      </c>
      <c r="I1232" s="19" t="s">
        <v>456</v>
      </c>
      <c r="J1232" s="11" t="str">
        <f>+LEFT(U1232,4)</f>
        <v>SHTS</v>
      </c>
      <c r="K1232" t="s">
        <v>10</v>
      </c>
      <c r="L1232" s="19">
        <v>500</v>
      </c>
      <c r="M1232" t="s">
        <v>1472</v>
      </c>
      <c r="N1232" t="s">
        <v>11</v>
      </c>
      <c r="O1232" s="26">
        <v>6.47</v>
      </c>
      <c r="P1232" s="12">
        <f>ROUND(O1232*L1232,2)</f>
        <v>3235</v>
      </c>
      <c r="Q1232" s="13">
        <f>IF(N1232="HKD",7.8,IF(N1232="CNY",7.30034,1))</f>
        <v>7.3003400000000003</v>
      </c>
      <c r="R1232" s="15">
        <f>+ROUND(O1232/Q1232,4)</f>
        <v>0.88629999999999998</v>
      </c>
      <c r="S1232" s="14">
        <f>ROUND(R1232*L1232,2)</f>
        <v>443.15</v>
      </c>
      <c r="T1232" s="15" t="s">
        <v>349</v>
      </c>
      <c r="U1232" t="s">
        <v>9</v>
      </c>
    </row>
    <row r="1233" spans="1:21" x14ac:dyDescent="0.2">
      <c r="A1233" t="s">
        <v>1938</v>
      </c>
      <c r="B1233" s="24">
        <v>45707</v>
      </c>
      <c r="C1233" s="24">
        <v>45677</v>
      </c>
      <c r="D1233" t="s">
        <v>5</v>
      </c>
      <c r="E1233" t="s">
        <v>6</v>
      </c>
      <c r="G1233" t="s">
        <v>2173</v>
      </c>
      <c r="H1233" s="19" t="s">
        <v>493</v>
      </c>
      <c r="I1233" s="19" t="s">
        <v>494</v>
      </c>
      <c r="J1233" s="11" t="str">
        <f>+LEFT(U1233,4)</f>
        <v>SHTS</v>
      </c>
      <c r="K1233" t="s">
        <v>10</v>
      </c>
      <c r="L1233" s="19">
        <v>2020</v>
      </c>
      <c r="M1233" t="s">
        <v>1472</v>
      </c>
      <c r="N1233" t="s">
        <v>11</v>
      </c>
      <c r="O1233" s="26">
        <v>1.64</v>
      </c>
      <c r="P1233" s="12">
        <f>ROUND(O1233*L1233,2)</f>
        <v>3312.8</v>
      </c>
      <c r="Q1233" s="13">
        <f>IF(N1233="HKD",7.8,IF(N1233="CNY",7.30034,1))</f>
        <v>7.3003400000000003</v>
      </c>
      <c r="R1233" s="15">
        <f>+ROUND(O1233/Q1233,4)</f>
        <v>0.22459999999999999</v>
      </c>
      <c r="S1233" s="14">
        <f>ROUND(R1233*L1233,2)</f>
        <v>453.69</v>
      </c>
      <c r="T1233" s="15" t="s">
        <v>349</v>
      </c>
      <c r="U1233" t="s">
        <v>9</v>
      </c>
    </row>
    <row r="1234" spans="1:21" x14ac:dyDescent="0.2">
      <c r="A1234" t="s">
        <v>1952</v>
      </c>
      <c r="B1234" s="24">
        <v>45707</v>
      </c>
      <c r="C1234" s="24">
        <v>45706</v>
      </c>
      <c r="D1234" t="s">
        <v>5</v>
      </c>
      <c r="E1234" t="s">
        <v>6</v>
      </c>
      <c r="G1234" t="s">
        <v>2173</v>
      </c>
      <c r="H1234" s="19" t="s">
        <v>1668</v>
      </c>
      <c r="I1234" s="19" t="s">
        <v>1669</v>
      </c>
      <c r="J1234" s="11" t="str">
        <f>+LEFT(U1234,4)</f>
        <v>SHTS</v>
      </c>
      <c r="K1234" t="s">
        <v>10</v>
      </c>
      <c r="L1234" s="19">
        <v>2010</v>
      </c>
      <c r="M1234" t="s">
        <v>1472</v>
      </c>
      <c r="N1234" t="s">
        <v>11</v>
      </c>
      <c r="O1234" s="26">
        <v>1.96</v>
      </c>
      <c r="P1234" s="12">
        <f>ROUND(O1234*L1234,2)</f>
        <v>3939.6</v>
      </c>
      <c r="Q1234" s="13">
        <f>IF(N1234="HKD",7.8,IF(N1234="CNY",7.30034,1))</f>
        <v>7.3003400000000003</v>
      </c>
      <c r="R1234" s="15">
        <f>+ROUND(O1234/Q1234,4)</f>
        <v>0.26850000000000002</v>
      </c>
      <c r="S1234" s="14">
        <f>ROUND(R1234*L1234,2)</f>
        <v>539.69000000000005</v>
      </c>
      <c r="T1234" s="15" t="s">
        <v>349</v>
      </c>
      <c r="U1234" t="s">
        <v>9</v>
      </c>
    </row>
    <row r="1235" spans="1:21" x14ac:dyDescent="0.2">
      <c r="A1235" t="s">
        <v>1961</v>
      </c>
      <c r="B1235" s="24">
        <v>45707</v>
      </c>
      <c r="C1235" s="24">
        <v>45677</v>
      </c>
      <c r="D1235" t="s">
        <v>5</v>
      </c>
      <c r="E1235" t="s">
        <v>6</v>
      </c>
      <c r="G1235" t="s">
        <v>2173</v>
      </c>
      <c r="H1235" s="19" t="s">
        <v>1680</v>
      </c>
      <c r="I1235" s="19" t="s">
        <v>1681</v>
      </c>
      <c r="J1235" s="11" t="str">
        <f>+LEFT(U1235,4)</f>
        <v>SHTS</v>
      </c>
      <c r="K1235" t="s">
        <v>10</v>
      </c>
      <c r="L1235" s="19">
        <v>1260</v>
      </c>
      <c r="M1235" t="s">
        <v>1472</v>
      </c>
      <c r="N1235" t="s">
        <v>11</v>
      </c>
      <c r="O1235" s="26">
        <v>2.59</v>
      </c>
      <c r="P1235" s="12">
        <f>ROUND(O1235*L1235,2)</f>
        <v>3263.4</v>
      </c>
      <c r="Q1235" s="13">
        <f>IF(N1235="HKD",7.8,IF(N1235="CNY",7.30034,1))</f>
        <v>7.3003400000000003</v>
      </c>
      <c r="R1235" s="15">
        <f>+ROUND(O1235/Q1235,4)</f>
        <v>0.3548</v>
      </c>
      <c r="S1235" s="14">
        <f>ROUND(R1235*L1235,2)</f>
        <v>447.05</v>
      </c>
      <c r="T1235" s="15" t="s">
        <v>349</v>
      </c>
      <c r="U1235" t="s">
        <v>9</v>
      </c>
    </row>
    <row r="1236" spans="1:21" x14ac:dyDescent="0.2">
      <c r="A1236" t="s">
        <v>1974</v>
      </c>
      <c r="B1236" s="24">
        <v>45707</v>
      </c>
      <c r="C1236" s="24">
        <v>45706</v>
      </c>
      <c r="D1236" t="s">
        <v>5</v>
      </c>
      <c r="E1236" t="s">
        <v>6</v>
      </c>
      <c r="G1236" t="s">
        <v>2183</v>
      </c>
      <c r="H1236" s="19" t="s">
        <v>1693</v>
      </c>
      <c r="I1236" s="19" t="s">
        <v>1694</v>
      </c>
      <c r="J1236" s="11" t="str">
        <f>+LEFT(U1236,4)</f>
        <v>SHTS</v>
      </c>
      <c r="K1236" t="s">
        <v>10</v>
      </c>
      <c r="L1236" s="19">
        <v>1010</v>
      </c>
      <c r="M1236" t="s">
        <v>1472</v>
      </c>
      <c r="N1236" t="s">
        <v>11</v>
      </c>
      <c r="O1236" s="26">
        <v>2.9</v>
      </c>
      <c r="P1236" s="12">
        <f>ROUND(O1236*L1236,2)</f>
        <v>2929</v>
      </c>
      <c r="Q1236" s="13">
        <f>IF(N1236="HKD",7.8,IF(N1236="CNY",7.30034,1))</f>
        <v>7.3003400000000003</v>
      </c>
      <c r="R1236" s="15">
        <f>+ROUND(O1236/Q1236,4)</f>
        <v>0.3972</v>
      </c>
      <c r="S1236" s="14">
        <f>ROUND(R1236*L1236,2)</f>
        <v>401.17</v>
      </c>
      <c r="T1236" s="15" t="s">
        <v>349</v>
      </c>
      <c r="U1236" t="s">
        <v>9</v>
      </c>
    </row>
    <row r="1237" spans="1:21" x14ac:dyDescent="0.2">
      <c r="A1237" t="s">
        <v>1983</v>
      </c>
      <c r="B1237" s="24">
        <v>45707</v>
      </c>
      <c r="C1237" s="24">
        <v>45706</v>
      </c>
      <c r="D1237" t="s">
        <v>5</v>
      </c>
      <c r="E1237" t="s">
        <v>6</v>
      </c>
      <c r="G1237" t="s">
        <v>2183</v>
      </c>
      <c r="H1237" s="19" t="s">
        <v>1707</v>
      </c>
      <c r="I1237" s="19" t="s">
        <v>1708</v>
      </c>
      <c r="J1237" s="11" t="str">
        <f>+LEFT(U1237,4)</f>
        <v>SHTS</v>
      </c>
      <c r="K1237" t="s">
        <v>10</v>
      </c>
      <c r="L1237" s="19">
        <v>1010</v>
      </c>
      <c r="M1237" t="s">
        <v>1472</v>
      </c>
      <c r="N1237" t="s">
        <v>11</v>
      </c>
      <c r="O1237" s="26">
        <v>2.96</v>
      </c>
      <c r="P1237" s="12">
        <f>ROUND(O1237*L1237,2)</f>
        <v>2989.6</v>
      </c>
      <c r="Q1237" s="13">
        <f>IF(N1237="HKD",7.8,IF(N1237="CNY",7.30034,1))</f>
        <v>7.3003400000000003</v>
      </c>
      <c r="R1237" s="15">
        <f>+ROUND(O1237/Q1237,4)</f>
        <v>0.40550000000000003</v>
      </c>
      <c r="S1237" s="14">
        <f>ROUND(R1237*L1237,2)</f>
        <v>409.56</v>
      </c>
      <c r="T1237" s="15" t="s">
        <v>349</v>
      </c>
      <c r="U1237" t="s">
        <v>9</v>
      </c>
    </row>
    <row r="1238" spans="1:21" x14ac:dyDescent="0.2">
      <c r="A1238" t="s">
        <v>1984</v>
      </c>
      <c r="B1238" s="24">
        <v>45707</v>
      </c>
      <c r="C1238" s="24">
        <v>45706</v>
      </c>
      <c r="D1238" t="s">
        <v>5</v>
      </c>
      <c r="E1238" t="s">
        <v>6</v>
      </c>
      <c r="G1238" t="s">
        <v>2173</v>
      </c>
      <c r="H1238" s="19" t="s">
        <v>489</v>
      </c>
      <c r="I1238" s="19" t="s">
        <v>490</v>
      </c>
      <c r="J1238" s="11" t="str">
        <f>+LEFT(U1238,4)</f>
        <v>SHTS</v>
      </c>
      <c r="K1238" t="s">
        <v>10</v>
      </c>
      <c r="L1238" s="19">
        <v>1010</v>
      </c>
      <c r="M1238" t="s">
        <v>1472</v>
      </c>
      <c r="N1238" t="s">
        <v>11</v>
      </c>
      <c r="O1238" s="26">
        <v>3</v>
      </c>
      <c r="P1238" s="12">
        <f>ROUND(O1238*L1238,2)</f>
        <v>3030</v>
      </c>
      <c r="Q1238" s="13">
        <f>IF(N1238="HKD",7.8,IF(N1238="CNY",7.30034,1))</f>
        <v>7.3003400000000003</v>
      </c>
      <c r="R1238" s="15">
        <f>+ROUND(O1238/Q1238,4)</f>
        <v>0.41089999999999999</v>
      </c>
      <c r="S1238" s="14">
        <f>ROUND(R1238*L1238,2)</f>
        <v>415.01</v>
      </c>
      <c r="T1238" s="15" t="s">
        <v>349</v>
      </c>
      <c r="U1238" t="s">
        <v>9</v>
      </c>
    </row>
    <row r="1239" spans="1:21" x14ac:dyDescent="0.2">
      <c r="A1239" t="s">
        <v>2011</v>
      </c>
      <c r="B1239" s="24">
        <v>45707</v>
      </c>
      <c r="C1239" s="24">
        <v>45706</v>
      </c>
      <c r="D1239" t="s">
        <v>5</v>
      </c>
      <c r="E1239" t="s">
        <v>6</v>
      </c>
      <c r="G1239" t="s">
        <v>2173</v>
      </c>
      <c r="H1239" s="19" t="s">
        <v>1660</v>
      </c>
      <c r="I1239" s="19" t="s">
        <v>1661</v>
      </c>
      <c r="J1239" s="11" t="str">
        <f>+LEFT(U1239,4)</f>
        <v>SHTS</v>
      </c>
      <c r="K1239" t="s">
        <v>10</v>
      </c>
      <c r="L1239" s="19">
        <v>1000</v>
      </c>
      <c r="M1239" t="s">
        <v>1472</v>
      </c>
      <c r="N1239" t="s">
        <v>11</v>
      </c>
      <c r="O1239" s="26">
        <v>3.18</v>
      </c>
      <c r="P1239" s="12">
        <f>ROUND(O1239*L1239,2)</f>
        <v>3180</v>
      </c>
      <c r="Q1239" s="13">
        <f>IF(N1239="HKD",7.8,IF(N1239="CNY",7.30034,1))</f>
        <v>7.3003400000000003</v>
      </c>
      <c r="R1239" s="15">
        <f>+ROUND(O1239/Q1239,4)</f>
        <v>0.43559999999999999</v>
      </c>
      <c r="S1239" s="14">
        <f>ROUND(R1239*L1239,2)</f>
        <v>435.6</v>
      </c>
      <c r="T1239" s="15" t="s">
        <v>349</v>
      </c>
      <c r="U1239" t="s">
        <v>9</v>
      </c>
    </row>
    <row r="1240" spans="1:21" x14ac:dyDescent="0.2">
      <c r="A1240" t="s">
        <v>2051</v>
      </c>
      <c r="B1240" s="24">
        <v>45707</v>
      </c>
      <c r="C1240" s="24">
        <v>45706</v>
      </c>
      <c r="D1240" t="s">
        <v>5</v>
      </c>
      <c r="E1240" t="s">
        <v>6</v>
      </c>
      <c r="G1240" t="s">
        <v>2173</v>
      </c>
      <c r="H1240" s="19" t="s">
        <v>1680</v>
      </c>
      <c r="I1240" s="19" t="s">
        <v>1681</v>
      </c>
      <c r="J1240" s="11" t="str">
        <f>+LEFT(U1240,4)</f>
        <v>SHTS</v>
      </c>
      <c r="K1240" t="s">
        <v>10</v>
      </c>
      <c r="L1240" s="19">
        <v>1010</v>
      </c>
      <c r="M1240" t="s">
        <v>1472</v>
      </c>
      <c r="N1240" t="s">
        <v>11</v>
      </c>
      <c r="O1240" s="26">
        <v>4.47</v>
      </c>
      <c r="P1240" s="12">
        <f>ROUND(O1240*L1240,2)</f>
        <v>4514.7</v>
      </c>
      <c r="Q1240" s="13">
        <f>IF(N1240="HKD",7.8,IF(N1240="CNY",7.30034,1))</f>
        <v>7.3003400000000003</v>
      </c>
      <c r="R1240" s="15">
        <f>+ROUND(O1240/Q1240,4)</f>
        <v>0.61229999999999996</v>
      </c>
      <c r="S1240" s="14">
        <f>ROUND(R1240*L1240,2)</f>
        <v>618.41999999999996</v>
      </c>
      <c r="T1240" s="15" t="s">
        <v>349</v>
      </c>
      <c r="U1240" t="s">
        <v>9</v>
      </c>
    </row>
    <row r="1241" spans="1:21" x14ac:dyDescent="0.2">
      <c r="A1241" t="s">
        <v>2062</v>
      </c>
      <c r="B1241" s="24">
        <v>45707</v>
      </c>
      <c r="C1241" s="24">
        <v>45677</v>
      </c>
      <c r="D1241" t="s">
        <v>5</v>
      </c>
      <c r="E1241" t="s">
        <v>6</v>
      </c>
      <c r="G1241" t="s">
        <v>2173</v>
      </c>
      <c r="H1241" s="19" t="s">
        <v>1768</v>
      </c>
      <c r="I1241" s="19" t="s">
        <v>1769</v>
      </c>
      <c r="J1241" s="11" t="str">
        <f>+LEFT(U1241,4)</f>
        <v>SHTS</v>
      </c>
      <c r="K1241" t="s">
        <v>10</v>
      </c>
      <c r="L1241" s="19">
        <v>1010</v>
      </c>
      <c r="M1241" t="s">
        <v>1472</v>
      </c>
      <c r="N1241" t="s">
        <v>11</v>
      </c>
      <c r="O1241" s="26">
        <v>5.03</v>
      </c>
      <c r="P1241" s="12">
        <f>ROUND(O1241*L1241,2)</f>
        <v>5080.3</v>
      </c>
      <c r="Q1241" s="13">
        <f>IF(N1241="HKD",7.8,IF(N1241="CNY",7.30034,1))</f>
        <v>7.3003400000000003</v>
      </c>
      <c r="R1241" s="15">
        <f>+ROUND(O1241/Q1241,4)</f>
        <v>0.68899999999999995</v>
      </c>
      <c r="S1241" s="14">
        <f>ROUND(R1241*L1241,2)</f>
        <v>695.89</v>
      </c>
      <c r="T1241" s="15" t="s">
        <v>349</v>
      </c>
      <c r="U1241" t="s">
        <v>9</v>
      </c>
    </row>
    <row r="1242" spans="1:21" x14ac:dyDescent="0.2">
      <c r="A1242" t="s">
        <v>2071</v>
      </c>
      <c r="B1242" s="24">
        <v>45707</v>
      </c>
      <c r="C1242" s="24">
        <v>45706</v>
      </c>
      <c r="D1242" t="s">
        <v>5</v>
      </c>
      <c r="E1242" t="s">
        <v>6</v>
      </c>
      <c r="G1242" t="s">
        <v>2173</v>
      </c>
      <c r="H1242" s="19" t="s">
        <v>1776</v>
      </c>
      <c r="I1242" s="19" t="s">
        <v>1777</v>
      </c>
      <c r="J1242" s="11" t="str">
        <f>+LEFT(U1242,4)</f>
        <v>SHTS</v>
      </c>
      <c r="K1242" t="s">
        <v>10</v>
      </c>
      <c r="L1242" s="19">
        <v>505</v>
      </c>
      <c r="M1242" t="s">
        <v>1472</v>
      </c>
      <c r="N1242" t="s">
        <v>11</v>
      </c>
      <c r="O1242" s="26">
        <v>5.41</v>
      </c>
      <c r="P1242" s="12">
        <f>ROUND(O1242*L1242,2)</f>
        <v>2732.05</v>
      </c>
      <c r="Q1242" s="13">
        <f>IF(N1242="HKD",7.8,IF(N1242="CNY",7.30034,1))</f>
        <v>7.3003400000000003</v>
      </c>
      <c r="R1242" s="15">
        <f>+ROUND(O1242/Q1242,4)</f>
        <v>0.74109999999999998</v>
      </c>
      <c r="S1242" s="14">
        <f>ROUND(R1242*L1242,2)</f>
        <v>374.26</v>
      </c>
      <c r="T1242" s="15" t="s">
        <v>349</v>
      </c>
      <c r="U1242" t="s">
        <v>9</v>
      </c>
    </row>
    <row r="1243" spans="1:21" x14ac:dyDescent="0.2">
      <c r="A1243" t="s">
        <v>2074</v>
      </c>
      <c r="B1243" s="24">
        <v>45707</v>
      </c>
      <c r="C1243" s="24">
        <v>45677</v>
      </c>
      <c r="D1243" t="s">
        <v>5</v>
      </c>
      <c r="E1243" t="s">
        <v>6</v>
      </c>
      <c r="G1243" t="s">
        <v>2173</v>
      </c>
      <c r="H1243" s="19" t="s">
        <v>1778</v>
      </c>
      <c r="I1243" s="19" t="s">
        <v>1779</v>
      </c>
      <c r="J1243" s="11" t="str">
        <f>+LEFT(U1243,4)</f>
        <v>SHTS</v>
      </c>
      <c r="K1243" t="s">
        <v>10</v>
      </c>
      <c r="L1243" s="19">
        <v>1010</v>
      </c>
      <c r="M1243" t="s">
        <v>1472</v>
      </c>
      <c r="N1243" t="s">
        <v>11</v>
      </c>
      <c r="O1243" s="26">
        <v>5.62</v>
      </c>
      <c r="P1243" s="12">
        <f>ROUND(O1243*L1243,2)</f>
        <v>5676.2</v>
      </c>
      <c r="Q1243" s="13">
        <f>IF(N1243="HKD",7.8,IF(N1243="CNY",7.30034,1))</f>
        <v>7.3003400000000003</v>
      </c>
      <c r="R1243" s="15">
        <f>+ROUND(O1243/Q1243,4)</f>
        <v>0.76980000000000004</v>
      </c>
      <c r="S1243" s="14">
        <f>ROUND(R1243*L1243,2)</f>
        <v>777.5</v>
      </c>
      <c r="T1243" s="15" t="s">
        <v>349</v>
      </c>
      <c r="U1243" t="s">
        <v>9</v>
      </c>
    </row>
    <row r="1244" spans="1:21" x14ac:dyDescent="0.2">
      <c r="A1244" t="s">
        <v>1954</v>
      </c>
      <c r="B1244" s="24">
        <v>45715</v>
      </c>
      <c r="C1244" s="24">
        <v>45677</v>
      </c>
      <c r="D1244" t="s">
        <v>5</v>
      </c>
      <c r="E1244" t="s">
        <v>6</v>
      </c>
      <c r="G1244" t="s">
        <v>2176</v>
      </c>
      <c r="H1244" s="19" t="s">
        <v>1670</v>
      </c>
      <c r="I1244" s="19" t="s">
        <v>1671</v>
      </c>
      <c r="J1244" s="11" t="str">
        <f>+LEFT(U1244,4)</f>
        <v>SHTS</v>
      </c>
      <c r="K1244" t="s">
        <v>10</v>
      </c>
      <c r="L1244" s="19">
        <v>1010</v>
      </c>
      <c r="M1244" t="s">
        <v>1472</v>
      </c>
      <c r="N1244" t="s">
        <v>11</v>
      </c>
      <c r="O1244" s="26">
        <v>2.02</v>
      </c>
      <c r="P1244" s="12">
        <f>ROUND(O1244*L1244,2)</f>
        <v>2040.2</v>
      </c>
      <c r="Q1244" s="13">
        <f>IF(N1244="HKD",7.8,IF(N1244="CNY",7.30034,1))</f>
        <v>7.3003400000000003</v>
      </c>
      <c r="R1244" s="15">
        <f>+ROUND(O1244/Q1244,4)</f>
        <v>0.2767</v>
      </c>
      <c r="S1244" s="14">
        <f>ROUND(R1244*L1244,2)</f>
        <v>279.47000000000003</v>
      </c>
      <c r="T1244" s="15" t="s">
        <v>349</v>
      </c>
      <c r="U1244" t="s">
        <v>9</v>
      </c>
    </row>
    <row r="1245" spans="1:21" x14ac:dyDescent="0.2">
      <c r="A1245" t="s">
        <v>1987</v>
      </c>
      <c r="B1245" s="24">
        <v>45715</v>
      </c>
      <c r="C1245" s="24">
        <v>45714</v>
      </c>
      <c r="D1245" t="s">
        <v>5</v>
      </c>
      <c r="E1245" t="s">
        <v>6</v>
      </c>
      <c r="G1245" t="s">
        <v>2176</v>
      </c>
      <c r="H1245" s="19" t="s">
        <v>518</v>
      </c>
      <c r="I1245" s="19" t="s">
        <v>519</v>
      </c>
      <c r="J1245" s="11" t="str">
        <f>+LEFT(U1245,4)</f>
        <v>SHTS</v>
      </c>
      <c r="K1245" t="s">
        <v>10</v>
      </c>
      <c r="L1245" s="19">
        <v>505</v>
      </c>
      <c r="M1245" t="s">
        <v>1472</v>
      </c>
      <c r="N1245" t="s">
        <v>11</v>
      </c>
      <c r="O1245" s="26">
        <v>3.08</v>
      </c>
      <c r="P1245" s="12">
        <f>ROUND(O1245*L1245,2)</f>
        <v>1555.4</v>
      </c>
      <c r="Q1245" s="13">
        <f>IF(N1245="HKD",7.8,IF(N1245="CNY",7.30034,1))</f>
        <v>7.3003400000000003</v>
      </c>
      <c r="R1245" s="15">
        <f>+ROUND(O1245/Q1245,4)</f>
        <v>0.4219</v>
      </c>
      <c r="S1245" s="14">
        <f>ROUND(R1245*L1245,2)</f>
        <v>213.06</v>
      </c>
      <c r="T1245" s="15" t="s">
        <v>349</v>
      </c>
      <c r="U1245" t="s">
        <v>9</v>
      </c>
    </row>
    <row r="1246" spans="1:21" x14ac:dyDescent="0.2">
      <c r="A1246" t="s">
        <v>2016</v>
      </c>
      <c r="B1246" s="24">
        <v>45715</v>
      </c>
      <c r="C1246" s="24">
        <v>45714</v>
      </c>
      <c r="D1246" t="s">
        <v>5</v>
      </c>
      <c r="E1246" t="s">
        <v>6</v>
      </c>
      <c r="G1246" t="s">
        <v>2176</v>
      </c>
      <c r="H1246" s="19" t="s">
        <v>1732</v>
      </c>
      <c r="I1246" s="19" t="s">
        <v>1733</v>
      </c>
      <c r="J1246" s="11" t="str">
        <f>+LEFT(U1246,4)</f>
        <v>SHTS</v>
      </c>
      <c r="K1246" t="s">
        <v>10</v>
      </c>
      <c r="L1246" s="19">
        <v>505</v>
      </c>
      <c r="M1246" t="s">
        <v>1472</v>
      </c>
      <c r="N1246" t="s">
        <v>11</v>
      </c>
      <c r="O1246" s="26">
        <v>3.4</v>
      </c>
      <c r="P1246" s="12">
        <f>ROUND(O1246*L1246,2)</f>
        <v>1717</v>
      </c>
      <c r="Q1246" s="13">
        <f>IF(N1246="HKD",7.8,IF(N1246="CNY",7.30034,1))</f>
        <v>7.3003400000000003</v>
      </c>
      <c r="R1246" s="15">
        <f>+ROUND(O1246/Q1246,4)</f>
        <v>0.4657</v>
      </c>
      <c r="S1246" s="14">
        <f>ROUND(R1246*L1246,2)</f>
        <v>235.18</v>
      </c>
      <c r="T1246" s="15" t="s">
        <v>349</v>
      </c>
      <c r="U1246" t="s">
        <v>9</v>
      </c>
    </row>
    <row r="1247" spans="1:21" x14ac:dyDescent="0.2">
      <c r="A1247" t="s">
        <v>2442</v>
      </c>
      <c r="B1247" s="24">
        <v>45735</v>
      </c>
      <c r="C1247" s="24">
        <v>45702</v>
      </c>
      <c r="D1247" t="s">
        <v>2819</v>
      </c>
      <c r="E1247" t="s">
        <v>2820</v>
      </c>
      <c r="G1247" t="s">
        <v>2939</v>
      </c>
      <c r="H1247" t="s">
        <v>3128</v>
      </c>
      <c r="I1247" t="s">
        <v>3338</v>
      </c>
      <c r="J1247" s="11" t="str">
        <f>+LEFT(U1247,4)</f>
        <v>HDL-</v>
      </c>
      <c r="K1247" t="s">
        <v>10</v>
      </c>
      <c r="L1247">
        <v>1000</v>
      </c>
      <c r="M1247" t="s">
        <v>1472</v>
      </c>
      <c r="N1247" t="s">
        <v>11</v>
      </c>
      <c r="O1247">
        <v>7.4500999999999999</v>
      </c>
      <c r="P1247" s="12">
        <f>ROUND(O1247*L1247,2)</f>
        <v>7450.1</v>
      </c>
      <c r="Q1247" s="13">
        <f>IF(N1247="HKD",7.8,IF(N1247="CNY",7.30034,1))</f>
        <v>7.3003400000000003</v>
      </c>
      <c r="R1247" s="15">
        <f>+ROUND(O1247/Q1247,4)</f>
        <v>1.0205</v>
      </c>
      <c r="S1247" s="14">
        <f>ROUND(R1247*L1247,2)</f>
        <v>1020.5</v>
      </c>
      <c r="T1247" s="15" t="s">
        <v>349</v>
      </c>
      <c r="U1247" t="s">
        <v>228</v>
      </c>
    </row>
    <row r="1248" spans="1:21" x14ac:dyDescent="0.2">
      <c r="A1248" t="s">
        <v>2443</v>
      </c>
      <c r="B1248" s="24">
        <v>45735</v>
      </c>
      <c r="C1248" s="24">
        <v>45702</v>
      </c>
      <c r="D1248" t="s">
        <v>2819</v>
      </c>
      <c r="E1248" t="s">
        <v>2820</v>
      </c>
      <c r="G1248" t="s">
        <v>2939</v>
      </c>
      <c r="H1248" t="s">
        <v>3129</v>
      </c>
      <c r="I1248" t="s">
        <v>3339</v>
      </c>
      <c r="J1248" s="11" t="str">
        <f>+LEFT(U1248,4)</f>
        <v>HDL-</v>
      </c>
      <c r="K1248" t="s">
        <v>10</v>
      </c>
      <c r="L1248">
        <v>1000</v>
      </c>
      <c r="M1248" t="s">
        <v>1472</v>
      </c>
      <c r="N1248" t="s">
        <v>11</v>
      </c>
      <c r="O1248">
        <v>7.4500999999999999</v>
      </c>
      <c r="P1248" s="12">
        <f>ROUND(O1248*L1248,2)</f>
        <v>7450.1</v>
      </c>
      <c r="Q1248" s="13">
        <f>IF(N1248="HKD",7.8,IF(N1248="CNY",7.30034,1))</f>
        <v>7.3003400000000003</v>
      </c>
      <c r="R1248" s="15">
        <f>+ROUND(O1248/Q1248,4)</f>
        <v>1.0205</v>
      </c>
      <c r="S1248" s="14">
        <f>ROUND(R1248*L1248,2)</f>
        <v>1020.5</v>
      </c>
      <c r="T1248" s="15" t="s">
        <v>349</v>
      </c>
      <c r="U1248" t="s">
        <v>228</v>
      </c>
    </row>
    <row r="1249" spans="1:21" x14ac:dyDescent="0.2">
      <c r="A1249" t="s">
        <v>2375</v>
      </c>
      <c r="B1249" s="24">
        <v>45728</v>
      </c>
      <c r="C1249" s="24">
        <v>45695</v>
      </c>
      <c r="D1249" t="s">
        <v>2255</v>
      </c>
      <c r="E1249" t="s">
        <v>2256</v>
      </c>
      <c r="G1249" t="s">
        <v>2911</v>
      </c>
      <c r="H1249" t="s">
        <v>1796</v>
      </c>
      <c r="I1249" t="s">
        <v>1797</v>
      </c>
      <c r="J1249" s="11" t="str">
        <f>+LEFT(U1249,4)</f>
        <v>GLID</v>
      </c>
      <c r="K1249" t="s">
        <v>10</v>
      </c>
      <c r="L1249">
        <v>610</v>
      </c>
      <c r="M1249" t="s">
        <v>1472</v>
      </c>
      <c r="N1249" t="s">
        <v>11</v>
      </c>
      <c r="O1249">
        <v>7.4503000000000004</v>
      </c>
      <c r="P1249" s="12">
        <f>ROUND(O1249*L1249,2)</f>
        <v>4544.68</v>
      </c>
      <c r="Q1249" s="13">
        <f>IF(N1249="HKD",7.8,IF(N1249="CNY",7.30034,1))</f>
        <v>7.3003400000000003</v>
      </c>
      <c r="R1249" s="15">
        <f>+ROUND(O1249/Q1249,4)</f>
        <v>1.0205</v>
      </c>
      <c r="S1249" s="14">
        <f>ROUND(R1249*L1249,2)</f>
        <v>622.51</v>
      </c>
      <c r="T1249" s="15" t="s">
        <v>349</v>
      </c>
      <c r="U1249" t="s">
        <v>78</v>
      </c>
    </row>
    <row r="1250" spans="1:21" x14ac:dyDescent="0.2">
      <c r="A1250" t="s">
        <v>2278</v>
      </c>
      <c r="B1250" s="24">
        <v>45720</v>
      </c>
      <c r="C1250" s="24">
        <v>45576</v>
      </c>
      <c r="D1250" t="s">
        <v>121</v>
      </c>
      <c r="E1250" t="s">
        <v>122</v>
      </c>
      <c r="G1250" t="s">
        <v>2845</v>
      </c>
      <c r="H1250" t="s">
        <v>119</v>
      </c>
      <c r="I1250" t="s">
        <v>120</v>
      </c>
      <c r="J1250" s="11" t="str">
        <f>+LEFT(U1250,4)</f>
        <v>LHDL</v>
      </c>
      <c r="K1250" t="s">
        <v>10</v>
      </c>
      <c r="L1250">
        <v>410</v>
      </c>
      <c r="M1250" t="s">
        <v>1472</v>
      </c>
      <c r="N1250" t="s">
        <v>11</v>
      </c>
      <c r="O1250">
        <v>7.4566999999999997</v>
      </c>
      <c r="P1250" s="12">
        <f>ROUND(O1250*L1250,2)</f>
        <v>3057.25</v>
      </c>
      <c r="Q1250" s="13">
        <f>IF(N1250="HKD",7.8,IF(N1250="CNY",7.30034,1))</f>
        <v>7.3003400000000003</v>
      </c>
      <c r="R1250" s="15">
        <f>+ROUND(O1250/Q1250,4)</f>
        <v>1.0214000000000001</v>
      </c>
      <c r="S1250" s="14">
        <f>ROUND(R1250*L1250,2)</f>
        <v>418.77</v>
      </c>
      <c r="T1250" s="15" t="s">
        <v>349</v>
      </c>
      <c r="U1250" t="s">
        <v>125</v>
      </c>
    </row>
    <row r="1251" spans="1:21" x14ac:dyDescent="0.2">
      <c r="A1251" t="s">
        <v>2312</v>
      </c>
      <c r="B1251" s="24">
        <v>45719</v>
      </c>
      <c r="C1251" s="24">
        <v>45664</v>
      </c>
      <c r="D1251" t="s">
        <v>2819</v>
      </c>
      <c r="E1251" t="s">
        <v>2820</v>
      </c>
      <c r="G1251" t="s">
        <v>2875</v>
      </c>
      <c r="H1251" t="s">
        <v>3076</v>
      </c>
      <c r="I1251" t="s">
        <v>3292</v>
      </c>
      <c r="J1251" s="11" t="str">
        <f>+LEFT(U1251,4)</f>
        <v>HDL-</v>
      </c>
      <c r="K1251" t="s">
        <v>10</v>
      </c>
      <c r="L1251">
        <v>1020</v>
      </c>
      <c r="M1251" t="s">
        <v>1472</v>
      </c>
      <c r="N1251" t="s">
        <v>11</v>
      </c>
      <c r="O1251">
        <v>7.4577999999999998</v>
      </c>
      <c r="P1251" s="12">
        <f>ROUND(O1251*L1251,2)</f>
        <v>7606.96</v>
      </c>
      <c r="Q1251" s="13">
        <f>IF(N1251="HKD",7.8,IF(N1251="CNY",7.30034,1))</f>
        <v>7.3003400000000003</v>
      </c>
      <c r="R1251" s="15">
        <f>+ROUND(O1251/Q1251,4)</f>
        <v>1.0216000000000001</v>
      </c>
      <c r="S1251" s="14">
        <f>ROUND(R1251*L1251,2)</f>
        <v>1042.03</v>
      </c>
      <c r="T1251" s="15" t="s">
        <v>349</v>
      </c>
      <c r="U1251" t="s">
        <v>228</v>
      </c>
    </row>
    <row r="1252" spans="1:21" x14ac:dyDescent="0.2">
      <c r="A1252" t="s">
        <v>2313</v>
      </c>
      <c r="B1252" s="24">
        <v>45719</v>
      </c>
      <c r="C1252" s="24">
        <v>45664</v>
      </c>
      <c r="D1252" t="s">
        <v>2819</v>
      </c>
      <c r="E1252" t="s">
        <v>2820</v>
      </c>
      <c r="G1252" t="s">
        <v>2875</v>
      </c>
      <c r="H1252" t="s">
        <v>3077</v>
      </c>
      <c r="I1252" t="s">
        <v>3293</v>
      </c>
      <c r="J1252" s="11" t="str">
        <f>+LEFT(U1252,4)</f>
        <v>HDL-</v>
      </c>
      <c r="K1252" t="s">
        <v>10</v>
      </c>
      <c r="L1252">
        <v>1550</v>
      </c>
      <c r="M1252" t="s">
        <v>1472</v>
      </c>
      <c r="N1252" t="s">
        <v>11</v>
      </c>
      <c r="O1252">
        <v>7.4577999999999998</v>
      </c>
      <c r="P1252" s="12">
        <f>ROUND(O1252*L1252,2)</f>
        <v>11559.59</v>
      </c>
      <c r="Q1252" s="13">
        <f>IF(N1252="HKD",7.8,IF(N1252="CNY",7.30034,1))</f>
        <v>7.3003400000000003</v>
      </c>
      <c r="R1252" s="15">
        <f>+ROUND(O1252/Q1252,4)</f>
        <v>1.0216000000000001</v>
      </c>
      <c r="S1252" s="14">
        <f>ROUND(R1252*L1252,2)</f>
        <v>1583.48</v>
      </c>
      <c r="T1252" s="15" t="s">
        <v>349</v>
      </c>
      <c r="U1252" t="s">
        <v>228</v>
      </c>
    </row>
    <row r="1253" spans="1:21" x14ac:dyDescent="0.2">
      <c r="A1253" t="s">
        <v>2314</v>
      </c>
      <c r="B1253" s="24">
        <v>45719</v>
      </c>
      <c r="C1253" s="24">
        <v>45664</v>
      </c>
      <c r="D1253" t="s">
        <v>2819</v>
      </c>
      <c r="E1253" t="s">
        <v>2820</v>
      </c>
      <c r="G1253" t="s">
        <v>2875</v>
      </c>
      <c r="H1253" t="s">
        <v>3078</v>
      </c>
      <c r="I1253" t="s">
        <v>3294</v>
      </c>
      <c r="J1253" s="11" t="str">
        <f>+LEFT(U1253,4)</f>
        <v>HDL-</v>
      </c>
      <c r="K1253" t="s">
        <v>10</v>
      </c>
      <c r="L1253">
        <v>520</v>
      </c>
      <c r="M1253" t="s">
        <v>1472</v>
      </c>
      <c r="N1253" t="s">
        <v>11</v>
      </c>
      <c r="O1253">
        <v>7.4577999999999998</v>
      </c>
      <c r="P1253" s="12">
        <f>ROUND(O1253*L1253,2)</f>
        <v>3878.06</v>
      </c>
      <c r="Q1253" s="13">
        <f>IF(N1253="HKD",7.8,IF(N1253="CNY",7.30034,1))</f>
        <v>7.3003400000000003</v>
      </c>
      <c r="R1253" s="15">
        <f>+ROUND(O1253/Q1253,4)</f>
        <v>1.0216000000000001</v>
      </c>
      <c r="S1253" s="14">
        <f>ROUND(R1253*L1253,2)</f>
        <v>531.23</v>
      </c>
      <c r="T1253" s="15" t="s">
        <v>349</v>
      </c>
      <c r="U1253" t="s">
        <v>228</v>
      </c>
    </row>
    <row r="1254" spans="1:21" x14ac:dyDescent="0.2">
      <c r="A1254" t="s">
        <v>2447</v>
      </c>
      <c r="B1254" s="24">
        <v>45735</v>
      </c>
      <c r="C1254" s="24">
        <v>45702</v>
      </c>
      <c r="D1254" t="s">
        <v>2819</v>
      </c>
      <c r="E1254" t="s">
        <v>2820</v>
      </c>
      <c r="G1254" t="s">
        <v>2939</v>
      </c>
      <c r="H1254" t="s">
        <v>3133</v>
      </c>
      <c r="I1254" t="s">
        <v>3343</v>
      </c>
      <c r="J1254" s="11" t="str">
        <f>+LEFT(U1254,4)</f>
        <v>HDL-</v>
      </c>
      <c r="K1254" t="s">
        <v>10</v>
      </c>
      <c r="L1254">
        <v>1030</v>
      </c>
      <c r="M1254" t="s">
        <v>1472</v>
      </c>
      <c r="N1254" t="s">
        <v>11</v>
      </c>
      <c r="O1254">
        <v>7.4577999999999998</v>
      </c>
      <c r="P1254" s="12">
        <f>ROUND(O1254*L1254,2)</f>
        <v>7681.53</v>
      </c>
      <c r="Q1254" s="13">
        <f>IF(N1254="HKD",7.8,IF(N1254="CNY",7.30034,1))</f>
        <v>7.3003400000000003</v>
      </c>
      <c r="R1254" s="15">
        <f>+ROUND(O1254/Q1254,4)</f>
        <v>1.0216000000000001</v>
      </c>
      <c r="S1254" s="14">
        <f>ROUND(R1254*L1254,2)</f>
        <v>1052.25</v>
      </c>
      <c r="T1254" s="15" t="s">
        <v>349</v>
      </c>
      <c r="U1254" t="s">
        <v>228</v>
      </c>
    </row>
    <row r="1255" spans="1:21" x14ac:dyDescent="0.2">
      <c r="A1255" t="s">
        <v>2099</v>
      </c>
      <c r="B1255" s="24">
        <v>45719</v>
      </c>
      <c r="C1255" s="24">
        <v>45713</v>
      </c>
      <c r="D1255" t="s">
        <v>2257</v>
      </c>
      <c r="E1255" t="s">
        <v>2258</v>
      </c>
      <c r="G1255" t="s">
        <v>2953</v>
      </c>
      <c r="H1255" t="s">
        <v>1798</v>
      </c>
      <c r="I1255" t="s">
        <v>1799</v>
      </c>
      <c r="J1255" s="11" t="str">
        <f>+LEFT(U1255,4)</f>
        <v>HDL-</v>
      </c>
      <c r="K1255" t="s">
        <v>10</v>
      </c>
      <c r="L1255">
        <v>400</v>
      </c>
      <c r="M1255" t="s">
        <v>1472</v>
      </c>
      <c r="N1255" t="s">
        <v>11</v>
      </c>
      <c r="O1255">
        <v>7.4931000000000001</v>
      </c>
      <c r="P1255" s="12">
        <f>ROUND(O1255*L1255,2)</f>
        <v>2997.24</v>
      </c>
      <c r="Q1255" s="13">
        <f>IF(N1255="HKD",7.8,IF(N1255="CNY",7.30034,1))</f>
        <v>7.3003400000000003</v>
      </c>
      <c r="R1255" s="15">
        <f>+ROUND(O1255/Q1255,4)</f>
        <v>1.0264</v>
      </c>
      <c r="S1255" s="14">
        <f>ROUND(R1255*L1255,2)</f>
        <v>410.56</v>
      </c>
      <c r="T1255" s="15" t="s">
        <v>349</v>
      </c>
      <c r="U1255" t="s">
        <v>228</v>
      </c>
    </row>
    <row r="1256" spans="1:21" x14ac:dyDescent="0.2">
      <c r="A1256" t="s">
        <v>2102</v>
      </c>
      <c r="B1256" s="24">
        <v>45719</v>
      </c>
      <c r="C1256" s="24">
        <v>45713</v>
      </c>
      <c r="D1256" t="s">
        <v>2257</v>
      </c>
      <c r="E1256" t="s">
        <v>2258</v>
      </c>
      <c r="G1256" t="s">
        <v>2953</v>
      </c>
      <c r="H1256" t="s">
        <v>1800</v>
      </c>
      <c r="I1256" t="s">
        <v>1801</v>
      </c>
      <c r="J1256" s="11" t="str">
        <f>+LEFT(U1256,4)</f>
        <v>HDL-</v>
      </c>
      <c r="K1256" t="s">
        <v>10</v>
      </c>
      <c r="L1256">
        <v>900</v>
      </c>
      <c r="M1256" t="s">
        <v>1472</v>
      </c>
      <c r="N1256" t="s">
        <v>11</v>
      </c>
      <c r="O1256">
        <v>7.4931000000000001</v>
      </c>
      <c r="P1256" s="12">
        <f>ROUND(O1256*L1256,2)</f>
        <v>6743.79</v>
      </c>
      <c r="Q1256" s="13">
        <f>IF(N1256="HKD",7.8,IF(N1256="CNY",7.30034,1))</f>
        <v>7.3003400000000003</v>
      </c>
      <c r="R1256" s="15">
        <f>+ROUND(O1256/Q1256,4)</f>
        <v>1.0264</v>
      </c>
      <c r="S1256" s="14">
        <f>ROUND(R1256*L1256,2)</f>
        <v>923.76</v>
      </c>
      <c r="T1256" s="15" t="s">
        <v>349</v>
      </c>
      <c r="U1256" t="s">
        <v>228</v>
      </c>
    </row>
    <row r="1257" spans="1:21" x14ac:dyDescent="0.2">
      <c r="A1257" t="s">
        <v>2491</v>
      </c>
      <c r="B1257" s="24">
        <v>45733</v>
      </c>
      <c r="C1257" s="24">
        <v>45713</v>
      </c>
      <c r="D1257" t="s">
        <v>2257</v>
      </c>
      <c r="E1257" t="s">
        <v>2258</v>
      </c>
      <c r="G1257" t="s">
        <v>2954</v>
      </c>
      <c r="H1257" t="s">
        <v>1798</v>
      </c>
      <c r="I1257" t="s">
        <v>1799</v>
      </c>
      <c r="J1257" s="11" t="str">
        <f>+LEFT(U1257,4)</f>
        <v>HDL-</v>
      </c>
      <c r="K1257" t="s">
        <v>10</v>
      </c>
      <c r="L1257">
        <v>4100</v>
      </c>
      <c r="M1257" t="s">
        <v>1472</v>
      </c>
      <c r="N1257" t="s">
        <v>11</v>
      </c>
      <c r="O1257">
        <v>7.4931000000000001</v>
      </c>
      <c r="P1257" s="12">
        <f>ROUND(O1257*L1257,2)</f>
        <v>30721.71</v>
      </c>
      <c r="Q1257" s="13">
        <f>IF(N1257="HKD",7.8,IF(N1257="CNY",7.30034,1))</f>
        <v>7.3003400000000003</v>
      </c>
      <c r="R1257" s="15">
        <f>+ROUND(O1257/Q1257,4)</f>
        <v>1.0264</v>
      </c>
      <c r="S1257" s="14">
        <f>ROUND(R1257*L1257,2)</f>
        <v>4208.24</v>
      </c>
      <c r="T1257" s="15" t="s">
        <v>349</v>
      </c>
      <c r="U1257" t="s">
        <v>228</v>
      </c>
    </row>
    <row r="1258" spans="1:21" x14ac:dyDescent="0.2">
      <c r="A1258" t="s">
        <v>2492</v>
      </c>
      <c r="B1258" s="24">
        <v>45740</v>
      </c>
      <c r="C1258" s="24">
        <v>45713</v>
      </c>
      <c r="D1258" t="s">
        <v>2257</v>
      </c>
      <c r="E1258" t="s">
        <v>2258</v>
      </c>
      <c r="G1258" t="s">
        <v>2955</v>
      </c>
      <c r="H1258" t="s">
        <v>1798</v>
      </c>
      <c r="I1258" t="s">
        <v>1799</v>
      </c>
      <c r="J1258" s="11" t="str">
        <f>+LEFT(U1258,4)</f>
        <v>HDL-</v>
      </c>
      <c r="K1258" t="s">
        <v>10</v>
      </c>
      <c r="L1258">
        <v>3500</v>
      </c>
      <c r="M1258" t="s">
        <v>1472</v>
      </c>
      <c r="N1258" t="s">
        <v>11</v>
      </c>
      <c r="O1258">
        <v>7.4931000000000001</v>
      </c>
      <c r="P1258" s="12">
        <f>ROUND(O1258*L1258,2)</f>
        <v>26225.85</v>
      </c>
      <c r="Q1258" s="13">
        <f>IF(N1258="HKD",7.8,IF(N1258="CNY",7.30034,1))</f>
        <v>7.3003400000000003</v>
      </c>
      <c r="R1258" s="15">
        <f>+ROUND(O1258/Q1258,4)</f>
        <v>1.0264</v>
      </c>
      <c r="S1258" s="14">
        <f>ROUND(R1258*L1258,2)</f>
        <v>3592.4</v>
      </c>
      <c r="T1258" s="15" t="s">
        <v>349</v>
      </c>
      <c r="U1258" t="s">
        <v>228</v>
      </c>
    </row>
    <row r="1259" spans="1:21" x14ac:dyDescent="0.2">
      <c r="A1259" t="s">
        <v>2497</v>
      </c>
      <c r="B1259" s="24">
        <v>45740</v>
      </c>
      <c r="C1259" s="24">
        <v>45713</v>
      </c>
      <c r="D1259" t="s">
        <v>2257</v>
      </c>
      <c r="E1259" t="s">
        <v>2258</v>
      </c>
      <c r="G1259" t="s">
        <v>2955</v>
      </c>
      <c r="H1259" t="s">
        <v>1800</v>
      </c>
      <c r="I1259" t="s">
        <v>1801</v>
      </c>
      <c r="J1259" s="11" t="str">
        <f>+LEFT(U1259,4)</f>
        <v>HDL-</v>
      </c>
      <c r="K1259" t="s">
        <v>10</v>
      </c>
      <c r="L1259">
        <v>2600</v>
      </c>
      <c r="M1259" t="s">
        <v>1472</v>
      </c>
      <c r="N1259" t="s">
        <v>11</v>
      </c>
      <c r="O1259">
        <v>7.4931000000000001</v>
      </c>
      <c r="P1259" s="12">
        <f>ROUND(O1259*L1259,2)</f>
        <v>19482.060000000001</v>
      </c>
      <c r="Q1259" s="13">
        <f>IF(N1259="HKD",7.8,IF(N1259="CNY",7.30034,1))</f>
        <v>7.3003400000000003</v>
      </c>
      <c r="R1259" s="15">
        <f>+ROUND(O1259/Q1259,4)</f>
        <v>1.0264</v>
      </c>
      <c r="S1259" s="14">
        <f>ROUND(R1259*L1259,2)</f>
        <v>2668.64</v>
      </c>
      <c r="T1259" s="15" t="s">
        <v>349</v>
      </c>
      <c r="U1259" t="s">
        <v>228</v>
      </c>
    </row>
    <row r="1260" spans="1:21" x14ac:dyDescent="0.2">
      <c r="A1260" t="s">
        <v>2498</v>
      </c>
      <c r="B1260" s="24">
        <v>45740</v>
      </c>
      <c r="C1260" s="24">
        <v>45713</v>
      </c>
      <c r="D1260" t="s">
        <v>2257</v>
      </c>
      <c r="E1260" t="s">
        <v>2258</v>
      </c>
      <c r="G1260" t="s">
        <v>2955</v>
      </c>
      <c r="H1260" t="s">
        <v>1800</v>
      </c>
      <c r="I1260" t="s">
        <v>1801</v>
      </c>
      <c r="J1260" s="11" t="str">
        <f>+LEFT(U1260,4)</f>
        <v>HDL-</v>
      </c>
      <c r="K1260" t="s">
        <v>10</v>
      </c>
      <c r="L1260">
        <v>3020</v>
      </c>
      <c r="M1260" t="s">
        <v>1472</v>
      </c>
      <c r="N1260" t="s">
        <v>11</v>
      </c>
      <c r="O1260">
        <v>7.4931000000000001</v>
      </c>
      <c r="P1260" s="12">
        <f>ROUND(O1260*L1260,2)</f>
        <v>22629.16</v>
      </c>
      <c r="Q1260" s="13">
        <f>IF(N1260="HKD",7.8,IF(N1260="CNY",7.30034,1))</f>
        <v>7.3003400000000003</v>
      </c>
      <c r="R1260" s="15">
        <f>+ROUND(O1260/Q1260,4)</f>
        <v>1.0264</v>
      </c>
      <c r="S1260" s="14">
        <f>ROUND(R1260*L1260,2)</f>
        <v>3099.73</v>
      </c>
      <c r="T1260" s="15" t="s">
        <v>349</v>
      </c>
      <c r="U1260" t="s">
        <v>228</v>
      </c>
    </row>
    <row r="1261" spans="1:21" x14ac:dyDescent="0.2">
      <c r="A1261" t="s">
        <v>2504</v>
      </c>
      <c r="B1261" s="24">
        <v>45740</v>
      </c>
      <c r="C1261" s="24">
        <v>45713</v>
      </c>
      <c r="D1261" t="s">
        <v>2257</v>
      </c>
      <c r="E1261" t="s">
        <v>2258</v>
      </c>
      <c r="G1261" t="s">
        <v>2955</v>
      </c>
      <c r="H1261" t="s">
        <v>3152</v>
      </c>
      <c r="I1261" t="s">
        <v>3362</v>
      </c>
      <c r="J1261" s="11" t="str">
        <f>+LEFT(U1261,4)</f>
        <v>HDL-</v>
      </c>
      <c r="K1261" t="s">
        <v>10</v>
      </c>
      <c r="L1261">
        <v>3100</v>
      </c>
      <c r="M1261" t="s">
        <v>1472</v>
      </c>
      <c r="N1261" t="s">
        <v>11</v>
      </c>
      <c r="O1261">
        <v>7.4931000000000001</v>
      </c>
      <c r="P1261" s="12">
        <f>ROUND(O1261*L1261,2)</f>
        <v>23228.61</v>
      </c>
      <c r="Q1261" s="13">
        <f>IF(N1261="HKD",7.8,IF(N1261="CNY",7.30034,1))</f>
        <v>7.3003400000000003</v>
      </c>
      <c r="R1261" s="15">
        <f>+ROUND(O1261/Q1261,4)</f>
        <v>1.0264</v>
      </c>
      <c r="S1261" s="14">
        <f>ROUND(R1261*L1261,2)</f>
        <v>3181.84</v>
      </c>
      <c r="T1261" s="15" t="s">
        <v>349</v>
      </c>
      <c r="U1261" t="s">
        <v>228</v>
      </c>
    </row>
    <row r="1262" spans="1:21" x14ac:dyDescent="0.2">
      <c r="A1262" s="19" t="s">
        <v>1274</v>
      </c>
      <c r="B1262" s="20">
        <v>45659</v>
      </c>
      <c r="C1262" s="20">
        <v>45576</v>
      </c>
      <c r="D1262" s="19" t="s">
        <v>94</v>
      </c>
      <c r="E1262" s="19" t="s">
        <v>95</v>
      </c>
      <c r="G1262" s="19" t="s">
        <v>1451</v>
      </c>
      <c r="H1262" s="19" t="s">
        <v>1272</v>
      </c>
      <c r="I1262" s="19" t="s">
        <v>1273</v>
      </c>
      <c r="J1262" s="11" t="str">
        <f>+LEFT(U1262,4)</f>
        <v>SKU-</v>
      </c>
      <c r="K1262" s="19" t="s">
        <v>98</v>
      </c>
      <c r="L1262" s="19">
        <v>800</v>
      </c>
      <c r="M1262" s="19" t="s">
        <v>1472</v>
      </c>
      <c r="N1262" s="19" t="s">
        <v>11</v>
      </c>
      <c r="O1262" s="26">
        <v>4.91</v>
      </c>
      <c r="P1262" s="12">
        <f>ROUND(O1262*L1262,2)</f>
        <v>3928</v>
      </c>
      <c r="Q1262" s="13">
        <f>IF(N1262="HKD",7.8,IF(N1262="CNY",7.30034,1))</f>
        <v>7.3003400000000003</v>
      </c>
      <c r="R1262" s="15">
        <f>+ROUND(O1262/Q1262,4)</f>
        <v>0.67259999999999998</v>
      </c>
      <c r="S1262" s="14">
        <f>ROUND(R1262*L1262,2)</f>
        <v>538.08000000000004</v>
      </c>
      <c r="T1262" s="15" t="s">
        <v>349</v>
      </c>
      <c r="U1262" s="19" t="s">
        <v>2</v>
      </c>
    </row>
    <row r="1263" spans="1:21" x14ac:dyDescent="0.2">
      <c r="A1263" s="19" t="s">
        <v>1274</v>
      </c>
      <c r="B1263" s="20">
        <v>45660</v>
      </c>
      <c r="C1263" s="20">
        <v>45576</v>
      </c>
      <c r="D1263" s="19" t="s">
        <v>94</v>
      </c>
      <c r="E1263" s="19" t="s">
        <v>95</v>
      </c>
      <c r="G1263" s="19" t="s">
        <v>1333</v>
      </c>
      <c r="H1263" s="19" t="s">
        <v>1272</v>
      </c>
      <c r="I1263" s="19" t="s">
        <v>1273</v>
      </c>
      <c r="J1263" s="11" t="str">
        <f>+LEFT(U1263,4)</f>
        <v>SKU-</v>
      </c>
      <c r="K1263" s="19" t="s">
        <v>98</v>
      </c>
      <c r="L1263" s="19">
        <v>-800</v>
      </c>
      <c r="M1263" s="19" t="s">
        <v>1472</v>
      </c>
      <c r="N1263" s="19" t="s">
        <v>11</v>
      </c>
      <c r="O1263" s="26">
        <v>4.91</v>
      </c>
      <c r="P1263" s="12">
        <f>ROUND(O1263*L1263,2)</f>
        <v>-3928</v>
      </c>
      <c r="Q1263" s="13">
        <f>IF(N1263="HKD",7.8,IF(N1263="CNY",7.30034,1))</f>
        <v>7.3003400000000003</v>
      </c>
      <c r="R1263" s="15">
        <f>+ROUND(O1263/Q1263,4)</f>
        <v>0.67259999999999998</v>
      </c>
      <c r="S1263" s="14">
        <f>ROUND(R1263*L1263,2)</f>
        <v>-538.08000000000004</v>
      </c>
      <c r="T1263" s="15" t="s">
        <v>349</v>
      </c>
      <c r="U1263" s="19" t="s">
        <v>2</v>
      </c>
    </row>
    <row r="1264" spans="1:21" x14ac:dyDescent="0.2">
      <c r="A1264" s="19" t="s">
        <v>1196</v>
      </c>
      <c r="B1264" s="20">
        <v>45660</v>
      </c>
      <c r="C1264" s="20">
        <v>45615</v>
      </c>
      <c r="D1264" s="19" t="s">
        <v>149</v>
      </c>
      <c r="E1264" s="19" t="s">
        <v>150</v>
      </c>
      <c r="G1264" s="19" t="s">
        <v>1292</v>
      </c>
      <c r="H1264" s="19" t="s">
        <v>147</v>
      </c>
      <c r="I1264" s="19" t="s">
        <v>148</v>
      </c>
      <c r="J1264" s="11" t="str">
        <f>+LEFT(U1264,4)</f>
        <v>SKU-</v>
      </c>
      <c r="K1264" s="19" t="s">
        <v>98</v>
      </c>
      <c r="L1264" s="19">
        <v>1170</v>
      </c>
      <c r="M1264" s="19" t="s">
        <v>1472</v>
      </c>
      <c r="N1264" s="19" t="s">
        <v>11</v>
      </c>
      <c r="O1264" s="26">
        <v>8.6722999999999999</v>
      </c>
      <c r="P1264" s="12">
        <f>ROUND(O1264*L1264,2)</f>
        <v>10146.59</v>
      </c>
      <c r="Q1264" s="13">
        <f>IF(N1264="HKD",7.8,IF(N1264="CNY",7.30034,1))</f>
        <v>7.3003400000000003</v>
      </c>
      <c r="R1264" s="15">
        <f>+ROUND(O1264/Q1264,4)</f>
        <v>1.1879</v>
      </c>
      <c r="S1264" s="14">
        <f>ROUND(R1264*L1264,2)</f>
        <v>1389.84</v>
      </c>
      <c r="T1264" s="15" t="s">
        <v>349</v>
      </c>
      <c r="U1264" s="19" t="s">
        <v>2</v>
      </c>
    </row>
    <row r="1265" spans="1:22" x14ac:dyDescent="0.2">
      <c r="A1265" s="19" t="s">
        <v>1196</v>
      </c>
      <c r="B1265" s="20">
        <v>45660</v>
      </c>
      <c r="C1265" s="20">
        <v>45615</v>
      </c>
      <c r="D1265" s="19" t="s">
        <v>149</v>
      </c>
      <c r="E1265" s="19" t="s">
        <v>150</v>
      </c>
      <c r="G1265" s="19" t="s">
        <v>1293</v>
      </c>
      <c r="H1265" s="19" t="s">
        <v>147</v>
      </c>
      <c r="I1265" s="19" t="s">
        <v>148</v>
      </c>
      <c r="J1265" s="11" t="str">
        <f>+LEFT(U1265,4)</f>
        <v>SKU-</v>
      </c>
      <c r="K1265" s="19" t="s">
        <v>98</v>
      </c>
      <c r="L1265" s="19">
        <v>-1170</v>
      </c>
      <c r="M1265" s="19" t="s">
        <v>1472</v>
      </c>
      <c r="N1265" s="19" t="s">
        <v>11</v>
      </c>
      <c r="O1265" s="26">
        <v>8.6722999999999999</v>
      </c>
      <c r="P1265" s="12">
        <f>ROUND(O1265*L1265,2)</f>
        <v>-10146.59</v>
      </c>
      <c r="Q1265" s="13">
        <f>IF(N1265="HKD",7.8,IF(N1265="CNY",7.30034,1))</f>
        <v>7.3003400000000003</v>
      </c>
      <c r="R1265" s="15">
        <f>+ROUND(O1265/Q1265,4)</f>
        <v>1.1879</v>
      </c>
      <c r="S1265" s="14">
        <f>ROUND(R1265*L1265,2)</f>
        <v>-1389.84</v>
      </c>
      <c r="T1265" s="15" t="s">
        <v>349</v>
      </c>
      <c r="U1265" s="19" t="s">
        <v>2</v>
      </c>
    </row>
    <row r="1266" spans="1:22" x14ac:dyDescent="0.2">
      <c r="A1266" s="19" t="s">
        <v>1196</v>
      </c>
      <c r="B1266" s="20">
        <v>45660</v>
      </c>
      <c r="C1266" s="20">
        <v>45615</v>
      </c>
      <c r="D1266" s="19" t="s">
        <v>149</v>
      </c>
      <c r="E1266" s="19" t="s">
        <v>150</v>
      </c>
      <c r="G1266" s="19" t="s">
        <v>1313</v>
      </c>
      <c r="H1266" s="19" t="s">
        <v>147</v>
      </c>
      <c r="I1266" s="19" t="s">
        <v>148</v>
      </c>
      <c r="J1266" s="11" t="str">
        <f>+LEFT(U1266,4)</f>
        <v>SKU-</v>
      </c>
      <c r="K1266" s="19" t="s">
        <v>98</v>
      </c>
      <c r="L1266" s="19">
        <v>1170</v>
      </c>
      <c r="M1266" s="19" t="s">
        <v>1472</v>
      </c>
      <c r="N1266" s="19" t="s">
        <v>11</v>
      </c>
      <c r="O1266" s="26">
        <v>8.6722999999999999</v>
      </c>
      <c r="P1266" s="12">
        <f>ROUND(O1266*L1266,2)</f>
        <v>10146.59</v>
      </c>
      <c r="Q1266" s="13">
        <f>IF(N1266="HKD",7.8,IF(N1266="CNY",7.30034,1))</f>
        <v>7.3003400000000003</v>
      </c>
      <c r="R1266" s="15">
        <f>+ROUND(O1266/Q1266,4)</f>
        <v>1.1879</v>
      </c>
      <c r="S1266" s="14">
        <f>ROUND(R1266*L1266,2)</f>
        <v>1389.84</v>
      </c>
      <c r="T1266" s="15" t="s">
        <v>349</v>
      </c>
      <c r="U1266" s="19" t="s">
        <v>2</v>
      </c>
    </row>
    <row r="1267" spans="1:22" x14ac:dyDescent="0.2">
      <c r="A1267" s="19" t="s">
        <v>1270</v>
      </c>
      <c r="B1267" s="20">
        <v>45663</v>
      </c>
      <c r="C1267" s="20">
        <v>45576</v>
      </c>
      <c r="D1267" s="19" t="s">
        <v>94</v>
      </c>
      <c r="E1267" s="19" t="s">
        <v>95</v>
      </c>
      <c r="F1267" s="21"/>
      <c r="G1267" s="19" t="s">
        <v>1271</v>
      </c>
      <c r="H1267" s="19" t="s">
        <v>1268</v>
      </c>
      <c r="I1267" s="19" t="s">
        <v>1269</v>
      </c>
      <c r="J1267" s="11" t="str">
        <f>+LEFT(U1267,4)</f>
        <v>SKU-</v>
      </c>
      <c r="K1267" s="19" t="s">
        <v>98</v>
      </c>
      <c r="L1267" s="19">
        <v>1000</v>
      </c>
      <c r="M1267" s="19" t="s">
        <v>1472</v>
      </c>
      <c r="N1267" s="19" t="s">
        <v>11</v>
      </c>
      <c r="O1267" s="26">
        <v>4.3499999999999996</v>
      </c>
      <c r="P1267" s="12">
        <f>ROUND(O1267*L1267,2)</f>
        <v>4350</v>
      </c>
      <c r="Q1267" s="13">
        <f>IF(N1267="HKD",7.8,IF(N1267="CNY",7.30034,1))</f>
        <v>7.3003400000000003</v>
      </c>
      <c r="R1267" s="15">
        <f>+ROUND(O1267/Q1267,4)</f>
        <v>0.59589999999999999</v>
      </c>
      <c r="S1267" s="14">
        <f>ROUND(R1267*L1267,2)</f>
        <v>595.9</v>
      </c>
      <c r="T1267" s="15" t="s">
        <v>349</v>
      </c>
      <c r="U1267" s="19" t="s">
        <v>2</v>
      </c>
      <c r="V1267" s="22"/>
    </row>
    <row r="1268" spans="1:22" x14ac:dyDescent="0.2">
      <c r="A1268" s="19" t="s">
        <v>1274</v>
      </c>
      <c r="B1268" s="20">
        <v>45663</v>
      </c>
      <c r="C1268" s="20">
        <v>45576</v>
      </c>
      <c r="D1268" s="19" t="s">
        <v>94</v>
      </c>
      <c r="E1268" s="19" t="s">
        <v>95</v>
      </c>
      <c r="G1268" s="19" t="s">
        <v>1271</v>
      </c>
      <c r="H1268" s="19" t="s">
        <v>1272</v>
      </c>
      <c r="I1268" s="19" t="s">
        <v>1273</v>
      </c>
      <c r="J1268" s="11" t="str">
        <f>+LEFT(U1268,4)</f>
        <v>SKU-</v>
      </c>
      <c r="K1268" s="19" t="s">
        <v>98</v>
      </c>
      <c r="L1268" s="19">
        <v>800</v>
      </c>
      <c r="M1268" s="19" t="s">
        <v>1472</v>
      </c>
      <c r="N1268" s="19" t="s">
        <v>11</v>
      </c>
      <c r="O1268" s="26">
        <v>4.91</v>
      </c>
      <c r="P1268" s="12">
        <f>ROUND(O1268*L1268,2)</f>
        <v>3928</v>
      </c>
      <c r="Q1268" s="13">
        <f>IF(N1268="HKD",7.8,IF(N1268="CNY",7.30034,1))</f>
        <v>7.3003400000000003</v>
      </c>
      <c r="R1268" s="15">
        <f>+ROUND(O1268/Q1268,4)</f>
        <v>0.67259999999999998</v>
      </c>
      <c r="S1268" s="14">
        <f>ROUND(R1268*L1268,2)</f>
        <v>538.08000000000004</v>
      </c>
      <c r="T1268" s="15" t="s">
        <v>349</v>
      </c>
      <c r="U1268" s="19" t="s">
        <v>2</v>
      </c>
    </row>
    <row r="1269" spans="1:22" x14ac:dyDescent="0.2">
      <c r="A1269" s="19" t="s">
        <v>780</v>
      </c>
      <c r="B1269" s="20">
        <v>45663</v>
      </c>
      <c r="C1269" s="20">
        <v>45615</v>
      </c>
      <c r="D1269" s="19" t="s">
        <v>149</v>
      </c>
      <c r="E1269" s="19" t="s">
        <v>150</v>
      </c>
      <c r="G1269" s="19" t="s">
        <v>1197</v>
      </c>
      <c r="H1269" s="19" t="s">
        <v>345</v>
      </c>
      <c r="I1269" s="19" t="s">
        <v>346</v>
      </c>
      <c r="J1269" s="11" t="str">
        <f>+LEFT(U1269,4)</f>
        <v>SKU-</v>
      </c>
      <c r="K1269" s="19" t="s">
        <v>98</v>
      </c>
      <c r="L1269" s="19">
        <v>480</v>
      </c>
      <c r="M1269" s="19" t="s">
        <v>1472</v>
      </c>
      <c r="N1269" s="19" t="s">
        <v>11</v>
      </c>
      <c r="O1269" s="26">
        <v>7.4157999999999999</v>
      </c>
      <c r="P1269" s="12">
        <f>ROUND(O1269*L1269,2)</f>
        <v>3559.58</v>
      </c>
      <c r="Q1269" s="13">
        <f>IF(N1269="HKD",7.8,IF(N1269="CNY",7.30034,1))</f>
        <v>7.3003400000000003</v>
      </c>
      <c r="R1269" s="15">
        <f>+ROUND(O1269/Q1269,4)</f>
        <v>1.0158</v>
      </c>
      <c r="S1269" s="14">
        <f>ROUND(R1269*L1269,2)</f>
        <v>487.58</v>
      </c>
      <c r="T1269" s="15" t="s">
        <v>349</v>
      </c>
      <c r="U1269" s="19" t="s">
        <v>2</v>
      </c>
    </row>
    <row r="1270" spans="1:22" x14ac:dyDescent="0.2">
      <c r="A1270" s="19" t="s">
        <v>1196</v>
      </c>
      <c r="B1270" s="20">
        <v>45663</v>
      </c>
      <c r="C1270" s="20">
        <v>45615</v>
      </c>
      <c r="D1270" s="19" t="s">
        <v>149</v>
      </c>
      <c r="E1270" s="19" t="s">
        <v>150</v>
      </c>
      <c r="G1270" s="19" t="s">
        <v>1197</v>
      </c>
      <c r="H1270" s="19" t="s">
        <v>147</v>
      </c>
      <c r="I1270" s="19" t="s">
        <v>148</v>
      </c>
      <c r="J1270" s="11" t="str">
        <f>+LEFT(U1270,4)</f>
        <v>SKU-</v>
      </c>
      <c r="K1270" s="19" t="s">
        <v>98</v>
      </c>
      <c r="L1270" s="19">
        <v>1830</v>
      </c>
      <c r="M1270" s="19" t="s">
        <v>1472</v>
      </c>
      <c r="N1270" s="19" t="s">
        <v>11</v>
      </c>
      <c r="O1270" s="26">
        <v>8.6722999999999999</v>
      </c>
      <c r="P1270" s="12">
        <f>ROUND(O1270*L1270,2)</f>
        <v>15870.31</v>
      </c>
      <c r="Q1270" s="13">
        <f>IF(N1270="HKD",7.8,IF(N1270="CNY",7.30034,1))</f>
        <v>7.3003400000000003</v>
      </c>
      <c r="R1270" s="15">
        <f>+ROUND(O1270/Q1270,4)</f>
        <v>1.1879</v>
      </c>
      <c r="S1270" s="14">
        <f>ROUND(R1270*L1270,2)</f>
        <v>2173.86</v>
      </c>
      <c r="T1270" s="15" t="s">
        <v>349</v>
      </c>
      <c r="U1270" s="19" t="s">
        <v>2</v>
      </c>
    </row>
    <row r="1271" spans="1:22" x14ac:dyDescent="0.2">
      <c r="A1271" s="19" t="s">
        <v>836</v>
      </c>
      <c r="B1271" s="20">
        <v>45666</v>
      </c>
      <c r="C1271" s="20">
        <v>45615</v>
      </c>
      <c r="D1271" s="19" t="s">
        <v>830</v>
      </c>
      <c r="E1271" s="19" t="s">
        <v>831</v>
      </c>
      <c r="G1271" s="19" t="s">
        <v>833</v>
      </c>
      <c r="H1271" s="19" t="s">
        <v>834</v>
      </c>
      <c r="I1271" s="19" t="s">
        <v>835</v>
      </c>
      <c r="J1271" s="11" t="str">
        <f>+LEFT(U1271,4)</f>
        <v>SKU-</v>
      </c>
      <c r="K1271" s="19" t="s">
        <v>98</v>
      </c>
      <c r="L1271" s="19">
        <v>1000</v>
      </c>
      <c r="M1271" s="19" t="s">
        <v>1472</v>
      </c>
      <c r="N1271" s="19" t="s">
        <v>11</v>
      </c>
      <c r="O1271" s="26">
        <v>4.9154</v>
      </c>
      <c r="P1271" s="12">
        <f>ROUND(O1271*L1271,2)</f>
        <v>4915.3999999999996</v>
      </c>
      <c r="Q1271" s="13">
        <f>IF(N1271="HKD",7.8,IF(N1271="CNY",7.30034,1))</f>
        <v>7.3003400000000003</v>
      </c>
      <c r="R1271" s="15">
        <f>+ROUND(O1271/Q1271,4)</f>
        <v>0.67330000000000001</v>
      </c>
      <c r="S1271" s="14">
        <f>ROUND(R1271*L1271,2)</f>
        <v>673.3</v>
      </c>
      <c r="T1271" s="15" t="s">
        <v>349</v>
      </c>
      <c r="U1271" s="19" t="s">
        <v>2</v>
      </c>
    </row>
    <row r="1272" spans="1:22" x14ac:dyDescent="0.2">
      <c r="A1272" s="19" t="s">
        <v>832</v>
      </c>
      <c r="B1272" s="20">
        <v>45666</v>
      </c>
      <c r="C1272" s="20">
        <v>45615</v>
      </c>
      <c r="D1272" s="19" t="s">
        <v>830</v>
      </c>
      <c r="E1272" s="19" t="s">
        <v>831</v>
      </c>
      <c r="G1272" s="19" t="s">
        <v>833</v>
      </c>
      <c r="H1272" s="19" t="s">
        <v>828</v>
      </c>
      <c r="I1272" s="19" t="s">
        <v>829</v>
      </c>
      <c r="J1272" s="11" t="str">
        <f>+LEFT(U1272,4)</f>
        <v>SKU-</v>
      </c>
      <c r="K1272" s="19" t="s">
        <v>98</v>
      </c>
      <c r="L1272" s="19">
        <v>1000</v>
      </c>
      <c r="M1272" s="19" t="s">
        <v>1472</v>
      </c>
      <c r="N1272" s="19" t="s">
        <v>11</v>
      </c>
      <c r="O1272" s="26">
        <v>5.0862999999999996</v>
      </c>
      <c r="P1272" s="12">
        <f>ROUND(O1272*L1272,2)</f>
        <v>5086.3</v>
      </c>
      <c r="Q1272" s="13">
        <f>IF(N1272="HKD",7.8,IF(N1272="CNY",7.30034,1))</f>
        <v>7.3003400000000003</v>
      </c>
      <c r="R1272" s="15">
        <f>+ROUND(O1272/Q1272,4)</f>
        <v>0.69669999999999999</v>
      </c>
      <c r="S1272" s="14">
        <f>ROUND(R1272*L1272,2)</f>
        <v>696.7</v>
      </c>
      <c r="T1272" s="15" t="s">
        <v>349</v>
      </c>
      <c r="U1272" s="19" t="s">
        <v>2</v>
      </c>
    </row>
    <row r="1273" spans="1:22" x14ac:dyDescent="0.2">
      <c r="A1273" s="19" t="s">
        <v>780</v>
      </c>
      <c r="B1273" s="20">
        <v>45666</v>
      </c>
      <c r="C1273" s="20">
        <v>45615</v>
      </c>
      <c r="D1273" s="19" t="s">
        <v>149</v>
      </c>
      <c r="E1273" s="19" t="s">
        <v>150</v>
      </c>
      <c r="G1273" s="19" t="s">
        <v>779</v>
      </c>
      <c r="H1273" s="19" t="s">
        <v>345</v>
      </c>
      <c r="I1273" s="19" t="s">
        <v>346</v>
      </c>
      <c r="J1273" s="11" t="str">
        <f>+LEFT(U1273,4)</f>
        <v>SKU-</v>
      </c>
      <c r="K1273" s="19" t="s">
        <v>98</v>
      </c>
      <c r="L1273" s="19">
        <v>4520</v>
      </c>
      <c r="M1273" s="19" t="s">
        <v>1472</v>
      </c>
      <c r="N1273" s="19" t="s">
        <v>11</v>
      </c>
      <c r="O1273" s="26">
        <v>7.4157999999999999</v>
      </c>
      <c r="P1273" s="12">
        <f>ROUND(O1273*L1273,2)</f>
        <v>33519.42</v>
      </c>
      <c r="Q1273" s="13">
        <f>IF(N1273="HKD",7.8,IF(N1273="CNY",7.30034,1))</f>
        <v>7.3003400000000003</v>
      </c>
      <c r="R1273" s="15">
        <f>+ROUND(O1273/Q1273,4)</f>
        <v>1.0158</v>
      </c>
      <c r="S1273" s="14">
        <f>ROUND(R1273*L1273,2)</f>
        <v>4591.42</v>
      </c>
      <c r="T1273" s="15" t="s">
        <v>349</v>
      </c>
      <c r="U1273" s="19" t="s">
        <v>2</v>
      </c>
    </row>
    <row r="1274" spans="1:22" x14ac:dyDescent="0.2">
      <c r="A1274" s="19" t="s">
        <v>347</v>
      </c>
      <c r="B1274" s="20">
        <v>45666</v>
      </c>
      <c r="C1274" s="20">
        <v>45639</v>
      </c>
      <c r="D1274" s="19" t="s">
        <v>149</v>
      </c>
      <c r="E1274" s="19" t="s">
        <v>150</v>
      </c>
      <c r="G1274" s="19" t="s">
        <v>757</v>
      </c>
      <c r="H1274" s="19" t="s">
        <v>345</v>
      </c>
      <c r="I1274" s="19" t="s">
        <v>346</v>
      </c>
      <c r="J1274" s="11" t="str">
        <f>+LEFT(U1274,4)</f>
        <v>SKU-</v>
      </c>
      <c r="K1274" s="19" t="s">
        <v>98</v>
      </c>
      <c r="L1274" s="19">
        <v>1920</v>
      </c>
      <c r="M1274" s="19" t="s">
        <v>1472</v>
      </c>
      <c r="N1274" s="19" t="s">
        <v>11</v>
      </c>
      <c r="O1274" s="26">
        <v>7.4157999999999999</v>
      </c>
      <c r="P1274" s="12">
        <f>ROUND(O1274*L1274,2)</f>
        <v>14238.34</v>
      </c>
      <c r="Q1274" s="13">
        <f>IF(N1274="HKD",7.8,IF(N1274="CNY",7.30034,1))</f>
        <v>7.3003400000000003</v>
      </c>
      <c r="R1274" s="15">
        <f>+ROUND(O1274/Q1274,4)</f>
        <v>1.0158</v>
      </c>
      <c r="S1274" s="14">
        <f>ROUND(R1274*L1274,2)</f>
        <v>1950.34</v>
      </c>
      <c r="T1274" s="15" t="s">
        <v>349</v>
      </c>
      <c r="U1274" s="19" t="s">
        <v>2</v>
      </c>
    </row>
    <row r="1275" spans="1:22" x14ac:dyDescent="0.2">
      <c r="A1275" s="19" t="s">
        <v>347</v>
      </c>
      <c r="B1275" s="20">
        <v>45666</v>
      </c>
      <c r="C1275" s="20">
        <v>45639</v>
      </c>
      <c r="D1275" s="19" t="s">
        <v>149</v>
      </c>
      <c r="E1275" s="19" t="s">
        <v>150</v>
      </c>
      <c r="G1275" s="19" t="s">
        <v>779</v>
      </c>
      <c r="H1275" s="19" t="s">
        <v>345</v>
      </c>
      <c r="I1275" s="19" t="s">
        <v>346</v>
      </c>
      <c r="J1275" s="11" t="str">
        <f>+LEFT(U1275,4)</f>
        <v>SKU-</v>
      </c>
      <c r="K1275" s="19" t="s">
        <v>98</v>
      </c>
      <c r="L1275" s="19">
        <v>680</v>
      </c>
      <c r="M1275" s="19" t="s">
        <v>1472</v>
      </c>
      <c r="N1275" s="19" t="s">
        <v>11</v>
      </c>
      <c r="O1275" s="26">
        <v>7.4157999999999999</v>
      </c>
      <c r="P1275" s="12">
        <f>ROUND(O1275*L1275,2)</f>
        <v>5042.74</v>
      </c>
      <c r="Q1275" s="13">
        <f>IF(N1275="HKD",7.8,IF(N1275="CNY",7.30034,1))</f>
        <v>7.3003400000000003</v>
      </c>
      <c r="R1275" s="15">
        <f>+ROUND(O1275/Q1275,4)</f>
        <v>1.0158</v>
      </c>
      <c r="S1275" s="14">
        <f>ROUND(R1275*L1275,2)</f>
        <v>690.74</v>
      </c>
      <c r="T1275" s="15" t="s">
        <v>349</v>
      </c>
      <c r="U1275" s="19" t="s">
        <v>2</v>
      </c>
    </row>
    <row r="1276" spans="1:22" x14ac:dyDescent="0.2">
      <c r="A1276" s="19" t="s">
        <v>362</v>
      </c>
      <c r="B1276" s="20">
        <v>45670</v>
      </c>
      <c r="C1276" s="20">
        <v>45615</v>
      </c>
      <c r="D1276" s="19" t="s">
        <v>94</v>
      </c>
      <c r="E1276" s="19" t="s">
        <v>95</v>
      </c>
      <c r="G1276" s="19" t="s">
        <v>610</v>
      </c>
      <c r="H1276" s="19" t="s">
        <v>360</v>
      </c>
      <c r="I1276" s="19" t="s">
        <v>361</v>
      </c>
      <c r="J1276" s="11" t="str">
        <f>+LEFT(U1276,4)</f>
        <v>SKU-</v>
      </c>
      <c r="K1276" s="19" t="s">
        <v>98</v>
      </c>
      <c r="L1276" s="19">
        <v>2640</v>
      </c>
      <c r="M1276" s="19" t="s">
        <v>1472</v>
      </c>
      <c r="N1276" s="19" t="s">
        <v>11</v>
      </c>
      <c r="O1276" s="26">
        <v>5.8230000000000004</v>
      </c>
      <c r="P1276" s="12">
        <f>ROUND(O1276*L1276,2)</f>
        <v>15372.72</v>
      </c>
      <c r="Q1276" s="13">
        <f>IF(N1276="HKD",7.8,IF(N1276="CNY",7.30034,1))</f>
        <v>7.3003400000000003</v>
      </c>
      <c r="R1276" s="15">
        <f>+ROUND(O1276/Q1276,4)</f>
        <v>0.79759999999999998</v>
      </c>
      <c r="S1276" s="14">
        <f>ROUND(R1276*L1276,2)</f>
        <v>2105.66</v>
      </c>
      <c r="T1276" s="15" t="s">
        <v>349</v>
      </c>
      <c r="U1276" s="19" t="s">
        <v>2</v>
      </c>
    </row>
    <row r="1277" spans="1:22" x14ac:dyDescent="0.2">
      <c r="A1277" s="19" t="s">
        <v>362</v>
      </c>
      <c r="B1277" s="20">
        <v>45671</v>
      </c>
      <c r="C1277" s="20">
        <v>45615</v>
      </c>
      <c r="D1277" s="19" t="s">
        <v>94</v>
      </c>
      <c r="E1277" s="19" t="s">
        <v>95</v>
      </c>
      <c r="G1277" s="19" t="s">
        <v>363</v>
      </c>
      <c r="H1277" s="19" t="s">
        <v>360</v>
      </c>
      <c r="I1277" s="19" t="s">
        <v>361</v>
      </c>
      <c r="J1277" s="11" t="str">
        <f>+LEFT(U1277,4)</f>
        <v>SKU-</v>
      </c>
      <c r="K1277" s="19" t="s">
        <v>98</v>
      </c>
      <c r="L1277" s="19">
        <v>2860</v>
      </c>
      <c r="M1277" s="19" t="s">
        <v>1472</v>
      </c>
      <c r="N1277" s="19" t="s">
        <v>11</v>
      </c>
      <c r="O1277" s="26">
        <v>5.8230000000000004</v>
      </c>
      <c r="P1277" s="12">
        <f>ROUND(O1277*L1277,2)</f>
        <v>16653.78</v>
      </c>
      <c r="Q1277" s="13">
        <f>IF(N1277="HKD",7.8,IF(N1277="CNY",7.30034,1))</f>
        <v>7.3003400000000003</v>
      </c>
      <c r="R1277" s="15">
        <f>+ROUND(O1277/Q1277,4)</f>
        <v>0.79759999999999998</v>
      </c>
      <c r="S1277" s="14">
        <f>ROUND(R1277*L1277,2)</f>
        <v>2281.14</v>
      </c>
      <c r="T1277" s="15" t="s">
        <v>349</v>
      </c>
      <c r="U1277" s="19" t="s">
        <v>2</v>
      </c>
    </row>
    <row r="1278" spans="1:22" x14ac:dyDescent="0.2">
      <c r="A1278" s="19" t="s">
        <v>277</v>
      </c>
      <c r="B1278" s="20">
        <v>45672</v>
      </c>
      <c r="C1278" s="20">
        <v>45615</v>
      </c>
      <c r="D1278" s="19" t="s">
        <v>149</v>
      </c>
      <c r="E1278" s="19" t="s">
        <v>150</v>
      </c>
      <c r="G1278" s="19" t="s">
        <v>348</v>
      </c>
      <c r="H1278" s="19" t="s">
        <v>274</v>
      </c>
      <c r="I1278" s="19" t="s">
        <v>275</v>
      </c>
      <c r="J1278" s="11" t="str">
        <f>+LEFT(U1278,4)</f>
        <v>SKU-</v>
      </c>
      <c r="K1278" s="19" t="s">
        <v>98</v>
      </c>
      <c r="L1278" s="19">
        <v>4000</v>
      </c>
      <c r="M1278" s="19" t="s">
        <v>1472</v>
      </c>
      <c r="N1278" s="19" t="s">
        <v>11</v>
      </c>
      <c r="O1278" s="26">
        <v>5.7253999999999996</v>
      </c>
      <c r="P1278" s="12">
        <f>ROUND(O1278*L1278,2)</f>
        <v>22901.599999999999</v>
      </c>
      <c r="Q1278" s="13">
        <f>IF(N1278="HKD",7.8,IF(N1278="CNY",7.30034,1))</f>
        <v>7.3003400000000003</v>
      </c>
      <c r="R1278" s="15">
        <f>+ROUND(O1278/Q1278,4)</f>
        <v>0.7843</v>
      </c>
      <c r="S1278" s="14">
        <f>ROUND(R1278*L1278,2)</f>
        <v>3137.2</v>
      </c>
      <c r="T1278" s="15" t="s">
        <v>349</v>
      </c>
      <c r="U1278" s="19" t="s">
        <v>2</v>
      </c>
    </row>
    <row r="1279" spans="1:22" x14ac:dyDescent="0.2">
      <c r="A1279" s="19" t="s">
        <v>347</v>
      </c>
      <c r="B1279" s="20">
        <v>45672</v>
      </c>
      <c r="C1279" s="20">
        <v>45639</v>
      </c>
      <c r="D1279" s="19" t="s">
        <v>149</v>
      </c>
      <c r="E1279" s="19" t="s">
        <v>150</v>
      </c>
      <c r="G1279" s="19" t="s">
        <v>348</v>
      </c>
      <c r="H1279" s="19" t="s">
        <v>345</v>
      </c>
      <c r="I1279" s="19" t="s">
        <v>346</v>
      </c>
      <c r="J1279" s="11" t="str">
        <f>+LEFT(U1279,4)</f>
        <v>SKU-</v>
      </c>
      <c r="K1279" s="19" t="s">
        <v>98</v>
      </c>
      <c r="L1279" s="19">
        <v>2400</v>
      </c>
      <c r="M1279" s="19" t="s">
        <v>1472</v>
      </c>
      <c r="N1279" s="19" t="s">
        <v>11</v>
      </c>
      <c r="O1279" s="26">
        <v>7.4157999999999999</v>
      </c>
      <c r="P1279" s="12">
        <f>ROUND(O1279*L1279,2)</f>
        <v>17797.919999999998</v>
      </c>
      <c r="Q1279" s="13">
        <f>IF(N1279="HKD",7.8,IF(N1279="CNY",7.30034,1))</f>
        <v>7.3003400000000003</v>
      </c>
      <c r="R1279" s="15">
        <f>+ROUND(O1279/Q1279,4)</f>
        <v>1.0158</v>
      </c>
      <c r="S1279" s="14">
        <f>ROUND(R1279*L1279,2)</f>
        <v>2437.92</v>
      </c>
      <c r="T1279" s="15" t="s">
        <v>349</v>
      </c>
      <c r="U1279" s="19" t="s">
        <v>2</v>
      </c>
    </row>
    <row r="1280" spans="1:22" x14ac:dyDescent="0.2">
      <c r="A1280" s="19" t="s">
        <v>277</v>
      </c>
      <c r="B1280" s="20">
        <v>45673</v>
      </c>
      <c r="C1280" s="20">
        <v>45615</v>
      </c>
      <c r="D1280" s="19" t="s">
        <v>149</v>
      </c>
      <c r="E1280" s="19" t="s">
        <v>150</v>
      </c>
      <c r="G1280" s="19" t="s">
        <v>273</v>
      </c>
      <c r="H1280" s="19" t="s">
        <v>274</v>
      </c>
      <c r="I1280" s="19" t="s">
        <v>275</v>
      </c>
      <c r="J1280" s="11" t="str">
        <f>+LEFT(U1280,4)</f>
        <v>SKU-</v>
      </c>
      <c r="K1280" s="19" t="s">
        <v>98</v>
      </c>
      <c r="L1280" s="19">
        <v>500</v>
      </c>
      <c r="M1280" s="19" t="s">
        <v>1472</v>
      </c>
      <c r="N1280" s="19" t="s">
        <v>11</v>
      </c>
      <c r="O1280" s="26">
        <v>5.7253999999999996</v>
      </c>
      <c r="P1280" s="12">
        <f>ROUND(O1280*L1280,2)</f>
        <v>2862.7</v>
      </c>
      <c r="Q1280" s="13">
        <f>IF(N1280="HKD",7.8,IF(N1280="CNY",7.30034,1))</f>
        <v>7.3003400000000003</v>
      </c>
      <c r="R1280" s="15">
        <f>+ROUND(O1280/Q1280,4)</f>
        <v>0.7843</v>
      </c>
      <c r="S1280" s="14">
        <f>ROUND(R1280*L1280,2)</f>
        <v>392.15</v>
      </c>
      <c r="T1280" s="15" t="s">
        <v>349</v>
      </c>
      <c r="U1280" s="19" t="s">
        <v>2</v>
      </c>
    </row>
    <row r="1281" spans="1:21" x14ac:dyDescent="0.2">
      <c r="A1281" s="19" t="s">
        <v>276</v>
      </c>
      <c r="B1281" s="20">
        <v>45673</v>
      </c>
      <c r="C1281" s="20">
        <v>45639</v>
      </c>
      <c r="D1281" s="19" t="s">
        <v>149</v>
      </c>
      <c r="E1281" s="19" t="s">
        <v>150</v>
      </c>
      <c r="G1281" s="19" t="s">
        <v>273</v>
      </c>
      <c r="H1281" s="19" t="s">
        <v>274</v>
      </c>
      <c r="I1281" s="19" t="s">
        <v>275</v>
      </c>
      <c r="J1281" s="11" t="str">
        <f>+LEFT(U1281,4)</f>
        <v>SKU-</v>
      </c>
      <c r="K1281" s="19" t="s">
        <v>98</v>
      </c>
      <c r="L1281" s="19">
        <v>4500</v>
      </c>
      <c r="M1281" s="19" t="s">
        <v>1472</v>
      </c>
      <c r="N1281" s="19" t="s">
        <v>11</v>
      </c>
      <c r="O1281" s="26">
        <v>5.7253999999999996</v>
      </c>
      <c r="P1281" s="12">
        <f>ROUND(O1281*L1281,2)</f>
        <v>25764.3</v>
      </c>
      <c r="Q1281" s="13">
        <f>IF(N1281="HKD",7.8,IF(N1281="CNY",7.30034,1))</f>
        <v>7.3003400000000003</v>
      </c>
      <c r="R1281" s="15">
        <f>+ROUND(O1281/Q1281,4)</f>
        <v>0.7843</v>
      </c>
      <c r="S1281" s="14">
        <f>ROUND(R1281*L1281,2)</f>
        <v>3529.35</v>
      </c>
      <c r="T1281" s="15" t="s">
        <v>349</v>
      </c>
      <c r="U1281" s="19" t="s">
        <v>2</v>
      </c>
    </row>
    <row r="1282" spans="1:21" x14ac:dyDescent="0.2">
      <c r="A1282" s="19" t="s">
        <v>151</v>
      </c>
      <c r="B1282" s="20">
        <v>45673</v>
      </c>
      <c r="C1282" s="20">
        <v>45639</v>
      </c>
      <c r="D1282" s="19" t="s">
        <v>149</v>
      </c>
      <c r="E1282" s="19" t="s">
        <v>150</v>
      </c>
      <c r="G1282" s="19" t="s">
        <v>273</v>
      </c>
      <c r="H1282" s="19" t="s">
        <v>147</v>
      </c>
      <c r="I1282" s="19" t="s">
        <v>148</v>
      </c>
      <c r="J1282" s="11" t="str">
        <f>+LEFT(U1282,4)</f>
        <v>SKU-</v>
      </c>
      <c r="K1282" s="19" t="s">
        <v>98</v>
      </c>
      <c r="L1282" s="19">
        <v>2090</v>
      </c>
      <c r="M1282" s="19" t="s">
        <v>1472</v>
      </c>
      <c r="N1282" s="19" t="s">
        <v>11</v>
      </c>
      <c r="O1282" s="26">
        <v>8.6722999999999999</v>
      </c>
      <c r="P1282" s="12">
        <f>ROUND(O1282*L1282,2)</f>
        <v>18125.11</v>
      </c>
      <c r="Q1282" s="13">
        <f>IF(N1282="HKD",7.8,IF(N1282="CNY",7.30034,1))</f>
        <v>7.3003400000000003</v>
      </c>
      <c r="R1282" s="15">
        <f>+ROUND(O1282/Q1282,4)</f>
        <v>1.1879</v>
      </c>
      <c r="S1282" s="14">
        <f>ROUND(R1282*L1282,2)</f>
        <v>2482.71</v>
      </c>
      <c r="T1282" s="15" t="s">
        <v>349</v>
      </c>
      <c r="U1282" s="19" t="s">
        <v>2</v>
      </c>
    </row>
    <row r="1283" spans="1:21" x14ac:dyDescent="0.2">
      <c r="A1283" s="19" t="s">
        <v>151</v>
      </c>
      <c r="B1283" s="20">
        <v>45675</v>
      </c>
      <c r="C1283" s="20">
        <v>45639</v>
      </c>
      <c r="D1283" s="19" t="s">
        <v>149</v>
      </c>
      <c r="E1283" s="19" t="s">
        <v>150</v>
      </c>
      <c r="G1283" s="19" t="s">
        <v>152</v>
      </c>
      <c r="H1283" s="19" t="s">
        <v>147</v>
      </c>
      <c r="I1283" s="19" t="s">
        <v>148</v>
      </c>
      <c r="J1283" s="11" t="str">
        <f>+LEFT(U1283,4)</f>
        <v>SKU-</v>
      </c>
      <c r="K1283" s="19" t="s">
        <v>98</v>
      </c>
      <c r="L1283" s="19">
        <v>910</v>
      </c>
      <c r="M1283" s="19" t="s">
        <v>1472</v>
      </c>
      <c r="N1283" s="19" t="s">
        <v>11</v>
      </c>
      <c r="O1283" s="26">
        <v>8.6722999999999999</v>
      </c>
      <c r="P1283" s="12">
        <f>ROUND(O1283*L1283,2)</f>
        <v>7891.79</v>
      </c>
      <c r="Q1283" s="13">
        <f>IF(N1283="HKD",7.8,IF(N1283="CNY",7.30034,1))</f>
        <v>7.3003400000000003</v>
      </c>
      <c r="R1283" s="15">
        <f>+ROUND(O1283/Q1283,4)</f>
        <v>1.1879</v>
      </c>
      <c r="S1283" s="14">
        <f>ROUND(R1283*L1283,2)</f>
        <v>1080.99</v>
      </c>
      <c r="T1283" s="15" t="s">
        <v>349</v>
      </c>
      <c r="U1283" s="19" t="s">
        <v>2</v>
      </c>
    </row>
    <row r="1284" spans="1:21" x14ac:dyDescent="0.2">
      <c r="A1284" s="19" t="s">
        <v>96</v>
      </c>
      <c r="B1284" s="20">
        <v>45677</v>
      </c>
      <c r="C1284" s="20">
        <v>45615</v>
      </c>
      <c r="D1284" s="19" t="s">
        <v>94</v>
      </c>
      <c r="E1284" s="19" t="s">
        <v>95</v>
      </c>
      <c r="G1284" s="19" t="s">
        <v>118</v>
      </c>
      <c r="H1284" s="19" t="s">
        <v>92</v>
      </c>
      <c r="I1284" s="19" t="s">
        <v>93</v>
      </c>
      <c r="J1284" s="11" t="str">
        <f>+LEFT(U1284,4)</f>
        <v>SKU-</v>
      </c>
      <c r="K1284" s="19" t="s">
        <v>98</v>
      </c>
      <c r="L1284" s="19">
        <v>600</v>
      </c>
      <c r="M1284" s="19" t="s">
        <v>1472</v>
      </c>
      <c r="N1284" s="19" t="s">
        <v>11</v>
      </c>
      <c r="O1284" s="26">
        <v>6.298</v>
      </c>
      <c r="P1284" s="12">
        <f>ROUND(O1284*L1284,2)</f>
        <v>3778.8</v>
      </c>
      <c r="Q1284" s="13">
        <f>IF(N1284="HKD",7.8,IF(N1284="CNY",7.30034,1))</f>
        <v>7.3003400000000003</v>
      </c>
      <c r="R1284" s="15">
        <f>+ROUND(O1284/Q1284,4)</f>
        <v>0.86270000000000002</v>
      </c>
      <c r="S1284" s="14">
        <f>ROUND(R1284*L1284,2)</f>
        <v>517.62</v>
      </c>
      <c r="T1284" s="15" t="s">
        <v>349</v>
      </c>
      <c r="U1284" s="19" t="s">
        <v>2</v>
      </c>
    </row>
    <row r="1285" spans="1:21" x14ac:dyDescent="0.2">
      <c r="A1285" s="19" t="s">
        <v>96</v>
      </c>
      <c r="B1285" s="20">
        <v>45677</v>
      </c>
      <c r="C1285" s="20">
        <v>45615</v>
      </c>
      <c r="D1285" s="19" t="s">
        <v>94</v>
      </c>
      <c r="E1285" s="19" t="s">
        <v>95</v>
      </c>
      <c r="G1285" s="19" t="s">
        <v>133</v>
      </c>
      <c r="H1285" s="19" t="s">
        <v>92</v>
      </c>
      <c r="I1285" s="19" t="s">
        <v>93</v>
      </c>
      <c r="J1285" s="11" t="str">
        <f>+LEFT(U1285,4)</f>
        <v>SKU-</v>
      </c>
      <c r="K1285" s="19" t="s">
        <v>98</v>
      </c>
      <c r="L1285" s="19">
        <v>1800</v>
      </c>
      <c r="M1285" s="19" t="s">
        <v>1472</v>
      </c>
      <c r="N1285" s="19" t="s">
        <v>11</v>
      </c>
      <c r="O1285" s="26">
        <v>6.298</v>
      </c>
      <c r="P1285" s="12">
        <f>ROUND(O1285*L1285,2)</f>
        <v>11336.4</v>
      </c>
      <c r="Q1285" s="13">
        <f>IF(N1285="HKD",7.8,IF(N1285="CNY",7.30034,1))</f>
        <v>7.3003400000000003</v>
      </c>
      <c r="R1285" s="15">
        <f>+ROUND(O1285/Q1285,4)</f>
        <v>0.86270000000000002</v>
      </c>
      <c r="S1285" s="14">
        <f>ROUND(R1285*L1285,2)</f>
        <v>1552.86</v>
      </c>
      <c r="T1285" s="15" t="s">
        <v>349</v>
      </c>
      <c r="U1285" s="19" t="s">
        <v>2</v>
      </c>
    </row>
    <row r="1286" spans="1:21" x14ac:dyDescent="0.2">
      <c r="A1286" s="19" t="s">
        <v>96</v>
      </c>
      <c r="B1286" s="20">
        <v>45678</v>
      </c>
      <c r="C1286" s="20">
        <v>45615</v>
      </c>
      <c r="D1286" s="19" t="s">
        <v>94</v>
      </c>
      <c r="E1286" s="19" t="s">
        <v>95</v>
      </c>
      <c r="G1286" s="19" t="s">
        <v>97</v>
      </c>
      <c r="H1286" s="19" t="s">
        <v>92</v>
      </c>
      <c r="I1286" s="19" t="s">
        <v>93</v>
      </c>
      <c r="J1286" s="11" t="str">
        <f>+LEFT(U1286,4)</f>
        <v>SKU-</v>
      </c>
      <c r="K1286" s="19" t="s">
        <v>98</v>
      </c>
      <c r="L1286" s="19">
        <v>600</v>
      </c>
      <c r="M1286" s="19" t="s">
        <v>1472</v>
      </c>
      <c r="N1286" s="19" t="s">
        <v>11</v>
      </c>
      <c r="O1286" s="26">
        <v>6.298</v>
      </c>
      <c r="P1286" s="12">
        <f>ROUND(O1286*L1286,2)</f>
        <v>3778.8</v>
      </c>
      <c r="Q1286" s="13">
        <f>IF(N1286="HKD",7.8,IF(N1286="CNY",7.30034,1))</f>
        <v>7.3003400000000003</v>
      </c>
      <c r="R1286" s="15">
        <f>+ROUND(O1286/Q1286,4)</f>
        <v>0.86270000000000002</v>
      </c>
      <c r="S1286" s="14">
        <f>ROUND(R1286*L1286,2)</f>
        <v>517.62</v>
      </c>
      <c r="T1286" s="15" t="s">
        <v>349</v>
      </c>
      <c r="U1286" s="19" t="s">
        <v>2</v>
      </c>
    </row>
    <row r="1287" spans="1:21" x14ac:dyDescent="0.2">
      <c r="A1287" t="s">
        <v>2077</v>
      </c>
      <c r="B1287" s="24">
        <v>45706</v>
      </c>
      <c r="C1287" s="24">
        <v>45639</v>
      </c>
      <c r="D1287" t="s">
        <v>149</v>
      </c>
      <c r="E1287" t="s">
        <v>150</v>
      </c>
      <c r="G1287" t="s">
        <v>2215</v>
      </c>
      <c r="H1287" s="19" t="s">
        <v>274</v>
      </c>
      <c r="I1287" s="19" t="s">
        <v>275</v>
      </c>
      <c r="J1287" s="11" t="str">
        <f>+LEFT(U1287,4)</f>
        <v>SKU-</v>
      </c>
      <c r="K1287" t="s">
        <v>98</v>
      </c>
      <c r="L1287" s="19">
        <v>5000</v>
      </c>
      <c r="M1287" t="s">
        <v>1472</v>
      </c>
      <c r="N1287" t="s">
        <v>11</v>
      </c>
      <c r="O1287" s="26">
        <v>5.7253999999999996</v>
      </c>
      <c r="P1287" s="12">
        <f>ROUND(O1287*L1287,2)</f>
        <v>28627</v>
      </c>
      <c r="Q1287" s="13">
        <f>IF(N1287="HKD",7.8,IF(N1287="CNY",7.30034,1))</f>
        <v>7.3003400000000003</v>
      </c>
      <c r="R1287" s="15">
        <f>+ROUND(O1287/Q1287,4)</f>
        <v>0.7843</v>
      </c>
      <c r="S1287" s="14">
        <f>ROUND(R1287*L1287,2)</f>
        <v>3921.5</v>
      </c>
      <c r="T1287" s="15" t="s">
        <v>349</v>
      </c>
      <c r="U1287" t="s">
        <v>2</v>
      </c>
    </row>
    <row r="1288" spans="1:21" x14ac:dyDescent="0.2">
      <c r="A1288" t="s">
        <v>2078</v>
      </c>
      <c r="B1288" s="24">
        <v>45706</v>
      </c>
      <c r="C1288" s="24">
        <v>45644</v>
      </c>
      <c r="D1288" t="s">
        <v>149</v>
      </c>
      <c r="E1288" t="s">
        <v>150</v>
      </c>
      <c r="G1288" t="s">
        <v>2215</v>
      </c>
      <c r="H1288" s="19" t="s">
        <v>274</v>
      </c>
      <c r="I1288" s="19" t="s">
        <v>275</v>
      </c>
      <c r="J1288" s="11" t="str">
        <f>+LEFT(U1288,4)</f>
        <v>SKU-</v>
      </c>
      <c r="K1288" t="s">
        <v>98</v>
      </c>
      <c r="L1288" s="19">
        <v>4000</v>
      </c>
      <c r="M1288" t="s">
        <v>1472</v>
      </c>
      <c r="N1288" t="s">
        <v>11</v>
      </c>
      <c r="O1288" s="26">
        <v>5.7253999999999996</v>
      </c>
      <c r="P1288" s="12">
        <f>ROUND(O1288*L1288,2)</f>
        <v>22901.599999999999</v>
      </c>
      <c r="Q1288" s="13">
        <f>IF(N1288="HKD",7.8,IF(N1288="CNY",7.30034,1))</f>
        <v>7.3003400000000003</v>
      </c>
      <c r="R1288" s="15">
        <f>+ROUND(O1288/Q1288,4)</f>
        <v>0.7843</v>
      </c>
      <c r="S1288" s="14">
        <f>ROUND(R1288*L1288,2)</f>
        <v>3137.2</v>
      </c>
      <c r="T1288" s="15" t="s">
        <v>349</v>
      </c>
      <c r="U1288" t="s">
        <v>2</v>
      </c>
    </row>
    <row r="1289" spans="1:21" x14ac:dyDescent="0.2">
      <c r="A1289" t="s">
        <v>2110</v>
      </c>
      <c r="B1289" s="24">
        <v>45706</v>
      </c>
      <c r="C1289" s="24">
        <v>45644</v>
      </c>
      <c r="D1289" t="s">
        <v>149</v>
      </c>
      <c r="E1289" t="s">
        <v>150</v>
      </c>
      <c r="G1289" t="s">
        <v>2215</v>
      </c>
      <c r="H1289" s="19" t="s">
        <v>147</v>
      </c>
      <c r="I1289" s="19" t="s">
        <v>148</v>
      </c>
      <c r="J1289" s="11" t="str">
        <f>+LEFT(U1289,4)</f>
        <v>SKU-</v>
      </c>
      <c r="K1289" t="s">
        <v>98</v>
      </c>
      <c r="L1289" s="19">
        <v>280</v>
      </c>
      <c r="M1289" t="s">
        <v>1472</v>
      </c>
      <c r="N1289" t="s">
        <v>11</v>
      </c>
      <c r="O1289" s="26">
        <v>8.6722999999999999</v>
      </c>
      <c r="P1289" s="12">
        <f>ROUND(O1289*L1289,2)</f>
        <v>2428.2399999999998</v>
      </c>
      <c r="Q1289" s="13">
        <f>IF(N1289="HKD",7.8,IF(N1289="CNY",7.30034,1))</f>
        <v>7.3003400000000003</v>
      </c>
      <c r="R1289" s="15">
        <f>+ROUND(O1289/Q1289,4)</f>
        <v>1.1879</v>
      </c>
      <c r="S1289" s="14">
        <f>ROUND(R1289*L1289,2)</f>
        <v>332.61</v>
      </c>
      <c r="T1289" s="15" t="s">
        <v>349</v>
      </c>
      <c r="U1289" t="s">
        <v>2</v>
      </c>
    </row>
    <row r="1290" spans="1:21" x14ac:dyDescent="0.2">
      <c r="A1290" t="s">
        <v>2095</v>
      </c>
      <c r="B1290" s="24">
        <v>45708</v>
      </c>
      <c r="C1290" s="24">
        <v>45644</v>
      </c>
      <c r="D1290" t="s">
        <v>149</v>
      </c>
      <c r="E1290" t="s">
        <v>150</v>
      </c>
      <c r="G1290" t="s">
        <v>2222</v>
      </c>
      <c r="H1290" s="19" t="s">
        <v>345</v>
      </c>
      <c r="I1290" s="19" t="s">
        <v>346</v>
      </c>
      <c r="J1290" s="11" t="str">
        <f>+LEFT(U1290,4)</f>
        <v>SKU-</v>
      </c>
      <c r="K1290" t="s">
        <v>98</v>
      </c>
      <c r="L1290" s="19">
        <v>1460</v>
      </c>
      <c r="M1290" t="s">
        <v>1472</v>
      </c>
      <c r="N1290" t="s">
        <v>11</v>
      </c>
      <c r="O1290" s="26">
        <v>7.4157999999999999</v>
      </c>
      <c r="P1290" s="12">
        <f>ROUND(O1290*L1290,2)</f>
        <v>10827.07</v>
      </c>
      <c r="Q1290" s="13">
        <f>IF(N1290="HKD",7.8,IF(N1290="CNY",7.30034,1))</f>
        <v>7.3003400000000003</v>
      </c>
      <c r="R1290" s="15">
        <f>+ROUND(O1290/Q1290,4)</f>
        <v>1.0158</v>
      </c>
      <c r="S1290" s="14">
        <f>ROUND(R1290*L1290,2)</f>
        <v>1483.07</v>
      </c>
      <c r="T1290" s="15" t="s">
        <v>349</v>
      </c>
      <c r="U1290" t="s">
        <v>2</v>
      </c>
    </row>
    <row r="1291" spans="1:21" x14ac:dyDescent="0.2">
      <c r="A1291" t="s">
        <v>2109</v>
      </c>
      <c r="B1291" s="24">
        <v>45708</v>
      </c>
      <c r="C1291" s="24">
        <v>45639</v>
      </c>
      <c r="D1291" t="s">
        <v>149</v>
      </c>
      <c r="E1291" t="s">
        <v>150</v>
      </c>
      <c r="G1291" t="s">
        <v>2222</v>
      </c>
      <c r="H1291" s="19" t="s">
        <v>147</v>
      </c>
      <c r="I1291" s="19" t="s">
        <v>148</v>
      </c>
      <c r="J1291" s="11" t="str">
        <f>+LEFT(U1291,4)</f>
        <v>SKU-</v>
      </c>
      <c r="K1291" t="s">
        <v>98</v>
      </c>
      <c r="L1291" s="19">
        <v>1000</v>
      </c>
      <c r="M1291" t="s">
        <v>1472</v>
      </c>
      <c r="N1291" t="s">
        <v>11</v>
      </c>
      <c r="O1291" s="26">
        <v>8.6722999999999999</v>
      </c>
      <c r="P1291" s="12">
        <f>ROUND(O1291*L1291,2)</f>
        <v>8672.2999999999993</v>
      </c>
      <c r="Q1291" s="13">
        <f>IF(N1291="HKD",7.8,IF(N1291="CNY",7.30034,1))</f>
        <v>7.3003400000000003</v>
      </c>
      <c r="R1291" s="15">
        <f>+ROUND(O1291/Q1291,4)</f>
        <v>1.1879</v>
      </c>
      <c r="S1291" s="14">
        <f>ROUND(R1291*L1291,2)</f>
        <v>1187.9000000000001</v>
      </c>
      <c r="T1291" s="15" t="s">
        <v>349</v>
      </c>
      <c r="U1291" t="s">
        <v>2</v>
      </c>
    </row>
    <row r="1292" spans="1:21" x14ac:dyDescent="0.2">
      <c r="A1292" t="s">
        <v>2110</v>
      </c>
      <c r="B1292" s="24">
        <v>45708</v>
      </c>
      <c r="C1292" s="24">
        <v>45644</v>
      </c>
      <c r="D1292" t="s">
        <v>149</v>
      </c>
      <c r="E1292" t="s">
        <v>150</v>
      </c>
      <c r="G1292" t="s">
        <v>2222</v>
      </c>
      <c r="H1292" s="19" t="s">
        <v>147</v>
      </c>
      <c r="I1292" s="19" t="s">
        <v>148</v>
      </c>
      <c r="J1292" s="11" t="str">
        <f>+LEFT(U1292,4)</f>
        <v>SKU-</v>
      </c>
      <c r="K1292" t="s">
        <v>98</v>
      </c>
      <c r="L1292" s="19">
        <v>2220</v>
      </c>
      <c r="M1292" t="s">
        <v>1472</v>
      </c>
      <c r="N1292" t="s">
        <v>11</v>
      </c>
      <c r="O1292" s="26">
        <v>8.6722999999999999</v>
      </c>
      <c r="P1292" s="12">
        <f>ROUND(O1292*L1292,2)</f>
        <v>19252.509999999998</v>
      </c>
      <c r="Q1292" s="13">
        <f>IF(N1292="HKD",7.8,IF(N1292="CNY",7.30034,1))</f>
        <v>7.3003400000000003</v>
      </c>
      <c r="R1292" s="15">
        <f>+ROUND(O1292/Q1292,4)</f>
        <v>1.1879</v>
      </c>
      <c r="S1292" s="14">
        <f>ROUND(R1292*L1292,2)</f>
        <v>2637.14</v>
      </c>
      <c r="T1292" s="15" t="s">
        <v>349</v>
      </c>
      <c r="U1292" t="s">
        <v>2</v>
      </c>
    </row>
    <row r="1293" spans="1:21" x14ac:dyDescent="0.2">
      <c r="A1293" t="s">
        <v>2059</v>
      </c>
      <c r="B1293" s="24">
        <v>45709</v>
      </c>
      <c r="C1293" s="24">
        <v>45630</v>
      </c>
      <c r="D1293" t="s">
        <v>830</v>
      </c>
      <c r="E1293" t="s">
        <v>831</v>
      </c>
      <c r="G1293" t="s">
        <v>2206</v>
      </c>
      <c r="H1293" s="19" t="s">
        <v>834</v>
      </c>
      <c r="I1293" s="19" t="s">
        <v>835</v>
      </c>
      <c r="J1293" s="11" t="str">
        <f>+LEFT(U1293,4)</f>
        <v>SKU-</v>
      </c>
      <c r="K1293" t="s">
        <v>98</v>
      </c>
      <c r="L1293" s="19">
        <v>800</v>
      </c>
      <c r="M1293" t="s">
        <v>1472</v>
      </c>
      <c r="N1293" t="s">
        <v>11</v>
      </c>
      <c r="O1293" s="26">
        <v>4.9154</v>
      </c>
      <c r="P1293" s="12">
        <f>ROUND(O1293*L1293,2)</f>
        <v>3932.32</v>
      </c>
      <c r="Q1293" s="13">
        <f>IF(N1293="HKD",7.8,IF(N1293="CNY",7.30034,1))</f>
        <v>7.3003400000000003</v>
      </c>
      <c r="R1293" s="15">
        <f>+ROUND(O1293/Q1293,4)</f>
        <v>0.67330000000000001</v>
      </c>
      <c r="S1293" s="14">
        <f>ROUND(R1293*L1293,2)</f>
        <v>538.64</v>
      </c>
      <c r="T1293" s="15" t="s">
        <v>349</v>
      </c>
      <c r="U1293" t="s">
        <v>2</v>
      </c>
    </row>
    <row r="1294" spans="1:21" x14ac:dyDescent="0.2">
      <c r="A1294" t="s">
        <v>2064</v>
      </c>
      <c r="B1294" s="24">
        <v>45709</v>
      </c>
      <c r="C1294" s="24">
        <v>45630</v>
      </c>
      <c r="D1294" t="s">
        <v>830</v>
      </c>
      <c r="E1294" t="s">
        <v>831</v>
      </c>
      <c r="G1294" t="s">
        <v>2206</v>
      </c>
      <c r="H1294" s="19" t="s">
        <v>828</v>
      </c>
      <c r="I1294" s="19" t="s">
        <v>829</v>
      </c>
      <c r="J1294" s="11" t="str">
        <f>+LEFT(U1294,4)</f>
        <v>SKU-</v>
      </c>
      <c r="K1294" t="s">
        <v>98</v>
      </c>
      <c r="L1294" s="19">
        <v>1200</v>
      </c>
      <c r="M1294" t="s">
        <v>1472</v>
      </c>
      <c r="N1294" t="s">
        <v>11</v>
      </c>
      <c r="O1294" s="26">
        <v>5.0862999999999996</v>
      </c>
      <c r="P1294" s="12">
        <f>ROUND(O1294*L1294,2)</f>
        <v>6103.56</v>
      </c>
      <c r="Q1294" s="13">
        <f>IF(N1294="HKD",7.8,IF(N1294="CNY",7.30034,1))</f>
        <v>7.3003400000000003</v>
      </c>
      <c r="R1294" s="15">
        <f>+ROUND(O1294/Q1294,4)</f>
        <v>0.69669999999999999</v>
      </c>
      <c r="S1294" s="14">
        <f>ROUND(R1294*L1294,2)</f>
        <v>836.04</v>
      </c>
      <c r="T1294" s="15" t="s">
        <v>349</v>
      </c>
      <c r="U1294" t="s">
        <v>2</v>
      </c>
    </row>
    <row r="1295" spans="1:21" x14ac:dyDescent="0.2">
      <c r="A1295" t="s">
        <v>2094</v>
      </c>
      <c r="B1295" s="24">
        <v>45713</v>
      </c>
      <c r="C1295" s="24">
        <v>45639</v>
      </c>
      <c r="D1295" t="s">
        <v>149</v>
      </c>
      <c r="E1295" t="s">
        <v>150</v>
      </c>
      <c r="G1295" t="s">
        <v>2221</v>
      </c>
      <c r="H1295" s="19" t="s">
        <v>345</v>
      </c>
      <c r="I1295" s="19" t="s">
        <v>346</v>
      </c>
      <c r="J1295" s="11" t="str">
        <f>+LEFT(U1295,4)</f>
        <v>SKU-</v>
      </c>
      <c r="K1295" t="s">
        <v>98</v>
      </c>
      <c r="L1295" s="19">
        <v>4020</v>
      </c>
      <c r="M1295" t="s">
        <v>1472</v>
      </c>
      <c r="N1295" t="s">
        <v>11</v>
      </c>
      <c r="O1295" s="26">
        <v>7.4157999999999999</v>
      </c>
      <c r="P1295" s="12">
        <f>ROUND(O1295*L1295,2)</f>
        <v>29811.52</v>
      </c>
      <c r="Q1295" s="13">
        <f>IF(N1295="HKD",7.8,IF(N1295="CNY",7.30034,1))</f>
        <v>7.3003400000000003</v>
      </c>
      <c r="R1295" s="15">
        <f>+ROUND(O1295/Q1295,4)</f>
        <v>1.0158</v>
      </c>
      <c r="S1295" s="14">
        <f>ROUND(R1295*L1295,2)</f>
        <v>4083.52</v>
      </c>
      <c r="T1295" s="15" t="s">
        <v>349</v>
      </c>
      <c r="U1295" t="s">
        <v>2</v>
      </c>
    </row>
    <row r="1296" spans="1:21" x14ac:dyDescent="0.2">
      <c r="A1296" t="s">
        <v>2095</v>
      </c>
      <c r="B1296" s="24">
        <v>45713</v>
      </c>
      <c r="C1296" s="24">
        <v>45644</v>
      </c>
      <c r="D1296" t="s">
        <v>149</v>
      </c>
      <c r="E1296" t="s">
        <v>150</v>
      </c>
      <c r="G1296" t="s">
        <v>2221</v>
      </c>
      <c r="H1296" s="19" t="s">
        <v>345</v>
      </c>
      <c r="I1296" s="19" t="s">
        <v>346</v>
      </c>
      <c r="J1296" s="11" t="str">
        <f>+LEFT(U1296,4)</f>
        <v>SKU-</v>
      </c>
      <c r="K1296" t="s">
        <v>98</v>
      </c>
      <c r="L1296" s="19">
        <v>1740</v>
      </c>
      <c r="M1296" t="s">
        <v>1472</v>
      </c>
      <c r="N1296" t="s">
        <v>11</v>
      </c>
      <c r="O1296" s="26">
        <v>7.4157999999999999</v>
      </c>
      <c r="P1296" s="12">
        <f>ROUND(O1296*L1296,2)</f>
        <v>12903.49</v>
      </c>
      <c r="Q1296" s="13">
        <f>IF(N1296="HKD",7.8,IF(N1296="CNY",7.30034,1))</f>
        <v>7.3003400000000003</v>
      </c>
      <c r="R1296" s="15">
        <f>+ROUND(O1296/Q1296,4)</f>
        <v>1.0158</v>
      </c>
      <c r="S1296" s="14">
        <f>ROUND(R1296*L1296,2)</f>
        <v>1767.49</v>
      </c>
      <c r="T1296" s="15" t="s">
        <v>349</v>
      </c>
      <c r="U1296" t="s">
        <v>2</v>
      </c>
    </row>
    <row r="1297" spans="1:21" x14ac:dyDescent="0.2">
      <c r="A1297" t="s">
        <v>2094</v>
      </c>
      <c r="B1297" s="24">
        <v>45715</v>
      </c>
      <c r="C1297" s="24">
        <v>45639</v>
      </c>
      <c r="D1297" t="s">
        <v>149</v>
      </c>
      <c r="E1297" t="s">
        <v>150</v>
      </c>
      <c r="G1297" t="s">
        <v>2220</v>
      </c>
      <c r="H1297" s="19" t="s">
        <v>345</v>
      </c>
      <c r="I1297" s="19" t="s">
        <v>346</v>
      </c>
      <c r="J1297" s="11" t="str">
        <f>+LEFT(U1297,4)</f>
        <v>SKU-</v>
      </c>
      <c r="K1297" t="s">
        <v>98</v>
      </c>
      <c r="L1297" s="19">
        <v>2980</v>
      </c>
      <c r="M1297" t="s">
        <v>1472</v>
      </c>
      <c r="N1297" t="s">
        <v>11</v>
      </c>
      <c r="O1297" s="26">
        <v>7.4157999999999999</v>
      </c>
      <c r="P1297" s="12">
        <f>ROUND(O1297*L1297,2)</f>
        <v>22099.08</v>
      </c>
      <c r="Q1297" s="13">
        <f>IF(N1297="HKD",7.8,IF(N1297="CNY",7.30034,1))</f>
        <v>7.3003400000000003</v>
      </c>
      <c r="R1297" s="15">
        <f>+ROUND(O1297/Q1297,4)</f>
        <v>1.0158</v>
      </c>
      <c r="S1297" s="14">
        <f>ROUND(R1297*L1297,2)</f>
        <v>3027.08</v>
      </c>
      <c r="T1297" s="15" t="s">
        <v>349</v>
      </c>
      <c r="U1297" t="s">
        <v>2</v>
      </c>
    </row>
    <row r="1298" spans="1:21" x14ac:dyDescent="0.2">
      <c r="A1298" t="s">
        <v>2064</v>
      </c>
      <c r="B1298" s="24">
        <v>45716</v>
      </c>
      <c r="C1298" s="24">
        <v>45630</v>
      </c>
      <c r="D1298" t="s">
        <v>830</v>
      </c>
      <c r="E1298" t="s">
        <v>831</v>
      </c>
      <c r="G1298" t="s">
        <v>2207</v>
      </c>
      <c r="H1298" s="19" t="s">
        <v>828</v>
      </c>
      <c r="I1298" s="19" t="s">
        <v>829</v>
      </c>
      <c r="J1298" s="11" t="str">
        <f>+LEFT(U1298,4)</f>
        <v>SKU-</v>
      </c>
      <c r="K1298" t="s">
        <v>98</v>
      </c>
      <c r="L1298" s="19">
        <v>4600</v>
      </c>
      <c r="M1298" t="s">
        <v>1472</v>
      </c>
      <c r="N1298" t="s">
        <v>11</v>
      </c>
      <c r="O1298" s="26">
        <v>5.0862999999999996</v>
      </c>
      <c r="P1298" s="12">
        <f>ROUND(O1298*L1298,2)</f>
        <v>23396.98</v>
      </c>
      <c r="Q1298" s="13">
        <f>IF(N1298="HKD",7.8,IF(N1298="CNY",7.30034,1))</f>
        <v>7.3003400000000003</v>
      </c>
      <c r="R1298" s="15">
        <f>+ROUND(O1298/Q1298,4)</f>
        <v>0.69669999999999999</v>
      </c>
      <c r="S1298" s="14">
        <f>ROUND(R1298*L1298,2)</f>
        <v>3204.82</v>
      </c>
      <c r="T1298" s="15" t="s">
        <v>349</v>
      </c>
      <c r="U1298" t="s">
        <v>2</v>
      </c>
    </row>
    <row r="1299" spans="1:21" x14ac:dyDescent="0.2">
      <c r="A1299" t="s">
        <v>2499</v>
      </c>
      <c r="B1299" s="24">
        <v>45742</v>
      </c>
      <c r="C1299" s="24">
        <v>45713</v>
      </c>
      <c r="D1299" t="s">
        <v>2257</v>
      </c>
      <c r="E1299" t="s">
        <v>2258</v>
      </c>
      <c r="G1299" t="s">
        <v>2957</v>
      </c>
      <c r="H1299" t="s">
        <v>1800</v>
      </c>
      <c r="I1299" t="s">
        <v>1801</v>
      </c>
      <c r="J1299" s="11" t="str">
        <f>+LEFT(U1299,4)</f>
        <v>HDL-</v>
      </c>
      <c r="K1299" t="s">
        <v>10</v>
      </c>
      <c r="L1299">
        <v>3520</v>
      </c>
      <c r="M1299" t="s">
        <v>1472</v>
      </c>
      <c r="N1299" t="s">
        <v>11</v>
      </c>
      <c r="O1299">
        <v>7.4931000000000001</v>
      </c>
      <c r="P1299" s="12">
        <f>ROUND(O1299*L1299,2)</f>
        <v>26375.71</v>
      </c>
      <c r="Q1299" s="13">
        <f>IF(N1299="HKD",7.8,IF(N1299="CNY",7.30034,1))</f>
        <v>7.3003400000000003</v>
      </c>
      <c r="R1299" s="15">
        <f>+ROUND(O1299/Q1299,4)</f>
        <v>1.0264</v>
      </c>
      <c r="S1299" s="14">
        <f>ROUND(R1299*L1299,2)</f>
        <v>3612.93</v>
      </c>
      <c r="T1299" s="15" t="s">
        <v>349</v>
      </c>
      <c r="U1299" t="s">
        <v>228</v>
      </c>
    </row>
    <row r="1300" spans="1:21" x14ac:dyDescent="0.2">
      <c r="A1300" t="s">
        <v>2500</v>
      </c>
      <c r="B1300" s="24">
        <v>45742</v>
      </c>
      <c r="C1300" s="24">
        <v>45713</v>
      </c>
      <c r="D1300" t="s">
        <v>2257</v>
      </c>
      <c r="E1300" t="s">
        <v>2258</v>
      </c>
      <c r="G1300" t="s">
        <v>2957</v>
      </c>
      <c r="H1300" t="s">
        <v>1800</v>
      </c>
      <c r="I1300" t="s">
        <v>1801</v>
      </c>
      <c r="J1300" s="11" t="str">
        <f>+LEFT(U1300,4)</f>
        <v>HDL-</v>
      </c>
      <c r="K1300" t="s">
        <v>10</v>
      </c>
      <c r="L1300">
        <v>2200</v>
      </c>
      <c r="M1300" t="s">
        <v>1472</v>
      </c>
      <c r="N1300" t="s">
        <v>11</v>
      </c>
      <c r="O1300">
        <v>7.4931000000000001</v>
      </c>
      <c r="P1300" s="12">
        <f>ROUND(O1300*L1300,2)</f>
        <v>16484.82</v>
      </c>
      <c r="Q1300" s="13">
        <f>IF(N1300="HKD",7.8,IF(N1300="CNY",7.30034,1))</f>
        <v>7.3003400000000003</v>
      </c>
      <c r="R1300" s="15">
        <f>+ROUND(O1300/Q1300,4)</f>
        <v>1.0264</v>
      </c>
      <c r="S1300" s="14">
        <f>ROUND(R1300*L1300,2)</f>
        <v>2258.08</v>
      </c>
      <c r="T1300" s="15" t="s">
        <v>349</v>
      </c>
      <c r="U1300" t="s">
        <v>228</v>
      </c>
    </row>
    <row r="1301" spans="1:21" x14ac:dyDescent="0.2">
      <c r="A1301" t="s">
        <v>2493</v>
      </c>
      <c r="B1301" s="24">
        <v>45744</v>
      </c>
      <c r="C1301" s="24">
        <v>45713</v>
      </c>
      <c r="D1301" t="s">
        <v>2257</v>
      </c>
      <c r="E1301" t="s">
        <v>2258</v>
      </c>
      <c r="G1301" t="s">
        <v>2956</v>
      </c>
      <c r="H1301" t="s">
        <v>1798</v>
      </c>
      <c r="I1301" t="s">
        <v>1799</v>
      </c>
      <c r="J1301" s="11" t="str">
        <f>+LEFT(U1301,4)</f>
        <v>HDL-</v>
      </c>
      <c r="K1301" t="s">
        <v>10</v>
      </c>
      <c r="L1301">
        <v>3000</v>
      </c>
      <c r="M1301" t="s">
        <v>1472</v>
      </c>
      <c r="N1301" t="s">
        <v>11</v>
      </c>
      <c r="O1301">
        <v>7.4931000000000001</v>
      </c>
      <c r="P1301" s="12">
        <f>ROUND(O1301*L1301,2)</f>
        <v>22479.3</v>
      </c>
      <c r="Q1301" s="13">
        <f>IF(N1301="HKD",7.8,IF(N1301="CNY",7.30034,1))</f>
        <v>7.3003400000000003</v>
      </c>
      <c r="R1301" s="15">
        <f>+ROUND(O1301/Q1301,4)</f>
        <v>1.0264</v>
      </c>
      <c r="S1301" s="14">
        <f>ROUND(R1301*L1301,2)</f>
        <v>3079.2</v>
      </c>
      <c r="T1301" s="15" t="s">
        <v>349</v>
      </c>
      <c r="U1301" t="s">
        <v>228</v>
      </c>
    </row>
    <row r="1302" spans="1:21" x14ac:dyDescent="0.2">
      <c r="A1302" t="s">
        <v>2500</v>
      </c>
      <c r="B1302" s="24">
        <v>45744</v>
      </c>
      <c r="C1302" s="24">
        <v>45713</v>
      </c>
      <c r="D1302" t="s">
        <v>2257</v>
      </c>
      <c r="E1302" t="s">
        <v>2258</v>
      </c>
      <c r="G1302" t="s">
        <v>2956</v>
      </c>
      <c r="H1302" t="s">
        <v>1800</v>
      </c>
      <c r="I1302" t="s">
        <v>1801</v>
      </c>
      <c r="J1302" s="11" t="str">
        <f>+LEFT(U1302,4)</f>
        <v>HDL-</v>
      </c>
      <c r="K1302" t="s">
        <v>10</v>
      </c>
      <c r="L1302">
        <v>1320</v>
      </c>
      <c r="M1302" t="s">
        <v>1472</v>
      </c>
      <c r="N1302" t="s">
        <v>11</v>
      </c>
      <c r="O1302">
        <v>7.4931000000000001</v>
      </c>
      <c r="P1302" s="12">
        <f>ROUND(O1302*L1302,2)</f>
        <v>9890.89</v>
      </c>
      <c r="Q1302" s="13">
        <f>IF(N1302="HKD",7.8,IF(N1302="CNY",7.30034,1))</f>
        <v>7.3003400000000003</v>
      </c>
      <c r="R1302" s="15">
        <f>+ROUND(O1302/Q1302,4)</f>
        <v>1.0264</v>
      </c>
      <c r="S1302" s="14">
        <f>ROUND(R1302*L1302,2)</f>
        <v>1354.85</v>
      </c>
      <c r="T1302" s="15" t="s">
        <v>349</v>
      </c>
      <c r="U1302" t="s">
        <v>228</v>
      </c>
    </row>
    <row r="1303" spans="1:21" x14ac:dyDescent="0.2">
      <c r="A1303" t="s">
        <v>2501</v>
      </c>
      <c r="B1303" s="24">
        <v>45744</v>
      </c>
      <c r="C1303" s="24">
        <v>45713</v>
      </c>
      <c r="D1303" t="s">
        <v>2257</v>
      </c>
      <c r="E1303" t="s">
        <v>2258</v>
      </c>
      <c r="G1303" t="s">
        <v>2956</v>
      </c>
      <c r="H1303" t="s">
        <v>1800</v>
      </c>
      <c r="I1303" t="s">
        <v>1801</v>
      </c>
      <c r="J1303" s="11" t="str">
        <f>+LEFT(U1303,4)</f>
        <v>HDL-</v>
      </c>
      <c r="K1303" t="s">
        <v>10</v>
      </c>
      <c r="L1303">
        <v>2200</v>
      </c>
      <c r="M1303" t="s">
        <v>1472</v>
      </c>
      <c r="N1303" t="s">
        <v>11</v>
      </c>
      <c r="O1303">
        <v>7.4931000000000001</v>
      </c>
      <c r="P1303" s="12">
        <f>ROUND(O1303*L1303,2)</f>
        <v>16484.82</v>
      </c>
      <c r="Q1303" s="13">
        <f>IF(N1303="HKD",7.8,IF(N1303="CNY",7.30034,1))</f>
        <v>7.3003400000000003</v>
      </c>
      <c r="R1303" s="15">
        <f>+ROUND(O1303/Q1303,4)</f>
        <v>1.0264</v>
      </c>
      <c r="S1303" s="14">
        <f>ROUND(R1303*L1303,2)</f>
        <v>2258.08</v>
      </c>
      <c r="T1303" s="15" t="s">
        <v>349</v>
      </c>
      <c r="U1303" t="s">
        <v>228</v>
      </c>
    </row>
    <row r="1304" spans="1:21" x14ac:dyDescent="0.2">
      <c r="A1304" t="s">
        <v>2494</v>
      </c>
      <c r="B1304" s="24">
        <v>45747</v>
      </c>
      <c r="C1304" s="24">
        <v>45713</v>
      </c>
      <c r="D1304" t="s">
        <v>2257</v>
      </c>
      <c r="E1304" t="s">
        <v>2258</v>
      </c>
      <c r="G1304" t="s">
        <v>2952</v>
      </c>
      <c r="H1304" t="s">
        <v>1798</v>
      </c>
      <c r="I1304" t="s">
        <v>1799</v>
      </c>
      <c r="J1304" s="11" t="str">
        <f>+LEFT(U1304,4)</f>
        <v>HDL-</v>
      </c>
      <c r="K1304" t="s">
        <v>10</v>
      </c>
      <c r="L1304">
        <v>2200</v>
      </c>
      <c r="M1304" t="s">
        <v>1472</v>
      </c>
      <c r="N1304" t="s">
        <v>11</v>
      </c>
      <c r="O1304">
        <v>7.4931000000000001</v>
      </c>
      <c r="P1304" s="12">
        <f>ROUND(O1304*L1304,2)</f>
        <v>16484.82</v>
      </c>
      <c r="Q1304" s="13">
        <f>IF(N1304="HKD",7.8,IF(N1304="CNY",7.30034,1))</f>
        <v>7.3003400000000003</v>
      </c>
      <c r="R1304" s="15">
        <f>+ROUND(O1304/Q1304,4)</f>
        <v>1.0264</v>
      </c>
      <c r="S1304" s="14">
        <f>ROUND(R1304*L1304,2)</f>
        <v>2258.08</v>
      </c>
      <c r="T1304" s="15" t="s">
        <v>349</v>
      </c>
      <c r="U1304" t="s">
        <v>228</v>
      </c>
    </row>
    <row r="1305" spans="1:21" x14ac:dyDescent="0.2">
      <c r="A1305" t="s">
        <v>2505</v>
      </c>
      <c r="B1305" s="24">
        <v>45747</v>
      </c>
      <c r="C1305" s="24">
        <v>45713</v>
      </c>
      <c r="D1305" t="s">
        <v>2257</v>
      </c>
      <c r="E1305" t="s">
        <v>2258</v>
      </c>
      <c r="G1305" t="s">
        <v>2952</v>
      </c>
      <c r="H1305" t="s">
        <v>3152</v>
      </c>
      <c r="I1305" t="s">
        <v>3362</v>
      </c>
      <c r="J1305" s="11" t="str">
        <f>+LEFT(U1305,4)</f>
        <v>HDL-</v>
      </c>
      <c r="K1305" t="s">
        <v>10</v>
      </c>
      <c r="L1305">
        <v>3600</v>
      </c>
      <c r="M1305" t="s">
        <v>1472</v>
      </c>
      <c r="N1305" t="s">
        <v>11</v>
      </c>
      <c r="O1305">
        <v>7.4931000000000001</v>
      </c>
      <c r="P1305" s="12">
        <f>ROUND(O1305*L1305,2)</f>
        <v>26975.16</v>
      </c>
      <c r="Q1305" s="13">
        <f>IF(N1305="HKD",7.8,IF(N1305="CNY",7.30034,1))</f>
        <v>7.3003400000000003</v>
      </c>
      <c r="R1305" s="15">
        <f>+ROUND(O1305/Q1305,4)</f>
        <v>1.0264</v>
      </c>
      <c r="S1305" s="14">
        <f>ROUND(R1305*L1305,2)</f>
        <v>3695.04</v>
      </c>
      <c r="T1305" s="15" t="s">
        <v>349</v>
      </c>
      <c r="U1305" t="s">
        <v>228</v>
      </c>
    </row>
    <row r="1306" spans="1:21" x14ac:dyDescent="0.2">
      <c r="A1306" t="s">
        <v>2506</v>
      </c>
      <c r="B1306" s="24">
        <v>45747</v>
      </c>
      <c r="C1306" s="24">
        <v>45713</v>
      </c>
      <c r="D1306" t="s">
        <v>2257</v>
      </c>
      <c r="E1306" t="s">
        <v>2258</v>
      </c>
      <c r="G1306" t="s">
        <v>2952</v>
      </c>
      <c r="H1306" t="s">
        <v>1802</v>
      </c>
      <c r="I1306" t="s">
        <v>1803</v>
      </c>
      <c r="J1306" s="11" t="str">
        <f>+LEFT(U1306,4)</f>
        <v>HDL-</v>
      </c>
      <c r="K1306" t="s">
        <v>10</v>
      </c>
      <c r="L1306">
        <v>3550</v>
      </c>
      <c r="M1306" t="s">
        <v>1472</v>
      </c>
      <c r="N1306" t="s">
        <v>11</v>
      </c>
      <c r="O1306">
        <v>7.4931000000000001</v>
      </c>
      <c r="P1306" s="12">
        <f>ROUND(O1306*L1306,2)</f>
        <v>26600.51</v>
      </c>
      <c r="Q1306" s="13">
        <f>IF(N1306="HKD",7.8,IF(N1306="CNY",7.30034,1))</f>
        <v>7.3003400000000003</v>
      </c>
      <c r="R1306" s="15">
        <f>+ROUND(O1306/Q1306,4)</f>
        <v>1.0264</v>
      </c>
      <c r="S1306" s="14">
        <f>ROUND(R1306*L1306,2)</f>
        <v>3643.72</v>
      </c>
      <c r="T1306" s="15" t="s">
        <v>349</v>
      </c>
      <c r="U1306" t="s">
        <v>228</v>
      </c>
    </row>
    <row r="1307" spans="1:21" x14ac:dyDescent="0.2">
      <c r="A1307" t="s">
        <v>2391</v>
      </c>
      <c r="B1307" s="24">
        <v>45730</v>
      </c>
      <c r="C1307" s="24">
        <v>45695</v>
      </c>
      <c r="D1307" t="s">
        <v>287</v>
      </c>
      <c r="E1307" t="s">
        <v>288</v>
      </c>
      <c r="G1307" t="s">
        <v>2877</v>
      </c>
      <c r="H1307" t="s">
        <v>703</v>
      </c>
      <c r="I1307" t="s">
        <v>704</v>
      </c>
      <c r="J1307" s="11" t="s">
        <v>1478</v>
      </c>
      <c r="K1307" t="s">
        <v>10</v>
      </c>
      <c r="L1307">
        <v>1800</v>
      </c>
      <c r="M1307" t="s">
        <v>1472</v>
      </c>
      <c r="N1307" t="s">
        <v>11</v>
      </c>
      <c r="O1307">
        <v>7.5751999999999997</v>
      </c>
      <c r="P1307" s="12">
        <f>ROUND(O1307*L1307,2)</f>
        <v>13635.36</v>
      </c>
      <c r="Q1307" s="13">
        <f>IF(N1307="HKD",7.8,IF(N1307="CNY",7.30034,1))</f>
        <v>7.3003400000000003</v>
      </c>
      <c r="R1307" s="15">
        <f>+ROUND(O1307/Q1307,4)</f>
        <v>1.0377000000000001</v>
      </c>
      <c r="S1307" s="14">
        <f>ROUND(R1307*L1307,2)</f>
        <v>1867.86</v>
      </c>
      <c r="T1307" s="15" t="s">
        <v>349</v>
      </c>
      <c r="U1307" t="s">
        <v>36</v>
      </c>
    </row>
    <row r="1308" spans="1:21" x14ac:dyDescent="0.2">
      <c r="A1308" t="s">
        <v>2391</v>
      </c>
      <c r="B1308" s="24">
        <v>45742</v>
      </c>
      <c r="C1308" s="24">
        <v>45695</v>
      </c>
      <c r="D1308" t="s">
        <v>287</v>
      </c>
      <c r="E1308" t="s">
        <v>288</v>
      </c>
      <c r="G1308" t="s">
        <v>2884</v>
      </c>
      <c r="H1308" t="s">
        <v>703</v>
      </c>
      <c r="I1308" t="s">
        <v>704</v>
      </c>
      <c r="J1308" s="11" t="s">
        <v>1478</v>
      </c>
      <c r="K1308" t="s">
        <v>10</v>
      </c>
      <c r="L1308">
        <v>-90</v>
      </c>
      <c r="M1308" t="s">
        <v>1472</v>
      </c>
      <c r="N1308" t="s">
        <v>11</v>
      </c>
      <c r="O1308">
        <v>7.5751999999999997</v>
      </c>
      <c r="P1308" s="12">
        <f>ROUND(O1308*L1308,2)</f>
        <v>-681.77</v>
      </c>
      <c r="Q1308" s="13">
        <f>IF(N1308="HKD",7.8,IF(N1308="CNY",7.30034,1))</f>
        <v>7.3003400000000003</v>
      </c>
      <c r="R1308" s="15">
        <f>+ROUND(O1308/Q1308,4)</f>
        <v>1.0377000000000001</v>
      </c>
      <c r="S1308" s="14">
        <f>ROUND(R1308*L1308,2)</f>
        <v>-93.39</v>
      </c>
      <c r="T1308" s="15" t="s">
        <v>349</v>
      </c>
      <c r="U1308" t="s">
        <v>36</v>
      </c>
    </row>
    <row r="1309" spans="1:21" x14ac:dyDescent="0.2">
      <c r="A1309" t="s">
        <v>2105</v>
      </c>
      <c r="B1309" s="24">
        <v>45719</v>
      </c>
      <c r="C1309" s="24">
        <v>45713</v>
      </c>
      <c r="D1309" t="s">
        <v>2257</v>
      </c>
      <c r="E1309" t="s">
        <v>2258</v>
      </c>
      <c r="G1309" t="s">
        <v>2953</v>
      </c>
      <c r="H1309" t="s">
        <v>1802</v>
      </c>
      <c r="I1309" t="s">
        <v>1803</v>
      </c>
      <c r="J1309" s="11" t="str">
        <f>+LEFT(U1309,4)</f>
        <v>HDL-</v>
      </c>
      <c r="K1309" t="s">
        <v>10</v>
      </c>
      <c r="L1309">
        <v>200</v>
      </c>
      <c r="M1309" t="s">
        <v>1472</v>
      </c>
      <c r="N1309" t="s">
        <v>11</v>
      </c>
      <c r="O1309">
        <v>7.6459999999999999</v>
      </c>
      <c r="P1309" s="12">
        <f>ROUND(O1309*L1309,2)</f>
        <v>1529.2</v>
      </c>
      <c r="Q1309" s="13">
        <f>IF(N1309="HKD",7.8,IF(N1309="CNY",7.30034,1))</f>
        <v>7.3003400000000003</v>
      </c>
      <c r="R1309" s="15">
        <f>+ROUND(O1309/Q1309,4)</f>
        <v>1.0472999999999999</v>
      </c>
      <c r="S1309" s="14">
        <f>ROUND(R1309*L1309,2)</f>
        <v>209.46</v>
      </c>
      <c r="T1309" s="15" t="s">
        <v>349</v>
      </c>
      <c r="U1309" t="s">
        <v>228</v>
      </c>
    </row>
    <row r="1310" spans="1:21" x14ac:dyDescent="0.2">
      <c r="A1310" s="19" t="s">
        <v>755</v>
      </c>
      <c r="B1310" s="20">
        <v>45666</v>
      </c>
      <c r="C1310" s="20">
        <v>45651</v>
      </c>
      <c r="D1310" s="19" t="s">
        <v>746</v>
      </c>
      <c r="E1310" s="19" t="s">
        <v>747</v>
      </c>
      <c r="G1310" s="19" t="s">
        <v>756</v>
      </c>
      <c r="H1310" s="19" t="s">
        <v>753</v>
      </c>
      <c r="I1310" s="19" t="s">
        <v>754</v>
      </c>
      <c r="J1310" s="11" t="str">
        <f>+LEFT(U1310,4)</f>
        <v>SSM-</v>
      </c>
      <c r="K1310" s="19" t="s">
        <v>10</v>
      </c>
      <c r="L1310" s="19">
        <v>1500</v>
      </c>
      <c r="M1310" s="19" t="s">
        <v>1472</v>
      </c>
      <c r="N1310" s="19" t="s">
        <v>11</v>
      </c>
      <c r="O1310" s="26">
        <v>0.94689999999999996</v>
      </c>
      <c r="P1310" s="12">
        <f>ROUND(O1310*L1310,2)</f>
        <v>1420.35</v>
      </c>
      <c r="Q1310" s="13">
        <f>IF(N1310="HKD",7.8,IF(N1310="CNY",7.30034,1))</f>
        <v>7.3003400000000003</v>
      </c>
      <c r="R1310" s="15">
        <f>+ROUND(O1310/Q1310,4)</f>
        <v>0.12970000000000001</v>
      </c>
      <c r="S1310" s="14">
        <f>ROUND(R1310*L1310,2)</f>
        <v>194.55</v>
      </c>
      <c r="T1310" s="15" t="s">
        <v>349</v>
      </c>
      <c r="U1310" s="19" t="s">
        <v>33</v>
      </c>
    </row>
    <row r="1311" spans="1:21" x14ac:dyDescent="0.2">
      <c r="A1311" s="19" t="s">
        <v>752</v>
      </c>
      <c r="B1311" s="20">
        <v>45666</v>
      </c>
      <c r="C1311" s="20">
        <v>45664</v>
      </c>
      <c r="D1311" s="19" t="s">
        <v>746</v>
      </c>
      <c r="E1311" s="19" t="s">
        <v>747</v>
      </c>
      <c r="G1311" s="19" t="s">
        <v>749</v>
      </c>
      <c r="H1311" s="19" t="s">
        <v>750</v>
      </c>
      <c r="I1311" s="19" t="s">
        <v>751</v>
      </c>
      <c r="J1311" s="11" t="str">
        <f>+LEFT(U1311,4)</f>
        <v>SSM-</v>
      </c>
      <c r="K1311" s="19" t="s">
        <v>10</v>
      </c>
      <c r="L1311" s="19">
        <v>2500</v>
      </c>
      <c r="M1311" s="19" t="s">
        <v>1472</v>
      </c>
      <c r="N1311" s="19" t="s">
        <v>11</v>
      </c>
      <c r="O1311" s="26">
        <v>1.0530999999999999</v>
      </c>
      <c r="P1311" s="12">
        <f>ROUND(O1311*L1311,2)</f>
        <v>2632.75</v>
      </c>
      <c r="Q1311" s="13">
        <f>IF(N1311="HKD",7.8,IF(N1311="CNY",7.30034,1))</f>
        <v>7.3003400000000003</v>
      </c>
      <c r="R1311" s="15">
        <f>+ROUND(O1311/Q1311,4)</f>
        <v>0.14430000000000001</v>
      </c>
      <c r="S1311" s="14">
        <f>ROUND(R1311*L1311,2)</f>
        <v>360.75</v>
      </c>
      <c r="T1311" s="15" t="s">
        <v>349</v>
      </c>
      <c r="U1311" s="19" t="s">
        <v>33</v>
      </c>
    </row>
    <row r="1312" spans="1:21" x14ac:dyDescent="0.2">
      <c r="A1312" s="19" t="s">
        <v>748</v>
      </c>
      <c r="B1312" s="20">
        <v>45666</v>
      </c>
      <c r="C1312" s="20">
        <v>45664</v>
      </c>
      <c r="D1312" s="19" t="s">
        <v>746</v>
      </c>
      <c r="E1312" s="19" t="s">
        <v>747</v>
      </c>
      <c r="G1312" s="19" t="s">
        <v>749</v>
      </c>
      <c r="H1312" s="19" t="s">
        <v>744</v>
      </c>
      <c r="I1312" s="19" t="s">
        <v>745</v>
      </c>
      <c r="J1312" s="11" t="str">
        <f>+LEFT(U1312,4)</f>
        <v>SSM-</v>
      </c>
      <c r="K1312" s="19" t="s">
        <v>10</v>
      </c>
      <c r="L1312" s="19">
        <v>600</v>
      </c>
      <c r="M1312" s="19" t="s">
        <v>1472</v>
      </c>
      <c r="N1312" s="19" t="s">
        <v>11</v>
      </c>
      <c r="O1312" s="26">
        <v>1.0972999999999999</v>
      </c>
      <c r="P1312" s="12">
        <f>ROUND(O1312*L1312,2)</f>
        <v>658.38</v>
      </c>
      <c r="Q1312" s="13">
        <f>IF(N1312="HKD",7.8,IF(N1312="CNY",7.30034,1))</f>
        <v>7.3003400000000003</v>
      </c>
      <c r="R1312" s="15">
        <f>+ROUND(O1312/Q1312,4)</f>
        <v>0.15029999999999999</v>
      </c>
      <c r="S1312" s="14">
        <f>ROUND(R1312*L1312,2)</f>
        <v>90.18</v>
      </c>
      <c r="T1312" s="15" t="s">
        <v>349</v>
      </c>
      <c r="U1312" s="19" t="s">
        <v>33</v>
      </c>
    </row>
    <row r="1313" spans="1:22" x14ac:dyDescent="0.2">
      <c r="A1313" t="s">
        <v>2115</v>
      </c>
      <c r="B1313" s="24">
        <v>45707</v>
      </c>
      <c r="C1313" s="24">
        <v>45701</v>
      </c>
      <c r="D1313" t="s">
        <v>2259</v>
      </c>
      <c r="E1313" t="s">
        <v>2260</v>
      </c>
      <c r="G1313" t="s">
        <v>2231</v>
      </c>
      <c r="H1313" s="19" t="s">
        <v>1810</v>
      </c>
      <c r="I1313" s="19" t="s">
        <v>1811</v>
      </c>
      <c r="J1313" s="11" t="str">
        <f>+LEFT(U1313,4)</f>
        <v>SSM-</v>
      </c>
      <c r="K1313" t="s">
        <v>10</v>
      </c>
      <c r="L1313" s="19">
        <v>10874</v>
      </c>
      <c r="M1313" t="s">
        <v>186</v>
      </c>
      <c r="N1313" t="s">
        <v>11</v>
      </c>
      <c r="O1313" s="26">
        <v>12.035399999999999</v>
      </c>
      <c r="P1313" s="12">
        <f>ROUND(O1313*L1313,2)</f>
        <v>130872.94</v>
      </c>
      <c r="Q1313" s="13">
        <f>IF(N1313="HKD",7.8,IF(N1313="CNY",7.30034,1))</f>
        <v>7.3003400000000003</v>
      </c>
      <c r="R1313" s="15">
        <f>+ROUND(O1313/Q1313,4)</f>
        <v>1.6486000000000001</v>
      </c>
      <c r="S1313" s="14">
        <f>ROUND(R1313*L1313,2)</f>
        <v>17926.88</v>
      </c>
      <c r="T1313" s="15" t="s">
        <v>349</v>
      </c>
      <c r="U1313" t="s">
        <v>33</v>
      </c>
    </row>
    <row r="1314" spans="1:22" x14ac:dyDescent="0.2">
      <c r="A1314" t="s">
        <v>2117</v>
      </c>
      <c r="B1314" s="24">
        <v>45707</v>
      </c>
      <c r="C1314" s="24">
        <v>45701</v>
      </c>
      <c r="D1314" t="s">
        <v>2259</v>
      </c>
      <c r="E1314" t="s">
        <v>2260</v>
      </c>
      <c r="G1314" t="s">
        <v>2231</v>
      </c>
      <c r="H1314" s="19" t="s">
        <v>1814</v>
      </c>
      <c r="I1314" s="19" t="s">
        <v>1815</v>
      </c>
      <c r="J1314" s="11" t="str">
        <f>+LEFT(U1314,4)</f>
        <v>SSM-</v>
      </c>
      <c r="K1314" t="s">
        <v>10</v>
      </c>
      <c r="L1314" s="19">
        <v>21993</v>
      </c>
      <c r="M1314" t="s">
        <v>186</v>
      </c>
      <c r="N1314" t="s">
        <v>11</v>
      </c>
      <c r="O1314" s="26">
        <v>12.212400000000001</v>
      </c>
      <c r="P1314" s="12">
        <f>ROUND(O1314*L1314,2)</f>
        <v>268587.31</v>
      </c>
      <c r="Q1314" s="13">
        <f>IF(N1314="HKD",7.8,IF(N1314="CNY",7.30034,1))</f>
        <v>7.3003400000000003</v>
      </c>
      <c r="R1314" s="15">
        <f>+ROUND(O1314/Q1314,4)</f>
        <v>1.6729000000000001</v>
      </c>
      <c r="S1314" s="14">
        <f>ROUND(R1314*L1314,2)</f>
        <v>36792.089999999997</v>
      </c>
      <c r="T1314" s="15" t="s">
        <v>349</v>
      </c>
      <c r="U1314" t="s">
        <v>33</v>
      </c>
    </row>
    <row r="1315" spans="1:22" x14ac:dyDescent="0.2">
      <c r="A1315" t="s">
        <v>2114</v>
      </c>
      <c r="B1315" s="24">
        <v>45709</v>
      </c>
      <c r="C1315" s="24">
        <v>45701</v>
      </c>
      <c r="D1315" t="s">
        <v>2259</v>
      </c>
      <c r="E1315" t="s">
        <v>2260</v>
      </c>
      <c r="G1315" t="s">
        <v>2230</v>
      </c>
      <c r="H1315" s="19" t="s">
        <v>1808</v>
      </c>
      <c r="I1315" s="19" t="s">
        <v>1809</v>
      </c>
      <c r="J1315" s="11" t="str">
        <f>+LEFT(U1315,4)</f>
        <v>SSM-</v>
      </c>
      <c r="K1315" t="s">
        <v>10</v>
      </c>
      <c r="L1315" s="19">
        <v>54331</v>
      </c>
      <c r="M1315" t="s">
        <v>186</v>
      </c>
      <c r="N1315" t="s">
        <v>11</v>
      </c>
      <c r="O1315" s="26">
        <v>11.7699</v>
      </c>
      <c r="P1315" s="12">
        <f>ROUND(O1315*L1315,2)</f>
        <v>639470.43999999994</v>
      </c>
      <c r="Q1315" s="13">
        <f>IF(N1315="HKD",7.8,IF(N1315="CNY",7.30034,1))</f>
        <v>7.3003400000000003</v>
      </c>
      <c r="R1315" s="15">
        <f>+ROUND(O1315/Q1315,4)</f>
        <v>1.6122000000000001</v>
      </c>
      <c r="S1315" s="14">
        <f>ROUND(R1315*L1315,2)</f>
        <v>87592.44</v>
      </c>
      <c r="T1315" s="15" t="s">
        <v>349</v>
      </c>
      <c r="U1315" t="s">
        <v>33</v>
      </c>
    </row>
    <row r="1316" spans="1:22" x14ac:dyDescent="0.2">
      <c r="A1316" t="s">
        <v>2115</v>
      </c>
      <c r="B1316" s="24">
        <v>45709</v>
      </c>
      <c r="C1316" s="24">
        <v>45701</v>
      </c>
      <c r="D1316" t="s">
        <v>2259</v>
      </c>
      <c r="E1316" t="s">
        <v>2260</v>
      </c>
      <c r="G1316" t="s">
        <v>2230</v>
      </c>
      <c r="H1316" s="19" t="s">
        <v>1810</v>
      </c>
      <c r="I1316" s="19" t="s">
        <v>1811</v>
      </c>
      <c r="J1316" s="11" t="str">
        <f>+LEFT(U1316,4)</f>
        <v>SSM-</v>
      </c>
      <c r="K1316" t="s">
        <v>10</v>
      </c>
      <c r="L1316" s="19">
        <v>11071</v>
      </c>
      <c r="M1316" t="s">
        <v>186</v>
      </c>
      <c r="N1316" t="s">
        <v>11</v>
      </c>
      <c r="O1316" s="26">
        <v>12.035399999999999</v>
      </c>
      <c r="P1316" s="12">
        <f>ROUND(O1316*L1316,2)</f>
        <v>133243.91</v>
      </c>
      <c r="Q1316" s="13">
        <f>IF(N1316="HKD",7.8,IF(N1316="CNY",7.30034,1))</f>
        <v>7.3003400000000003</v>
      </c>
      <c r="R1316" s="15">
        <f>+ROUND(O1316/Q1316,4)</f>
        <v>1.6486000000000001</v>
      </c>
      <c r="S1316" s="14">
        <f>ROUND(R1316*L1316,2)</f>
        <v>18251.650000000001</v>
      </c>
      <c r="T1316" s="15" t="s">
        <v>349</v>
      </c>
      <c r="U1316" t="s">
        <v>33</v>
      </c>
    </row>
    <row r="1317" spans="1:22" x14ac:dyDescent="0.2">
      <c r="A1317" t="s">
        <v>2485</v>
      </c>
      <c r="B1317" s="24">
        <v>45726</v>
      </c>
      <c r="C1317" s="24">
        <v>45712</v>
      </c>
      <c r="D1317" t="s">
        <v>2257</v>
      </c>
      <c r="E1317" t="s">
        <v>2258</v>
      </c>
      <c r="G1317" t="s">
        <v>2950</v>
      </c>
      <c r="H1317" t="s">
        <v>3148</v>
      </c>
      <c r="I1317" t="s">
        <v>3358</v>
      </c>
      <c r="J1317" s="11" t="str">
        <f>+LEFT(U1317,4)</f>
        <v>HDL-</v>
      </c>
      <c r="K1317" t="s">
        <v>10</v>
      </c>
      <c r="L1317">
        <v>1200</v>
      </c>
      <c r="M1317" t="s">
        <v>1472</v>
      </c>
      <c r="N1317" t="s">
        <v>11</v>
      </c>
      <c r="O1317">
        <v>7.6459999999999999</v>
      </c>
      <c r="P1317" s="12">
        <f>ROUND(O1317*L1317,2)</f>
        <v>9175.2000000000007</v>
      </c>
      <c r="Q1317" s="13">
        <f>IF(N1317="HKD",7.8,IF(N1317="CNY",7.30034,1))</f>
        <v>7.3003400000000003</v>
      </c>
      <c r="R1317" s="15">
        <f>+ROUND(O1317/Q1317,4)</f>
        <v>1.0472999999999999</v>
      </c>
      <c r="S1317" s="14">
        <f>ROUND(R1317*L1317,2)</f>
        <v>1256.76</v>
      </c>
      <c r="T1317" s="15" t="s">
        <v>349</v>
      </c>
      <c r="U1317" t="s">
        <v>228</v>
      </c>
    </row>
    <row r="1318" spans="1:22" x14ac:dyDescent="0.2">
      <c r="A1318" t="s">
        <v>2486</v>
      </c>
      <c r="B1318" s="24">
        <v>45726</v>
      </c>
      <c r="C1318" s="24">
        <v>45712</v>
      </c>
      <c r="D1318" t="s">
        <v>2257</v>
      </c>
      <c r="E1318" t="s">
        <v>2258</v>
      </c>
      <c r="G1318" t="s">
        <v>2950</v>
      </c>
      <c r="H1318" t="s">
        <v>3148</v>
      </c>
      <c r="I1318" t="s">
        <v>3358</v>
      </c>
      <c r="J1318" s="11" t="str">
        <f>+LEFT(U1318,4)</f>
        <v>HDL-</v>
      </c>
      <c r="K1318" t="s">
        <v>10</v>
      </c>
      <c r="L1318">
        <v>3000</v>
      </c>
      <c r="M1318" t="s">
        <v>1472</v>
      </c>
      <c r="N1318" t="s">
        <v>11</v>
      </c>
      <c r="O1318">
        <v>7.6459999999999999</v>
      </c>
      <c r="P1318" s="12">
        <f>ROUND(O1318*L1318,2)</f>
        <v>22938</v>
      </c>
      <c r="Q1318" s="13">
        <f>IF(N1318="HKD",7.8,IF(N1318="CNY",7.30034,1))</f>
        <v>7.3003400000000003</v>
      </c>
      <c r="R1318" s="15">
        <f>+ROUND(O1318/Q1318,4)</f>
        <v>1.0472999999999999</v>
      </c>
      <c r="S1318" s="14">
        <f>ROUND(R1318*L1318,2)</f>
        <v>3141.9</v>
      </c>
      <c r="T1318" s="15" t="s">
        <v>349</v>
      </c>
      <c r="U1318" t="s">
        <v>228</v>
      </c>
    </row>
    <row r="1319" spans="1:22" x14ac:dyDescent="0.2">
      <c r="A1319" t="s">
        <v>2487</v>
      </c>
      <c r="B1319" s="24">
        <v>45730</v>
      </c>
      <c r="C1319" s="24">
        <v>45712</v>
      </c>
      <c r="D1319" t="s">
        <v>2257</v>
      </c>
      <c r="E1319" t="s">
        <v>2258</v>
      </c>
      <c r="G1319" t="s">
        <v>2951</v>
      </c>
      <c r="H1319" t="s">
        <v>3148</v>
      </c>
      <c r="I1319" t="s">
        <v>3358</v>
      </c>
      <c r="J1319" s="11" t="str">
        <f>+LEFT(U1319,4)</f>
        <v>HDL-</v>
      </c>
      <c r="K1319" t="s">
        <v>10</v>
      </c>
      <c r="L1319">
        <v>2500</v>
      </c>
      <c r="M1319" t="s">
        <v>1472</v>
      </c>
      <c r="N1319" t="s">
        <v>11</v>
      </c>
      <c r="O1319">
        <v>7.6459999999999999</v>
      </c>
      <c r="P1319" s="12">
        <f>ROUND(O1319*L1319,2)</f>
        <v>19115</v>
      </c>
      <c r="Q1319" s="13">
        <f>IF(N1319="HKD",7.8,IF(N1319="CNY",7.30034,1))</f>
        <v>7.3003400000000003</v>
      </c>
      <c r="R1319" s="15">
        <f>+ROUND(O1319/Q1319,4)</f>
        <v>1.0472999999999999</v>
      </c>
      <c r="S1319" s="14">
        <f>ROUND(R1319*L1319,2)</f>
        <v>2618.25</v>
      </c>
      <c r="T1319" s="15" t="s">
        <v>349</v>
      </c>
      <c r="U1319" t="s">
        <v>228</v>
      </c>
    </row>
    <row r="1320" spans="1:22" x14ac:dyDescent="0.2">
      <c r="A1320" t="s">
        <v>2488</v>
      </c>
      <c r="B1320" s="24">
        <v>45747</v>
      </c>
      <c r="C1320" s="24">
        <v>45712</v>
      </c>
      <c r="D1320" t="s">
        <v>2257</v>
      </c>
      <c r="E1320" t="s">
        <v>2258</v>
      </c>
      <c r="G1320" t="s">
        <v>2952</v>
      </c>
      <c r="H1320" t="s">
        <v>3148</v>
      </c>
      <c r="I1320" t="s">
        <v>3358</v>
      </c>
      <c r="J1320" s="11" t="str">
        <f>+LEFT(U1320,4)</f>
        <v>HDL-</v>
      </c>
      <c r="K1320" t="s">
        <v>10</v>
      </c>
      <c r="L1320">
        <v>1800</v>
      </c>
      <c r="M1320" t="s">
        <v>1472</v>
      </c>
      <c r="N1320" t="s">
        <v>11</v>
      </c>
      <c r="O1320">
        <v>7.6459999999999999</v>
      </c>
      <c r="P1320" s="12">
        <f>ROUND(O1320*L1320,2)</f>
        <v>13762.8</v>
      </c>
      <c r="Q1320" s="13">
        <f>IF(N1320="HKD",7.8,IF(N1320="CNY",7.30034,1))</f>
        <v>7.3003400000000003</v>
      </c>
      <c r="R1320" s="15">
        <f>+ROUND(O1320/Q1320,4)</f>
        <v>1.0472999999999999</v>
      </c>
      <c r="S1320" s="14">
        <f>ROUND(R1320*L1320,2)</f>
        <v>1885.14</v>
      </c>
      <c r="T1320" s="15" t="s">
        <v>349</v>
      </c>
      <c r="U1320" t="s">
        <v>228</v>
      </c>
    </row>
    <row r="1321" spans="1:22" x14ac:dyDescent="0.2">
      <c r="A1321" s="19" t="s">
        <v>1322</v>
      </c>
      <c r="B1321" s="20">
        <v>45660</v>
      </c>
      <c r="C1321" s="20">
        <v>45622</v>
      </c>
      <c r="D1321" s="19" t="s">
        <v>169</v>
      </c>
      <c r="E1321" s="19" t="s">
        <v>170</v>
      </c>
      <c r="G1321" s="19" t="s">
        <v>1323</v>
      </c>
      <c r="H1321" s="19" t="s">
        <v>1320</v>
      </c>
      <c r="I1321" s="19" t="s">
        <v>1321</v>
      </c>
      <c r="J1321" s="11" t="str">
        <f>+LEFT(U1321,4)</f>
        <v>STKR</v>
      </c>
      <c r="K1321" s="19" t="s">
        <v>10</v>
      </c>
      <c r="L1321" s="19">
        <v>3020</v>
      </c>
      <c r="M1321" s="19" t="s">
        <v>1472</v>
      </c>
      <c r="N1321" s="19" t="s">
        <v>11</v>
      </c>
      <c r="O1321" s="26">
        <v>0.05</v>
      </c>
      <c r="P1321" s="12">
        <f>ROUND(O1321*L1321,2)</f>
        <v>151</v>
      </c>
      <c r="Q1321" s="13">
        <f>IF(N1321="HKD",7.8,IF(N1321="CNY",7.30034,1))</f>
        <v>7.3003400000000003</v>
      </c>
      <c r="R1321" s="15">
        <f>+ROUND(O1321/Q1321,4)</f>
        <v>6.7999999999999996E-3</v>
      </c>
      <c r="S1321" s="14">
        <f>ROUND(R1321*L1321,2)</f>
        <v>20.54</v>
      </c>
      <c r="T1321" s="15" t="s">
        <v>349</v>
      </c>
      <c r="U1321" s="19" t="s">
        <v>18</v>
      </c>
    </row>
    <row r="1322" spans="1:22" x14ac:dyDescent="0.2">
      <c r="A1322" s="19" t="s">
        <v>1332</v>
      </c>
      <c r="B1322" s="20">
        <v>45660</v>
      </c>
      <c r="C1322" s="20">
        <v>45622</v>
      </c>
      <c r="D1322" s="19" t="s">
        <v>169</v>
      </c>
      <c r="E1322" s="19" t="s">
        <v>170</v>
      </c>
      <c r="G1322" s="19" t="s">
        <v>1323</v>
      </c>
      <c r="H1322" s="19" t="s">
        <v>1330</v>
      </c>
      <c r="I1322" s="19" t="s">
        <v>1331</v>
      </c>
      <c r="J1322" s="11" t="str">
        <f>+LEFT(U1322,4)</f>
        <v>STKR</v>
      </c>
      <c r="K1322" s="19" t="s">
        <v>10</v>
      </c>
      <c r="L1322" s="19">
        <v>2020</v>
      </c>
      <c r="M1322" s="19" t="s">
        <v>1472</v>
      </c>
      <c r="N1322" s="19" t="s">
        <v>11</v>
      </c>
      <c r="O1322" s="26">
        <v>0.08</v>
      </c>
      <c r="P1322" s="12">
        <f>ROUND(O1322*L1322,2)</f>
        <v>161.6</v>
      </c>
      <c r="Q1322" s="13">
        <f>IF(N1322="HKD",7.8,IF(N1322="CNY",7.30034,1))</f>
        <v>7.3003400000000003</v>
      </c>
      <c r="R1322" s="15">
        <f>+ROUND(O1322/Q1322,4)</f>
        <v>1.0999999999999999E-2</v>
      </c>
      <c r="S1322" s="14">
        <f>ROUND(R1322*L1322,2)</f>
        <v>22.22</v>
      </c>
      <c r="T1322" s="15" t="s">
        <v>349</v>
      </c>
      <c r="U1322" s="19" t="s">
        <v>18</v>
      </c>
    </row>
    <row r="1323" spans="1:22" x14ac:dyDescent="0.2">
      <c r="A1323" s="19" t="s">
        <v>1329</v>
      </c>
      <c r="B1323" s="20">
        <v>45660</v>
      </c>
      <c r="C1323" s="20">
        <v>45622</v>
      </c>
      <c r="D1323" s="19" t="s">
        <v>169</v>
      </c>
      <c r="E1323" s="19" t="s">
        <v>170</v>
      </c>
      <c r="G1323" s="19" t="s">
        <v>1323</v>
      </c>
      <c r="H1323" s="19" t="s">
        <v>1327</v>
      </c>
      <c r="I1323" s="19" t="s">
        <v>1328</v>
      </c>
      <c r="J1323" s="11" t="str">
        <f>+LEFT(U1323,4)</f>
        <v>STKR</v>
      </c>
      <c r="K1323" s="19" t="s">
        <v>10</v>
      </c>
      <c r="L1323" s="19">
        <v>1010</v>
      </c>
      <c r="M1323" s="19" t="s">
        <v>1472</v>
      </c>
      <c r="N1323" s="19" t="s">
        <v>11</v>
      </c>
      <c r="O1323" s="26">
        <v>0.08</v>
      </c>
      <c r="P1323" s="12">
        <f>ROUND(O1323*L1323,2)</f>
        <v>80.8</v>
      </c>
      <c r="Q1323" s="13">
        <f>IF(N1323="HKD",7.8,IF(N1323="CNY",7.30034,1))</f>
        <v>7.3003400000000003</v>
      </c>
      <c r="R1323" s="15">
        <f>+ROUND(O1323/Q1323,4)</f>
        <v>1.0999999999999999E-2</v>
      </c>
      <c r="S1323" s="14">
        <f>ROUND(R1323*L1323,2)</f>
        <v>11.11</v>
      </c>
      <c r="T1323" s="15" t="s">
        <v>349</v>
      </c>
      <c r="U1323" s="19" t="s">
        <v>18</v>
      </c>
    </row>
    <row r="1324" spans="1:22" x14ac:dyDescent="0.2">
      <c r="A1324" s="19" t="s">
        <v>1326</v>
      </c>
      <c r="B1324" s="20">
        <v>45660</v>
      </c>
      <c r="C1324" s="20">
        <v>45622</v>
      </c>
      <c r="D1324" s="19" t="s">
        <v>169</v>
      </c>
      <c r="E1324" s="19" t="s">
        <v>170</v>
      </c>
      <c r="G1324" s="19" t="s">
        <v>1323</v>
      </c>
      <c r="H1324" s="19" t="s">
        <v>1324</v>
      </c>
      <c r="I1324" s="19" t="s">
        <v>1325</v>
      </c>
      <c r="J1324" s="11" t="str">
        <f>+LEFT(U1324,4)</f>
        <v>STKR</v>
      </c>
      <c r="K1324" s="19" t="s">
        <v>10</v>
      </c>
      <c r="L1324" s="19">
        <v>1010</v>
      </c>
      <c r="M1324" s="19" t="s">
        <v>1472</v>
      </c>
      <c r="N1324" s="19" t="s">
        <v>11</v>
      </c>
      <c r="O1324" s="26">
        <v>0.08</v>
      </c>
      <c r="P1324" s="12">
        <f>ROUND(O1324*L1324,2)</f>
        <v>80.8</v>
      </c>
      <c r="Q1324" s="13">
        <f>IF(N1324="HKD",7.8,IF(N1324="CNY",7.30034,1))</f>
        <v>7.3003400000000003</v>
      </c>
      <c r="R1324" s="15">
        <f>+ROUND(O1324/Q1324,4)</f>
        <v>1.0999999999999999E-2</v>
      </c>
      <c r="S1324" s="14">
        <f>ROUND(R1324*L1324,2)</f>
        <v>11.11</v>
      </c>
      <c r="T1324" s="15" t="s">
        <v>349</v>
      </c>
      <c r="U1324" s="19" t="s">
        <v>18</v>
      </c>
    </row>
    <row r="1325" spans="1:22" x14ac:dyDescent="0.2">
      <c r="A1325" s="19" t="s">
        <v>1135</v>
      </c>
      <c r="B1325" s="20">
        <v>45663</v>
      </c>
      <c r="C1325" s="20">
        <v>45643</v>
      </c>
      <c r="D1325" s="19" t="s">
        <v>169</v>
      </c>
      <c r="E1325" s="19" t="s">
        <v>170</v>
      </c>
      <c r="F1325" s="21"/>
      <c r="G1325" s="19" t="s">
        <v>1132</v>
      </c>
      <c r="H1325" s="19" t="s">
        <v>1133</v>
      </c>
      <c r="I1325" s="19" t="s">
        <v>1134</v>
      </c>
      <c r="J1325" s="11" t="str">
        <f>+LEFT(U1325,4)</f>
        <v>STKR</v>
      </c>
      <c r="K1325" s="19" t="s">
        <v>10</v>
      </c>
      <c r="L1325" s="19">
        <v>11300</v>
      </c>
      <c r="M1325" s="19" t="s">
        <v>1472</v>
      </c>
      <c r="N1325" s="19" t="s">
        <v>11</v>
      </c>
      <c r="O1325" s="26">
        <v>2.5899999999999999E-2</v>
      </c>
      <c r="P1325" s="12">
        <f>ROUND(O1325*L1325,2)</f>
        <v>292.67</v>
      </c>
      <c r="Q1325" s="13">
        <f>IF(N1325="HKD",7.8,IF(N1325="CNY",7.30034,1))</f>
        <v>7.3003400000000003</v>
      </c>
      <c r="R1325" s="15">
        <f>+ROUND(O1325/Q1325,4)</f>
        <v>3.5000000000000001E-3</v>
      </c>
      <c r="S1325" s="14">
        <f>ROUND(R1325*L1325,2)</f>
        <v>39.549999999999997</v>
      </c>
      <c r="T1325" s="15" t="s">
        <v>349</v>
      </c>
      <c r="U1325" s="19" t="s">
        <v>18</v>
      </c>
      <c r="V1325" s="22"/>
    </row>
    <row r="1326" spans="1:22" x14ac:dyDescent="0.2">
      <c r="A1326" s="19" t="s">
        <v>1138</v>
      </c>
      <c r="B1326" s="20">
        <v>45663</v>
      </c>
      <c r="C1326" s="20">
        <v>45643</v>
      </c>
      <c r="D1326" s="19" t="s">
        <v>169</v>
      </c>
      <c r="E1326" s="19" t="s">
        <v>170</v>
      </c>
      <c r="G1326" s="19" t="s">
        <v>1132</v>
      </c>
      <c r="H1326" s="19" t="s">
        <v>1136</v>
      </c>
      <c r="I1326" s="19" t="s">
        <v>1137</v>
      </c>
      <c r="J1326" s="11" t="str">
        <f>+LEFT(U1326,4)</f>
        <v>STKR</v>
      </c>
      <c r="K1326" s="19" t="s">
        <v>10</v>
      </c>
      <c r="L1326" s="19">
        <v>1010</v>
      </c>
      <c r="M1326" s="19" t="s">
        <v>1472</v>
      </c>
      <c r="N1326" s="19" t="s">
        <v>11</v>
      </c>
      <c r="O1326" s="26">
        <v>0.03</v>
      </c>
      <c r="P1326" s="12">
        <f>ROUND(O1326*L1326,2)</f>
        <v>30.3</v>
      </c>
      <c r="Q1326" s="13">
        <f>IF(N1326="HKD",7.8,IF(N1326="CNY",7.30034,1))</f>
        <v>7.3003400000000003</v>
      </c>
      <c r="R1326" s="15">
        <f>+ROUND(O1326/Q1326,4)</f>
        <v>4.1000000000000003E-3</v>
      </c>
      <c r="S1326" s="14">
        <f>ROUND(R1326*L1326,2)</f>
        <v>4.1399999999999997</v>
      </c>
      <c r="T1326" s="15" t="s">
        <v>349</v>
      </c>
      <c r="U1326" s="19" t="s">
        <v>18</v>
      </c>
    </row>
    <row r="1327" spans="1:22" x14ac:dyDescent="0.2">
      <c r="A1327" s="19" t="s">
        <v>1131</v>
      </c>
      <c r="B1327" s="20">
        <v>45663</v>
      </c>
      <c r="C1327" s="20">
        <v>45653</v>
      </c>
      <c r="D1327" s="19" t="s">
        <v>169</v>
      </c>
      <c r="E1327" s="19" t="s">
        <v>170</v>
      </c>
      <c r="G1327" s="19" t="s">
        <v>1132</v>
      </c>
      <c r="H1327" s="19" t="s">
        <v>1129</v>
      </c>
      <c r="I1327" s="19" t="s">
        <v>1130</v>
      </c>
      <c r="J1327" s="11" t="str">
        <f>+LEFT(U1327,4)</f>
        <v>STKR</v>
      </c>
      <c r="K1327" s="19" t="s">
        <v>10</v>
      </c>
      <c r="L1327" s="19">
        <v>1500</v>
      </c>
      <c r="M1327" s="19" t="s">
        <v>1472</v>
      </c>
      <c r="N1327" s="19" t="s">
        <v>11</v>
      </c>
      <c r="O1327" s="26">
        <v>3.4200000000000001E-2</v>
      </c>
      <c r="P1327" s="12">
        <f>ROUND(O1327*L1327,2)</f>
        <v>51.3</v>
      </c>
      <c r="Q1327" s="13">
        <f>IF(N1327="HKD",7.8,IF(N1327="CNY",7.30034,1))</f>
        <v>7.3003400000000003</v>
      </c>
      <c r="R1327" s="15">
        <f>+ROUND(O1327/Q1327,4)</f>
        <v>4.7000000000000002E-3</v>
      </c>
      <c r="S1327" s="14">
        <f>ROUND(R1327*L1327,2)</f>
        <v>7.05</v>
      </c>
      <c r="T1327" s="15" t="s">
        <v>349</v>
      </c>
      <c r="U1327" s="19" t="s">
        <v>18</v>
      </c>
    </row>
    <row r="1328" spans="1:22" x14ac:dyDescent="0.2">
      <c r="A1328" s="19" t="s">
        <v>1264</v>
      </c>
      <c r="B1328" s="20">
        <v>45663</v>
      </c>
      <c r="C1328" s="20">
        <v>45651</v>
      </c>
      <c r="D1328" s="19" t="s">
        <v>101</v>
      </c>
      <c r="E1328" s="19" t="s">
        <v>102</v>
      </c>
      <c r="G1328" s="19" t="s">
        <v>1248</v>
      </c>
      <c r="H1328" s="19" t="s">
        <v>1245</v>
      </c>
      <c r="I1328" s="19" t="s">
        <v>1246</v>
      </c>
      <c r="J1328" s="11" t="str">
        <f>+LEFT(U1328,4)</f>
        <v>STKR</v>
      </c>
      <c r="K1328" s="19" t="s">
        <v>10</v>
      </c>
      <c r="L1328" s="19">
        <v>1010</v>
      </c>
      <c r="M1328" s="19" t="s">
        <v>1472</v>
      </c>
      <c r="N1328" s="19" t="s">
        <v>11</v>
      </c>
      <c r="O1328" s="26">
        <v>0.05</v>
      </c>
      <c r="P1328" s="12">
        <f>ROUND(O1328*L1328,2)</f>
        <v>50.5</v>
      </c>
      <c r="Q1328" s="13">
        <f>IF(N1328="HKD",7.8,IF(N1328="CNY",7.30034,1))</f>
        <v>7.3003400000000003</v>
      </c>
      <c r="R1328" s="15">
        <f>+ROUND(O1328/Q1328,4)</f>
        <v>6.7999999999999996E-3</v>
      </c>
      <c r="S1328" s="14">
        <f>ROUND(R1328*L1328,2)</f>
        <v>6.87</v>
      </c>
      <c r="T1328" s="15" t="s">
        <v>349</v>
      </c>
      <c r="U1328" s="19" t="s">
        <v>18</v>
      </c>
    </row>
    <row r="1329" spans="1:22" x14ac:dyDescent="0.2">
      <c r="A1329" s="19" t="s">
        <v>1263</v>
      </c>
      <c r="B1329" s="20">
        <v>45663</v>
      </c>
      <c r="C1329" s="20">
        <v>45651</v>
      </c>
      <c r="D1329" s="19" t="s">
        <v>101</v>
      </c>
      <c r="E1329" s="19" t="s">
        <v>102</v>
      </c>
      <c r="G1329" s="19" t="s">
        <v>1248</v>
      </c>
      <c r="H1329" s="19" t="s">
        <v>1261</v>
      </c>
      <c r="I1329" s="19" t="s">
        <v>1262</v>
      </c>
      <c r="J1329" s="11" t="str">
        <f>+LEFT(U1329,4)</f>
        <v>STKR</v>
      </c>
      <c r="K1329" s="19" t="s">
        <v>10</v>
      </c>
      <c r="L1329" s="19">
        <v>1010</v>
      </c>
      <c r="M1329" s="19" t="s">
        <v>1472</v>
      </c>
      <c r="N1329" s="19" t="s">
        <v>11</v>
      </c>
      <c r="O1329" s="26">
        <v>0.05</v>
      </c>
      <c r="P1329" s="12">
        <f>ROUND(O1329*L1329,2)</f>
        <v>50.5</v>
      </c>
      <c r="Q1329" s="13">
        <f>IF(N1329="HKD",7.8,IF(N1329="CNY",7.30034,1))</f>
        <v>7.3003400000000003</v>
      </c>
      <c r="R1329" s="15">
        <f>+ROUND(O1329/Q1329,4)</f>
        <v>6.7999999999999996E-3</v>
      </c>
      <c r="S1329" s="14">
        <f>ROUND(R1329*L1329,2)</f>
        <v>6.87</v>
      </c>
      <c r="T1329" s="15" t="s">
        <v>349</v>
      </c>
      <c r="U1329" s="19" t="s">
        <v>18</v>
      </c>
    </row>
    <row r="1330" spans="1:22" x14ac:dyDescent="0.2">
      <c r="A1330" s="19" t="s">
        <v>1260</v>
      </c>
      <c r="B1330" s="20">
        <v>45663</v>
      </c>
      <c r="C1330" s="20">
        <v>45651</v>
      </c>
      <c r="D1330" s="19" t="s">
        <v>101</v>
      </c>
      <c r="E1330" s="19" t="s">
        <v>102</v>
      </c>
      <c r="G1330" s="19" t="s">
        <v>1248</v>
      </c>
      <c r="H1330" s="19" t="s">
        <v>1258</v>
      </c>
      <c r="I1330" s="19" t="s">
        <v>1259</v>
      </c>
      <c r="J1330" s="11" t="str">
        <f>+LEFT(U1330,4)</f>
        <v>STKR</v>
      </c>
      <c r="K1330" s="19" t="s">
        <v>10</v>
      </c>
      <c r="L1330" s="19">
        <v>510</v>
      </c>
      <c r="M1330" s="19" t="s">
        <v>1472</v>
      </c>
      <c r="N1330" s="19" t="s">
        <v>11</v>
      </c>
      <c r="O1330" s="26">
        <v>0.05</v>
      </c>
      <c r="P1330" s="12">
        <f>ROUND(O1330*L1330,2)</f>
        <v>25.5</v>
      </c>
      <c r="Q1330" s="13">
        <f>IF(N1330="HKD",7.8,IF(N1330="CNY",7.30034,1))</f>
        <v>7.3003400000000003</v>
      </c>
      <c r="R1330" s="15">
        <f>+ROUND(O1330/Q1330,4)</f>
        <v>6.7999999999999996E-3</v>
      </c>
      <c r="S1330" s="14">
        <f>ROUND(R1330*L1330,2)</f>
        <v>3.47</v>
      </c>
      <c r="T1330" s="15" t="s">
        <v>349</v>
      </c>
      <c r="U1330" s="19" t="s">
        <v>18</v>
      </c>
    </row>
    <row r="1331" spans="1:22" x14ac:dyDescent="0.2">
      <c r="A1331" s="19" t="s">
        <v>1257</v>
      </c>
      <c r="B1331" s="20">
        <v>45663</v>
      </c>
      <c r="C1331" s="20">
        <v>45651</v>
      </c>
      <c r="D1331" s="19" t="s">
        <v>101</v>
      </c>
      <c r="E1331" s="19" t="s">
        <v>102</v>
      </c>
      <c r="G1331" s="19" t="s">
        <v>1248</v>
      </c>
      <c r="H1331" s="19" t="s">
        <v>1255</v>
      </c>
      <c r="I1331" s="19" t="s">
        <v>1256</v>
      </c>
      <c r="J1331" s="11" t="str">
        <f>+LEFT(U1331,4)</f>
        <v>STKR</v>
      </c>
      <c r="K1331" s="19" t="s">
        <v>10</v>
      </c>
      <c r="L1331" s="19">
        <v>1010</v>
      </c>
      <c r="M1331" s="19" t="s">
        <v>1472</v>
      </c>
      <c r="N1331" s="19" t="s">
        <v>11</v>
      </c>
      <c r="O1331" s="26">
        <v>0.05</v>
      </c>
      <c r="P1331" s="12">
        <f>ROUND(O1331*L1331,2)</f>
        <v>50.5</v>
      </c>
      <c r="Q1331" s="13">
        <f>IF(N1331="HKD",7.8,IF(N1331="CNY",7.30034,1))</f>
        <v>7.3003400000000003</v>
      </c>
      <c r="R1331" s="15">
        <f>+ROUND(O1331/Q1331,4)</f>
        <v>6.7999999999999996E-3</v>
      </c>
      <c r="S1331" s="14">
        <f>ROUND(R1331*L1331,2)</f>
        <v>6.87</v>
      </c>
      <c r="T1331" s="15" t="s">
        <v>349</v>
      </c>
      <c r="U1331" s="19" t="s">
        <v>18</v>
      </c>
    </row>
    <row r="1332" spans="1:22" x14ac:dyDescent="0.2">
      <c r="A1332" s="19" t="s">
        <v>1251</v>
      </c>
      <c r="B1332" s="20">
        <v>45663</v>
      </c>
      <c r="C1332" s="20">
        <v>45651</v>
      </c>
      <c r="D1332" s="19" t="s">
        <v>101</v>
      </c>
      <c r="E1332" s="19" t="s">
        <v>102</v>
      </c>
      <c r="G1332" s="19" t="s">
        <v>1248</v>
      </c>
      <c r="H1332" s="19" t="s">
        <v>1249</v>
      </c>
      <c r="I1332" s="19" t="s">
        <v>1250</v>
      </c>
      <c r="J1332" s="11" t="str">
        <f>+LEFT(U1332,4)</f>
        <v>STKR</v>
      </c>
      <c r="K1332" s="19" t="s">
        <v>10</v>
      </c>
      <c r="L1332" s="19">
        <v>1010</v>
      </c>
      <c r="M1332" s="19" t="s">
        <v>1472</v>
      </c>
      <c r="N1332" s="19" t="s">
        <v>11</v>
      </c>
      <c r="O1332" s="26">
        <v>0.05</v>
      </c>
      <c r="P1332" s="12">
        <f>ROUND(O1332*L1332,2)</f>
        <v>50.5</v>
      </c>
      <c r="Q1332" s="13">
        <f>IF(N1332="HKD",7.8,IF(N1332="CNY",7.30034,1))</f>
        <v>7.3003400000000003</v>
      </c>
      <c r="R1332" s="15">
        <f>+ROUND(O1332/Q1332,4)</f>
        <v>6.7999999999999996E-3</v>
      </c>
      <c r="S1332" s="14">
        <f>ROUND(R1332*L1332,2)</f>
        <v>6.87</v>
      </c>
      <c r="T1332" s="15" t="s">
        <v>349</v>
      </c>
      <c r="U1332" s="19" t="s">
        <v>18</v>
      </c>
    </row>
    <row r="1333" spans="1:22" x14ac:dyDescent="0.2">
      <c r="A1333" s="19" t="s">
        <v>1247</v>
      </c>
      <c r="B1333" s="20">
        <v>45663</v>
      </c>
      <c r="C1333" s="20">
        <v>45651</v>
      </c>
      <c r="D1333" s="19" t="s">
        <v>101</v>
      </c>
      <c r="E1333" s="19" t="s">
        <v>102</v>
      </c>
      <c r="G1333" s="19" t="s">
        <v>1248</v>
      </c>
      <c r="H1333" s="19" t="s">
        <v>1245</v>
      </c>
      <c r="I1333" s="19" t="s">
        <v>1246</v>
      </c>
      <c r="J1333" s="11" t="str">
        <f>+LEFT(U1333,4)</f>
        <v>STKR</v>
      </c>
      <c r="K1333" s="19" t="s">
        <v>10</v>
      </c>
      <c r="L1333" s="19">
        <v>1010</v>
      </c>
      <c r="M1333" s="19" t="s">
        <v>1472</v>
      </c>
      <c r="N1333" s="19" t="s">
        <v>11</v>
      </c>
      <c r="O1333" s="26">
        <v>0.05</v>
      </c>
      <c r="P1333" s="12">
        <f>ROUND(O1333*L1333,2)</f>
        <v>50.5</v>
      </c>
      <c r="Q1333" s="13">
        <f>IF(N1333="HKD",7.8,IF(N1333="CNY",7.30034,1))</f>
        <v>7.3003400000000003</v>
      </c>
      <c r="R1333" s="15">
        <f>+ROUND(O1333/Q1333,4)</f>
        <v>6.7999999999999996E-3</v>
      </c>
      <c r="S1333" s="14">
        <f>ROUND(R1333*L1333,2)</f>
        <v>6.87</v>
      </c>
      <c r="T1333" s="15" t="s">
        <v>349</v>
      </c>
      <c r="U1333" s="19" t="s">
        <v>18</v>
      </c>
    </row>
    <row r="1334" spans="1:22" x14ac:dyDescent="0.2">
      <c r="A1334" s="19" t="s">
        <v>1254</v>
      </c>
      <c r="B1334" s="20">
        <v>45663</v>
      </c>
      <c r="C1334" s="20">
        <v>45651</v>
      </c>
      <c r="D1334" s="19" t="s">
        <v>101</v>
      </c>
      <c r="E1334" s="19" t="s">
        <v>102</v>
      </c>
      <c r="G1334" s="19" t="s">
        <v>1248</v>
      </c>
      <c r="H1334" s="19" t="s">
        <v>1252</v>
      </c>
      <c r="I1334" s="19" t="s">
        <v>1253</v>
      </c>
      <c r="J1334" s="11" t="str">
        <f>+LEFT(U1334,4)</f>
        <v>STKR</v>
      </c>
      <c r="K1334" s="19" t="s">
        <v>10</v>
      </c>
      <c r="L1334" s="19">
        <v>505</v>
      </c>
      <c r="M1334" s="19" t="s">
        <v>1472</v>
      </c>
      <c r="N1334" s="19" t="s">
        <v>11</v>
      </c>
      <c r="O1334" s="26">
        <v>0.06</v>
      </c>
      <c r="P1334" s="12">
        <f>ROUND(O1334*L1334,2)</f>
        <v>30.3</v>
      </c>
      <c r="Q1334" s="13">
        <f>IF(N1334="HKD",7.8,IF(N1334="CNY",7.30034,1))</f>
        <v>7.3003400000000003</v>
      </c>
      <c r="R1334" s="15">
        <f>+ROUND(O1334/Q1334,4)</f>
        <v>8.2000000000000007E-3</v>
      </c>
      <c r="S1334" s="14">
        <f>ROUND(R1334*L1334,2)</f>
        <v>4.1399999999999997</v>
      </c>
      <c r="T1334" s="15" t="s">
        <v>349</v>
      </c>
      <c r="U1334" s="19" t="s">
        <v>18</v>
      </c>
    </row>
    <row r="1335" spans="1:22" x14ac:dyDescent="0.2">
      <c r="A1335" s="19" t="s">
        <v>1267</v>
      </c>
      <c r="B1335" s="20">
        <v>45663</v>
      </c>
      <c r="C1335" s="20">
        <v>45652</v>
      </c>
      <c r="D1335" s="19" t="s">
        <v>101</v>
      </c>
      <c r="E1335" s="19" t="s">
        <v>102</v>
      </c>
      <c r="G1335" s="19" t="s">
        <v>1248</v>
      </c>
      <c r="H1335" s="19" t="s">
        <v>1265</v>
      </c>
      <c r="I1335" s="19" t="s">
        <v>1266</v>
      </c>
      <c r="J1335" s="11" t="str">
        <f>+LEFT(U1335,4)</f>
        <v>STKR</v>
      </c>
      <c r="K1335" s="19" t="s">
        <v>10</v>
      </c>
      <c r="L1335" s="19">
        <v>1010</v>
      </c>
      <c r="M1335" s="19" t="s">
        <v>1472</v>
      </c>
      <c r="N1335" s="19" t="s">
        <v>11</v>
      </c>
      <c r="O1335" s="26">
        <v>0.06</v>
      </c>
      <c r="P1335" s="12">
        <f>ROUND(O1335*L1335,2)</f>
        <v>60.6</v>
      </c>
      <c r="Q1335" s="13">
        <f>IF(N1335="HKD",7.8,IF(N1335="CNY",7.30034,1))</f>
        <v>7.3003400000000003</v>
      </c>
      <c r="R1335" s="15">
        <f>+ROUND(O1335/Q1335,4)</f>
        <v>8.2000000000000007E-3</v>
      </c>
      <c r="S1335" s="14">
        <f>ROUND(R1335*L1335,2)</f>
        <v>8.2799999999999994</v>
      </c>
      <c r="T1335" s="15" t="s">
        <v>349</v>
      </c>
      <c r="U1335" s="19" t="s">
        <v>18</v>
      </c>
    </row>
    <row r="1336" spans="1:22" x14ac:dyDescent="0.2">
      <c r="A1336" s="19" t="s">
        <v>621</v>
      </c>
      <c r="B1336" s="20">
        <v>45670</v>
      </c>
      <c r="C1336" s="20">
        <v>45643</v>
      </c>
      <c r="D1336" s="19" t="s">
        <v>169</v>
      </c>
      <c r="E1336" s="19" t="s">
        <v>170</v>
      </c>
      <c r="G1336" s="19" t="s">
        <v>618</v>
      </c>
      <c r="H1336" s="19" t="s">
        <v>619</v>
      </c>
      <c r="I1336" s="19" t="s">
        <v>620</v>
      </c>
      <c r="J1336" s="11" t="str">
        <f>+LEFT(U1336,4)</f>
        <v>STKR</v>
      </c>
      <c r="K1336" s="19" t="s">
        <v>10</v>
      </c>
      <c r="L1336" s="19">
        <v>3020</v>
      </c>
      <c r="M1336" s="19" t="s">
        <v>1472</v>
      </c>
      <c r="N1336" s="19" t="s">
        <v>11</v>
      </c>
      <c r="O1336" s="26">
        <v>0.03</v>
      </c>
      <c r="P1336" s="12">
        <f>ROUND(O1336*L1336,2)</f>
        <v>90.6</v>
      </c>
      <c r="Q1336" s="13">
        <f>IF(N1336="HKD",7.8,IF(N1336="CNY",7.30034,1))</f>
        <v>7.3003400000000003</v>
      </c>
      <c r="R1336" s="15">
        <f>+ROUND(O1336/Q1336,4)</f>
        <v>4.1000000000000003E-3</v>
      </c>
      <c r="S1336" s="14">
        <f>ROUND(R1336*L1336,2)</f>
        <v>12.38</v>
      </c>
      <c r="T1336" s="15" t="s">
        <v>349</v>
      </c>
      <c r="U1336" s="19" t="s">
        <v>18</v>
      </c>
    </row>
    <row r="1337" spans="1:22" x14ac:dyDescent="0.2">
      <c r="A1337" s="19" t="s">
        <v>613</v>
      </c>
      <c r="B1337" s="20">
        <v>45670</v>
      </c>
      <c r="C1337" s="20">
        <v>45643</v>
      </c>
      <c r="D1337" s="19" t="s">
        <v>101</v>
      </c>
      <c r="E1337" s="19" t="s">
        <v>102</v>
      </c>
      <c r="G1337" s="19" t="s">
        <v>614</v>
      </c>
      <c r="H1337" s="19" t="s">
        <v>611</v>
      </c>
      <c r="I1337" s="19" t="s">
        <v>612</v>
      </c>
      <c r="J1337" s="11" t="str">
        <f>+LEFT(U1337,4)</f>
        <v>STKR</v>
      </c>
      <c r="K1337" s="19" t="s">
        <v>10</v>
      </c>
      <c r="L1337" s="19">
        <v>1010</v>
      </c>
      <c r="M1337" s="19" t="s">
        <v>1472</v>
      </c>
      <c r="N1337" s="19" t="s">
        <v>11</v>
      </c>
      <c r="O1337" s="26">
        <v>0.03</v>
      </c>
      <c r="P1337" s="12">
        <f>ROUND(O1337*L1337,2)</f>
        <v>30.3</v>
      </c>
      <c r="Q1337" s="13">
        <f>IF(N1337="HKD",7.8,IF(N1337="CNY",7.30034,1))</f>
        <v>7.3003400000000003</v>
      </c>
      <c r="R1337" s="15">
        <f>+ROUND(O1337/Q1337,4)</f>
        <v>4.1000000000000003E-3</v>
      </c>
      <c r="S1337" s="14">
        <f>ROUND(R1337*L1337,2)</f>
        <v>4.1399999999999997</v>
      </c>
      <c r="T1337" s="15" t="s">
        <v>349</v>
      </c>
      <c r="U1337" s="19" t="s">
        <v>18</v>
      </c>
    </row>
    <row r="1338" spans="1:22" x14ac:dyDescent="0.2">
      <c r="A1338" s="19" t="s">
        <v>625</v>
      </c>
      <c r="B1338" s="20">
        <v>45670</v>
      </c>
      <c r="C1338" s="20">
        <v>45643</v>
      </c>
      <c r="D1338" s="19" t="s">
        <v>169</v>
      </c>
      <c r="E1338" s="19" t="s">
        <v>170</v>
      </c>
      <c r="G1338" s="19" t="s">
        <v>618</v>
      </c>
      <c r="H1338" s="19" t="s">
        <v>622</v>
      </c>
      <c r="I1338" s="19" t="s">
        <v>623</v>
      </c>
      <c r="J1338" s="11" t="str">
        <f>+LEFT(U1338,4)</f>
        <v>STKR</v>
      </c>
      <c r="K1338" s="19" t="s">
        <v>10</v>
      </c>
      <c r="L1338" s="19">
        <v>2020</v>
      </c>
      <c r="M1338" s="19" t="s">
        <v>1472</v>
      </c>
      <c r="N1338" s="19" t="s">
        <v>11</v>
      </c>
      <c r="O1338" s="26">
        <v>4.2000000000000003E-2</v>
      </c>
      <c r="P1338" s="12">
        <f>ROUND(O1338*L1338,2)</f>
        <v>84.84</v>
      </c>
      <c r="Q1338" s="13">
        <f>IF(N1338="HKD",7.8,IF(N1338="CNY",7.30034,1))</f>
        <v>7.3003400000000003</v>
      </c>
      <c r="R1338" s="15">
        <f>+ROUND(O1338/Q1338,4)</f>
        <v>5.7999999999999996E-3</v>
      </c>
      <c r="S1338" s="14">
        <f>ROUND(R1338*L1338,2)</f>
        <v>11.72</v>
      </c>
      <c r="T1338" s="15" t="s">
        <v>349</v>
      </c>
      <c r="U1338" s="19" t="s">
        <v>18</v>
      </c>
    </row>
    <row r="1339" spans="1:22" x14ac:dyDescent="0.2">
      <c r="A1339" s="19" t="s">
        <v>624</v>
      </c>
      <c r="B1339" s="20">
        <v>45670</v>
      </c>
      <c r="C1339" s="20">
        <v>45643</v>
      </c>
      <c r="D1339" s="19" t="s">
        <v>169</v>
      </c>
      <c r="E1339" s="19" t="s">
        <v>170</v>
      </c>
      <c r="G1339" s="19" t="s">
        <v>618</v>
      </c>
      <c r="H1339" s="19" t="s">
        <v>622</v>
      </c>
      <c r="I1339" s="19" t="s">
        <v>623</v>
      </c>
      <c r="J1339" s="11" t="str">
        <f>+LEFT(U1339,4)</f>
        <v>STKR</v>
      </c>
      <c r="K1339" s="19" t="s">
        <v>10</v>
      </c>
      <c r="L1339" s="19">
        <v>50</v>
      </c>
      <c r="M1339" s="19" t="s">
        <v>1472</v>
      </c>
      <c r="N1339" s="19" t="s">
        <v>11</v>
      </c>
      <c r="O1339" s="26">
        <v>4.2000000000000003E-2</v>
      </c>
      <c r="P1339" s="12">
        <f>ROUND(O1339*L1339,2)</f>
        <v>2.1</v>
      </c>
      <c r="Q1339" s="13">
        <f>IF(N1339="HKD",7.8,IF(N1339="CNY",7.30034,1))</f>
        <v>7.3003400000000003</v>
      </c>
      <c r="R1339" s="15">
        <f>+ROUND(O1339/Q1339,4)</f>
        <v>5.7999999999999996E-3</v>
      </c>
      <c r="S1339" s="14">
        <f>ROUND(R1339*L1339,2)</f>
        <v>0.28999999999999998</v>
      </c>
      <c r="T1339" s="15" t="s">
        <v>349</v>
      </c>
      <c r="U1339" s="19" t="s">
        <v>18</v>
      </c>
    </row>
    <row r="1340" spans="1:22" x14ac:dyDescent="0.2">
      <c r="A1340" s="19" t="s">
        <v>617</v>
      </c>
      <c r="B1340" s="20">
        <v>45670</v>
      </c>
      <c r="C1340" s="20">
        <v>45643</v>
      </c>
      <c r="D1340" s="19" t="s">
        <v>169</v>
      </c>
      <c r="E1340" s="19" t="s">
        <v>170</v>
      </c>
      <c r="G1340" s="19" t="s">
        <v>618</v>
      </c>
      <c r="H1340" s="19" t="s">
        <v>615</v>
      </c>
      <c r="I1340" s="19" t="s">
        <v>616</v>
      </c>
      <c r="J1340" s="11" t="str">
        <f>+LEFT(U1340,4)</f>
        <v>STKR</v>
      </c>
      <c r="K1340" s="19" t="s">
        <v>10</v>
      </c>
      <c r="L1340" s="19">
        <v>2520</v>
      </c>
      <c r="M1340" s="19" t="s">
        <v>1472</v>
      </c>
      <c r="N1340" s="19" t="s">
        <v>11</v>
      </c>
      <c r="O1340" s="26">
        <v>4.2000000000000003E-2</v>
      </c>
      <c r="P1340" s="12">
        <f>ROUND(O1340*L1340,2)</f>
        <v>105.84</v>
      </c>
      <c r="Q1340" s="13">
        <f>IF(N1340="HKD",7.8,IF(N1340="CNY",7.30034,1))</f>
        <v>7.3003400000000003</v>
      </c>
      <c r="R1340" s="15">
        <f>+ROUND(O1340/Q1340,4)</f>
        <v>5.7999999999999996E-3</v>
      </c>
      <c r="S1340" s="14">
        <f>ROUND(R1340*L1340,2)</f>
        <v>14.62</v>
      </c>
      <c r="T1340" s="15" t="s">
        <v>349</v>
      </c>
      <c r="U1340" s="19" t="s">
        <v>18</v>
      </c>
    </row>
    <row r="1341" spans="1:22" x14ac:dyDescent="0.2">
      <c r="A1341" s="19" t="s">
        <v>231</v>
      </c>
      <c r="B1341" s="20">
        <v>45674</v>
      </c>
      <c r="C1341" s="20">
        <v>45653</v>
      </c>
      <c r="D1341" s="19" t="s">
        <v>101</v>
      </c>
      <c r="E1341" s="19" t="s">
        <v>102</v>
      </c>
      <c r="G1341" s="19" t="s">
        <v>232</v>
      </c>
      <c r="H1341" s="19" t="s">
        <v>229</v>
      </c>
      <c r="I1341" s="19" t="s">
        <v>230</v>
      </c>
      <c r="J1341" s="11" t="str">
        <f>+LEFT(U1341,4)</f>
        <v>STKR</v>
      </c>
      <c r="K1341" s="19" t="s">
        <v>10</v>
      </c>
      <c r="L1341" s="19">
        <v>1010</v>
      </c>
      <c r="M1341" s="19" t="s">
        <v>1472</v>
      </c>
      <c r="N1341" s="19" t="s">
        <v>11</v>
      </c>
      <c r="O1341" s="26">
        <v>0.05</v>
      </c>
      <c r="P1341" s="12">
        <f>ROUND(O1341*L1341,2)</f>
        <v>50.5</v>
      </c>
      <c r="Q1341" s="13">
        <f>IF(N1341="HKD",7.8,IF(N1341="CNY",7.30034,1))</f>
        <v>7.3003400000000003</v>
      </c>
      <c r="R1341" s="15">
        <f>+ROUND(O1341/Q1341,4)</f>
        <v>6.7999999999999996E-3</v>
      </c>
      <c r="S1341" s="14">
        <f>ROUND(R1341*L1341,2)</f>
        <v>6.87</v>
      </c>
      <c r="T1341" s="15" t="s">
        <v>349</v>
      </c>
      <c r="U1341" s="19" t="s">
        <v>18</v>
      </c>
    </row>
    <row r="1342" spans="1:22" x14ac:dyDescent="0.2">
      <c r="A1342" s="19" t="s">
        <v>116</v>
      </c>
      <c r="B1342" s="20">
        <v>45678</v>
      </c>
      <c r="C1342" s="20">
        <v>45677</v>
      </c>
      <c r="D1342" s="19" t="s">
        <v>101</v>
      </c>
      <c r="E1342" s="19" t="s">
        <v>102</v>
      </c>
      <c r="F1342" s="21"/>
      <c r="G1342" s="19" t="s">
        <v>117</v>
      </c>
      <c r="H1342" s="19" t="s">
        <v>114</v>
      </c>
      <c r="I1342" s="19" t="s">
        <v>115</v>
      </c>
      <c r="J1342" s="11" t="str">
        <f>+LEFT(U1342,4)</f>
        <v>STKR</v>
      </c>
      <c r="K1342" s="19" t="s">
        <v>10</v>
      </c>
      <c r="L1342" s="19">
        <v>5000</v>
      </c>
      <c r="M1342" s="19" t="s">
        <v>1472</v>
      </c>
      <c r="N1342" s="19" t="s">
        <v>11</v>
      </c>
      <c r="O1342" s="26">
        <v>2.5000000000000001E-2</v>
      </c>
      <c r="P1342" s="12">
        <f>ROUND(O1342*L1342,2)</f>
        <v>125</v>
      </c>
      <c r="Q1342" s="13">
        <f>IF(N1342="HKD",7.8,IF(N1342="CNY",7.30034,1))</f>
        <v>7.3003400000000003</v>
      </c>
      <c r="R1342" s="15">
        <f>+ROUND(O1342/Q1342,4)</f>
        <v>3.3999999999999998E-3</v>
      </c>
      <c r="S1342" s="14">
        <f>ROUND(R1342*L1342,2)</f>
        <v>17</v>
      </c>
      <c r="T1342" s="15" t="s">
        <v>349</v>
      </c>
      <c r="U1342" s="19" t="s">
        <v>18</v>
      </c>
      <c r="V1342" s="22"/>
    </row>
    <row r="1343" spans="1:22" x14ac:dyDescent="0.2">
      <c r="A1343" s="19" t="s">
        <v>113</v>
      </c>
      <c r="B1343" s="20">
        <v>45678</v>
      </c>
      <c r="C1343" s="20">
        <v>45643</v>
      </c>
      <c r="D1343" s="19" t="s">
        <v>101</v>
      </c>
      <c r="E1343" s="19" t="s">
        <v>102</v>
      </c>
      <c r="G1343" s="19" t="s">
        <v>104</v>
      </c>
      <c r="H1343" s="19" t="s">
        <v>111</v>
      </c>
      <c r="I1343" s="19" t="s">
        <v>112</v>
      </c>
      <c r="J1343" s="11" t="str">
        <f>+LEFT(U1343,4)</f>
        <v>STKR</v>
      </c>
      <c r="K1343" s="19" t="s">
        <v>10</v>
      </c>
      <c r="L1343" s="19">
        <v>2270</v>
      </c>
      <c r="M1343" s="19" t="s">
        <v>1472</v>
      </c>
      <c r="N1343" s="19" t="s">
        <v>11</v>
      </c>
      <c r="O1343" s="26">
        <v>0.05</v>
      </c>
      <c r="P1343" s="12">
        <f>ROUND(O1343*L1343,2)</f>
        <v>113.5</v>
      </c>
      <c r="Q1343" s="13">
        <f>IF(N1343="HKD",7.8,IF(N1343="CNY",7.30034,1))</f>
        <v>7.3003400000000003</v>
      </c>
      <c r="R1343" s="15">
        <f>+ROUND(O1343/Q1343,4)</f>
        <v>6.7999999999999996E-3</v>
      </c>
      <c r="S1343" s="14">
        <f>ROUND(R1343*L1343,2)</f>
        <v>15.44</v>
      </c>
      <c r="T1343" s="15" t="s">
        <v>349</v>
      </c>
      <c r="U1343" s="19" t="s">
        <v>18</v>
      </c>
    </row>
    <row r="1344" spans="1:22" x14ac:dyDescent="0.2">
      <c r="A1344" s="19" t="s">
        <v>110</v>
      </c>
      <c r="B1344" s="20">
        <v>45678</v>
      </c>
      <c r="C1344" s="20">
        <v>45643</v>
      </c>
      <c r="D1344" s="19" t="s">
        <v>101</v>
      </c>
      <c r="E1344" s="19" t="s">
        <v>102</v>
      </c>
      <c r="G1344" s="19" t="s">
        <v>104</v>
      </c>
      <c r="H1344" s="19" t="s">
        <v>108</v>
      </c>
      <c r="I1344" s="19" t="s">
        <v>109</v>
      </c>
      <c r="J1344" s="11" t="str">
        <f>+LEFT(U1344,4)</f>
        <v>STKR</v>
      </c>
      <c r="K1344" s="19" t="s">
        <v>10</v>
      </c>
      <c r="L1344" s="19">
        <v>1880</v>
      </c>
      <c r="M1344" s="19" t="s">
        <v>1472</v>
      </c>
      <c r="N1344" s="19" t="s">
        <v>11</v>
      </c>
      <c r="O1344" s="26">
        <v>0.05</v>
      </c>
      <c r="P1344" s="12">
        <f>ROUND(O1344*L1344,2)</f>
        <v>94</v>
      </c>
      <c r="Q1344" s="13">
        <f>IF(N1344="HKD",7.8,IF(N1344="CNY",7.30034,1))</f>
        <v>7.3003400000000003</v>
      </c>
      <c r="R1344" s="15">
        <f>+ROUND(O1344/Q1344,4)</f>
        <v>6.7999999999999996E-3</v>
      </c>
      <c r="S1344" s="14">
        <f>ROUND(R1344*L1344,2)</f>
        <v>12.78</v>
      </c>
      <c r="T1344" s="15" t="s">
        <v>349</v>
      </c>
      <c r="U1344" s="19" t="s">
        <v>18</v>
      </c>
    </row>
    <row r="1345" spans="1:21" x14ac:dyDescent="0.2">
      <c r="A1345" s="19" t="s">
        <v>107</v>
      </c>
      <c r="B1345" s="20">
        <v>45678</v>
      </c>
      <c r="C1345" s="20">
        <v>45643</v>
      </c>
      <c r="D1345" s="19" t="s">
        <v>101</v>
      </c>
      <c r="E1345" s="19" t="s">
        <v>102</v>
      </c>
      <c r="G1345" s="19" t="s">
        <v>104</v>
      </c>
      <c r="H1345" s="19" t="s">
        <v>105</v>
      </c>
      <c r="I1345" s="19" t="s">
        <v>106</v>
      </c>
      <c r="J1345" s="11" t="str">
        <f>+LEFT(U1345,4)</f>
        <v>STKR</v>
      </c>
      <c r="K1345" s="19" t="s">
        <v>10</v>
      </c>
      <c r="L1345" s="19">
        <v>1200</v>
      </c>
      <c r="M1345" s="19" t="s">
        <v>1472</v>
      </c>
      <c r="N1345" s="19" t="s">
        <v>11</v>
      </c>
      <c r="O1345" s="26">
        <v>0.05</v>
      </c>
      <c r="P1345" s="12">
        <f>ROUND(O1345*L1345,2)</f>
        <v>60</v>
      </c>
      <c r="Q1345" s="13">
        <f>IF(N1345="HKD",7.8,IF(N1345="CNY",7.30034,1))</f>
        <v>7.3003400000000003</v>
      </c>
      <c r="R1345" s="15">
        <f>+ROUND(O1345/Q1345,4)</f>
        <v>6.7999999999999996E-3</v>
      </c>
      <c r="S1345" s="14">
        <f>ROUND(R1345*L1345,2)</f>
        <v>8.16</v>
      </c>
      <c r="T1345" s="15" t="s">
        <v>349</v>
      </c>
      <c r="U1345" s="19" t="s">
        <v>18</v>
      </c>
    </row>
    <row r="1346" spans="1:21" x14ac:dyDescent="0.2">
      <c r="A1346" s="19" t="s">
        <v>103</v>
      </c>
      <c r="B1346" s="20">
        <v>45678</v>
      </c>
      <c r="C1346" s="20">
        <v>45643</v>
      </c>
      <c r="D1346" s="19" t="s">
        <v>101</v>
      </c>
      <c r="E1346" s="19" t="s">
        <v>102</v>
      </c>
      <c r="G1346" s="19" t="s">
        <v>104</v>
      </c>
      <c r="H1346" s="19" t="s">
        <v>99</v>
      </c>
      <c r="I1346" s="19" t="s">
        <v>100</v>
      </c>
      <c r="J1346" s="11" t="str">
        <f>+LEFT(U1346,4)</f>
        <v>STKR</v>
      </c>
      <c r="K1346" s="19" t="s">
        <v>10</v>
      </c>
      <c r="L1346" s="19">
        <v>1010</v>
      </c>
      <c r="M1346" s="19" t="s">
        <v>1472</v>
      </c>
      <c r="N1346" s="19" t="s">
        <v>11</v>
      </c>
      <c r="O1346" s="26">
        <v>0.11</v>
      </c>
      <c r="P1346" s="12">
        <f>ROUND(O1346*L1346,2)</f>
        <v>111.1</v>
      </c>
      <c r="Q1346" s="13">
        <f>IF(N1346="HKD",7.8,IF(N1346="CNY",7.30034,1))</f>
        <v>7.3003400000000003</v>
      </c>
      <c r="R1346" s="15">
        <f>+ROUND(O1346/Q1346,4)</f>
        <v>1.5100000000000001E-2</v>
      </c>
      <c r="S1346" s="14">
        <f>ROUND(R1346*L1346,2)</f>
        <v>15.25</v>
      </c>
      <c r="T1346" s="15" t="s">
        <v>349</v>
      </c>
      <c r="U1346" s="19" t="s">
        <v>18</v>
      </c>
    </row>
    <row r="1347" spans="1:21" x14ac:dyDescent="0.2">
      <c r="A1347" s="19" t="s">
        <v>16</v>
      </c>
      <c r="B1347" s="20">
        <v>45680</v>
      </c>
      <c r="C1347" s="20">
        <v>45671</v>
      </c>
      <c r="D1347" s="19" t="s">
        <v>14</v>
      </c>
      <c r="E1347" s="19" t="s">
        <v>15</v>
      </c>
      <c r="G1347" s="19" t="s">
        <v>17</v>
      </c>
      <c r="H1347" s="19" t="s">
        <v>12</v>
      </c>
      <c r="I1347" s="19" t="s">
        <v>13</v>
      </c>
      <c r="J1347" s="11" t="str">
        <f>+LEFT(U1347,4)</f>
        <v>STKR</v>
      </c>
      <c r="K1347" s="19" t="s">
        <v>10</v>
      </c>
      <c r="L1347" s="19">
        <v>60000</v>
      </c>
      <c r="M1347" s="19" t="s">
        <v>1472</v>
      </c>
      <c r="N1347" s="19" t="s">
        <v>11</v>
      </c>
      <c r="O1347" s="26">
        <v>2.8199999999999999E-2</v>
      </c>
      <c r="P1347" s="12">
        <f>ROUND(O1347*L1347,2)</f>
        <v>1692</v>
      </c>
      <c r="Q1347" s="13">
        <f>IF(N1347="HKD",7.8,IF(N1347="CNY",7.30034,1))</f>
        <v>7.3003400000000003</v>
      </c>
      <c r="R1347" s="15">
        <f>+ROUND(O1347/Q1347,4)</f>
        <v>3.8999999999999998E-3</v>
      </c>
      <c r="S1347" s="14">
        <f>ROUND(R1347*L1347,2)</f>
        <v>234</v>
      </c>
      <c r="T1347" s="15" t="s">
        <v>349</v>
      </c>
      <c r="U1347" s="19" t="s">
        <v>18</v>
      </c>
    </row>
    <row r="1348" spans="1:21" x14ac:dyDescent="0.2">
      <c r="A1348" t="s">
        <v>1840</v>
      </c>
      <c r="B1348" s="24">
        <v>45698</v>
      </c>
      <c r="C1348" s="24">
        <v>45643</v>
      </c>
      <c r="D1348" t="s">
        <v>169</v>
      </c>
      <c r="E1348" t="s">
        <v>170</v>
      </c>
      <c r="G1348" t="s">
        <v>2144</v>
      </c>
      <c r="H1348" s="19" t="s">
        <v>1577</v>
      </c>
      <c r="I1348" s="19" t="s">
        <v>1578</v>
      </c>
      <c r="J1348" s="11" t="str">
        <f>+LEFT(U1348,4)</f>
        <v>STKR</v>
      </c>
      <c r="K1348" t="s">
        <v>10</v>
      </c>
      <c r="L1348" s="19">
        <v>1010</v>
      </c>
      <c r="M1348" t="s">
        <v>1472</v>
      </c>
      <c r="N1348" t="s">
        <v>11</v>
      </c>
      <c r="O1348" s="26">
        <v>0.08</v>
      </c>
      <c r="P1348" s="12">
        <f>ROUND(O1348*L1348,2)</f>
        <v>80.8</v>
      </c>
      <c r="Q1348" s="13">
        <f>IF(N1348="HKD",7.8,IF(N1348="CNY",7.30034,1))</f>
        <v>7.3003400000000003</v>
      </c>
      <c r="R1348" s="15">
        <f>+ROUND(O1348/Q1348,4)</f>
        <v>1.0999999999999999E-2</v>
      </c>
      <c r="S1348" s="14">
        <f>ROUND(R1348*L1348,2)</f>
        <v>11.11</v>
      </c>
      <c r="T1348" s="15" t="s">
        <v>349</v>
      </c>
      <c r="U1348" t="s">
        <v>18</v>
      </c>
    </row>
    <row r="1349" spans="1:21" x14ac:dyDescent="0.2">
      <c r="A1349" t="s">
        <v>1843</v>
      </c>
      <c r="B1349" s="24">
        <v>45698</v>
      </c>
      <c r="C1349" s="24">
        <v>45698</v>
      </c>
      <c r="D1349" t="s">
        <v>101</v>
      </c>
      <c r="E1349" t="s">
        <v>102</v>
      </c>
      <c r="G1349" t="s">
        <v>2145</v>
      </c>
      <c r="H1349" s="19" t="s">
        <v>1581</v>
      </c>
      <c r="I1349" s="19" t="s">
        <v>1582</v>
      </c>
      <c r="J1349" s="11" t="str">
        <f>+LEFT(U1349,4)</f>
        <v>STKR</v>
      </c>
      <c r="K1349" t="s">
        <v>10</v>
      </c>
      <c r="L1349" s="19">
        <v>600</v>
      </c>
      <c r="M1349" t="s">
        <v>1472</v>
      </c>
      <c r="N1349" t="s">
        <v>11</v>
      </c>
      <c r="O1349" s="26">
        <v>8.3299999999999999E-2</v>
      </c>
      <c r="P1349" s="12">
        <f>ROUND(O1349*L1349,2)</f>
        <v>49.98</v>
      </c>
      <c r="Q1349" s="13">
        <f>IF(N1349="HKD",7.8,IF(N1349="CNY",7.30034,1))</f>
        <v>7.3003400000000003</v>
      </c>
      <c r="R1349" s="15">
        <f>+ROUND(O1349/Q1349,4)</f>
        <v>1.14E-2</v>
      </c>
      <c r="S1349" s="14">
        <f>ROUND(R1349*L1349,2)</f>
        <v>6.84</v>
      </c>
      <c r="T1349" s="15" t="s">
        <v>349</v>
      </c>
      <c r="U1349" t="s">
        <v>18</v>
      </c>
    </row>
    <row r="1350" spans="1:21" x14ac:dyDescent="0.2">
      <c r="A1350" t="s">
        <v>1853</v>
      </c>
      <c r="B1350" s="24">
        <v>45698</v>
      </c>
      <c r="C1350" s="24">
        <v>45698</v>
      </c>
      <c r="D1350" t="s">
        <v>101</v>
      </c>
      <c r="E1350" t="s">
        <v>102</v>
      </c>
      <c r="G1350" t="s">
        <v>2145</v>
      </c>
      <c r="H1350" s="19" t="s">
        <v>1589</v>
      </c>
      <c r="I1350" s="19" t="s">
        <v>1590</v>
      </c>
      <c r="J1350" s="11" t="str">
        <f>+LEFT(U1350,4)</f>
        <v>STKR</v>
      </c>
      <c r="K1350" t="s">
        <v>10</v>
      </c>
      <c r="L1350" s="19">
        <v>600</v>
      </c>
      <c r="M1350" t="s">
        <v>1472</v>
      </c>
      <c r="N1350" t="s">
        <v>11</v>
      </c>
      <c r="O1350" s="26">
        <v>0.10829999999999999</v>
      </c>
      <c r="P1350" s="12">
        <f>ROUND(O1350*L1350,2)</f>
        <v>64.98</v>
      </c>
      <c r="Q1350" s="13">
        <f>IF(N1350="HKD",7.8,IF(N1350="CNY",7.30034,1))</f>
        <v>7.3003400000000003</v>
      </c>
      <c r="R1350" s="15">
        <f>+ROUND(O1350/Q1350,4)</f>
        <v>1.4800000000000001E-2</v>
      </c>
      <c r="S1350" s="14">
        <f>ROUND(R1350*L1350,2)</f>
        <v>8.8800000000000008</v>
      </c>
      <c r="T1350" s="15" t="s">
        <v>349</v>
      </c>
      <c r="U1350" t="s">
        <v>18</v>
      </c>
    </row>
    <row r="1351" spans="1:21" x14ac:dyDescent="0.2">
      <c r="A1351" t="s">
        <v>1854</v>
      </c>
      <c r="B1351" s="24">
        <v>45698</v>
      </c>
      <c r="C1351" s="24">
        <v>45698</v>
      </c>
      <c r="D1351" t="s">
        <v>101</v>
      </c>
      <c r="E1351" t="s">
        <v>102</v>
      </c>
      <c r="G1351" t="s">
        <v>2145</v>
      </c>
      <c r="H1351" s="19" t="s">
        <v>1591</v>
      </c>
      <c r="I1351" s="19" t="s">
        <v>1592</v>
      </c>
      <c r="J1351" s="11" t="str">
        <f>+LEFT(U1351,4)</f>
        <v>STKR</v>
      </c>
      <c r="K1351" t="s">
        <v>10</v>
      </c>
      <c r="L1351" s="19">
        <v>600</v>
      </c>
      <c r="M1351" t="s">
        <v>1472</v>
      </c>
      <c r="N1351" t="s">
        <v>11</v>
      </c>
      <c r="O1351" s="26">
        <v>0.10829999999999999</v>
      </c>
      <c r="P1351" s="12">
        <f>ROUND(O1351*L1351,2)</f>
        <v>64.98</v>
      </c>
      <c r="Q1351" s="13">
        <f>IF(N1351="HKD",7.8,IF(N1351="CNY",7.30034,1))</f>
        <v>7.3003400000000003</v>
      </c>
      <c r="R1351" s="15">
        <f>+ROUND(O1351/Q1351,4)</f>
        <v>1.4800000000000001E-2</v>
      </c>
      <c r="S1351" s="14">
        <f>ROUND(R1351*L1351,2)</f>
        <v>8.8800000000000008</v>
      </c>
      <c r="T1351" s="15" t="s">
        <v>349</v>
      </c>
      <c r="U1351" t="s">
        <v>18</v>
      </c>
    </row>
    <row r="1352" spans="1:21" x14ac:dyDescent="0.2">
      <c r="A1352" t="s">
        <v>1855</v>
      </c>
      <c r="B1352" s="24">
        <v>45698</v>
      </c>
      <c r="C1352" s="24">
        <v>45698</v>
      </c>
      <c r="D1352" t="s">
        <v>101</v>
      </c>
      <c r="E1352" t="s">
        <v>102</v>
      </c>
      <c r="G1352" t="s">
        <v>2145</v>
      </c>
      <c r="H1352" s="19" t="s">
        <v>1593</v>
      </c>
      <c r="I1352" s="19" t="s">
        <v>1594</v>
      </c>
      <c r="J1352" s="11" t="str">
        <f>+LEFT(U1352,4)</f>
        <v>STKR</v>
      </c>
      <c r="K1352" t="s">
        <v>10</v>
      </c>
      <c r="L1352" s="19">
        <v>600</v>
      </c>
      <c r="M1352" t="s">
        <v>1472</v>
      </c>
      <c r="N1352" t="s">
        <v>11</v>
      </c>
      <c r="O1352" s="26">
        <v>0.10829999999999999</v>
      </c>
      <c r="P1352" s="12">
        <f>ROUND(O1352*L1352,2)</f>
        <v>64.98</v>
      </c>
      <c r="Q1352" s="13">
        <f>IF(N1352="HKD",7.8,IF(N1352="CNY",7.30034,1))</f>
        <v>7.3003400000000003</v>
      </c>
      <c r="R1352" s="15">
        <f>+ROUND(O1352/Q1352,4)</f>
        <v>1.4800000000000001E-2</v>
      </c>
      <c r="S1352" s="14">
        <f>ROUND(R1352*L1352,2)</f>
        <v>8.8800000000000008</v>
      </c>
      <c r="T1352" s="15" t="s">
        <v>349</v>
      </c>
      <c r="U1352" t="s">
        <v>18</v>
      </c>
    </row>
    <row r="1353" spans="1:21" x14ac:dyDescent="0.2">
      <c r="A1353" t="s">
        <v>1856</v>
      </c>
      <c r="B1353" s="24">
        <v>45698</v>
      </c>
      <c r="C1353" s="24">
        <v>45698</v>
      </c>
      <c r="D1353" t="s">
        <v>101</v>
      </c>
      <c r="E1353" t="s">
        <v>102</v>
      </c>
      <c r="G1353" t="s">
        <v>2145</v>
      </c>
      <c r="H1353" s="19" t="s">
        <v>1595</v>
      </c>
      <c r="I1353" s="19" t="s">
        <v>1596</v>
      </c>
      <c r="J1353" s="11" t="str">
        <f>+LEFT(U1353,4)</f>
        <v>STKR</v>
      </c>
      <c r="K1353" t="s">
        <v>10</v>
      </c>
      <c r="L1353" s="19">
        <v>600</v>
      </c>
      <c r="M1353" t="s">
        <v>1472</v>
      </c>
      <c r="N1353" t="s">
        <v>11</v>
      </c>
      <c r="O1353" s="26">
        <v>0.10829999999999999</v>
      </c>
      <c r="P1353" s="12">
        <f>ROUND(O1353*L1353,2)</f>
        <v>64.98</v>
      </c>
      <c r="Q1353" s="13">
        <f>IF(N1353="HKD",7.8,IF(N1353="CNY",7.30034,1))</f>
        <v>7.3003400000000003</v>
      </c>
      <c r="R1353" s="15">
        <f>+ROUND(O1353/Q1353,4)</f>
        <v>1.4800000000000001E-2</v>
      </c>
      <c r="S1353" s="14">
        <f>ROUND(R1353*L1353,2)</f>
        <v>8.8800000000000008</v>
      </c>
      <c r="T1353" s="15" t="s">
        <v>349</v>
      </c>
      <c r="U1353" t="s">
        <v>18</v>
      </c>
    </row>
    <row r="1354" spans="1:21" x14ac:dyDescent="0.2">
      <c r="A1354" t="s">
        <v>1902</v>
      </c>
      <c r="B1354" s="24">
        <v>45698</v>
      </c>
      <c r="C1354" s="24">
        <v>45698</v>
      </c>
      <c r="D1354" t="s">
        <v>101</v>
      </c>
      <c r="E1354" t="s">
        <v>102</v>
      </c>
      <c r="G1354" t="s">
        <v>2145</v>
      </c>
      <c r="H1354" s="19" t="s">
        <v>1633</v>
      </c>
      <c r="I1354" s="19" t="s">
        <v>1634</v>
      </c>
      <c r="J1354" s="11" t="str">
        <f>+LEFT(U1354,4)</f>
        <v>STKR</v>
      </c>
      <c r="K1354" t="s">
        <v>10</v>
      </c>
      <c r="L1354" s="19">
        <v>100</v>
      </c>
      <c r="M1354" t="s">
        <v>1472</v>
      </c>
      <c r="N1354" t="s">
        <v>11</v>
      </c>
      <c r="O1354" s="26">
        <v>0.65</v>
      </c>
      <c r="P1354" s="12">
        <f>ROUND(O1354*L1354,2)</f>
        <v>65</v>
      </c>
      <c r="Q1354" s="13">
        <f>IF(N1354="HKD",7.8,IF(N1354="CNY",7.30034,1))</f>
        <v>7.3003400000000003</v>
      </c>
      <c r="R1354" s="15">
        <f>+ROUND(O1354/Q1354,4)</f>
        <v>8.8999999999999996E-2</v>
      </c>
      <c r="S1354" s="14">
        <f>ROUND(R1354*L1354,2)</f>
        <v>8.9</v>
      </c>
      <c r="T1354" s="15" t="s">
        <v>349</v>
      </c>
      <c r="U1354" t="s">
        <v>18</v>
      </c>
    </row>
    <row r="1355" spans="1:21" x14ac:dyDescent="0.2">
      <c r="A1355" t="s">
        <v>1829</v>
      </c>
      <c r="B1355" s="24">
        <v>45708</v>
      </c>
      <c r="C1355" s="24">
        <v>45671</v>
      </c>
      <c r="D1355" t="s">
        <v>169</v>
      </c>
      <c r="E1355" t="s">
        <v>170</v>
      </c>
      <c r="G1355" t="s">
        <v>2137</v>
      </c>
      <c r="H1355" s="19" t="s">
        <v>1561</v>
      </c>
      <c r="I1355" s="19" t="s">
        <v>1562</v>
      </c>
      <c r="J1355" s="11" t="str">
        <f>+LEFT(U1355,4)</f>
        <v>STKR</v>
      </c>
      <c r="K1355" t="s">
        <v>10</v>
      </c>
      <c r="L1355" s="19">
        <v>5100</v>
      </c>
      <c r="M1355" t="s">
        <v>1472</v>
      </c>
      <c r="N1355" t="s">
        <v>11</v>
      </c>
      <c r="O1355" s="26">
        <v>3.2000000000000001E-2</v>
      </c>
      <c r="P1355" s="12">
        <f>ROUND(O1355*L1355,2)</f>
        <v>163.19999999999999</v>
      </c>
      <c r="Q1355" s="13">
        <f>IF(N1355="HKD",7.8,IF(N1355="CNY",7.30034,1))</f>
        <v>7.3003400000000003</v>
      </c>
      <c r="R1355" s="15">
        <f>+ROUND(O1355/Q1355,4)</f>
        <v>4.4000000000000003E-3</v>
      </c>
      <c r="S1355" s="14">
        <f>ROUND(R1355*L1355,2)</f>
        <v>22.44</v>
      </c>
      <c r="T1355" s="15" t="s">
        <v>349</v>
      </c>
      <c r="U1355" t="s">
        <v>18</v>
      </c>
    </row>
    <row r="1356" spans="1:21" x14ac:dyDescent="0.2">
      <c r="A1356" t="s">
        <v>1831</v>
      </c>
      <c r="B1356" s="24">
        <v>45708</v>
      </c>
      <c r="C1356" s="24">
        <v>45671</v>
      </c>
      <c r="D1356" t="s">
        <v>101</v>
      </c>
      <c r="E1356" t="s">
        <v>102</v>
      </c>
      <c r="G1356" t="s">
        <v>2141</v>
      </c>
      <c r="H1356" s="19" t="s">
        <v>1563</v>
      </c>
      <c r="I1356" s="19" t="s">
        <v>1564</v>
      </c>
      <c r="J1356" s="11" t="str">
        <f>+LEFT(U1356,4)</f>
        <v>STKR</v>
      </c>
      <c r="K1356" t="s">
        <v>10</v>
      </c>
      <c r="L1356" s="19">
        <v>2270</v>
      </c>
      <c r="M1356" t="s">
        <v>1472</v>
      </c>
      <c r="N1356" t="s">
        <v>11</v>
      </c>
      <c r="O1356" s="26">
        <v>0.05</v>
      </c>
      <c r="P1356" s="12">
        <f>ROUND(O1356*L1356,2)</f>
        <v>113.5</v>
      </c>
      <c r="Q1356" s="13">
        <f>IF(N1356="HKD",7.8,IF(N1356="CNY",7.30034,1))</f>
        <v>7.3003400000000003</v>
      </c>
      <c r="R1356" s="15">
        <f>+ROUND(O1356/Q1356,4)</f>
        <v>6.7999999999999996E-3</v>
      </c>
      <c r="S1356" s="14">
        <f>ROUND(R1356*L1356,2)</f>
        <v>15.44</v>
      </c>
      <c r="T1356" s="15" t="s">
        <v>349</v>
      </c>
      <c r="U1356" t="s">
        <v>18</v>
      </c>
    </row>
    <row r="1357" spans="1:21" x14ac:dyDescent="0.2">
      <c r="A1357" t="s">
        <v>1832</v>
      </c>
      <c r="B1357" s="24">
        <v>45708</v>
      </c>
      <c r="C1357" s="24">
        <v>45698</v>
      </c>
      <c r="D1357" t="s">
        <v>101</v>
      </c>
      <c r="E1357" t="s">
        <v>102</v>
      </c>
      <c r="G1357" t="s">
        <v>2141</v>
      </c>
      <c r="H1357" s="19" t="s">
        <v>1565</v>
      </c>
      <c r="I1357" s="19" t="s">
        <v>1566</v>
      </c>
      <c r="J1357" s="11" t="str">
        <f>+LEFT(U1357,4)</f>
        <v>STKR</v>
      </c>
      <c r="K1357" t="s">
        <v>10</v>
      </c>
      <c r="L1357" s="19">
        <v>510</v>
      </c>
      <c r="M1357" t="s">
        <v>1472</v>
      </c>
      <c r="N1357" t="s">
        <v>11</v>
      </c>
      <c r="O1357" s="26">
        <v>0.05</v>
      </c>
      <c r="P1357" s="12">
        <f>ROUND(O1357*L1357,2)</f>
        <v>25.5</v>
      </c>
      <c r="Q1357" s="13">
        <f>IF(N1357="HKD",7.8,IF(N1357="CNY",7.30034,1))</f>
        <v>7.3003400000000003</v>
      </c>
      <c r="R1357" s="15">
        <f>+ROUND(O1357/Q1357,4)</f>
        <v>6.7999999999999996E-3</v>
      </c>
      <c r="S1357" s="14">
        <f>ROUND(R1357*L1357,2)</f>
        <v>3.47</v>
      </c>
      <c r="T1357" s="15" t="s">
        <v>349</v>
      </c>
      <c r="U1357" t="s">
        <v>18</v>
      </c>
    </row>
    <row r="1358" spans="1:21" x14ac:dyDescent="0.2">
      <c r="A1358" t="s">
        <v>1833</v>
      </c>
      <c r="B1358" s="24">
        <v>45708</v>
      </c>
      <c r="C1358" s="24">
        <v>45698</v>
      </c>
      <c r="D1358" t="s">
        <v>101</v>
      </c>
      <c r="E1358" t="s">
        <v>102</v>
      </c>
      <c r="G1358" t="s">
        <v>2141</v>
      </c>
      <c r="H1358" s="19" t="s">
        <v>1261</v>
      </c>
      <c r="I1358" s="19" t="s">
        <v>1262</v>
      </c>
      <c r="J1358" s="11" t="str">
        <f>+LEFT(U1358,4)</f>
        <v>STKR</v>
      </c>
      <c r="K1358" t="s">
        <v>10</v>
      </c>
      <c r="L1358" s="19">
        <v>1010</v>
      </c>
      <c r="M1358" t="s">
        <v>1472</v>
      </c>
      <c r="N1358" t="s">
        <v>11</v>
      </c>
      <c r="O1358" s="26">
        <v>0.05</v>
      </c>
      <c r="P1358" s="12">
        <f>ROUND(O1358*L1358,2)</f>
        <v>50.5</v>
      </c>
      <c r="Q1358" s="13">
        <f>IF(N1358="HKD",7.8,IF(N1358="CNY",7.30034,1))</f>
        <v>7.3003400000000003</v>
      </c>
      <c r="R1358" s="15">
        <f>+ROUND(O1358/Q1358,4)</f>
        <v>6.7999999999999996E-3</v>
      </c>
      <c r="S1358" s="14">
        <f>ROUND(R1358*L1358,2)</f>
        <v>6.87</v>
      </c>
      <c r="T1358" s="15" t="s">
        <v>349</v>
      </c>
      <c r="U1358" t="s">
        <v>18</v>
      </c>
    </row>
    <row r="1359" spans="1:21" x14ac:dyDescent="0.2">
      <c r="A1359" t="s">
        <v>1837</v>
      </c>
      <c r="B1359" s="24">
        <v>45708</v>
      </c>
      <c r="C1359" s="24">
        <v>45671</v>
      </c>
      <c r="D1359" t="s">
        <v>169</v>
      </c>
      <c r="E1359" t="s">
        <v>170</v>
      </c>
      <c r="G1359" t="s">
        <v>2137</v>
      </c>
      <c r="H1359" s="19" t="s">
        <v>1573</v>
      </c>
      <c r="I1359" s="19" t="s">
        <v>1574</v>
      </c>
      <c r="J1359" s="11" t="str">
        <f>+LEFT(U1359,4)</f>
        <v>STKR</v>
      </c>
      <c r="K1359" t="s">
        <v>10</v>
      </c>
      <c r="L1359" s="19">
        <v>1010</v>
      </c>
      <c r="M1359" t="s">
        <v>1472</v>
      </c>
      <c r="N1359" t="s">
        <v>11</v>
      </c>
      <c r="O1359" s="26">
        <v>7.0000000000000007E-2</v>
      </c>
      <c r="P1359" s="12">
        <f>ROUND(O1359*L1359,2)</f>
        <v>70.7</v>
      </c>
      <c r="Q1359" s="13">
        <f>IF(N1359="HKD",7.8,IF(N1359="CNY",7.30034,1))</f>
        <v>7.3003400000000003</v>
      </c>
      <c r="R1359" s="15">
        <f>+ROUND(O1359/Q1359,4)</f>
        <v>9.5999999999999992E-3</v>
      </c>
      <c r="S1359" s="14">
        <f>ROUND(R1359*L1359,2)</f>
        <v>9.6999999999999993</v>
      </c>
      <c r="T1359" s="15" t="s">
        <v>349</v>
      </c>
      <c r="U1359" t="s">
        <v>18</v>
      </c>
    </row>
    <row r="1360" spans="1:21" x14ac:dyDescent="0.2">
      <c r="A1360" t="s">
        <v>1838</v>
      </c>
      <c r="B1360" s="24">
        <v>45708</v>
      </c>
      <c r="C1360" s="24">
        <v>45671</v>
      </c>
      <c r="D1360" t="s">
        <v>169</v>
      </c>
      <c r="E1360" t="s">
        <v>170</v>
      </c>
      <c r="G1360" t="s">
        <v>2137</v>
      </c>
      <c r="H1360" s="19" t="s">
        <v>1575</v>
      </c>
      <c r="I1360" s="19" t="s">
        <v>1576</v>
      </c>
      <c r="J1360" s="11" t="str">
        <f>+LEFT(U1360,4)</f>
        <v>STKR</v>
      </c>
      <c r="K1360" t="s">
        <v>10</v>
      </c>
      <c r="L1360" s="19">
        <v>1010</v>
      </c>
      <c r="M1360" t="s">
        <v>1472</v>
      </c>
      <c r="N1360" t="s">
        <v>11</v>
      </c>
      <c r="O1360" s="26">
        <v>7.0000000000000007E-2</v>
      </c>
      <c r="P1360" s="12">
        <f>ROUND(O1360*L1360,2)</f>
        <v>70.7</v>
      </c>
      <c r="Q1360" s="13">
        <f>IF(N1360="HKD",7.8,IF(N1360="CNY",7.30034,1))</f>
        <v>7.3003400000000003</v>
      </c>
      <c r="R1360" s="15">
        <f>+ROUND(O1360/Q1360,4)</f>
        <v>9.5999999999999992E-3</v>
      </c>
      <c r="S1360" s="14">
        <f>ROUND(R1360*L1360,2)</f>
        <v>9.6999999999999993</v>
      </c>
      <c r="T1360" s="15" t="s">
        <v>349</v>
      </c>
      <c r="U1360" t="s">
        <v>18</v>
      </c>
    </row>
    <row r="1361" spans="1:21" x14ac:dyDescent="0.2">
      <c r="A1361" t="s">
        <v>1859</v>
      </c>
      <c r="B1361" s="24">
        <v>45708</v>
      </c>
      <c r="C1361" s="24">
        <v>45671</v>
      </c>
      <c r="D1361" t="s">
        <v>101</v>
      </c>
      <c r="E1361" t="s">
        <v>102</v>
      </c>
      <c r="G1361" t="s">
        <v>2141</v>
      </c>
      <c r="H1361" s="19" t="s">
        <v>99</v>
      </c>
      <c r="I1361" s="19" t="s">
        <v>100</v>
      </c>
      <c r="J1361" s="11" t="str">
        <f>+LEFT(U1361,4)</f>
        <v>STKR</v>
      </c>
      <c r="K1361" t="s">
        <v>10</v>
      </c>
      <c r="L1361" s="19">
        <v>1010</v>
      </c>
      <c r="M1361" t="s">
        <v>1472</v>
      </c>
      <c r="N1361" t="s">
        <v>11</v>
      </c>
      <c r="O1361" s="26">
        <v>0.11</v>
      </c>
      <c r="P1361" s="12">
        <f>ROUND(O1361*L1361,2)</f>
        <v>111.1</v>
      </c>
      <c r="Q1361" s="13">
        <f>IF(N1361="HKD",7.8,IF(N1361="CNY",7.30034,1))</f>
        <v>7.3003400000000003</v>
      </c>
      <c r="R1361" s="15">
        <f>+ROUND(O1361/Q1361,4)</f>
        <v>1.5100000000000001E-2</v>
      </c>
      <c r="S1361" s="14">
        <f>ROUND(R1361*L1361,2)</f>
        <v>15.25</v>
      </c>
      <c r="T1361" s="15" t="s">
        <v>349</v>
      </c>
      <c r="U1361" t="s">
        <v>18</v>
      </c>
    </row>
    <row r="1362" spans="1:21" x14ac:dyDescent="0.2">
      <c r="A1362" t="s">
        <v>1860</v>
      </c>
      <c r="B1362" s="24">
        <v>45708</v>
      </c>
      <c r="C1362" s="24">
        <v>45671</v>
      </c>
      <c r="D1362" t="s">
        <v>101</v>
      </c>
      <c r="E1362" t="s">
        <v>102</v>
      </c>
      <c r="G1362" t="s">
        <v>2141</v>
      </c>
      <c r="H1362" s="19" t="s">
        <v>1597</v>
      </c>
      <c r="I1362" s="19" t="s">
        <v>1598</v>
      </c>
      <c r="J1362" s="11" t="str">
        <f>+LEFT(U1362,4)</f>
        <v>STKR</v>
      </c>
      <c r="K1362" t="s">
        <v>10</v>
      </c>
      <c r="L1362" s="19">
        <v>1010</v>
      </c>
      <c r="M1362" t="s">
        <v>1472</v>
      </c>
      <c r="N1362" t="s">
        <v>11</v>
      </c>
      <c r="O1362" s="26">
        <v>0.11</v>
      </c>
      <c r="P1362" s="12">
        <f>ROUND(O1362*L1362,2)</f>
        <v>111.1</v>
      </c>
      <c r="Q1362" s="13">
        <f>IF(N1362="HKD",7.8,IF(N1362="CNY",7.30034,1))</f>
        <v>7.3003400000000003</v>
      </c>
      <c r="R1362" s="15">
        <f>+ROUND(O1362/Q1362,4)</f>
        <v>1.5100000000000001E-2</v>
      </c>
      <c r="S1362" s="14">
        <f>ROUND(R1362*L1362,2)</f>
        <v>15.25</v>
      </c>
      <c r="T1362" s="15" t="s">
        <v>349</v>
      </c>
      <c r="U1362" t="s">
        <v>18</v>
      </c>
    </row>
    <row r="1363" spans="1:21" x14ac:dyDescent="0.2">
      <c r="A1363" t="s">
        <v>1887</v>
      </c>
      <c r="B1363" s="24">
        <v>45715</v>
      </c>
      <c r="C1363" s="24">
        <v>45712</v>
      </c>
      <c r="D1363" t="s">
        <v>5</v>
      </c>
      <c r="E1363" t="s">
        <v>6</v>
      </c>
      <c r="G1363" t="s">
        <v>2157</v>
      </c>
      <c r="H1363" s="19" t="s">
        <v>1621</v>
      </c>
      <c r="I1363" s="19" t="s">
        <v>1622</v>
      </c>
      <c r="J1363" s="11" t="str">
        <f>+LEFT(U1363,4)</f>
        <v>STKR</v>
      </c>
      <c r="K1363" t="s">
        <v>10</v>
      </c>
      <c r="L1363" s="19">
        <v>3530</v>
      </c>
      <c r="M1363" t="s">
        <v>1472</v>
      </c>
      <c r="N1363" t="s">
        <v>11</v>
      </c>
      <c r="O1363" s="26">
        <v>0.28999999999999998</v>
      </c>
      <c r="P1363" s="12">
        <f>ROUND(O1363*L1363,2)</f>
        <v>1023.7</v>
      </c>
      <c r="Q1363" s="13">
        <f>IF(N1363="HKD",7.8,IF(N1363="CNY",7.30034,1))</f>
        <v>7.3003400000000003</v>
      </c>
      <c r="R1363" s="15">
        <f>+ROUND(O1363/Q1363,4)</f>
        <v>3.9699999999999999E-2</v>
      </c>
      <c r="S1363" s="14">
        <f>ROUND(R1363*L1363,2)</f>
        <v>140.13999999999999</v>
      </c>
      <c r="T1363" s="15" t="s">
        <v>349</v>
      </c>
      <c r="U1363" t="s">
        <v>18</v>
      </c>
    </row>
    <row r="1364" spans="1:21" x14ac:dyDescent="0.2">
      <c r="A1364" t="s">
        <v>2320</v>
      </c>
      <c r="B1364" s="24">
        <v>45727</v>
      </c>
      <c r="C1364" s="24">
        <v>45664</v>
      </c>
      <c r="D1364" t="s">
        <v>287</v>
      </c>
      <c r="E1364" t="s">
        <v>288</v>
      </c>
      <c r="G1364" t="s">
        <v>2876</v>
      </c>
      <c r="H1364" t="s">
        <v>71</v>
      </c>
      <c r="I1364" t="s">
        <v>72</v>
      </c>
      <c r="J1364" s="11" t="s">
        <v>1478</v>
      </c>
      <c r="K1364" t="s">
        <v>10</v>
      </c>
      <c r="L1364">
        <v>2050</v>
      </c>
      <c r="M1364" t="s">
        <v>1472</v>
      </c>
      <c r="N1364" t="s">
        <v>11</v>
      </c>
      <c r="O1364">
        <v>7.9870000000000001</v>
      </c>
      <c r="P1364" s="12">
        <f>ROUND(O1364*L1364,2)</f>
        <v>16373.35</v>
      </c>
      <c r="Q1364" s="13">
        <f>IF(N1364="HKD",7.8,IF(N1364="CNY",7.30034,1))</f>
        <v>7.3003400000000003</v>
      </c>
      <c r="R1364" s="15">
        <f>+ROUND(O1364/Q1364,4)</f>
        <v>1.0941000000000001</v>
      </c>
      <c r="S1364" s="14">
        <f>ROUND(R1364*L1364,2)</f>
        <v>2242.91</v>
      </c>
      <c r="T1364" s="15" t="s">
        <v>349</v>
      </c>
      <c r="U1364" t="s">
        <v>36</v>
      </c>
    </row>
    <row r="1365" spans="1:21" x14ac:dyDescent="0.2">
      <c r="A1365" t="s">
        <v>2315</v>
      </c>
      <c r="B1365" s="24">
        <v>45719</v>
      </c>
      <c r="C1365" s="24">
        <v>45664</v>
      </c>
      <c r="D1365" t="s">
        <v>2819</v>
      </c>
      <c r="E1365" t="s">
        <v>2820</v>
      </c>
      <c r="G1365" t="s">
        <v>2875</v>
      </c>
      <c r="H1365" t="s">
        <v>3079</v>
      </c>
      <c r="I1365" t="s">
        <v>3295</v>
      </c>
      <c r="J1365" s="11" t="str">
        <f>+LEFT(U1365,4)</f>
        <v>HDL-</v>
      </c>
      <c r="K1365" t="s">
        <v>10</v>
      </c>
      <c r="L1365">
        <v>1500</v>
      </c>
      <c r="M1365" t="s">
        <v>1472</v>
      </c>
      <c r="N1365" t="s">
        <v>11</v>
      </c>
      <c r="O1365">
        <v>8.0116999999999994</v>
      </c>
      <c r="P1365" s="12">
        <f>ROUND(O1365*L1365,2)</f>
        <v>12017.55</v>
      </c>
      <c r="Q1365" s="13">
        <f>IF(N1365="HKD",7.8,IF(N1365="CNY",7.30034,1))</f>
        <v>7.3003400000000003</v>
      </c>
      <c r="R1365" s="15">
        <f>+ROUND(O1365/Q1365,4)</f>
        <v>1.0973999999999999</v>
      </c>
      <c r="S1365" s="14">
        <f>ROUND(R1365*L1365,2)</f>
        <v>1646.1</v>
      </c>
      <c r="T1365" s="15" t="s">
        <v>349</v>
      </c>
      <c r="U1365" t="s">
        <v>228</v>
      </c>
    </row>
    <row r="1366" spans="1:21" x14ac:dyDescent="0.2">
      <c r="A1366" t="s">
        <v>2448</v>
      </c>
      <c r="B1366" s="24">
        <v>45735</v>
      </c>
      <c r="C1366" s="24">
        <v>45702</v>
      </c>
      <c r="D1366" t="s">
        <v>2819</v>
      </c>
      <c r="E1366" t="s">
        <v>2820</v>
      </c>
      <c r="G1366" t="s">
        <v>2939</v>
      </c>
      <c r="H1366" t="s">
        <v>3134</v>
      </c>
      <c r="I1366" t="s">
        <v>3344</v>
      </c>
      <c r="J1366" s="11" t="str">
        <f>+LEFT(U1366,4)</f>
        <v>HDL-</v>
      </c>
      <c r="K1366" t="s">
        <v>10</v>
      </c>
      <c r="L1366">
        <v>1040</v>
      </c>
      <c r="M1366" t="s">
        <v>1472</v>
      </c>
      <c r="N1366" t="s">
        <v>11</v>
      </c>
      <c r="O1366">
        <v>8.0116999999999994</v>
      </c>
      <c r="P1366" s="12">
        <f>ROUND(O1366*L1366,2)</f>
        <v>8332.17</v>
      </c>
      <c r="Q1366" s="13">
        <f>IF(N1366="HKD",7.8,IF(N1366="CNY",7.30034,1))</f>
        <v>7.3003400000000003</v>
      </c>
      <c r="R1366" s="15">
        <f>+ROUND(O1366/Q1366,4)</f>
        <v>1.0973999999999999</v>
      </c>
      <c r="S1366" s="14">
        <f>ROUND(R1366*L1366,2)</f>
        <v>1141.3</v>
      </c>
      <c r="T1366" s="15" t="s">
        <v>349</v>
      </c>
      <c r="U1366" t="s">
        <v>228</v>
      </c>
    </row>
    <row r="1367" spans="1:21" x14ac:dyDescent="0.2">
      <c r="A1367" t="s">
        <v>2445</v>
      </c>
      <c r="B1367" s="24">
        <v>45735</v>
      </c>
      <c r="C1367" s="24">
        <v>45702</v>
      </c>
      <c r="D1367" t="s">
        <v>2819</v>
      </c>
      <c r="E1367" t="s">
        <v>2820</v>
      </c>
      <c r="G1367" t="s">
        <v>2939</v>
      </c>
      <c r="H1367" t="s">
        <v>3131</v>
      </c>
      <c r="I1367" t="s">
        <v>3341</v>
      </c>
      <c r="J1367" s="11" t="str">
        <f>+LEFT(U1367,4)</f>
        <v>HDL-</v>
      </c>
      <c r="K1367" t="s">
        <v>10</v>
      </c>
      <c r="L1367">
        <v>950</v>
      </c>
      <c r="M1367" t="s">
        <v>1472</v>
      </c>
      <c r="N1367" t="s">
        <v>11</v>
      </c>
      <c r="O1367">
        <v>8.0311000000000003</v>
      </c>
      <c r="P1367" s="12">
        <f>ROUND(O1367*L1367,2)</f>
        <v>7629.55</v>
      </c>
      <c r="Q1367" s="13">
        <f>IF(N1367="HKD",7.8,IF(N1367="CNY",7.30034,1))</f>
        <v>7.3003400000000003</v>
      </c>
      <c r="R1367" s="15">
        <f>+ROUND(O1367/Q1367,4)</f>
        <v>1.1001000000000001</v>
      </c>
      <c r="S1367" s="14">
        <f>ROUND(R1367*L1367,2)</f>
        <v>1045.0999999999999</v>
      </c>
      <c r="T1367" s="15" t="s">
        <v>349</v>
      </c>
      <c r="U1367" t="s">
        <v>228</v>
      </c>
    </row>
    <row r="1368" spans="1:21" x14ac:dyDescent="0.2">
      <c r="A1368" t="s">
        <v>2797</v>
      </c>
      <c r="B1368" s="24">
        <v>45736</v>
      </c>
      <c r="C1368" s="24">
        <v>45735</v>
      </c>
      <c r="D1368" t="s">
        <v>5</v>
      </c>
      <c r="E1368" t="s">
        <v>6</v>
      </c>
      <c r="G1368" t="s">
        <v>2900</v>
      </c>
      <c r="H1368" t="s">
        <v>3264</v>
      </c>
      <c r="I1368" t="s">
        <v>3471</v>
      </c>
      <c r="J1368" s="11" t="str">
        <f>+LEFT(U1368,4)</f>
        <v>BOX-</v>
      </c>
      <c r="K1368" t="s">
        <v>10</v>
      </c>
      <c r="L1368">
        <v>1010</v>
      </c>
      <c r="M1368" t="s">
        <v>1472</v>
      </c>
      <c r="N1368" t="s">
        <v>11</v>
      </c>
      <c r="O1368">
        <v>8.08</v>
      </c>
      <c r="P1368" s="12">
        <f>ROUND(O1368*L1368,2)</f>
        <v>8160.8</v>
      </c>
      <c r="Q1368" s="13">
        <f>IF(N1368="HKD",7.8,IF(N1368="CNY",7.30034,1))</f>
        <v>7.3003400000000003</v>
      </c>
      <c r="R1368" s="15">
        <f>+ROUND(O1368/Q1368,4)</f>
        <v>1.1068</v>
      </c>
      <c r="S1368" s="14">
        <f>ROUND(R1368*L1368,2)</f>
        <v>1117.8699999999999</v>
      </c>
      <c r="T1368" s="15" t="s">
        <v>349</v>
      </c>
      <c r="U1368" t="s">
        <v>1</v>
      </c>
    </row>
    <row r="1369" spans="1:21" x14ac:dyDescent="0.2">
      <c r="A1369" t="s">
        <v>2611</v>
      </c>
      <c r="B1369" s="24">
        <v>45733</v>
      </c>
      <c r="C1369" s="24">
        <v>45720</v>
      </c>
      <c r="D1369" t="s">
        <v>287</v>
      </c>
      <c r="E1369" t="s">
        <v>288</v>
      </c>
      <c r="G1369" t="s">
        <v>2946</v>
      </c>
      <c r="H1369" t="s">
        <v>71</v>
      </c>
      <c r="I1369" t="s">
        <v>72</v>
      </c>
      <c r="J1369" s="11" t="s">
        <v>1478</v>
      </c>
      <c r="K1369" t="s">
        <v>10</v>
      </c>
      <c r="L1369">
        <v>1000</v>
      </c>
      <c r="M1369" t="s">
        <v>1472</v>
      </c>
      <c r="N1369" t="s">
        <v>11</v>
      </c>
      <c r="O1369">
        <v>8.15</v>
      </c>
      <c r="P1369" s="12">
        <f>ROUND(O1369*L1369,2)</f>
        <v>8150</v>
      </c>
      <c r="Q1369" s="13">
        <f>IF(N1369="HKD",7.8,IF(N1369="CNY",7.30034,1))</f>
        <v>7.3003400000000003</v>
      </c>
      <c r="R1369" s="15">
        <f>+ROUND(O1369/Q1369,4)</f>
        <v>1.1164000000000001</v>
      </c>
      <c r="S1369" s="14">
        <f>ROUND(R1369*L1369,2)</f>
        <v>1116.4000000000001</v>
      </c>
      <c r="T1369" s="15" t="s">
        <v>349</v>
      </c>
      <c r="U1369" t="s">
        <v>36</v>
      </c>
    </row>
    <row r="1370" spans="1:21" x14ac:dyDescent="0.2">
      <c r="A1370" t="s">
        <v>882</v>
      </c>
      <c r="B1370" s="24">
        <v>45729</v>
      </c>
      <c r="C1370" s="24">
        <v>45287</v>
      </c>
      <c r="D1370" t="s">
        <v>866</v>
      </c>
      <c r="E1370" t="s">
        <v>867</v>
      </c>
      <c r="G1370" t="s">
        <v>2836</v>
      </c>
      <c r="H1370" t="s">
        <v>880</v>
      </c>
      <c r="I1370" t="s">
        <v>881</v>
      </c>
      <c r="J1370" s="11" t="s">
        <v>1484</v>
      </c>
      <c r="K1370" t="s">
        <v>10</v>
      </c>
      <c r="L1370">
        <v>6000</v>
      </c>
      <c r="M1370" t="s">
        <v>1472</v>
      </c>
      <c r="N1370" t="s">
        <v>11</v>
      </c>
      <c r="O1370">
        <v>8.1858000000000004</v>
      </c>
      <c r="P1370" s="12">
        <f>ROUND(O1370*L1370,2)</f>
        <v>49114.8</v>
      </c>
      <c r="Q1370" s="13">
        <f>IF(N1370="HKD",7.8,IF(N1370="CNY",7.30034,1))</f>
        <v>7.3003400000000003</v>
      </c>
      <c r="R1370" s="15">
        <f>+ROUND(O1370/Q1370,4)</f>
        <v>1.1213</v>
      </c>
      <c r="S1370" s="14">
        <f>ROUND(R1370*L1370,2)</f>
        <v>6727.8</v>
      </c>
      <c r="T1370" s="15" t="s">
        <v>349</v>
      </c>
      <c r="U1370" t="s">
        <v>36</v>
      </c>
    </row>
    <row r="1371" spans="1:21" x14ac:dyDescent="0.2">
      <c r="A1371" t="s">
        <v>2272</v>
      </c>
      <c r="B1371" s="24">
        <v>45729</v>
      </c>
      <c r="C1371" s="24">
        <v>44813</v>
      </c>
      <c r="D1371" t="s">
        <v>866</v>
      </c>
      <c r="E1371" t="s">
        <v>867</v>
      </c>
      <c r="G1371" t="s">
        <v>2834</v>
      </c>
      <c r="H1371" t="s">
        <v>1551</v>
      </c>
      <c r="I1371" t="s">
        <v>1552</v>
      </c>
      <c r="J1371" s="11" t="s">
        <v>1484</v>
      </c>
      <c r="K1371" t="s">
        <v>10</v>
      </c>
      <c r="L1371">
        <v>1960</v>
      </c>
      <c r="M1371" t="s">
        <v>1472</v>
      </c>
      <c r="N1371" t="s">
        <v>11</v>
      </c>
      <c r="O1371">
        <v>8.2035</v>
      </c>
      <c r="P1371" s="12">
        <f>ROUND(O1371*L1371,2)</f>
        <v>16078.86</v>
      </c>
      <c r="Q1371" s="13">
        <f>IF(N1371="HKD",7.8,IF(N1371="CNY",7.30034,1))</f>
        <v>7.3003400000000003</v>
      </c>
      <c r="R1371" s="15">
        <f>+ROUND(O1371/Q1371,4)</f>
        <v>1.1236999999999999</v>
      </c>
      <c r="S1371" s="14">
        <f>ROUND(R1371*L1371,2)</f>
        <v>2202.4499999999998</v>
      </c>
      <c r="T1371" s="15" t="s">
        <v>349</v>
      </c>
      <c r="U1371" t="s">
        <v>36</v>
      </c>
    </row>
    <row r="1372" spans="1:21" x14ac:dyDescent="0.2">
      <c r="A1372" t="s">
        <v>2347</v>
      </c>
      <c r="B1372" s="24">
        <v>45736</v>
      </c>
      <c r="C1372" s="24">
        <v>45677</v>
      </c>
      <c r="D1372" t="s">
        <v>5</v>
      </c>
      <c r="E1372" t="s">
        <v>6</v>
      </c>
      <c r="G1372" t="s">
        <v>2900</v>
      </c>
      <c r="H1372" t="s">
        <v>1804</v>
      </c>
      <c r="I1372" t="s">
        <v>1805</v>
      </c>
      <c r="J1372" s="11" t="str">
        <f>+LEFT(U1372,4)</f>
        <v>BOX-</v>
      </c>
      <c r="K1372" t="s">
        <v>10</v>
      </c>
      <c r="L1372">
        <v>1010</v>
      </c>
      <c r="M1372" t="s">
        <v>1472</v>
      </c>
      <c r="N1372" t="s">
        <v>11</v>
      </c>
      <c r="O1372">
        <v>8.2200000000000006</v>
      </c>
      <c r="P1372" s="12">
        <f>ROUND(O1372*L1372,2)</f>
        <v>8302.2000000000007</v>
      </c>
      <c r="Q1372" s="13">
        <f>IF(N1372="HKD",7.8,IF(N1372="CNY",7.30034,1))</f>
        <v>7.3003400000000003</v>
      </c>
      <c r="R1372" s="15">
        <f>+ROUND(O1372/Q1372,4)</f>
        <v>1.1259999999999999</v>
      </c>
      <c r="S1372" s="14">
        <f>ROUND(R1372*L1372,2)</f>
        <v>1137.26</v>
      </c>
      <c r="T1372" s="15" t="s">
        <v>349</v>
      </c>
      <c r="U1372" t="s">
        <v>1</v>
      </c>
    </row>
    <row r="1373" spans="1:21" x14ac:dyDescent="0.2">
      <c r="A1373" t="s">
        <v>2739</v>
      </c>
      <c r="B1373" s="24">
        <v>45733</v>
      </c>
      <c r="C1373" s="24">
        <v>45729</v>
      </c>
      <c r="D1373" t="s">
        <v>5</v>
      </c>
      <c r="E1373" t="s">
        <v>6</v>
      </c>
      <c r="G1373" t="s">
        <v>3043</v>
      </c>
      <c r="H1373" t="s">
        <v>3243</v>
      </c>
      <c r="I1373" t="s">
        <v>3450</v>
      </c>
      <c r="J1373" s="11" t="str">
        <f>+LEFT(U1373,4)</f>
        <v>BOX-</v>
      </c>
      <c r="K1373" t="s">
        <v>10</v>
      </c>
      <c r="L1373">
        <v>505</v>
      </c>
      <c r="M1373" t="s">
        <v>1472</v>
      </c>
      <c r="N1373" t="s">
        <v>11</v>
      </c>
      <c r="O1373">
        <v>8.39</v>
      </c>
      <c r="P1373" s="12">
        <f>ROUND(O1373*L1373,2)</f>
        <v>4236.95</v>
      </c>
      <c r="Q1373" s="13">
        <f>IF(N1373="HKD",7.8,IF(N1373="CNY",7.30034,1))</f>
        <v>7.3003400000000003</v>
      </c>
      <c r="R1373" s="15">
        <f>+ROUND(O1373/Q1373,4)</f>
        <v>1.1493</v>
      </c>
      <c r="S1373" s="14">
        <f>ROUND(R1373*L1373,2)</f>
        <v>580.4</v>
      </c>
      <c r="T1373" s="15" t="s">
        <v>349</v>
      </c>
      <c r="U1373" t="s">
        <v>1</v>
      </c>
    </row>
    <row r="1374" spans="1:21" x14ac:dyDescent="0.2">
      <c r="A1374" t="s">
        <v>2444</v>
      </c>
      <c r="B1374" s="24">
        <v>45735</v>
      </c>
      <c r="C1374" s="24">
        <v>45702</v>
      </c>
      <c r="D1374" t="s">
        <v>2819</v>
      </c>
      <c r="E1374" t="s">
        <v>2820</v>
      </c>
      <c r="G1374" t="s">
        <v>2939</v>
      </c>
      <c r="H1374" t="s">
        <v>3130</v>
      </c>
      <c r="I1374" t="s">
        <v>3340</v>
      </c>
      <c r="J1374" s="11" t="str">
        <f>+LEFT(U1374,4)</f>
        <v>HDL-</v>
      </c>
      <c r="K1374" t="s">
        <v>10</v>
      </c>
      <c r="L1374">
        <v>950</v>
      </c>
      <c r="M1374" t="s">
        <v>1472</v>
      </c>
      <c r="N1374" t="s">
        <v>11</v>
      </c>
      <c r="O1374">
        <v>8.5591000000000008</v>
      </c>
      <c r="P1374" s="12">
        <f>ROUND(O1374*L1374,2)</f>
        <v>8131.15</v>
      </c>
      <c r="Q1374" s="13">
        <f>IF(N1374="HKD",7.8,IF(N1374="CNY",7.30034,1))</f>
        <v>7.3003400000000003</v>
      </c>
      <c r="R1374" s="15">
        <f>+ROUND(O1374/Q1374,4)</f>
        <v>1.1724000000000001</v>
      </c>
      <c r="S1374" s="14">
        <f>ROUND(R1374*L1374,2)</f>
        <v>1113.78</v>
      </c>
      <c r="T1374" s="15" t="s">
        <v>349</v>
      </c>
      <c r="U1374" t="s">
        <v>228</v>
      </c>
    </row>
    <row r="1375" spans="1:21" x14ac:dyDescent="0.2">
      <c r="A1375" t="s">
        <v>2446</v>
      </c>
      <c r="B1375" s="24">
        <v>45735</v>
      </c>
      <c r="C1375" s="24">
        <v>45702</v>
      </c>
      <c r="D1375" t="s">
        <v>2819</v>
      </c>
      <c r="E1375" t="s">
        <v>2820</v>
      </c>
      <c r="G1375" t="s">
        <v>2939</v>
      </c>
      <c r="H1375" t="s">
        <v>3132</v>
      </c>
      <c r="I1375" t="s">
        <v>3342</v>
      </c>
      <c r="J1375" s="11" t="str">
        <f>+LEFT(U1375,4)</f>
        <v>HDL-</v>
      </c>
      <c r="K1375" t="s">
        <v>10</v>
      </c>
      <c r="L1375">
        <v>950</v>
      </c>
      <c r="M1375" t="s">
        <v>1472</v>
      </c>
      <c r="N1375" t="s">
        <v>11</v>
      </c>
      <c r="O1375">
        <v>8.5591000000000008</v>
      </c>
      <c r="P1375" s="12">
        <f>ROUND(O1375*L1375,2)</f>
        <v>8131.15</v>
      </c>
      <c r="Q1375" s="13">
        <f>IF(N1375="HKD",7.8,IF(N1375="CNY",7.30034,1))</f>
        <v>7.3003400000000003</v>
      </c>
      <c r="R1375" s="15">
        <f>+ROUND(O1375/Q1375,4)</f>
        <v>1.1724000000000001</v>
      </c>
      <c r="S1375" s="14">
        <f>ROUND(R1375*L1375,2)</f>
        <v>1113.78</v>
      </c>
      <c r="T1375" s="15" t="s">
        <v>349</v>
      </c>
      <c r="U1375" t="s">
        <v>228</v>
      </c>
    </row>
    <row r="1376" spans="1:21" x14ac:dyDescent="0.2">
      <c r="A1376" t="s">
        <v>2484</v>
      </c>
      <c r="B1376" s="24">
        <v>45726</v>
      </c>
      <c r="C1376" s="24">
        <v>45712</v>
      </c>
      <c r="D1376" t="s">
        <v>2257</v>
      </c>
      <c r="E1376" t="s">
        <v>2258</v>
      </c>
      <c r="G1376" t="s">
        <v>2950</v>
      </c>
      <c r="H1376" t="s">
        <v>3147</v>
      </c>
      <c r="I1376" t="s">
        <v>3357</v>
      </c>
      <c r="J1376" s="11" t="str">
        <f>+LEFT(U1376,4)</f>
        <v>HDL-</v>
      </c>
      <c r="K1376" t="s">
        <v>10</v>
      </c>
      <c r="L1376">
        <v>3100</v>
      </c>
      <c r="M1376" t="s">
        <v>1472</v>
      </c>
      <c r="N1376" t="s">
        <v>11</v>
      </c>
      <c r="O1376">
        <v>8.5710999999999995</v>
      </c>
      <c r="P1376" s="12">
        <f>ROUND(O1376*L1376,2)</f>
        <v>26570.41</v>
      </c>
      <c r="Q1376" s="13">
        <f>IF(N1376="HKD",7.8,IF(N1376="CNY",7.30034,1))</f>
        <v>7.3003400000000003</v>
      </c>
      <c r="R1376" s="15">
        <f>+ROUND(O1376/Q1376,4)</f>
        <v>1.1740999999999999</v>
      </c>
      <c r="S1376" s="14">
        <f>ROUND(R1376*L1376,2)</f>
        <v>3639.71</v>
      </c>
      <c r="T1376" s="15" t="s">
        <v>349</v>
      </c>
      <c r="U1376" t="s">
        <v>228</v>
      </c>
    </row>
    <row r="1377" spans="1:21" x14ac:dyDescent="0.2">
      <c r="A1377" t="s">
        <v>2489</v>
      </c>
      <c r="B1377" s="24">
        <v>45726</v>
      </c>
      <c r="C1377" s="24">
        <v>45712</v>
      </c>
      <c r="D1377" t="s">
        <v>2257</v>
      </c>
      <c r="E1377" t="s">
        <v>2258</v>
      </c>
      <c r="G1377" t="s">
        <v>2950</v>
      </c>
      <c r="H1377" t="s">
        <v>3147</v>
      </c>
      <c r="I1377" t="s">
        <v>3357</v>
      </c>
      <c r="J1377" s="11" t="str">
        <f>+LEFT(U1377,4)</f>
        <v>HDL-</v>
      </c>
      <c r="K1377" t="s">
        <v>10</v>
      </c>
      <c r="L1377">
        <v>600</v>
      </c>
      <c r="M1377" t="s">
        <v>1472</v>
      </c>
      <c r="N1377" t="s">
        <v>11</v>
      </c>
      <c r="O1377">
        <v>8.5710999999999995</v>
      </c>
      <c r="P1377" s="12">
        <f>ROUND(O1377*L1377,2)</f>
        <v>5142.66</v>
      </c>
      <c r="Q1377" s="13">
        <f>IF(N1377="HKD",7.8,IF(N1377="CNY",7.30034,1))</f>
        <v>7.3003400000000003</v>
      </c>
      <c r="R1377" s="15">
        <f>+ROUND(O1377/Q1377,4)</f>
        <v>1.1740999999999999</v>
      </c>
      <c r="S1377" s="14">
        <f>ROUND(R1377*L1377,2)</f>
        <v>704.46</v>
      </c>
      <c r="T1377" s="15" t="s">
        <v>349</v>
      </c>
      <c r="U1377" t="s">
        <v>228</v>
      </c>
    </row>
    <row r="1378" spans="1:21" x14ac:dyDescent="0.2">
      <c r="A1378" t="s">
        <v>2490</v>
      </c>
      <c r="B1378" s="24">
        <v>45730</v>
      </c>
      <c r="C1378" s="24">
        <v>45713</v>
      </c>
      <c r="D1378" t="s">
        <v>2257</v>
      </c>
      <c r="E1378" t="s">
        <v>2258</v>
      </c>
      <c r="G1378" t="s">
        <v>2951</v>
      </c>
      <c r="H1378" t="s">
        <v>3149</v>
      </c>
      <c r="I1378" t="s">
        <v>3359</v>
      </c>
      <c r="J1378" s="11" t="str">
        <f>+LEFT(U1378,4)</f>
        <v>HDL-</v>
      </c>
      <c r="K1378" t="s">
        <v>10</v>
      </c>
      <c r="L1378">
        <v>3400</v>
      </c>
      <c r="M1378" t="s">
        <v>1472</v>
      </c>
      <c r="N1378" t="s">
        <v>11</v>
      </c>
      <c r="O1378">
        <v>8.5710999999999995</v>
      </c>
      <c r="P1378" s="12">
        <f>ROUND(O1378*L1378,2)</f>
        <v>29141.74</v>
      </c>
      <c r="Q1378" s="13">
        <f>IF(N1378="HKD",7.8,IF(N1378="CNY",7.30034,1))</f>
        <v>7.3003400000000003</v>
      </c>
      <c r="R1378" s="15">
        <f>+ROUND(O1378/Q1378,4)</f>
        <v>1.1740999999999999</v>
      </c>
      <c r="S1378" s="14">
        <f>ROUND(R1378*L1378,2)</f>
        <v>3991.94</v>
      </c>
      <c r="T1378" s="15" t="s">
        <v>349</v>
      </c>
      <c r="U1378" t="s">
        <v>228</v>
      </c>
    </row>
    <row r="1379" spans="1:21" x14ac:dyDescent="0.2">
      <c r="A1379" t="s">
        <v>2561</v>
      </c>
      <c r="B1379" s="24">
        <v>45735</v>
      </c>
      <c r="C1379" s="24">
        <v>45716</v>
      </c>
      <c r="D1379" t="s">
        <v>696</v>
      </c>
      <c r="E1379" t="s">
        <v>697</v>
      </c>
      <c r="G1379" t="s">
        <v>2996</v>
      </c>
      <c r="H1379" t="s">
        <v>3176</v>
      </c>
      <c r="I1379" t="s">
        <v>3383</v>
      </c>
      <c r="J1379" s="11" t="str">
        <f>+LEFT(U1379,4)</f>
        <v>GLID</v>
      </c>
      <c r="K1379" t="s">
        <v>10</v>
      </c>
      <c r="L1379">
        <v>1010</v>
      </c>
      <c r="M1379" t="s">
        <v>1472</v>
      </c>
      <c r="N1379" t="s">
        <v>11</v>
      </c>
      <c r="O1379">
        <v>8.6300000000000008</v>
      </c>
      <c r="P1379" s="12">
        <f>ROUND(O1379*L1379,2)</f>
        <v>8716.2999999999993</v>
      </c>
      <c r="Q1379" s="13">
        <f>IF(N1379="HKD",7.8,IF(N1379="CNY",7.30034,1))</f>
        <v>7.3003400000000003</v>
      </c>
      <c r="R1379" s="15">
        <f>+ROUND(O1379/Q1379,4)</f>
        <v>1.1820999999999999</v>
      </c>
      <c r="S1379" s="14">
        <f>ROUND(R1379*L1379,2)</f>
        <v>1193.92</v>
      </c>
      <c r="T1379" s="15" t="s">
        <v>349</v>
      </c>
      <c r="U1379" t="s">
        <v>78</v>
      </c>
    </row>
    <row r="1380" spans="1:21" x14ac:dyDescent="0.2">
      <c r="A1380" t="s">
        <v>2495</v>
      </c>
      <c r="B1380" s="24">
        <v>45726</v>
      </c>
      <c r="C1380" s="24">
        <v>45713</v>
      </c>
      <c r="D1380" t="s">
        <v>2257</v>
      </c>
      <c r="E1380" t="s">
        <v>2258</v>
      </c>
      <c r="G1380" t="s">
        <v>2950</v>
      </c>
      <c r="H1380" t="s">
        <v>3150</v>
      </c>
      <c r="I1380" t="s">
        <v>3360</v>
      </c>
      <c r="J1380" s="11" t="str">
        <f>+LEFT(U1380,4)</f>
        <v>HDL-</v>
      </c>
      <c r="K1380" t="s">
        <v>10</v>
      </c>
      <c r="L1380">
        <v>510</v>
      </c>
      <c r="M1380" t="s">
        <v>1472</v>
      </c>
      <c r="N1380" t="s">
        <v>11</v>
      </c>
      <c r="O1380">
        <v>8.7460000000000004</v>
      </c>
      <c r="P1380" s="12">
        <f>ROUND(O1380*L1380,2)</f>
        <v>4460.46</v>
      </c>
      <c r="Q1380" s="13">
        <f>IF(N1380="HKD",7.8,IF(N1380="CNY",7.30034,1))</f>
        <v>7.3003400000000003</v>
      </c>
      <c r="R1380" s="15">
        <f>+ROUND(O1380/Q1380,4)</f>
        <v>1.198</v>
      </c>
      <c r="S1380" s="14">
        <f>ROUND(R1380*L1380,2)</f>
        <v>610.98</v>
      </c>
      <c r="T1380" s="15" t="s">
        <v>349</v>
      </c>
      <c r="U1380" t="s">
        <v>228</v>
      </c>
    </row>
    <row r="1381" spans="1:21" x14ac:dyDescent="0.2">
      <c r="A1381" t="s">
        <v>2496</v>
      </c>
      <c r="B1381" s="24">
        <v>45730</v>
      </c>
      <c r="C1381" s="24">
        <v>45713</v>
      </c>
      <c r="D1381" t="s">
        <v>2257</v>
      </c>
      <c r="E1381" t="s">
        <v>2258</v>
      </c>
      <c r="G1381" t="s">
        <v>2951</v>
      </c>
      <c r="H1381" t="s">
        <v>3150</v>
      </c>
      <c r="I1381" t="s">
        <v>3360</v>
      </c>
      <c r="J1381" s="11" t="str">
        <f>+LEFT(U1381,4)</f>
        <v>HDL-</v>
      </c>
      <c r="K1381" t="s">
        <v>10</v>
      </c>
      <c r="L1381">
        <v>2700</v>
      </c>
      <c r="M1381" t="s">
        <v>1472</v>
      </c>
      <c r="N1381" t="s">
        <v>11</v>
      </c>
      <c r="O1381">
        <v>8.7460000000000004</v>
      </c>
      <c r="P1381" s="12">
        <f>ROUND(O1381*L1381,2)</f>
        <v>23614.2</v>
      </c>
      <c r="Q1381" s="13">
        <f>IF(N1381="HKD",7.8,IF(N1381="CNY",7.30034,1))</f>
        <v>7.3003400000000003</v>
      </c>
      <c r="R1381" s="15">
        <f>+ROUND(O1381/Q1381,4)</f>
        <v>1.198</v>
      </c>
      <c r="S1381" s="14">
        <f>ROUND(R1381*L1381,2)</f>
        <v>3234.6</v>
      </c>
      <c r="T1381" s="15" t="s">
        <v>349</v>
      </c>
      <c r="U1381" t="s">
        <v>228</v>
      </c>
    </row>
    <row r="1382" spans="1:21" x14ac:dyDescent="0.2">
      <c r="A1382" t="s">
        <v>2502</v>
      </c>
      <c r="B1382" s="24">
        <v>45730</v>
      </c>
      <c r="C1382" s="24">
        <v>45713</v>
      </c>
      <c r="D1382" t="s">
        <v>2257</v>
      </c>
      <c r="E1382" t="s">
        <v>2258</v>
      </c>
      <c r="G1382" t="s">
        <v>2951</v>
      </c>
      <c r="H1382" t="s">
        <v>3151</v>
      </c>
      <c r="I1382" t="s">
        <v>3361</v>
      </c>
      <c r="J1382" s="11" t="str">
        <f>+LEFT(U1382,4)</f>
        <v>HDL-</v>
      </c>
      <c r="K1382" t="s">
        <v>10</v>
      </c>
      <c r="L1382">
        <v>600</v>
      </c>
      <c r="M1382" t="s">
        <v>1472</v>
      </c>
      <c r="N1382" t="s">
        <v>11</v>
      </c>
      <c r="O1382">
        <v>8.7460000000000004</v>
      </c>
      <c r="P1382" s="12">
        <f>ROUND(O1382*L1382,2)</f>
        <v>5247.6</v>
      </c>
      <c r="Q1382" s="13">
        <f>IF(N1382="HKD",7.8,IF(N1382="CNY",7.30034,1))</f>
        <v>7.3003400000000003</v>
      </c>
      <c r="R1382" s="15">
        <f>+ROUND(O1382/Q1382,4)</f>
        <v>1.198</v>
      </c>
      <c r="S1382" s="14">
        <f>ROUND(R1382*L1382,2)</f>
        <v>718.8</v>
      </c>
      <c r="T1382" s="15" t="s">
        <v>349</v>
      </c>
      <c r="U1382" t="s">
        <v>228</v>
      </c>
    </row>
    <row r="1383" spans="1:21" x14ac:dyDescent="0.2">
      <c r="A1383" t="s">
        <v>2503</v>
      </c>
      <c r="B1383" s="24">
        <v>45733</v>
      </c>
      <c r="C1383" s="24">
        <v>45713</v>
      </c>
      <c r="D1383" t="s">
        <v>2257</v>
      </c>
      <c r="E1383" t="s">
        <v>2258</v>
      </c>
      <c r="G1383" t="s">
        <v>2954</v>
      </c>
      <c r="H1383" t="s">
        <v>3151</v>
      </c>
      <c r="I1383" t="s">
        <v>3361</v>
      </c>
      <c r="J1383" s="11" t="str">
        <f>+LEFT(U1383,4)</f>
        <v>HDL-</v>
      </c>
      <c r="K1383" t="s">
        <v>10</v>
      </c>
      <c r="L1383">
        <v>4400</v>
      </c>
      <c r="M1383" t="s">
        <v>1472</v>
      </c>
      <c r="N1383" t="s">
        <v>11</v>
      </c>
      <c r="O1383">
        <v>8.7460000000000004</v>
      </c>
      <c r="P1383" s="12">
        <f>ROUND(O1383*L1383,2)</f>
        <v>38482.400000000001</v>
      </c>
      <c r="Q1383" s="13">
        <f>IF(N1383="HKD",7.8,IF(N1383="CNY",7.30034,1))</f>
        <v>7.3003400000000003</v>
      </c>
      <c r="R1383" s="15">
        <f>+ROUND(O1383/Q1383,4)</f>
        <v>1.198</v>
      </c>
      <c r="S1383" s="14">
        <f>ROUND(R1383*L1383,2)</f>
        <v>5271.2</v>
      </c>
      <c r="T1383" s="15" t="s">
        <v>349</v>
      </c>
      <c r="U1383" t="s">
        <v>228</v>
      </c>
    </row>
    <row r="1384" spans="1:21" x14ac:dyDescent="0.2">
      <c r="A1384" t="s">
        <v>872</v>
      </c>
      <c r="B1384" s="24">
        <v>45729</v>
      </c>
      <c r="C1384" s="24">
        <v>45287</v>
      </c>
      <c r="D1384" t="s">
        <v>866</v>
      </c>
      <c r="E1384" t="s">
        <v>867</v>
      </c>
      <c r="G1384" t="s">
        <v>2836</v>
      </c>
      <c r="H1384" t="s">
        <v>870</v>
      </c>
      <c r="I1384" t="s">
        <v>871</v>
      </c>
      <c r="J1384" s="11" t="s">
        <v>1484</v>
      </c>
      <c r="K1384" t="s">
        <v>10</v>
      </c>
      <c r="L1384">
        <v>120</v>
      </c>
      <c r="M1384" t="s">
        <v>1472</v>
      </c>
      <c r="N1384" t="s">
        <v>11</v>
      </c>
      <c r="O1384">
        <v>8.8053000000000008</v>
      </c>
      <c r="P1384" s="12">
        <f>ROUND(O1384*L1384,2)</f>
        <v>1056.6400000000001</v>
      </c>
      <c r="Q1384" s="13">
        <f>IF(N1384="HKD",7.8,IF(N1384="CNY",7.30034,1))</f>
        <v>7.3003400000000003</v>
      </c>
      <c r="R1384" s="15">
        <f>+ROUND(O1384/Q1384,4)</f>
        <v>1.2060999999999999</v>
      </c>
      <c r="S1384" s="14">
        <f>ROUND(R1384*L1384,2)</f>
        <v>144.72999999999999</v>
      </c>
      <c r="T1384" s="15" t="s">
        <v>349</v>
      </c>
      <c r="U1384" t="s">
        <v>36</v>
      </c>
    </row>
    <row r="1385" spans="1:21" x14ac:dyDescent="0.2">
      <c r="A1385" t="s">
        <v>2343</v>
      </c>
      <c r="B1385" s="24">
        <v>45729</v>
      </c>
      <c r="C1385" s="24">
        <v>45675</v>
      </c>
      <c r="D1385" t="s">
        <v>866</v>
      </c>
      <c r="E1385" t="s">
        <v>867</v>
      </c>
      <c r="G1385" t="s">
        <v>2898</v>
      </c>
      <c r="H1385" t="s">
        <v>870</v>
      </c>
      <c r="I1385" t="s">
        <v>871</v>
      </c>
      <c r="J1385" s="11" t="s">
        <v>1484</v>
      </c>
      <c r="K1385" t="s">
        <v>10</v>
      </c>
      <c r="L1385">
        <v>120</v>
      </c>
      <c r="M1385" t="s">
        <v>1472</v>
      </c>
      <c r="N1385" t="s">
        <v>11</v>
      </c>
      <c r="O1385">
        <v>8.8053000000000008</v>
      </c>
      <c r="P1385" s="12">
        <f>ROUND(O1385*L1385,2)</f>
        <v>1056.6400000000001</v>
      </c>
      <c r="Q1385" s="13">
        <f>IF(N1385="HKD",7.8,IF(N1385="CNY",7.30034,1))</f>
        <v>7.3003400000000003</v>
      </c>
      <c r="R1385" s="15">
        <f>+ROUND(O1385/Q1385,4)</f>
        <v>1.2060999999999999</v>
      </c>
      <c r="S1385" s="14">
        <f>ROUND(R1385*L1385,2)</f>
        <v>144.72999999999999</v>
      </c>
      <c r="T1385" s="15" t="s">
        <v>349</v>
      </c>
      <c r="U1385" t="s">
        <v>36</v>
      </c>
    </row>
    <row r="1386" spans="1:21" x14ac:dyDescent="0.2">
      <c r="A1386" t="s">
        <v>2317</v>
      </c>
      <c r="B1386" s="24">
        <v>45730</v>
      </c>
      <c r="C1386" s="24">
        <v>45664</v>
      </c>
      <c r="D1386" t="s">
        <v>287</v>
      </c>
      <c r="E1386" t="s">
        <v>288</v>
      </c>
      <c r="G1386" t="s">
        <v>2877</v>
      </c>
      <c r="H1386" t="s">
        <v>73</v>
      </c>
      <c r="I1386" t="s">
        <v>74</v>
      </c>
      <c r="J1386" s="11" t="s">
        <v>1478</v>
      </c>
      <c r="K1386" t="s">
        <v>10</v>
      </c>
      <c r="L1386">
        <v>1000</v>
      </c>
      <c r="M1386" t="s">
        <v>1472</v>
      </c>
      <c r="N1386" t="s">
        <v>11</v>
      </c>
      <c r="O1386">
        <v>8.84</v>
      </c>
      <c r="P1386" s="12">
        <f>ROUND(O1386*L1386,2)</f>
        <v>8840</v>
      </c>
      <c r="Q1386" s="13">
        <f>IF(N1386="HKD",7.8,IF(N1386="CNY",7.30034,1))</f>
        <v>7.3003400000000003</v>
      </c>
      <c r="R1386" s="15">
        <f>+ROUND(O1386/Q1386,4)</f>
        <v>1.2109000000000001</v>
      </c>
      <c r="S1386" s="14">
        <f>ROUND(R1386*L1386,2)</f>
        <v>1210.9000000000001</v>
      </c>
      <c r="T1386" s="15" t="s">
        <v>349</v>
      </c>
      <c r="U1386" t="s">
        <v>36</v>
      </c>
    </row>
    <row r="1387" spans="1:21" x14ac:dyDescent="0.2">
      <c r="A1387" t="s">
        <v>2470</v>
      </c>
      <c r="B1387" s="24">
        <v>45733</v>
      </c>
      <c r="C1387" s="24">
        <v>45707</v>
      </c>
      <c r="D1387" t="s">
        <v>287</v>
      </c>
      <c r="E1387" t="s">
        <v>288</v>
      </c>
      <c r="G1387" t="s">
        <v>2946</v>
      </c>
      <c r="H1387" t="s">
        <v>73</v>
      </c>
      <c r="I1387" t="s">
        <v>74</v>
      </c>
      <c r="J1387" s="11" t="s">
        <v>1478</v>
      </c>
      <c r="K1387" t="s">
        <v>10</v>
      </c>
      <c r="L1387">
        <v>1050</v>
      </c>
      <c r="M1387" t="s">
        <v>1472</v>
      </c>
      <c r="N1387" t="s">
        <v>11</v>
      </c>
      <c r="O1387">
        <v>8.84</v>
      </c>
      <c r="P1387" s="12">
        <f>ROUND(O1387*L1387,2)</f>
        <v>9282</v>
      </c>
      <c r="Q1387" s="13">
        <f>IF(N1387="HKD",7.8,IF(N1387="CNY",7.30034,1))</f>
        <v>7.3003400000000003</v>
      </c>
      <c r="R1387" s="15">
        <f>+ROUND(O1387/Q1387,4)</f>
        <v>1.2109000000000001</v>
      </c>
      <c r="S1387" s="14">
        <f>ROUND(R1387*L1387,2)</f>
        <v>1271.45</v>
      </c>
      <c r="T1387" s="15" t="s">
        <v>349</v>
      </c>
      <c r="U1387" t="s">
        <v>36</v>
      </c>
    </row>
    <row r="1388" spans="1:21" x14ac:dyDescent="0.2">
      <c r="A1388" t="s">
        <v>2476</v>
      </c>
      <c r="B1388" s="24">
        <v>45733</v>
      </c>
      <c r="C1388" s="24">
        <v>45709</v>
      </c>
      <c r="D1388" t="s">
        <v>287</v>
      </c>
      <c r="E1388" t="s">
        <v>288</v>
      </c>
      <c r="G1388" t="s">
        <v>2946</v>
      </c>
      <c r="H1388" t="s">
        <v>73</v>
      </c>
      <c r="I1388" t="s">
        <v>74</v>
      </c>
      <c r="J1388" s="11" t="s">
        <v>1478</v>
      </c>
      <c r="K1388" t="s">
        <v>10</v>
      </c>
      <c r="L1388">
        <v>900</v>
      </c>
      <c r="M1388" t="s">
        <v>1472</v>
      </c>
      <c r="N1388" t="s">
        <v>11</v>
      </c>
      <c r="O1388">
        <v>8.84</v>
      </c>
      <c r="P1388" s="12">
        <f>ROUND(O1388*L1388,2)</f>
        <v>7956</v>
      </c>
      <c r="Q1388" s="13">
        <f>IF(N1388="HKD",7.8,IF(N1388="CNY",7.30034,1))</f>
        <v>7.3003400000000003</v>
      </c>
      <c r="R1388" s="15">
        <f>+ROUND(O1388/Q1388,4)</f>
        <v>1.2109000000000001</v>
      </c>
      <c r="S1388" s="14">
        <f>ROUND(R1388*L1388,2)</f>
        <v>1089.81</v>
      </c>
      <c r="T1388" s="15" t="s">
        <v>349</v>
      </c>
      <c r="U1388" t="s">
        <v>36</v>
      </c>
    </row>
    <row r="1389" spans="1:21" x14ac:dyDescent="0.2">
      <c r="A1389" t="s">
        <v>2321</v>
      </c>
      <c r="B1389" s="24">
        <v>45741</v>
      </c>
      <c r="C1389" s="24">
        <v>45664</v>
      </c>
      <c r="D1389" t="s">
        <v>94</v>
      </c>
      <c r="E1389" t="s">
        <v>95</v>
      </c>
      <c r="G1389" t="s">
        <v>2879</v>
      </c>
      <c r="H1389" t="s">
        <v>3081</v>
      </c>
      <c r="I1389" t="s">
        <v>3297</v>
      </c>
      <c r="J1389" s="11" t="str">
        <f>+LEFT(U1389,4)</f>
        <v>LID-</v>
      </c>
      <c r="K1389" t="s">
        <v>369</v>
      </c>
      <c r="L1389">
        <v>426</v>
      </c>
      <c r="M1389" t="s">
        <v>1472</v>
      </c>
      <c r="N1389" t="s">
        <v>11</v>
      </c>
      <c r="O1389">
        <v>8.9</v>
      </c>
      <c r="P1389" s="12">
        <f>ROUND(O1389*L1389,2)</f>
        <v>3791.4</v>
      </c>
      <c r="Q1389" s="13">
        <f>IF(N1389="HKD",7.8,IF(N1389="CNY",7.30034,1))</f>
        <v>7.3003400000000003</v>
      </c>
      <c r="R1389" s="15">
        <f>+ROUND(O1389/Q1389,4)</f>
        <v>1.2191000000000001</v>
      </c>
      <c r="S1389" s="14">
        <f>ROUND(R1389*L1389,2)</f>
        <v>519.34</v>
      </c>
      <c r="T1389" s="15" t="s">
        <v>349</v>
      </c>
      <c r="U1389" t="s">
        <v>368</v>
      </c>
    </row>
    <row r="1390" spans="1:21" x14ac:dyDescent="0.2">
      <c r="A1390" t="s">
        <v>889</v>
      </c>
      <c r="B1390" s="24">
        <v>45728</v>
      </c>
      <c r="C1390" s="24">
        <v>45526</v>
      </c>
      <c r="D1390" t="s">
        <v>866</v>
      </c>
      <c r="E1390" t="s">
        <v>867</v>
      </c>
      <c r="G1390" t="s">
        <v>2844</v>
      </c>
      <c r="H1390" t="s">
        <v>887</v>
      </c>
      <c r="I1390" t="s">
        <v>888</v>
      </c>
      <c r="J1390" s="11" t="s">
        <v>1484</v>
      </c>
      <c r="K1390" t="s">
        <v>10</v>
      </c>
      <c r="L1390">
        <v>5008</v>
      </c>
      <c r="M1390" t="s">
        <v>1472</v>
      </c>
      <c r="N1390" t="s">
        <v>11</v>
      </c>
      <c r="O1390">
        <v>9.2124000000000006</v>
      </c>
      <c r="P1390" s="12">
        <f>ROUND(O1390*L1390,2)</f>
        <v>46135.7</v>
      </c>
      <c r="Q1390" s="13">
        <f>IF(N1390="HKD",7.8,IF(N1390="CNY",7.30034,1))</f>
        <v>7.3003400000000003</v>
      </c>
      <c r="R1390" s="15">
        <f>+ROUND(O1390/Q1390,4)</f>
        <v>1.2619</v>
      </c>
      <c r="S1390" s="14">
        <f>ROUND(R1390*L1390,2)</f>
        <v>6319.6</v>
      </c>
      <c r="T1390" s="15" t="s">
        <v>349</v>
      </c>
      <c r="U1390" t="s">
        <v>36</v>
      </c>
    </row>
    <row r="1391" spans="1:21" x14ac:dyDescent="0.2">
      <c r="A1391" t="s">
        <v>889</v>
      </c>
      <c r="B1391" s="24">
        <v>45729</v>
      </c>
      <c r="C1391" s="24">
        <v>45526</v>
      </c>
      <c r="D1391" t="s">
        <v>866</v>
      </c>
      <c r="E1391" t="s">
        <v>867</v>
      </c>
      <c r="G1391" t="s">
        <v>2841</v>
      </c>
      <c r="H1391" t="s">
        <v>887</v>
      </c>
      <c r="I1391" t="s">
        <v>888</v>
      </c>
      <c r="J1391" s="11" t="s">
        <v>1484</v>
      </c>
      <c r="K1391" t="s">
        <v>10</v>
      </c>
      <c r="L1391">
        <v>-7680</v>
      </c>
      <c r="M1391" t="s">
        <v>1472</v>
      </c>
      <c r="N1391" t="s">
        <v>11</v>
      </c>
      <c r="O1391">
        <v>9.2124000000000006</v>
      </c>
      <c r="P1391" s="12">
        <f>ROUND(O1391*L1391,2)</f>
        <v>-70751.23</v>
      </c>
      <c r="Q1391" s="13">
        <f>IF(N1391="HKD",7.8,IF(N1391="CNY",7.30034,1))</f>
        <v>7.3003400000000003</v>
      </c>
      <c r="R1391" s="15">
        <f>+ROUND(O1391/Q1391,4)</f>
        <v>1.2619</v>
      </c>
      <c r="S1391" s="14">
        <f>ROUND(R1391*L1391,2)</f>
        <v>-9691.39</v>
      </c>
      <c r="T1391" s="15" t="s">
        <v>349</v>
      </c>
      <c r="U1391" t="s">
        <v>36</v>
      </c>
    </row>
    <row r="1392" spans="1:21" x14ac:dyDescent="0.2">
      <c r="A1392" t="s">
        <v>2284</v>
      </c>
      <c r="B1392" s="24">
        <v>45723</v>
      </c>
      <c r="C1392" s="24">
        <v>45604</v>
      </c>
      <c r="D1392" t="s">
        <v>287</v>
      </c>
      <c r="E1392" t="s">
        <v>288</v>
      </c>
      <c r="G1392" t="s">
        <v>2850</v>
      </c>
      <c r="H1392" t="s">
        <v>75</v>
      </c>
      <c r="I1392" t="s">
        <v>3280</v>
      </c>
      <c r="J1392" s="11" t="s">
        <v>1478</v>
      </c>
      <c r="K1392" t="s">
        <v>10</v>
      </c>
      <c r="L1392">
        <v>-100</v>
      </c>
      <c r="M1392" t="s">
        <v>1472</v>
      </c>
      <c r="N1392" t="s">
        <v>11</v>
      </c>
      <c r="O1392">
        <v>9.2149999999999999</v>
      </c>
      <c r="P1392" s="12">
        <f>ROUND(O1392*L1392,2)</f>
        <v>-921.5</v>
      </c>
      <c r="Q1392" s="13">
        <f>IF(N1392="HKD",7.8,IF(N1392="CNY",7.30034,1))</f>
        <v>7.3003400000000003</v>
      </c>
      <c r="R1392" s="15">
        <f>+ROUND(O1392/Q1392,4)</f>
        <v>1.2623</v>
      </c>
      <c r="S1392" s="14">
        <f>ROUND(R1392*L1392,2)</f>
        <v>-126.23</v>
      </c>
      <c r="T1392" s="15" t="s">
        <v>349</v>
      </c>
      <c r="U1392" t="s">
        <v>36</v>
      </c>
    </row>
    <row r="1393" spans="1:21" x14ac:dyDescent="0.2">
      <c r="A1393" t="s">
        <v>2284</v>
      </c>
      <c r="B1393" s="24">
        <v>45742</v>
      </c>
      <c r="C1393" s="24">
        <v>45604</v>
      </c>
      <c r="D1393" t="s">
        <v>287</v>
      </c>
      <c r="E1393" t="s">
        <v>288</v>
      </c>
      <c r="G1393" t="s">
        <v>2851</v>
      </c>
      <c r="H1393" t="s">
        <v>75</v>
      </c>
      <c r="I1393" t="s">
        <v>3280</v>
      </c>
      <c r="J1393" s="11" t="s">
        <v>1478</v>
      </c>
      <c r="K1393" t="s">
        <v>10</v>
      </c>
      <c r="L1393">
        <v>100</v>
      </c>
      <c r="M1393" t="s">
        <v>1472</v>
      </c>
      <c r="N1393" t="s">
        <v>11</v>
      </c>
      <c r="O1393">
        <v>9.2149999999999999</v>
      </c>
      <c r="P1393" s="12">
        <f>ROUND(O1393*L1393,2)</f>
        <v>921.5</v>
      </c>
      <c r="Q1393" s="13">
        <f>IF(N1393="HKD",7.8,IF(N1393="CNY",7.30034,1))</f>
        <v>7.3003400000000003</v>
      </c>
      <c r="R1393" s="15">
        <f>+ROUND(O1393/Q1393,4)</f>
        <v>1.2623</v>
      </c>
      <c r="S1393" s="14">
        <f>ROUND(R1393*L1393,2)</f>
        <v>126.23</v>
      </c>
      <c r="T1393" s="15" t="s">
        <v>349</v>
      </c>
      <c r="U1393" t="s">
        <v>36</v>
      </c>
    </row>
    <row r="1394" spans="1:21" x14ac:dyDescent="0.2">
      <c r="A1394" t="s">
        <v>2318</v>
      </c>
      <c r="B1394" s="24">
        <v>45730</v>
      </c>
      <c r="C1394" s="24">
        <v>45664</v>
      </c>
      <c r="D1394" t="s">
        <v>287</v>
      </c>
      <c r="E1394" t="s">
        <v>288</v>
      </c>
      <c r="G1394" t="s">
        <v>2877</v>
      </c>
      <c r="H1394" t="s">
        <v>75</v>
      </c>
      <c r="I1394" t="s">
        <v>3280</v>
      </c>
      <c r="J1394" s="11" t="s">
        <v>1478</v>
      </c>
      <c r="K1394" t="s">
        <v>10</v>
      </c>
      <c r="L1394">
        <v>1050</v>
      </c>
      <c r="M1394" t="s">
        <v>1472</v>
      </c>
      <c r="N1394" t="s">
        <v>11</v>
      </c>
      <c r="O1394">
        <v>9.5</v>
      </c>
      <c r="P1394" s="12">
        <f>ROUND(O1394*L1394,2)</f>
        <v>9975</v>
      </c>
      <c r="Q1394" s="13">
        <f>IF(N1394="HKD",7.8,IF(N1394="CNY",7.30034,1))</f>
        <v>7.3003400000000003</v>
      </c>
      <c r="R1394" s="15">
        <f>+ROUND(O1394/Q1394,4)</f>
        <v>1.3012999999999999</v>
      </c>
      <c r="S1394" s="14">
        <f>ROUND(R1394*L1394,2)</f>
        <v>1366.37</v>
      </c>
      <c r="T1394" s="15" t="s">
        <v>349</v>
      </c>
      <c r="U1394" t="s">
        <v>36</v>
      </c>
    </row>
    <row r="1395" spans="1:21" x14ac:dyDescent="0.2">
      <c r="A1395" t="s">
        <v>2471</v>
      </c>
      <c r="B1395" s="24">
        <v>45733</v>
      </c>
      <c r="C1395" s="24">
        <v>45707</v>
      </c>
      <c r="D1395" t="s">
        <v>287</v>
      </c>
      <c r="E1395" t="s">
        <v>288</v>
      </c>
      <c r="G1395" t="s">
        <v>2946</v>
      </c>
      <c r="H1395" t="s">
        <v>75</v>
      </c>
      <c r="I1395" t="s">
        <v>3280</v>
      </c>
      <c r="J1395" s="11" t="s">
        <v>1478</v>
      </c>
      <c r="K1395" t="s">
        <v>10</v>
      </c>
      <c r="L1395">
        <v>1050</v>
      </c>
      <c r="M1395" t="s">
        <v>1472</v>
      </c>
      <c r="N1395" t="s">
        <v>11</v>
      </c>
      <c r="O1395">
        <v>9.5</v>
      </c>
      <c r="P1395" s="12">
        <f>ROUND(O1395*L1395,2)</f>
        <v>9975</v>
      </c>
      <c r="Q1395" s="13">
        <f>IF(N1395="HKD",7.8,IF(N1395="CNY",7.30034,1))</f>
        <v>7.3003400000000003</v>
      </c>
      <c r="R1395" s="15">
        <f>+ROUND(O1395/Q1395,4)</f>
        <v>1.3012999999999999</v>
      </c>
      <c r="S1395" s="14">
        <f>ROUND(R1395*L1395,2)</f>
        <v>1366.37</v>
      </c>
      <c r="T1395" s="15" t="s">
        <v>349</v>
      </c>
      <c r="U1395" t="s">
        <v>36</v>
      </c>
    </row>
    <row r="1396" spans="1:21" x14ac:dyDescent="0.2">
      <c r="A1396" t="s">
        <v>2477</v>
      </c>
      <c r="B1396" s="24">
        <v>45733</v>
      </c>
      <c r="C1396" s="24">
        <v>45709</v>
      </c>
      <c r="D1396" t="s">
        <v>287</v>
      </c>
      <c r="E1396" t="s">
        <v>288</v>
      </c>
      <c r="G1396" t="s">
        <v>2946</v>
      </c>
      <c r="H1396" t="s">
        <v>75</v>
      </c>
      <c r="I1396" t="s">
        <v>3280</v>
      </c>
      <c r="J1396" s="11" t="s">
        <v>1478</v>
      </c>
      <c r="K1396" t="s">
        <v>10</v>
      </c>
      <c r="L1396">
        <v>1000</v>
      </c>
      <c r="M1396" t="s">
        <v>1472</v>
      </c>
      <c r="N1396" t="s">
        <v>11</v>
      </c>
      <c r="O1396">
        <v>9.5</v>
      </c>
      <c r="P1396" s="12">
        <f>ROUND(O1396*L1396,2)</f>
        <v>9500</v>
      </c>
      <c r="Q1396" s="13">
        <f>IF(N1396="HKD",7.8,IF(N1396="CNY",7.30034,1))</f>
        <v>7.3003400000000003</v>
      </c>
      <c r="R1396" s="15">
        <f>+ROUND(O1396/Q1396,4)</f>
        <v>1.3012999999999999</v>
      </c>
      <c r="S1396" s="14">
        <f>ROUND(R1396*L1396,2)</f>
        <v>1301.3</v>
      </c>
      <c r="T1396" s="15" t="s">
        <v>349</v>
      </c>
      <c r="U1396" t="s">
        <v>36</v>
      </c>
    </row>
    <row r="1397" spans="1:21" x14ac:dyDescent="0.2">
      <c r="A1397" t="s">
        <v>2401</v>
      </c>
      <c r="B1397" s="24">
        <v>45747</v>
      </c>
      <c r="C1397" s="24">
        <v>45698</v>
      </c>
      <c r="D1397" t="s">
        <v>925</v>
      </c>
      <c r="E1397" t="s">
        <v>926</v>
      </c>
      <c r="G1397" t="s">
        <v>2924</v>
      </c>
      <c r="H1397" t="s">
        <v>3099</v>
      </c>
      <c r="I1397" t="s">
        <v>3314</v>
      </c>
      <c r="J1397" s="11" t="str">
        <f>+LEFT(U1397,4)</f>
        <v>HDL-</v>
      </c>
      <c r="K1397" t="s">
        <v>10</v>
      </c>
      <c r="L1397">
        <v>520</v>
      </c>
      <c r="M1397" t="s">
        <v>1472</v>
      </c>
      <c r="N1397" t="s">
        <v>11</v>
      </c>
      <c r="O1397">
        <v>9.6722999999999999</v>
      </c>
      <c r="P1397" s="12">
        <f>ROUND(O1397*L1397,2)</f>
        <v>5029.6000000000004</v>
      </c>
      <c r="Q1397" s="13">
        <f>IF(N1397="HKD",7.8,IF(N1397="CNY",7.30034,1))</f>
        <v>7.3003400000000003</v>
      </c>
      <c r="R1397" s="15">
        <f>+ROUND(O1397/Q1397,4)</f>
        <v>1.3249</v>
      </c>
      <c r="S1397" s="14">
        <f>ROUND(R1397*L1397,2)</f>
        <v>688.95</v>
      </c>
      <c r="T1397" s="15" t="s">
        <v>349</v>
      </c>
      <c r="U1397" t="s">
        <v>228</v>
      </c>
    </row>
    <row r="1398" spans="1:21" x14ac:dyDescent="0.2">
      <c r="A1398" t="s">
        <v>885</v>
      </c>
      <c r="B1398" s="24">
        <v>45728</v>
      </c>
      <c r="C1398" s="24">
        <v>45526</v>
      </c>
      <c r="D1398" t="s">
        <v>866</v>
      </c>
      <c r="E1398" t="s">
        <v>867</v>
      </c>
      <c r="G1398" t="s">
        <v>2844</v>
      </c>
      <c r="H1398" t="s">
        <v>883</v>
      </c>
      <c r="I1398" t="s">
        <v>884</v>
      </c>
      <c r="J1398" s="11" t="s">
        <v>1484</v>
      </c>
      <c r="K1398" t="s">
        <v>10</v>
      </c>
      <c r="L1398">
        <v>5004</v>
      </c>
      <c r="M1398" t="s">
        <v>1472</v>
      </c>
      <c r="N1398" t="s">
        <v>11</v>
      </c>
      <c r="O1398">
        <v>9.7788000000000004</v>
      </c>
      <c r="P1398" s="12">
        <f>ROUND(O1398*L1398,2)</f>
        <v>48933.120000000003</v>
      </c>
      <c r="Q1398" s="13">
        <f>IF(N1398="HKD",7.8,IF(N1398="CNY",7.30034,1))</f>
        <v>7.3003400000000003</v>
      </c>
      <c r="R1398" s="15">
        <f>+ROUND(O1398/Q1398,4)</f>
        <v>1.3394999999999999</v>
      </c>
      <c r="S1398" s="14">
        <f>ROUND(R1398*L1398,2)</f>
        <v>6702.86</v>
      </c>
      <c r="T1398" s="15" t="s">
        <v>349</v>
      </c>
      <c r="U1398" t="s">
        <v>36</v>
      </c>
    </row>
    <row r="1399" spans="1:21" x14ac:dyDescent="0.2">
      <c r="A1399" t="s">
        <v>2738</v>
      </c>
      <c r="B1399" s="24">
        <v>45733</v>
      </c>
      <c r="C1399" s="24">
        <v>45729</v>
      </c>
      <c r="D1399" t="s">
        <v>5</v>
      </c>
      <c r="E1399" t="s">
        <v>6</v>
      </c>
      <c r="G1399" t="s">
        <v>3043</v>
      </c>
      <c r="H1399" t="s">
        <v>3242</v>
      </c>
      <c r="I1399" t="s">
        <v>3449</v>
      </c>
      <c r="J1399" s="11" t="str">
        <f>+LEFT(U1399,4)</f>
        <v>BOX-</v>
      </c>
      <c r="K1399" t="s">
        <v>10</v>
      </c>
      <c r="L1399">
        <v>605</v>
      </c>
      <c r="M1399" t="s">
        <v>1472</v>
      </c>
      <c r="N1399" t="s">
        <v>11</v>
      </c>
      <c r="O1399">
        <v>10.32</v>
      </c>
      <c r="P1399" s="12">
        <f>ROUND(O1399*L1399,2)</f>
        <v>6243.6</v>
      </c>
      <c r="Q1399" s="13">
        <f>IF(N1399="HKD",7.8,IF(N1399="CNY",7.30034,1))</f>
        <v>7.3003400000000003</v>
      </c>
      <c r="R1399" s="15">
        <f>+ROUND(O1399/Q1399,4)</f>
        <v>1.4136</v>
      </c>
      <c r="S1399" s="14">
        <f>ROUND(R1399*L1399,2)</f>
        <v>855.23</v>
      </c>
      <c r="T1399" s="15" t="s">
        <v>349</v>
      </c>
      <c r="U1399" t="s">
        <v>1</v>
      </c>
    </row>
    <row r="1400" spans="1:21" x14ac:dyDescent="0.2">
      <c r="A1400" t="s">
        <v>2736</v>
      </c>
      <c r="B1400" s="24">
        <v>45733</v>
      </c>
      <c r="C1400" s="24">
        <v>45729</v>
      </c>
      <c r="D1400" t="s">
        <v>5</v>
      </c>
      <c r="E1400" t="s">
        <v>6</v>
      </c>
      <c r="G1400" t="s">
        <v>3043</v>
      </c>
      <c r="H1400" t="s">
        <v>1804</v>
      </c>
      <c r="I1400" t="s">
        <v>1805</v>
      </c>
      <c r="J1400" s="11" t="str">
        <f>+LEFT(U1400,4)</f>
        <v>BOX-</v>
      </c>
      <c r="K1400" t="s">
        <v>10</v>
      </c>
      <c r="L1400">
        <v>1010</v>
      </c>
      <c r="M1400" t="s">
        <v>1472</v>
      </c>
      <c r="N1400" t="s">
        <v>11</v>
      </c>
      <c r="O1400">
        <v>10.4</v>
      </c>
      <c r="P1400" s="12">
        <f>ROUND(O1400*L1400,2)</f>
        <v>10504</v>
      </c>
      <c r="Q1400" s="13">
        <f>IF(N1400="HKD",7.8,IF(N1400="CNY",7.30034,1))</f>
        <v>7.3003400000000003</v>
      </c>
      <c r="R1400" s="15">
        <f>+ROUND(O1400/Q1400,4)</f>
        <v>1.4246000000000001</v>
      </c>
      <c r="S1400" s="14">
        <f>ROUND(R1400*L1400,2)</f>
        <v>1438.85</v>
      </c>
      <c r="T1400" s="15" t="s">
        <v>349</v>
      </c>
      <c r="U1400" t="s">
        <v>1</v>
      </c>
    </row>
    <row r="1401" spans="1:21" x14ac:dyDescent="0.2">
      <c r="A1401" t="s">
        <v>2737</v>
      </c>
      <c r="B1401" s="24">
        <v>45733</v>
      </c>
      <c r="C1401" s="24">
        <v>45729</v>
      </c>
      <c r="D1401" t="s">
        <v>5</v>
      </c>
      <c r="E1401" t="s">
        <v>6</v>
      </c>
      <c r="G1401" t="s">
        <v>3043</v>
      </c>
      <c r="H1401" t="s">
        <v>1804</v>
      </c>
      <c r="I1401" t="s">
        <v>1805</v>
      </c>
      <c r="J1401" s="11" t="str">
        <f>+LEFT(U1401,4)</f>
        <v>BOX-</v>
      </c>
      <c r="K1401" t="s">
        <v>10</v>
      </c>
      <c r="L1401">
        <v>1010</v>
      </c>
      <c r="M1401" t="s">
        <v>1472</v>
      </c>
      <c r="N1401" t="s">
        <v>11</v>
      </c>
      <c r="O1401">
        <v>10.4</v>
      </c>
      <c r="P1401" s="12">
        <f>ROUND(O1401*L1401,2)</f>
        <v>10504</v>
      </c>
      <c r="Q1401" s="13">
        <f>IF(N1401="HKD",7.8,IF(N1401="CNY",7.30034,1))</f>
        <v>7.3003400000000003</v>
      </c>
      <c r="R1401" s="15">
        <f>+ROUND(O1401/Q1401,4)</f>
        <v>1.4246000000000001</v>
      </c>
      <c r="S1401" s="14">
        <f>ROUND(R1401*L1401,2)</f>
        <v>1438.85</v>
      </c>
      <c r="T1401" s="15" t="s">
        <v>349</v>
      </c>
      <c r="U1401" t="s">
        <v>1</v>
      </c>
    </row>
    <row r="1402" spans="1:21" x14ac:dyDescent="0.2">
      <c r="A1402" t="s">
        <v>2740</v>
      </c>
      <c r="B1402" s="24">
        <v>45733</v>
      </c>
      <c r="C1402" s="24">
        <v>45729</v>
      </c>
      <c r="D1402" t="s">
        <v>5</v>
      </c>
      <c r="E1402" t="s">
        <v>6</v>
      </c>
      <c r="G1402" t="s">
        <v>3043</v>
      </c>
      <c r="H1402" t="s">
        <v>3244</v>
      </c>
      <c r="I1402" t="s">
        <v>3451</v>
      </c>
      <c r="J1402" s="11" t="str">
        <f>+LEFT(U1402,4)</f>
        <v>BOX-</v>
      </c>
      <c r="K1402" t="s">
        <v>10</v>
      </c>
      <c r="L1402">
        <v>505</v>
      </c>
      <c r="M1402" t="s">
        <v>1472</v>
      </c>
      <c r="N1402" t="s">
        <v>11</v>
      </c>
      <c r="O1402">
        <v>10.73</v>
      </c>
      <c r="P1402" s="12">
        <f>ROUND(O1402*L1402,2)</f>
        <v>5418.65</v>
      </c>
      <c r="Q1402" s="13">
        <f>IF(N1402="HKD",7.8,IF(N1402="CNY",7.30034,1))</f>
        <v>7.3003400000000003</v>
      </c>
      <c r="R1402" s="15">
        <f>+ROUND(O1402/Q1402,4)</f>
        <v>1.4698</v>
      </c>
      <c r="S1402" s="14">
        <f>ROUND(R1402*L1402,2)</f>
        <v>742.25</v>
      </c>
      <c r="T1402" s="15" t="s">
        <v>349</v>
      </c>
      <c r="U1402" t="s">
        <v>1</v>
      </c>
    </row>
    <row r="1403" spans="1:21" x14ac:dyDescent="0.2">
      <c r="A1403" t="s">
        <v>879</v>
      </c>
      <c r="B1403" s="24">
        <v>45729</v>
      </c>
      <c r="C1403" s="24">
        <v>45287</v>
      </c>
      <c r="D1403" t="s">
        <v>866</v>
      </c>
      <c r="E1403" t="s">
        <v>867</v>
      </c>
      <c r="G1403" t="s">
        <v>2836</v>
      </c>
      <c r="H1403" t="s">
        <v>877</v>
      </c>
      <c r="I1403" t="s">
        <v>878</v>
      </c>
      <c r="J1403" s="11" t="s">
        <v>1484</v>
      </c>
      <c r="K1403" t="s">
        <v>10</v>
      </c>
      <c r="L1403">
        <v>2156</v>
      </c>
      <c r="M1403" t="s">
        <v>1472</v>
      </c>
      <c r="N1403" t="s">
        <v>11</v>
      </c>
      <c r="O1403">
        <v>11.672599999999999</v>
      </c>
      <c r="P1403" s="12">
        <f>ROUND(O1403*L1403,2)</f>
        <v>25166.13</v>
      </c>
      <c r="Q1403" s="13">
        <f>IF(N1403="HKD",7.8,IF(N1403="CNY",7.30034,1))</f>
        <v>7.3003400000000003</v>
      </c>
      <c r="R1403" s="15">
        <f>+ROUND(O1403/Q1403,4)</f>
        <v>1.5989</v>
      </c>
      <c r="S1403" s="14">
        <f>ROUND(R1403*L1403,2)</f>
        <v>3447.23</v>
      </c>
      <c r="T1403" s="15" t="s">
        <v>349</v>
      </c>
      <c r="U1403" t="s">
        <v>36</v>
      </c>
    </row>
    <row r="1404" spans="1:21" x14ac:dyDescent="0.2">
      <c r="A1404" t="s">
        <v>2299</v>
      </c>
      <c r="B1404" s="24">
        <v>45729</v>
      </c>
      <c r="C1404" s="24">
        <v>45646</v>
      </c>
      <c r="D1404" t="s">
        <v>866</v>
      </c>
      <c r="E1404" t="s">
        <v>867</v>
      </c>
      <c r="G1404" t="s">
        <v>2865</v>
      </c>
      <c r="H1404" t="s">
        <v>877</v>
      </c>
      <c r="I1404" t="s">
        <v>878</v>
      </c>
      <c r="J1404" s="11" t="s">
        <v>1484</v>
      </c>
      <c r="K1404" t="s">
        <v>10</v>
      </c>
      <c r="L1404">
        <v>2260</v>
      </c>
      <c r="M1404" t="s">
        <v>1472</v>
      </c>
      <c r="N1404" t="s">
        <v>11</v>
      </c>
      <c r="O1404">
        <v>11.672599999999999</v>
      </c>
      <c r="P1404" s="12">
        <f>ROUND(O1404*L1404,2)</f>
        <v>26380.080000000002</v>
      </c>
      <c r="Q1404" s="13">
        <f>IF(N1404="HKD",7.8,IF(N1404="CNY",7.30034,1))</f>
        <v>7.3003400000000003</v>
      </c>
      <c r="R1404" s="15">
        <f>+ROUND(O1404/Q1404,4)</f>
        <v>1.5989</v>
      </c>
      <c r="S1404" s="14">
        <f>ROUND(R1404*L1404,2)</f>
        <v>3613.51</v>
      </c>
      <c r="T1404" s="15" t="s">
        <v>349</v>
      </c>
      <c r="U1404" t="s">
        <v>36</v>
      </c>
    </row>
    <row r="1405" spans="1:21" x14ac:dyDescent="0.2">
      <c r="A1405" t="s">
        <v>2603</v>
      </c>
      <c r="B1405" s="24">
        <v>45720</v>
      </c>
      <c r="C1405" s="24">
        <v>45719</v>
      </c>
      <c r="D1405" t="s">
        <v>2829</v>
      </c>
      <c r="E1405" t="s">
        <v>2830</v>
      </c>
      <c r="G1405" t="s">
        <v>3010</v>
      </c>
      <c r="H1405" t="s">
        <v>1808</v>
      </c>
      <c r="I1405" t="s">
        <v>1809</v>
      </c>
      <c r="J1405" s="11" t="str">
        <f>+LEFT(U1405,4)</f>
        <v>SSM-</v>
      </c>
      <c r="K1405" t="s">
        <v>10</v>
      </c>
      <c r="L1405">
        <v>33033</v>
      </c>
      <c r="M1405" t="s">
        <v>186</v>
      </c>
      <c r="N1405" t="s">
        <v>11</v>
      </c>
      <c r="O1405">
        <v>11.8142</v>
      </c>
      <c r="P1405" s="12">
        <f>ROUND(O1405*L1405,2)</f>
        <v>390258.47</v>
      </c>
      <c r="Q1405" s="13">
        <f>IF(N1405="HKD",7.8,IF(N1405="CNY",7.30034,1))</f>
        <v>7.3003400000000003</v>
      </c>
      <c r="R1405" s="15">
        <f>+ROUND(O1405/Q1405,4)</f>
        <v>1.6183000000000001</v>
      </c>
      <c r="S1405" s="14">
        <f>ROUND(R1405*L1405,2)</f>
        <v>53457.3</v>
      </c>
      <c r="T1405" s="15" t="s">
        <v>349</v>
      </c>
      <c r="U1405" t="s">
        <v>33</v>
      </c>
    </row>
    <row r="1406" spans="1:21" x14ac:dyDescent="0.2">
      <c r="A1406" t="s">
        <v>2603</v>
      </c>
      <c r="B1406" s="24">
        <v>45720</v>
      </c>
      <c r="C1406" s="24">
        <v>45719</v>
      </c>
      <c r="D1406" t="s">
        <v>2829</v>
      </c>
      <c r="E1406" t="s">
        <v>2830</v>
      </c>
      <c r="G1406" t="s">
        <v>3011</v>
      </c>
      <c r="H1406" t="s">
        <v>1808</v>
      </c>
      <c r="I1406" t="s">
        <v>1809</v>
      </c>
      <c r="J1406" s="11" t="str">
        <f>+LEFT(U1406,4)</f>
        <v>SSM-</v>
      </c>
      <c r="K1406" t="s">
        <v>10</v>
      </c>
      <c r="L1406">
        <v>32834</v>
      </c>
      <c r="M1406" t="s">
        <v>186</v>
      </c>
      <c r="N1406" t="s">
        <v>11</v>
      </c>
      <c r="O1406">
        <v>11.8142</v>
      </c>
      <c r="P1406" s="12">
        <f>ROUND(O1406*L1406,2)</f>
        <v>387907.44</v>
      </c>
      <c r="Q1406" s="13">
        <f>IF(N1406="HKD",7.8,IF(N1406="CNY",7.30034,1))</f>
        <v>7.3003400000000003</v>
      </c>
      <c r="R1406" s="15">
        <f>+ROUND(O1406/Q1406,4)</f>
        <v>1.6183000000000001</v>
      </c>
      <c r="S1406" s="14">
        <f>ROUND(R1406*L1406,2)</f>
        <v>53135.26</v>
      </c>
      <c r="T1406" s="15" t="s">
        <v>349</v>
      </c>
      <c r="U1406" t="s">
        <v>33</v>
      </c>
    </row>
    <row r="1407" spans="1:21" x14ac:dyDescent="0.2">
      <c r="A1407" t="s">
        <v>2603</v>
      </c>
      <c r="B1407" s="24">
        <v>45721</v>
      </c>
      <c r="C1407" s="24">
        <v>45719</v>
      </c>
      <c r="D1407" t="s">
        <v>2829</v>
      </c>
      <c r="E1407" t="s">
        <v>2830</v>
      </c>
      <c r="G1407" t="s">
        <v>3009</v>
      </c>
      <c r="H1407" t="s">
        <v>1808</v>
      </c>
      <c r="I1407" t="s">
        <v>1809</v>
      </c>
      <c r="J1407" s="11" t="str">
        <f>+LEFT(U1407,4)</f>
        <v>SSM-</v>
      </c>
      <c r="K1407" t="s">
        <v>10</v>
      </c>
      <c r="L1407">
        <v>43134</v>
      </c>
      <c r="M1407" t="s">
        <v>186</v>
      </c>
      <c r="N1407" t="s">
        <v>11</v>
      </c>
      <c r="O1407">
        <v>11.8142</v>
      </c>
      <c r="P1407" s="12">
        <f>ROUND(O1407*L1407,2)</f>
        <v>509593.7</v>
      </c>
      <c r="Q1407" s="13">
        <f>IF(N1407="HKD",7.8,IF(N1407="CNY",7.30034,1))</f>
        <v>7.3003400000000003</v>
      </c>
      <c r="R1407" s="15">
        <f>+ROUND(O1407/Q1407,4)</f>
        <v>1.6183000000000001</v>
      </c>
      <c r="S1407" s="14">
        <f>ROUND(R1407*L1407,2)</f>
        <v>69803.75</v>
      </c>
      <c r="T1407" s="15" t="s">
        <v>349</v>
      </c>
      <c r="U1407" t="s">
        <v>33</v>
      </c>
    </row>
    <row r="1408" spans="1:21" x14ac:dyDescent="0.2">
      <c r="A1408" t="s">
        <v>2695</v>
      </c>
      <c r="B1408" s="24">
        <v>45734</v>
      </c>
      <c r="C1408" s="24">
        <v>45728</v>
      </c>
      <c r="D1408" t="s">
        <v>2259</v>
      </c>
      <c r="E1408" t="s">
        <v>2260</v>
      </c>
      <c r="G1408" t="s">
        <v>3034</v>
      </c>
      <c r="H1408" t="s">
        <v>1810</v>
      </c>
      <c r="I1408" t="s">
        <v>1811</v>
      </c>
      <c r="J1408" s="11" t="str">
        <f>+LEFT(U1408,4)</f>
        <v>SSM-</v>
      </c>
      <c r="K1408" t="s">
        <v>10</v>
      </c>
      <c r="L1408">
        <v>33398</v>
      </c>
      <c r="M1408" t="s">
        <v>186</v>
      </c>
      <c r="N1408" t="s">
        <v>11</v>
      </c>
      <c r="O1408">
        <v>12.3009</v>
      </c>
      <c r="P1408" s="12">
        <f>ROUND(O1408*L1408,2)</f>
        <v>410825.46</v>
      </c>
      <c r="Q1408" s="13">
        <f>IF(N1408="HKD",7.8,IF(N1408="CNY",7.30034,1))</f>
        <v>7.3003400000000003</v>
      </c>
      <c r="R1408" s="15">
        <f>+ROUND(O1408/Q1408,4)</f>
        <v>1.6850000000000001</v>
      </c>
      <c r="S1408" s="14">
        <f>ROUND(R1408*L1408,2)</f>
        <v>56275.63</v>
      </c>
      <c r="T1408" s="15" t="s">
        <v>349</v>
      </c>
      <c r="U1408" t="s">
        <v>33</v>
      </c>
    </row>
    <row r="1409" spans="1:21" x14ac:dyDescent="0.2">
      <c r="A1409" t="s">
        <v>2291</v>
      </c>
      <c r="B1409" s="24">
        <v>45721</v>
      </c>
      <c r="C1409" s="24">
        <v>45636</v>
      </c>
      <c r="D1409" t="s">
        <v>143</v>
      </c>
      <c r="E1409" t="s">
        <v>144</v>
      </c>
      <c r="G1409" t="s">
        <v>2859</v>
      </c>
      <c r="H1409" t="s">
        <v>3065</v>
      </c>
      <c r="I1409" t="s">
        <v>3281</v>
      </c>
      <c r="J1409" s="11" t="str">
        <f>+LEFT(U1409,4)</f>
        <v>HDL-</v>
      </c>
      <c r="K1409" t="s">
        <v>10</v>
      </c>
      <c r="L1409">
        <v>670</v>
      </c>
      <c r="M1409" t="s">
        <v>1472</v>
      </c>
      <c r="N1409" t="s">
        <v>11</v>
      </c>
      <c r="O1409">
        <v>15.564299999999999</v>
      </c>
      <c r="P1409" s="12">
        <f>ROUND(O1409*L1409,2)</f>
        <v>10428.08</v>
      </c>
      <c r="Q1409" s="13">
        <f>IF(N1409="HKD",7.8,IF(N1409="CNY",7.30034,1))</f>
        <v>7.3003400000000003</v>
      </c>
      <c r="R1409" s="15">
        <f>+ROUND(O1409/Q1409,4)</f>
        <v>2.1320000000000001</v>
      </c>
      <c r="S1409" s="14">
        <f>ROUND(R1409*L1409,2)</f>
        <v>1428.44</v>
      </c>
      <c r="T1409" s="15" t="s">
        <v>349</v>
      </c>
      <c r="U1409" t="s">
        <v>228</v>
      </c>
    </row>
    <row r="1410" spans="1:21" x14ac:dyDescent="0.2">
      <c r="A1410" t="s">
        <v>2292</v>
      </c>
      <c r="B1410" s="24">
        <v>45721</v>
      </c>
      <c r="C1410" s="24">
        <v>45636</v>
      </c>
      <c r="D1410" t="s">
        <v>143</v>
      </c>
      <c r="E1410" t="s">
        <v>144</v>
      </c>
      <c r="G1410" t="s">
        <v>2859</v>
      </c>
      <c r="H1410" t="s">
        <v>3066</v>
      </c>
      <c r="I1410" t="s">
        <v>3282</v>
      </c>
      <c r="J1410" s="11" t="str">
        <f>+LEFT(U1410,4)</f>
        <v>HDL-</v>
      </c>
      <c r="K1410" t="s">
        <v>10</v>
      </c>
      <c r="L1410">
        <v>540</v>
      </c>
      <c r="M1410" t="s">
        <v>1472</v>
      </c>
      <c r="N1410" t="s">
        <v>11</v>
      </c>
      <c r="O1410">
        <v>15.564299999999999</v>
      </c>
      <c r="P1410" s="12">
        <f>ROUND(O1410*L1410,2)</f>
        <v>8404.7199999999993</v>
      </c>
      <c r="Q1410" s="13">
        <f>IF(N1410="HKD",7.8,IF(N1410="CNY",7.30034,1))</f>
        <v>7.3003400000000003</v>
      </c>
      <c r="R1410" s="15">
        <f>+ROUND(O1410/Q1410,4)</f>
        <v>2.1320000000000001</v>
      </c>
      <c r="S1410" s="14">
        <f>ROUND(R1410*L1410,2)</f>
        <v>1151.28</v>
      </c>
      <c r="T1410" s="15" t="s">
        <v>349</v>
      </c>
      <c r="U1410" t="s">
        <v>228</v>
      </c>
    </row>
    <row r="1411" spans="1:21" x14ac:dyDescent="0.2">
      <c r="A1411" t="s">
        <v>2291</v>
      </c>
      <c r="B1411" s="24">
        <v>45723</v>
      </c>
      <c r="C1411" s="24">
        <v>45636</v>
      </c>
      <c r="D1411" t="s">
        <v>143</v>
      </c>
      <c r="E1411" t="s">
        <v>144</v>
      </c>
      <c r="G1411" t="s">
        <v>2858</v>
      </c>
      <c r="H1411" t="s">
        <v>3065</v>
      </c>
      <c r="I1411" t="s">
        <v>3281</v>
      </c>
      <c r="J1411" s="11" t="str">
        <f>+LEFT(U1411,4)</f>
        <v>HDL-</v>
      </c>
      <c r="K1411" t="s">
        <v>10</v>
      </c>
      <c r="L1411">
        <v>370</v>
      </c>
      <c r="M1411" t="s">
        <v>1472</v>
      </c>
      <c r="N1411" t="s">
        <v>11</v>
      </c>
      <c r="O1411">
        <v>15.564299999999999</v>
      </c>
      <c r="P1411" s="12">
        <f>ROUND(O1411*L1411,2)</f>
        <v>5758.79</v>
      </c>
      <c r="Q1411" s="13">
        <f>IF(N1411="HKD",7.8,IF(N1411="CNY",7.30034,1))</f>
        <v>7.3003400000000003</v>
      </c>
      <c r="R1411" s="15">
        <f>+ROUND(O1411/Q1411,4)</f>
        <v>2.1320000000000001</v>
      </c>
      <c r="S1411" s="14">
        <f>ROUND(R1411*L1411,2)</f>
        <v>788.84</v>
      </c>
      <c r="T1411" s="15" t="s">
        <v>349</v>
      </c>
      <c r="U1411" t="s">
        <v>228</v>
      </c>
    </row>
    <row r="1412" spans="1:21" x14ac:dyDescent="0.2">
      <c r="A1412" t="s">
        <v>2292</v>
      </c>
      <c r="B1412" s="24">
        <v>45723</v>
      </c>
      <c r="C1412" s="24">
        <v>45636</v>
      </c>
      <c r="D1412" t="s">
        <v>143</v>
      </c>
      <c r="E1412" t="s">
        <v>144</v>
      </c>
      <c r="G1412" t="s">
        <v>2858</v>
      </c>
      <c r="H1412" t="s">
        <v>3066</v>
      </c>
      <c r="I1412" t="s">
        <v>3282</v>
      </c>
      <c r="J1412" s="11" t="str">
        <f>+LEFT(U1412,4)</f>
        <v>HDL-</v>
      </c>
      <c r="K1412" t="s">
        <v>10</v>
      </c>
      <c r="L1412">
        <v>500</v>
      </c>
      <c r="M1412" t="s">
        <v>1472</v>
      </c>
      <c r="N1412" t="s">
        <v>11</v>
      </c>
      <c r="O1412">
        <v>15.564299999999999</v>
      </c>
      <c r="P1412" s="12">
        <f>ROUND(O1412*L1412,2)</f>
        <v>7782.15</v>
      </c>
      <c r="Q1412" s="13">
        <f>IF(N1412="HKD",7.8,IF(N1412="CNY",7.30034,1))</f>
        <v>7.3003400000000003</v>
      </c>
      <c r="R1412" s="15">
        <f>+ROUND(O1412/Q1412,4)</f>
        <v>2.1320000000000001</v>
      </c>
      <c r="S1412" s="14">
        <f>ROUND(R1412*L1412,2)</f>
        <v>1066</v>
      </c>
      <c r="T1412" s="15" t="s">
        <v>349</v>
      </c>
      <c r="U1412" t="s">
        <v>228</v>
      </c>
    </row>
    <row r="1413" spans="1:21" x14ac:dyDescent="0.2">
      <c r="A1413" t="s">
        <v>2339</v>
      </c>
      <c r="B1413" s="24">
        <v>45722</v>
      </c>
      <c r="C1413" s="24">
        <v>45674</v>
      </c>
      <c r="D1413" t="s">
        <v>806</v>
      </c>
      <c r="E1413" t="s">
        <v>807</v>
      </c>
      <c r="G1413" t="s">
        <v>2896</v>
      </c>
      <c r="H1413" t="s">
        <v>3087</v>
      </c>
      <c r="I1413" t="s">
        <v>3303</v>
      </c>
      <c r="J1413" s="11" t="str">
        <f>+LEFT(U1413,4)</f>
        <v>SWF-</v>
      </c>
      <c r="K1413" t="s">
        <v>10</v>
      </c>
      <c r="L1413">
        <v>294.3</v>
      </c>
      <c r="M1413" t="s">
        <v>186</v>
      </c>
      <c r="N1413" t="s">
        <v>11</v>
      </c>
      <c r="O1413">
        <v>16</v>
      </c>
      <c r="P1413" s="12">
        <f>ROUND(O1413*L1413,2)</f>
        <v>4708.8</v>
      </c>
      <c r="Q1413" s="13">
        <f>IF(N1413="HKD",7.8,IF(N1413="CNY",7.30034,1))</f>
        <v>7.3003400000000003</v>
      </c>
      <c r="R1413" s="15">
        <f>+ROUND(O1413/Q1413,4)</f>
        <v>2.1917</v>
      </c>
      <c r="S1413" s="14">
        <f>ROUND(R1413*L1413,2)</f>
        <v>645.02</v>
      </c>
      <c r="T1413" s="15" t="s">
        <v>349</v>
      </c>
      <c r="U1413" t="s">
        <v>3483</v>
      </c>
    </row>
    <row r="1414" spans="1:21" x14ac:dyDescent="0.2">
      <c r="A1414" t="s">
        <v>2339</v>
      </c>
      <c r="B1414" s="24">
        <v>45723</v>
      </c>
      <c r="C1414" s="24">
        <v>45674</v>
      </c>
      <c r="D1414" t="s">
        <v>806</v>
      </c>
      <c r="E1414" t="s">
        <v>807</v>
      </c>
      <c r="G1414" t="s">
        <v>2896</v>
      </c>
      <c r="H1414" t="s">
        <v>3087</v>
      </c>
      <c r="I1414" t="s">
        <v>3303</v>
      </c>
      <c r="J1414" s="11" t="str">
        <f>+LEFT(U1414,4)</f>
        <v>SWF-</v>
      </c>
      <c r="K1414" t="s">
        <v>10</v>
      </c>
      <c r="L1414">
        <v>18.7</v>
      </c>
      <c r="M1414" t="s">
        <v>186</v>
      </c>
      <c r="N1414" t="s">
        <v>11</v>
      </c>
      <c r="O1414">
        <v>16</v>
      </c>
      <c r="P1414" s="12">
        <f>ROUND(O1414*L1414,2)</f>
        <v>299.2</v>
      </c>
      <c r="Q1414" s="13">
        <f>IF(N1414="HKD",7.8,IF(N1414="CNY",7.30034,1))</f>
        <v>7.3003400000000003</v>
      </c>
      <c r="R1414" s="15">
        <f>+ROUND(O1414/Q1414,4)</f>
        <v>2.1917</v>
      </c>
      <c r="S1414" s="14">
        <f>ROUND(R1414*L1414,2)</f>
        <v>40.98</v>
      </c>
      <c r="T1414" s="15" t="s">
        <v>349</v>
      </c>
      <c r="U1414" t="s">
        <v>3483</v>
      </c>
    </row>
    <row r="1415" spans="1:21" x14ac:dyDescent="0.2">
      <c r="A1415" t="s">
        <v>2656</v>
      </c>
      <c r="B1415" s="24">
        <v>45740</v>
      </c>
      <c r="C1415" s="24">
        <v>45723</v>
      </c>
      <c r="D1415" t="s">
        <v>806</v>
      </c>
      <c r="E1415" t="s">
        <v>807</v>
      </c>
      <c r="G1415" t="s">
        <v>3024</v>
      </c>
      <c r="H1415" t="s">
        <v>3212</v>
      </c>
      <c r="I1415" t="s">
        <v>3419</v>
      </c>
      <c r="J1415" s="11" t="str">
        <f>+LEFT(U1415,4)</f>
        <v>SWF-</v>
      </c>
      <c r="K1415" t="s">
        <v>10</v>
      </c>
      <c r="L1415">
        <v>98.7</v>
      </c>
      <c r="M1415" t="s">
        <v>186</v>
      </c>
      <c r="N1415" t="s">
        <v>11</v>
      </c>
      <c r="O1415">
        <v>16</v>
      </c>
      <c r="P1415" s="12">
        <f>ROUND(O1415*L1415,2)</f>
        <v>1579.2</v>
      </c>
      <c r="Q1415" s="13">
        <f>IF(N1415="HKD",7.8,IF(N1415="CNY",7.30034,1))</f>
        <v>7.3003400000000003</v>
      </c>
      <c r="R1415" s="15">
        <f>+ROUND(O1415/Q1415,4)</f>
        <v>2.1917</v>
      </c>
      <c r="S1415" s="14">
        <f>ROUND(R1415*L1415,2)</f>
        <v>216.32</v>
      </c>
      <c r="T1415" s="15" t="s">
        <v>349</v>
      </c>
      <c r="U1415" t="s">
        <v>3483</v>
      </c>
    </row>
    <row r="1416" spans="1:21" x14ac:dyDescent="0.2">
      <c r="A1416" t="s">
        <v>1914</v>
      </c>
      <c r="B1416" s="24">
        <v>45713</v>
      </c>
      <c r="C1416" s="24">
        <v>45653</v>
      </c>
      <c r="D1416" t="s">
        <v>709</v>
      </c>
      <c r="E1416" t="s">
        <v>710</v>
      </c>
      <c r="G1416" t="s">
        <v>2166</v>
      </c>
      <c r="H1416" s="19" t="s">
        <v>1645</v>
      </c>
      <c r="I1416" s="19" t="s">
        <v>1646</v>
      </c>
      <c r="J1416" s="11" t="str">
        <f>+LEFT(U1416,4)</f>
        <v>T&amp;G-</v>
      </c>
      <c r="K1416" t="s">
        <v>10</v>
      </c>
      <c r="L1416" s="19">
        <v>20000</v>
      </c>
      <c r="M1416" t="s">
        <v>1472</v>
      </c>
      <c r="N1416" t="s">
        <v>11</v>
      </c>
      <c r="O1416" s="26">
        <v>1.0768</v>
      </c>
      <c r="P1416" s="12">
        <f>ROUND(O1416*L1416,2)</f>
        <v>21536</v>
      </c>
      <c r="Q1416" s="13">
        <f>IF(N1416="HKD",7.8,IF(N1416="CNY",7.30034,1))</f>
        <v>7.3003400000000003</v>
      </c>
      <c r="R1416" s="15">
        <f>+ROUND(O1416/Q1416,4)</f>
        <v>0.14749999999999999</v>
      </c>
      <c r="S1416" s="14">
        <f>ROUND(R1416*L1416,2)</f>
        <v>2950</v>
      </c>
      <c r="T1416" s="15" t="s">
        <v>349</v>
      </c>
      <c r="U1416" t="s">
        <v>2245</v>
      </c>
    </row>
    <row r="1417" spans="1:21" x14ac:dyDescent="0.2">
      <c r="A1417" t="s">
        <v>2769</v>
      </c>
      <c r="B1417" s="24">
        <v>45740</v>
      </c>
      <c r="C1417" s="24">
        <v>45730</v>
      </c>
      <c r="D1417" t="s">
        <v>806</v>
      </c>
      <c r="E1417" t="s">
        <v>807</v>
      </c>
      <c r="G1417" t="s">
        <v>3024</v>
      </c>
      <c r="H1417" t="s">
        <v>3087</v>
      </c>
      <c r="I1417" t="s">
        <v>3303</v>
      </c>
      <c r="J1417" s="11" t="str">
        <f>+LEFT(U1417,4)</f>
        <v>SWF-</v>
      </c>
      <c r="K1417" t="s">
        <v>10</v>
      </c>
      <c r="L1417">
        <v>100</v>
      </c>
      <c r="M1417" t="s">
        <v>186</v>
      </c>
      <c r="N1417" t="s">
        <v>11</v>
      </c>
      <c r="O1417">
        <v>16</v>
      </c>
      <c r="P1417" s="12">
        <f>ROUND(O1417*L1417,2)</f>
        <v>1600</v>
      </c>
      <c r="Q1417" s="13">
        <f>IF(N1417="HKD",7.8,IF(N1417="CNY",7.30034,1))</f>
        <v>7.3003400000000003</v>
      </c>
      <c r="R1417" s="15">
        <f>+ROUND(O1417/Q1417,4)</f>
        <v>2.1917</v>
      </c>
      <c r="S1417" s="14">
        <f>ROUND(R1417*L1417,2)</f>
        <v>219.17</v>
      </c>
      <c r="T1417" s="15" t="s">
        <v>349</v>
      </c>
      <c r="U1417" t="s">
        <v>3483</v>
      </c>
    </row>
    <row r="1418" spans="1:21" x14ac:dyDescent="0.2">
      <c r="A1418" t="s">
        <v>2769</v>
      </c>
      <c r="B1418" s="24">
        <v>45741</v>
      </c>
      <c r="C1418" s="24">
        <v>45730</v>
      </c>
      <c r="D1418" t="s">
        <v>806</v>
      </c>
      <c r="E1418" t="s">
        <v>807</v>
      </c>
      <c r="G1418" t="s">
        <v>3024</v>
      </c>
      <c r="H1418" t="s">
        <v>3087</v>
      </c>
      <c r="I1418" t="s">
        <v>3303</v>
      </c>
      <c r="J1418" s="11" t="str">
        <f>+LEFT(U1418,4)</f>
        <v>SWF-</v>
      </c>
      <c r="K1418" t="s">
        <v>10</v>
      </c>
      <c r="L1418">
        <v>16.5</v>
      </c>
      <c r="M1418" t="s">
        <v>186</v>
      </c>
      <c r="N1418" t="s">
        <v>11</v>
      </c>
      <c r="O1418">
        <v>16</v>
      </c>
      <c r="P1418" s="12">
        <f>ROUND(O1418*L1418,2)</f>
        <v>264</v>
      </c>
      <c r="Q1418" s="13">
        <f>IF(N1418="HKD",7.8,IF(N1418="CNY",7.30034,1))</f>
        <v>7.3003400000000003</v>
      </c>
      <c r="R1418" s="15">
        <f>+ROUND(O1418/Q1418,4)</f>
        <v>2.1917</v>
      </c>
      <c r="S1418" s="14">
        <f>ROUND(R1418*L1418,2)</f>
        <v>36.159999999999997</v>
      </c>
      <c r="T1418" s="15" t="s">
        <v>349</v>
      </c>
      <c r="U1418" t="s">
        <v>3483</v>
      </c>
    </row>
    <row r="1419" spans="1:21" x14ac:dyDescent="0.2">
      <c r="A1419" t="s">
        <v>2483</v>
      </c>
      <c r="B1419" s="24">
        <v>45729</v>
      </c>
      <c r="C1419" s="24">
        <v>45712</v>
      </c>
      <c r="D1419" t="s">
        <v>898</v>
      </c>
      <c r="E1419" t="s">
        <v>899</v>
      </c>
      <c r="G1419" t="s">
        <v>2949</v>
      </c>
      <c r="H1419" t="s">
        <v>896</v>
      </c>
      <c r="I1419" t="s">
        <v>897</v>
      </c>
      <c r="J1419" s="11" t="str">
        <f>+LEFT(U1419,4)</f>
        <v>GLID</v>
      </c>
      <c r="K1419" t="s">
        <v>10</v>
      </c>
      <c r="L1419">
        <v>2050</v>
      </c>
      <c r="M1419" t="s">
        <v>1472</v>
      </c>
      <c r="N1419" t="s">
        <v>11</v>
      </c>
      <c r="O1419">
        <v>16.5</v>
      </c>
      <c r="P1419" s="12">
        <f>ROUND(O1419*L1419,2)</f>
        <v>33825</v>
      </c>
      <c r="Q1419" s="13">
        <f>IF(N1419="HKD",7.8,IF(N1419="CNY",7.30034,1))</f>
        <v>7.3003400000000003</v>
      </c>
      <c r="R1419" s="15">
        <f>+ROUND(O1419/Q1419,4)</f>
        <v>2.2602000000000002</v>
      </c>
      <c r="S1419" s="14">
        <f>ROUND(R1419*L1419,2)</f>
        <v>4633.41</v>
      </c>
      <c r="T1419" s="15" t="s">
        <v>349</v>
      </c>
      <c r="U1419" t="s">
        <v>78</v>
      </c>
    </row>
    <row r="1420" spans="1:21" x14ac:dyDescent="0.2">
      <c r="A1420" t="s">
        <v>2767</v>
      </c>
      <c r="B1420" s="24">
        <v>45740</v>
      </c>
      <c r="C1420" s="24">
        <v>45730</v>
      </c>
      <c r="D1420" t="s">
        <v>806</v>
      </c>
      <c r="E1420" t="s">
        <v>807</v>
      </c>
      <c r="G1420" t="s">
        <v>3024</v>
      </c>
      <c r="H1420" t="s">
        <v>3254</v>
      </c>
      <c r="I1420" t="s">
        <v>3461</v>
      </c>
      <c r="J1420" s="11" t="str">
        <f>+LEFT(U1420,4)</f>
        <v>SWF-</v>
      </c>
      <c r="K1420" t="s">
        <v>10</v>
      </c>
      <c r="L1420">
        <v>100</v>
      </c>
      <c r="M1420" t="s">
        <v>186</v>
      </c>
      <c r="N1420" t="s">
        <v>11</v>
      </c>
      <c r="O1420">
        <v>17.2</v>
      </c>
      <c r="P1420" s="12">
        <f>ROUND(O1420*L1420,2)</f>
        <v>1720</v>
      </c>
      <c r="Q1420" s="13">
        <f>IF(N1420="HKD",7.8,IF(N1420="CNY",7.30034,1))</f>
        <v>7.3003400000000003</v>
      </c>
      <c r="R1420" s="15">
        <f>+ROUND(O1420/Q1420,4)</f>
        <v>2.3561000000000001</v>
      </c>
      <c r="S1420" s="14">
        <f>ROUND(R1420*L1420,2)</f>
        <v>235.61</v>
      </c>
      <c r="T1420" s="15" t="s">
        <v>349</v>
      </c>
      <c r="U1420" t="s">
        <v>3483</v>
      </c>
    </row>
    <row r="1421" spans="1:21" x14ac:dyDescent="0.2">
      <c r="A1421" t="s">
        <v>2768</v>
      </c>
      <c r="B1421" s="24">
        <v>45740</v>
      </c>
      <c r="C1421" s="24">
        <v>45730</v>
      </c>
      <c r="D1421" t="s">
        <v>806</v>
      </c>
      <c r="E1421" t="s">
        <v>807</v>
      </c>
      <c r="G1421" t="s">
        <v>3024</v>
      </c>
      <c r="H1421" t="s">
        <v>3255</v>
      </c>
      <c r="I1421" t="s">
        <v>3462</v>
      </c>
      <c r="J1421" s="11" t="str">
        <f>+LEFT(U1421,4)</f>
        <v>SWF-</v>
      </c>
      <c r="K1421" t="s">
        <v>10</v>
      </c>
      <c r="L1421">
        <v>100</v>
      </c>
      <c r="M1421" t="s">
        <v>186</v>
      </c>
      <c r="N1421" t="s">
        <v>11</v>
      </c>
      <c r="O1421">
        <v>17.2</v>
      </c>
      <c r="P1421" s="12">
        <f>ROUND(O1421*L1421,2)</f>
        <v>1720</v>
      </c>
      <c r="Q1421" s="13">
        <f>IF(N1421="HKD",7.8,IF(N1421="CNY",7.30034,1))</f>
        <v>7.3003400000000003</v>
      </c>
      <c r="R1421" s="15">
        <f>+ROUND(O1421/Q1421,4)</f>
        <v>2.3561000000000001</v>
      </c>
      <c r="S1421" s="14">
        <f>ROUND(R1421*L1421,2)</f>
        <v>235.61</v>
      </c>
      <c r="T1421" s="15" t="s">
        <v>349</v>
      </c>
      <c r="U1421" t="s">
        <v>3483</v>
      </c>
    </row>
    <row r="1422" spans="1:21" x14ac:dyDescent="0.2">
      <c r="A1422" t="s">
        <v>2767</v>
      </c>
      <c r="B1422" s="24">
        <v>45741</v>
      </c>
      <c r="C1422" s="24">
        <v>45730</v>
      </c>
      <c r="D1422" t="s">
        <v>806</v>
      </c>
      <c r="E1422" t="s">
        <v>807</v>
      </c>
      <c r="G1422" t="s">
        <v>3024</v>
      </c>
      <c r="H1422" t="s">
        <v>3254</v>
      </c>
      <c r="I1422" t="s">
        <v>3461</v>
      </c>
      <c r="J1422" s="11" t="str">
        <f>+LEFT(U1422,4)</f>
        <v>SWF-</v>
      </c>
      <c r="K1422" t="s">
        <v>10</v>
      </c>
      <c r="L1422">
        <v>11</v>
      </c>
      <c r="M1422" t="s">
        <v>186</v>
      </c>
      <c r="N1422" t="s">
        <v>11</v>
      </c>
      <c r="O1422">
        <v>17.2</v>
      </c>
      <c r="P1422" s="12">
        <f>ROUND(O1422*L1422,2)</f>
        <v>189.2</v>
      </c>
      <c r="Q1422" s="13">
        <f>IF(N1422="HKD",7.8,IF(N1422="CNY",7.30034,1))</f>
        <v>7.3003400000000003</v>
      </c>
      <c r="R1422" s="15">
        <f>+ROUND(O1422/Q1422,4)</f>
        <v>2.3561000000000001</v>
      </c>
      <c r="S1422" s="14">
        <f>ROUND(R1422*L1422,2)</f>
        <v>25.92</v>
      </c>
      <c r="T1422" s="15" t="s">
        <v>349</v>
      </c>
      <c r="U1422" t="s">
        <v>3483</v>
      </c>
    </row>
    <row r="1423" spans="1:21" x14ac:dyDescent="0.2">
      <c r="A1423" s="19" t="s">
        <v>1113</v>
      </c>
      <c r="B1423" s="20">
        <v>45663</v>
      </c>
      <c r="C1423" s="20">
        <v>45643</v>
      </c>
      <c r="D1423" s="19" t="s">
        <v>169</v>
      </c>
      <c r="E1423" s="19" t="s">
        <v>170</v>
      </c>
      <c r="G1423" s="19" t="s">
        <v>1107</v>
      </c>
      <c r="H1423" s="19" t="s">
        <v>1111</v>
      </c>
      <c r="I1423" s="19" t="s">
        <v>1112</v>
      </c>
      <c r="J1423" s="11" t="str">
        <f>+LEFT(U1423,4)</f>
        <v>U&amp;C-</v>
      </c>
      <c r="K1423" s="19" t="s">
        <v>10</v>
      </c>
      <c r="L1423" s="19">
        <v>7100</v>
      </c>
      <c r="M1423" s="19" t="s">
        <v>1472</v>
      </c>
      <c r="N1423" s="19" t="s">
        <v>11</v>
      </c>
      <c r="O1423" s="26">
        <v>0.252</v>
      </c>
      <c r="P1423" s="12">
        <f>ROUND(O1423*L1423,2)</f>
        <v>1789.2</v>
      </c>
      <c r="Q1423" s="13">
        <f>IF(N1423="HKD",7.8,IF(N1423="CNY",7.30034,1))</f>
        <v>7.3003400000000003</v>
      </c>
      <c r="R1423" s="15">
        <f>+ROUND(O1423/Q1423,4)</f>
        <v>3.4500000000000003E-2</v>
      </c>
      <c r="S1423" s="14">
        <f>ROUND(R1423*L1423,2)</f>
        <v>244.95</v>
      </c>
      <c r="T1423" s="15" t="s">
        <v>349</v>
      </c>
      <c r="U1423" s="19" t="s">
        <v>177</v>
      </c>
    </row>
    <row r="1424" spans="1:21" x14ac:dyDescent="0.2">
      <c r="A1424" s="19" t="s">
        <v>1116</v>
      </c>
      <c r="B1424" s="20">
        <v>45663</v>
      </c>
      <c r="C1424" s="20">
        <v>45643</v>
      </c>
      <c r="D1424" s="19" t="s">
        <v>169</v>
      </c>
      <c r="E1424" s="19" t="s">
        <v>170</v>
      </c>
      <c r="G1424" s="19" t="s">
        <v>1107</v>
      </c>
      <c r="H1424" s="19" t="s">
        <v>1114</v>
      </c>
      <c r="I1424" s="19" t="s">
        <v>1115</v>
      </c>
      <c r="J1424" s="11" t="str">
        <f>+LEFT(U1424,4)</f>
        <v>U&amp;C-</v>
      </c>
      <c r="K1424" s="19" t="s">
        <v>10</v>
      </c>
      <c r="L1424" s="19">
        <v>2020</v>
      </c>
      <c r="M1424" s="19" t="s">
        <v>1472</v>
      </c>
      <c r="N1424" s="19" t="s">
        <v>11</v>
      </c>
      <c r="O1424" s="26">
        <v>0.26700000000000002</v>
      </c>
      <c r="P1424" s="12">
        <f>ROUND(O1424*L1424,2)</f>
        <v>539.34</v>
      </c>
      <c r="Q1424" s="13">
        <f>IF(N1424="HKD",7.8,IF(N1424="CNY",7.30034,1))</f>
        <v>7.3003400000000003</v>
      </c>
      <c r="R1424" s="15">
        <f>+ROUND(O1424/Q1424,4)</f>
        <v>3.6600000000000001E-2</v>
      </c>
      <c r="S1424" s="14">
        <f>ROUND(R1424*L1424,2)</f>
        <v>73.930000000000007</v>
      </c>
      <c r="T1424" s="15" t="s">
        <v>349</v>
      </c>
      <c r="U1424" s="19" t="s">
        <v>177</v>
      </c>
    </row>
    <row r="1425" spans="1:21" x14ac:dyDescent="0.2">
      <c r="A1425" s="19" t="s">
        <v>1110</v>
      </c>
      <c r="B1425" s="20">
        <v>45663</v>
      </c>
      <c r="C1425" s="20">
        <v>45643</v>
      </c>
      <c r="D1425" s="19" t="s">
        <v>169</v>
      </c>
      <c r="E1425" s="19" t="s">
        <v>170</v>
      </c>
      <c r="G1425" s="19" t="s">
        <v>1107</v>
      </c>
      <c r="H1425" s="19" t="s">
        <v>1108</v>
      </c>
      <c r="I1425" s="19" t="s">
        <v>1109</v>
      </c>
      <c r="J1425" s="11" t="str">
        <f>+LEFT(U1425,4)</f>
        <v>U&amp;C-</v>
      </c>
      <c r="K1425" s="19" t="s">
        <v>10</v>
      </c>
      <c r="L1425" s="19">
        <v>1010</v>
      </c>
      <c r="M1425" s="19" t="s">
        <v>1472</v>
      </c>
      <c r="N1425" s="19" t="s">
        <v>11</v>
      </c>
      <c r="O1425" s="26">
        <v>0.26700000000000002</v>
      </c>
      <c r="P1425" s="12">
        <f>ROUND(O1425*L1425,2)</f>
        <v>269.67</v>
      </c>
      <c r="Q1425" s="13">
        <f>IF(N1425="HKD",7.8,IF(N1425="CNY",7.30034,1))</f>
        <v>7.3003400000000003</v>
      </c>
      <c r="R1425" s="15">
        <f>+ROUND(O1425/Q1425,4)</f>
        <v>3.6600000000000001E-2</v>
      </c>
      <c r="S1425" s="14">
        <f>ROUND(R1425*L1425,2)</f>
        <v>36.97</v>
      </c>
      <c r="T1425" s="15" t="s">
        <v>349</v>
      </c>
      <c r="U1425" s="19" t="s">
        <v>177</v>
      </c>
    </row>
    <row r="1426" spans="1:21" x14ac:dyDescent="0.2">
      <c r="A1426" s="19" t="s">
        <v>1119</v>
      </c>
      <c r="B1426" s="20">
        <v>45663</v>
      </c>
      <c r="C1426" s="20">
        <v>45643</v>
      </c>
      <c r="D1426" s="19" t="s">
        <v>169</v>
      </c>
      <c r="E1426" s="19" t="s">
        <v>170</v>
      </c>
      <c r="G1426" s="19" t="s">
        <v>1107</v>
      </c>
      <c r="H1426" s="19" t="s">
        <v>1117</v>
      </c>
      <c r="I1426" s="19" t="s">
        <v>1118</v>
      </c>
      <c r="J1426" s="11" t="str">
        <f>+LEFT(U1426,4)</f>
        <v>U&amp;C-</v>
      </c>
      <c r="K1426" s="19" t="s">
        <v>10</v>
      </c>
      <c r="L1426" s="19">
        <v>2020</v>
      </c>
      <c r="M1426" s="19" t="s">
        <v>1472</v>
      </c>
      <c r="N1426" s="19" t="s">
        <v>11</v>
      </c>
      <c r="O1426" s="26">
        <v>0.28499999999999998</v>
      </c>
      <c r="P1426" s="12">
        <f>ROUND(O1426*L1426,2)</f>
        <v>575.70000000000005</v>
      </c>
      <c r="Q1426" s="13">
        <f>IF(N1426="HKD",7.8,IF(N1426="CNY",7.30034,1))</f>
        <v>7.3003400000000003</v>
      </c>
      <c r="R1426" s="15">
        <f>+ROUND(O1426/Q1426,4)</f>
        <v>3.9E-2</v>
      </c>
      <c r="S1426" s="14">
        <f>ROUND(R1426*L1426,2)</f>
        <v>78.78</v>
      </c>
      <c r="T1426" s="15" t="s">
        <v>349</v>
      </c>
      <c r="U1426" s="19" t="s">
        <v>177</v>
      </c>
    </row>
    <row r="1427" spans="1:21" x14ac:dyDescent="0.2">
      <c r="A1427" s="19" t="s">
        <v>1128</v>
      </c>
      <c r="B1427" s="20">
        <v>45663</v>
      </c>
      <c r="C1427" s="20">
        <v>45622</v>
      </c>
      <c r="D1427" s="19" t="s">
        <v>169</v>
      </c>
      <c r="E1427" s="19" t="s">
        <v>170</v>
      </c>
      <c r="G1427" s="19" t="s">
        <v>1122</v>
      </c>
      <c r="H1427" s="19" t="s">
        <v>1127</v>
      </c>
      <c r="I1427" s="19" t="s">
        <v>647</v>
      </c>
      <c r="J1427" s="11" t="str">
        <f>+LEFT(U1427,4)</f>
        <v>U&amp;C-</v>
      </c>
      <c r="K1427" s="19" t="s">
        <v>10</v>
      </c>
      <c r="L1427" s="19">
        <v>3020</v>
      </c>
      <c r="M1427" s="19" t="s">
        <v>1472</v>
      </c>
      <c r="N1427" s="19" t="s">
        <v>11</v>
      </c>
      <c r="O1427" s="26">
        <v>0.7</v>
      </c>
      <c r="P1427" s="12">
        <f>ROUND(O1427*L1427,2)</f>
        <v>2114</v>
      </c>
      <c r="Q1427" s="13">
        <f>IF(N1427="HKD",7.8,IF(N1427="CNY",7.30034,1))</f>
        <v>7.3003400000000003</v>
      </c>
      <c r="R1427" s="15">
        <f>+ROUND(O1427/Q1427,4)</f>
        <v>9.5899999999999999E-2</v>
      </c>
      <c r="S1427" s="14">
        <f>ROUND(R1427*L1427,2)</f>
        <v>289.62</v>
      </c>
      <c r="T1427" s="15" t="s">
        <v>349</v>
      </c>
      <c r="U1427" s="19" t="s">
        <v>177</v>
      </c>
    </row>
    <row r="1428" spans="1:21" x14ac:dyDescent="0.2">
      <c r="A1428" s="19" t="s">
        <v>1139</v>
      </c>
      <c r="B1428" s="20">
        <v>45663</v>
      </c>
      <c r="C1428" s="20">
        <v>45643</v>
      </c>
      <c r="D1428" s="19" t="s">
        <v>169</v>
      </c>
      <c r="E1428" s="19" t="s">
        <v>170</v>
      </c>
      <c r="G1428" s="19" t="s">
        <v>1140</v>
      </c>
      <c r="H1428" s="19" t="s">
        <v>1127</v>
      </c>
      <c r="I1428" s="19" t="s">
        <v>647</v>
      </c>
      <c r="J1428" s="11" t="str">
        <f>+LEFT(U1428,4)</f>
        <v>U&amp;C-</v>
      </c>
      <c r="K1428" s="19" t="s">
        <v>10</v>
      </c>
      <c r="L1428" s="19">
        <v>4000</v>
      </c>
      <c r="M1428" s="19" t="s">
        <v>1472</v>
      </c>
      <c r="N1428" s="19" t="s">
        <v>11</v>
      </c>
      <c r="O1428" s="26">
        <v>0.7</v>
      </c>
      <c r="P1428" s="12">
        <f>ROUND(O1428*L1428,2)</f>
        <v>2800</v>
      </c>
      <c r="Q1428" s="13">
        <f>IF(N1428="HKD",7.8,IF(N1428="CNY",7.30034,1))</f>
        <v>7.3003400000000003</v>
      </c>
      <c r="R1428" s="15">
        <f>+ROUND(O1428/Q1428,4)</f>
        <v>9.5899999999999999E-2</v>
      </c>
      <c r="S1428" s="14">
        <f>ROUND(R1428*L1428,2)</f>
        <v>383.6</v>
      </c>
      <c r="T1428" s="15" t="s">
        <v>349</v>
      </c>
      <c r="U1428" s="19" t="s">
        <v>177</v>
      </c>
    </row>
    <row r="1429" spans="1:21" x14ac:dyDescent="0.2">
      <c r="A1429" s="19" t="s">
        <v>1121</v>
      </c>
      <c r="B1429" s="20">
        <v>45663</v>
      </c>
      <c r="C1429" s="20">
        <v>45643</v>
      </c>
      <c r="D1429" s="19" t="s">
        <v>169</v>
      </c>
      <c r="E1429" s="19" t="s">
        <v>170</v>
      </c>
      <c r="G1429" s="19" t="s">
        <v>1122</v>
      </c>
      <c r="H1429" s="19" t="s">
        <v>1120</v>
      </c>
      <c r="I1429" s="19" t="s">
        <v>643</v>
      </c>
      <c r="J1429" s="11" t="str">
        <f>+LEFT(U1429,4)</f>
        <v>U&amp;C-</v>
      </c>
      <c r="K1429" s="19" t="s">
        <v>10</v>
      </c>
      <c r="L1429" s="19">
        <v>2100</v>
      </c>
      <c r="M1429" s="19" t="s">
        <v>1472</v>
      </c>
      <c r="N1429" s="19" t="s">
        <v>11</v>
      </c>
      <c r="O1429" s="26">
        <v>1.0900000000000001</v>
      </c>
      <c r="P1429" s="12">
        <f>ROUND(O1429*L1429,2)</f>
        <v>2289</v>
      </c>
      <c r="Q1429" s="13">
        <f>IF(N1429="HKD",7.8,IF(N1429="CNY",7.30034,1))</f>
        <v>7.3003400000000003</v>
      </c>
      <c r="R1429" s="15">
        <f>+ROUND(O1429/Q1429,4)</f>
        <v>0.14929999999999999</v>
      </c>
      <c r="S1429" s="14">
        <f>ROUND(R1429*L1429,2)</f>
        <v>313.52999999999997</v>
      </c>
      <c r="T1429" s="15" t="s">
        <v>349</v>
      </c>
      <c r="U1429" s="19" t="s">
        <v>177</v>
      </c>
    </row>
    <row r="1430" spans="1:21" x14ac:dyDescent="0.2">
      <c r="A1430" s="19" t="s">
        <v>1125</v>
      </c>
      <c r="B1430" s="20">
        <v>45663</v>
      </c>
      <c r="C1430" s="20">
        <v>45643</v>
      </c>
      <c r="D1430" s="19" t="s">
        <v>169</v>
      </c>
      <c r="E1430" s="19" t="s">
        <v>170</v>
      </c>
      <c r="G1430" s="19" t="s">
        <v>1122</v>
      </c>
      <c r="H1430" s="19" t="s">
        <v>1124</v>
      </c>
      <c r="I1430" s="19" t="s">
        <v>643</v>
      </c>
      <c r="J1430" s="11" t="str">
        <f>+LEFT(U1430,4)</f>
        <v>U&amp;C-</v>
      </c>
      <c r="K1430" s="19" t="s">
        <v>10</v>
      </c>
      <c r="L1430" s="19">
        <v>2100</v>
      </c>
      <c r="M1430" s="19" t="s">
        <v>1472</v>
      </c>
      <c r="N1430" s="19" t="s">
        <v>11</v>
      </c>
      <c r="O1430" s="26">
        <v>1.29</v>
      </c>
      <c r="P1430" s="12">
        <f>ROUND(O1430*L1430,2)</f>
        <v>2709</v>
      </c>
      <c r="Q1430" s="13">
        <f>IF(N1430="HKD",7.8,IF(N1430="CNY",7.30034,1))</f>
        <v>7.3003400000000003</v>
      </c>
      <c r="R1430" s="15">
        <f>+ROUND(O1430/Q1430,4)</f>
        <v>0.1767</v>
      </c>
      <c r="S1430" s="14">
        <f>ROUND(R1430*L1430,2)</f>
        <v>371.07</v>
      </c>
      <c r="T1430" s="15" t="s">
        <v>349</v>
      </c>
      <c r="U1430" s="19" t="s">
        <v>177</v>
      </c>
    </row>
    <row r="1431" spans="1:21" x14ac:dyDescent="0.2">
      <c r="A1431" s="19" t="s">
        <v>1123</v>
      </c>
      <c r="B1431" s="20">
        <v>45663</v>
      </c>
      <c r="C1431" s="20">
        <v>45643</v>
      </c>
      <c r="D1431" s="19" t="s">
        <v>169</v>
      </c>
      <c r="E1431" s="19" t="s">
        <v>170</v>
      </c>
      <c r="G1431" s="19" t="s">
        <v>1122</v>
      </c>
      <c r="H1431" s="19" t="s">
        <v>642</v>
      </c>
      <c r="I1431" s="19" t="s">
        <v>643</v>
      </c>
      <c r="J1431" s="11" t="str">
        <f>+LEFT(U1431,4)</f>
        <v>U&amp;C-</v>
      </c>
      <c r="K1431" s="19" t="s">
        <v>10</v>
      </c>
      <c r="L1431" s="19">
        <v>2100</v>
      </c>
      <c r="M1431" s="19" t="s">
        <v>1472</v>
      </c>
      <c r="N1431" s="19" t="s">
        <v>11</v>
      </c>
      <c r="O1431" s="26">
        <v>1.29</v>
      </c>
      <c r="P1431" s="12">
        <f>ROUND(O1431*L1431,2)</f>
        <v>2709</v>
      </c>
      <c r="Q1431" s="13">
        <f>IF(N1431="HKD",7.8,IF(N1431="CNY",7.30034,1))</f>
        <v>7.3003400000000003</v>
      </c>
      <c r="R1431" s="15">
        <f>+ROUND(O1431/Q1431,4)</f>
        <v>0.1767</v>
      </c>
      <c r="S1431" s="14">
        <f>ROUND(R1431*L1431,2)</f>
        <v>371.07</v>
      </c>
      <c r="T1431" s="15" t="s">
        <v>349</v>
      </c>
      <c r="U1431" s="19" t="s">
        <v>177</v>
      </c>
    </row>
    <row r="1432" spans="1:21" x14ac:dyDescent="0.2">
      <c r="A1432" s="19" t="s">
        <v>1088</v>
      </c>
      <c r="B1432" s="20">
        <v>45663</v>
      </c>
      <c r="C1432" s="20">
        <v>45650</v>
      </c>
      <c r="D1432" s="19" t="s">
        <v>169</v>
      </c>
      <c r="E1432" s="19" t="s">
        <v>170</v>
      </c>
      <c r="G1432" s="19" t="s">
        <v>1089</v>
      </c>
      <c r="H1432" s="19" t="s">
        <v>1086</v>
      </c>
      <c r="I1432" s="19" t="s">
        <v>1087</v>
      </c>
      <c r="J1432" s="11" t="str">
        <f>+LEFT(U1432,4)</f>
        <v>U&amp;C-</v>
      </c>
      <c r="K1432" s="19" t="s">
        <v>10</v>
      </c>
      <c r="L1432" s="19">
        <v>1000</v>
      </c>
      <c r="M1432" s="19" t="s">
        <v>1472</v>
      </c>
      <c r="N1432" s="19" t="s">
        <v>11</v>
      </c>
      <c r="O1432" s="26">
        <v>0.92900000000000005</v>
      </c>
      <c r="P1432" s="12">
        <f>ROUND(O1432*L1432,2)</f>
        <v>929</v>
      </c>
      <c r="Q1432" s="13">
        <f>IF(N1432="HKD",7.8,IF(N1432="CNY",7.30034,1))</f>
        <v>7.3003400000000003</v>
      </c>
      <c r="R1432" s="15">
        <f>+ROUND(O1432/Q1432,4)</f>
        <v>0.1273</v>
      </c>
      <c r="S1432" s="14">
        <f>ROUND(R1432*L1432,2)</f>
        <v>127.3</v>
      </c>
      <c r="T1432" s="15" t="s">
        <v>349</v>
      </c>
      <c r="U1432" s="19" t="s">
        <v>177</v>
      </c>
    </row>
    <row r="1433" spans="1:21" x14ac:dyDescent="0.2">
      <c r="A1433" s="19" t="s">
        <v>641</v>
      </c>
      <c r="B1433" s="20">
        <v>45670</v>
      </c>
      <c r="C1433" s="20">
        <v>45643</v>
      </c>
      <c r="D1433" s="19" t="s">
        <v>169</v>
      </c>
      <c r="E1433" s="19" t="s">
        <v>170</v>
      </c>
      <c r="G1433" s="19" t="s">
        <v>634</v>
      </c>
      <c r="H1433" s="19" t="s">
        <v>639</v>
      </c>
      <c r="I1433" s="19" t="s">
        <v>640</v>
      </c>
      <c r="J1433" s="11" t="str">
        <f>+LEFT(U1433,4)</f>
        <v>U&amp;C-</v>
      </c>
      <c r="K1433" s="19" t="s">
        <v>10</v>
      </c>
      <c r="L1433" s="19">
        <v>2020</v>
      </c>
      <c r="M1433" s="19" t="s">
        <v>1472</v>
      </c>
      <c r="N1433" s="19" t="s">
        <v>11</v>
      </c>
      <c r="O1433" s="26">
        <v>0.1244</v>
      </c>
      <c r="P1433" s="12">
        <f>ROUND(O1433*L1433,2)</f>
        <v>251.29</v>
      </c>
      <c r="Q1433" s="13">
        <f>IF(N1433="HKD",7.8,IF(N1433="CNY",7.30034,1))</f>
        <v>7.3003400000000003</v>
      </c>
      <c r="R1433" s="15">
        <f>+ROUND(O1433/Q1433,4)</f>
        <v>1.7000000000000001E-2</v>
      </c>
      <c r="S1433" s="14">
        <f>ROUND(R1433*L1433,2)</f>
        <v>34.340000000000003</v>
      </c>
      <c r="T1433" s="15" t="s">
        <v>349</v>
      </c>
      <c r="U1433" s="19" t="s">
        <v>177</v>
      </c>
    </row>
    <row r="1434" spans="1:21" x14ac:dyDescent="0.2">
      <c r="A1434" s="19" t="s">
        <v>176</v>
      </c>
      <c r="B1434" s="20">
        <v>45670</v>
      </c>
      <c r="C1434" s="20">
        <v>45660</v>
      </c>
      <c r="D1434" s="19" t="s">
        <v>169</v>
      </c>
      <c r="E1434" s="19" t="s">
        <v>170</v>
      </c>
      <c r="G1434" s="19" t="s">
        <v>634</v>
      </c>
      <c r="H1434" s="19" t="s">
        <v>174</v>
      </c>
      <c r="I1434" s="19" t="s">
        <v>175</v>
      </c>
      <c r="J1434" s="11" t="str">
        <f>+LEFT(U1434,4)</f>
        <v>U&amp;C-</v>
      </c>
      <c r="K1434" s="19" t="s">
        <v>10</v>
      </c>
      <c r="L1434" s="19">
        <v>1000</v>
      </c>
      <c r="M1434" s="19" t="s">
        <v>1472</v>
      </c>
      <c r="N1434" s="19" t="s">
        <v>11</v>
      </c>
      <c r="O1434" s="26">
        <v>0.28000000000000003</v>
      </c>
      <c r="P1434" s="12">
        <f>ROUND(O1434*L1434,2)</f>
        <v>280</v>
      </c>
      <c r="Q1434" s="13">
        <f>IF(N1434="HKD",7.8,IF(N1434="CNY",7.30034,1))</f>
        <v>7.3003400000000003</v>
      </c>
      <c r="R1434" s="15">
        <f>+ROUND(O1434/Q1434,4)</f>
        <v>3.8399999999999997E-2</v>
      </c>
      <c r="S1434" s="14">
        <f>ROUND(R1434*L1434,2)</f>
        <v>38.4</v>
      </c>
      <c r="T1434" s="15" t="s">
        <v>349</v>
      </c>
      <c r="U1434" s="19" t="s">
        <v>177</v>
      </c>
    </row>
    <row r="1435" spans="1:21" x14ac:dyDescent="0.2">
      <c r="A1435" s="19" t="s">
        <v>644</v>
      </c>
      <c r="B1435" s="20">
        <v>45670</v>
      </c>
      <c r="C1435" s="20">
        <v>45638</v>
      </c>
      <c r="D1435" s="19" t="s">
        <v>169</v>
      </c>
      <c r="E1435" s="19" t="s">
        <v>170</v>
      </c>
      <c r="G1435" s="19" t="s">
        <v>645</v>
      </c>
      <c r="H1435" s="19" t="s">
        <v>642</v>
      </c>
      <c r="I1435" s="19" t="s">
        <v>643</v>
      </c>
      <c r="J1435" s="11" t="str">
        <f>+LEFT(U1435,4)</f>
        <v>U&amp;C-</v>
      </c>
      <c r="K1435" s="19" t="s">
        <v>10</v>
      </c>
      <c r="L1435" s="19">
        <v>1000</v>
      </c>
      <c r="M1435" s="19" t="s">
        <v>1472</v>
      </c>
      <c r="N1435" s="19" t="s">
        <v>11</v>
      </c>
      <c r="O1435" s="26">
        <v>1.29</v>
      </c>
      <c r="P1435" s="12">
        <f>ROUND(O1435*L1435,2)</f>
        <v>1290</v>
      </c>
      <c r="Q1435" s="13">
        <f>IF(N1435="HKD",7.8,IF(N1435="CNY",7.30034,1))</f>
        <v>7.3003400000000003</v>
      </c>
      <c r="R1435" s="15">
        <f>+ROUND(O1435/Q1435,4)</f>
        <v>0.1767</v>
      </c>
      <c r="S1435" s="14">
        <f>ROUND(R1435*L1435,2)</f>
        <v>176.7</v>
      </c>
      <c r="T1435" s="15" t="s">
        <v>349</v>
      </c>
      <c r="U1435" s="19" t="s">
        <v>177</v>
      </c>
    </row>
    <row r="1436" spans="1:21" x14ac:dyDescent="0.2">
      <c r="A1436" s="19" t="s">
        <v>176</v>
      </c>
      <c r="B1436" s="20">
        <v>45674</v>
      </c>
      <c r="C1436" s="20">
        <v>45660</v>
      </c>
      <c r="D1436" s="19" t="s">
        <v>169</v>
      </c>
      <c r="E1436" s="19" t="s">
        <v>170</v>
      </c>
      <c r="G1436" s="19" t="s">
        <v>172</v>
      </c>
      <c r="H1436" s="19" t="s">
        <v>174</v>
      </c>
      <c r="I1436" s="19" t="s">
        <v>175</v>
      </c>
      <c r="J1436" s="11" t="str">
        <f>+LEFT(U1436,4)</f>
        <v>U&amp;C-</v>
      </c>
      <c r="K1436" s="19" t="s">
        <v>10</v>
      </c>
      <c r="L1436" s="19">
        <v>1000</v>
      </c>
      <c r="M1436" s="19" t="s">
        <v>1472</v>
      </c>
      <c r="N1436" s="19" t="s">
        <v>11</v>
      </c>
      <c r="O1436" s="26">
        <v>0.28000000000000003</v>
      </c>
      <c r="P1436" s="12">
        <f>ROUND(O1436*L1436,2)</f>
        <v>280</v>
      </c>
      <c r="Q1436" s="13">
        <f>IF(N1436="HKD",7.8,IF(N1436="CNY",7.30034,1))</f>
        <v>7.3003400000000003</v>
      </c>
      <c r="R1436" s="15">
        <f>+ROUND(O1436/Q1436,4)</f>
        <v>3.8399999999999997E-2</v>
      </c>
      <c r="S1436" s="14">
        <f>ROUND(R1436*L1436,2)</f>
        <v>38.4</v>
      </c>
      <c r="T1436" s="15" t="s">
        <v>349</v>
      </c>
      <c r="U1436" s="19" t="s">
        <v>177</v>
      </c>
    </row>
    <row r="1437" spans="1:21" x14ac:dyDescent="0.2">
      <c r="A1437" t="s">
        <v>1879</v>
      </c>
      <c r="B1437" s="24">
        <v>45701</v>
      </c>
      <c r="C1437" s="24">
        <v>45671</v>
      </c>
      <c r="D1437" t="s">
        <v>169</v>
      </c>
      <c r="E1437" t="s">
        <v>170</v>
      </c>
      <c r="G1437" t="s">
        <v>2152</v>
      </c>
      <c r="H1437" s="19" t="s">
        <v>1613</v>
      </c>
      <c r="I1437" s="19" t="s">
        <v>1614</v>
      </c>
      <c r="J1437" s="11" t="str">
        <f>+LEFT(U1437,4)</f>
        <v>U&amp;C-</v>
      </c>
      <c r="K1437" t="s">
        <v>10</v>
      </c>
      <c r="L1437" s="19">
        <v>4000</v>
      </c>
      <c r="M1437" t="s">
        <v>1472</v>
      </c>
      <c r="N1437" t="s">
        <v>11</v>
      </c>
      <c r="O1437" s="26">
        <v>0.22839999999999999</v>
      </c>
      <c r="P1437" s="12">
        <f>ROUND(O1437*L1437,2)</f>
        <v>913.6</v>
      </c>
      <c r="Q1437" s="13">
        <f>IF(N1437="HKD",7.8,IF(N1437="CNY",7.30034,1))</f>
        <v>7.3003400000000003</v>
      </c>
      <c r="R1437" s="15">
        <f>+ROUND(O1437/Q1437,4)</f>
        <v>3.1300000000000001E-2</v>
      </c>
      <c r="S1437" s="14">
        <f>ROUND(R1437*L1437,2)</f>
        <v>125.2</v>
      </c>
      <c r="T1437" s="15" t="s">
        <v>349</v>
      </c>
      <c r="U1437" t="s">
        <v>177</v>
      </c>
    </row>
    <row r="1438" spans="1:21" x14ac:dyDescent="0.2">
      <c r="A1438" t="s">
        <v>1883</v>
      </c>
      <c r="B1438" s="24">
        <v>45701</v>
      </c>
      <c r="C1438" s="24">
        <v>45671</v>
      </c>
      <c r="D1438" t="s">
        <v>169</v>
      </c>
      <c r="E1438" t="s">
        <v>170</v>
      </c>
      <c r="G1438" t="s">
        <v>2152</v>
      </c>
      <c r="H1438" s="19" t="s">
        <v>1114</v>
      </c>
      <c r="I1438" s="19" t="s">
        <v>1115</v>
      </c>
      <c r="J1438" s="11" t="str">
        <f>+LEFT(U1438,4)</f>
        <v>U&amp;C-</v>
      </c>
      <c r="K1438" t="s">
        <v>10</v>
      </c>
      <c r="L1438" s="19">
        <v>2020</v>
      </c>
      <c r="M1438" t="s">
        <v>1472</v>
      </c>
      <c r="N1438" t="s">
        <v>11</v>
      </c>
      <c r="O1438" s="26">
        <v>0.26700000000000002</v>
      </c>
      <c r="P1438" s="12">
        <f>ROUND(O1438*L1438,2)</f>
        <v>539.34</v>
      </c>
      <c r="Q1438" s="13">
        <f>IF(N1438="HKD",7.8,IF(N1438="CNY",7.30034,1))</f>
        <v>7.3003400000000003</v>
      </c>
      <c r="R1438" s="15">
        <f>+ROUND(O1438/Q1438,4)</f>
        <v>3.6600000000000001E-2</v>
      </c>
      <c r="S1438" s="14">
        <f>ROUND(R1438*L1438,2)</f>
        <v>73.930000000000007</v>
      </c>
      <c r="T1438" s="15" t="s">
        <v>349</v>
      </c>
      <c r="U1438" t="s">
        <v>177</v>
      </c>
    </row>
    <row r="1439" spans="1:21" x14ac:dyDescent="0.2">
      <c r="A1439" t="s">
        <v>1884</v>
      </c>
      <c r="B1439" s="24">
        <v>45702</v>
      </c>
      <c r="C1439" s="24">
        <v>45671</v>
      </c>
      <c r="D1439" t="s">
        <v>169</v>
      </c>
      <c r="E1439" t="s">
        <v>170</v>
      </c>
      <c r="G1439" t="s">
        <v>2155</v>
      </c>
      <c r="H1439" s="19" t="s">
        <v>1619</v>
      </c>
      <c r="I1439" s="19" t="s">
        <v>1620</v>
      </c>
      <c r="J1439" s="11" t="str">
        <f>+LEFT(U1439,4)</f>
        <v>U&amp;C-</v>
      </c>
      <c r="K1439" t="s">
        <v>10</v>
      </c>
      <c r="L1439" s="19">
        <v>1510</v>
      </c>
      <c r="M1439" t="s">
        <v>1472</v>
      </c>
      <c r="N1439" t="s">
        <v>11</v>
      </c>
      <c r="O1439" s="26">
        <v>0.27500000000000002</v>
      </c>
      <c r="P1439" s="12">
        <f>ROUND(O1439*L1439,2)</f>
        <v>415.25</v>
      </c>
      <c r="Q1439" s="13">
        <f>IF(N1439="HKD",7.8,IF(N1439="CNY",7.30034,1))</f>
        <v>7.3003400000000003</v>
      </c>
      <c r="R1439" s="15">
        <f>+ROUND(O1439/Q1439,4)</f>
        <v>3.7699999999999997E-2</v>
      </c>
      <c r="S1439" s="14">
        <f>ROUND(R1439*L1439,2)</f>
        <v>56.93</v>
      </c>
      <c r="T1439" s="15" t="s">
        <v>349</v>
      </c>
      <c r="U1439" t="s">
        <v>177</v>
      </c>
    </row>
    <row r="1440" spans="1:21" x14ac:dyDescent="0.2">
      <c r="A1440" t="s">
        <v>1889</v>
      </c>
      <c r="B1440" s="24">
        <v>45702</v>
      </c>
      <c r="C1440" s="24">
        <v>45677</v>
      </c>
      <c r="D1440" t="s">
        <v>169</v>
      </c>
      <c r="E1440" t="s">
        <v>170</v>
      </c>
      <c r="G1440" t="s">
        <v>2155</v>
      </c>
      <c r="H1440" s="19" t="s">
        <v>1625</v>
      </c>
      <c r="I1440" s="19" t="s">
        <v>1626</v>
      </c>
      <c r="J1440" s="11" t="str">
        <f>+LEFT(U1440,4)</f>
        <v>U&amp;C-</v>
      </c>
      <c r="K1440" t="s">
        <v>10</v>
      </c>
      <c r="L1440" s="19">
        <v>1200</v>
      </c>
      <c r="M1440" t="s">
        <v>1472</v>
      </c>
      <c r="N1440" t="s">
        <v>11</v>
      </c>
      <c r="O1440" s="26">
        <v>0.32300000000000001</v>
      </c>
      <c r="P1440" s="12">
        <f>ROUND(O1440*L1440,2)</f>
        <v>387.6</v>
      </c>
      <c r="Q1440" s="13">
        <f>IF(N1440="HKD",7.8,IF(N1440="CNY",7.30034,1))</f>
        <v>7.3003400000000003</v>
      </c>
      <c r="R1440" s="15">
        <f>+ROUND(O1440/Q1440,4)</f>
        <v>4.4200000000000003E-2</v>
      </c>
      <c r="S1440" s="14">
        <f>ROUND(R1440*L1440,2)</f>
        <v>53.04</v>
      </c>
      <c r="T1440" s="15" t="s">
        <v>349</v>
      </c>
      <c r="U1440" t="s">
        <v>177</v>
      </c>
    </row>
    <row r="1441" spans="1:21" x14ac:dyDescent="0.2">
      <c r="A1441" t="s">
        <v>1922</v>
      </c>
      <c r="B1441" s="24">
        <v>45702</v>
      </c>
      <c r="C1441" s="24">
        <v>45674</v>
      </c>
      <c r="D1441" t="s">
        <v>169</v>
      </c>
      <c r="E1441" t="s">
        <v>170</v>
      </c>
      <c r="G1441" t="s">
        <v>2171</v>
      </c>
      <c r="H1441" s="19" t="s">
        <v>642</v>
      </c>
      <c r="I1441" s="19" t="s">
        <v>643</v>
      </c>
      <c r="J1441" s="11" t="str">
        <f>+LEFT(U1441,4)</f>
        <v>U&amp;C-</v>
      </c>
      <c r="K1441" t="s">
        <v>10</v>
      </c>
      <c r="L1441" s="19">
        <v>2020</v>
      </c>
      <c r="M1441" t="s">
        <v>1472</v>
      </c>
      <c r="N1441" t="s">
        <v>11</v>
      </c>
      <c r="O1441" s="26">
        <v>1.29</v>
      </c>
      <c r="P1441" s="12">
        <f>ROUND(O1441*L1441,2)</f>
        <v>2605.8000000000002</v>
      </c>
      <c r="Q1441" s="13">
        <f>IF(N1441="HKD",7.8,IF(N1441="CNY",7.30034,1))</f>
        <v>7.3003400000000003</v>
      </c>
      <c r="R1441" s="15">
        <f>+ROUND(O1441/Q1441,4)</f>
        <v>0.1767</v>
      </c>
      <c r="S1441" s="14">
        <f>ROUND(R1441*L1441,2)</f>
        <v>356.93</v>
      </c>
      <c r="T1441" s="15" t="s">
        <v>349</v>
      </c>
      <c r="U1441" t="s">
        <v>177</v>
      </c>
    </row>
    <row r="1442" spans="1:21" x14ac:dyDescent="0.2">
      <c r="A1442" t="s">
        <v>1923</v>
      </c>
      <c r="B1442" s="24">
        <v>45702</v>
      </c>
      <c r="C1442" s="24">
        <v>45674</v>
      </c>
      <c r="D1442" t="s">
        <v>169</v>
      </c>
      <c r="E1442" t="s">
        <v>170</v>
      </c>
      <c r="G1442" t="s">
        <v>2171</v>
      </c>
      <c r="H1442" s="19" t="s">
        <v>1124</v>
      </c>
      <c r="I1442" s="19" t="s">
        <v>643</v>
      </c>
      <c r="J1442" s="11" t="str">
        <f>+LEFT(U1442,4)</f>
        <v>U&amp;C-</v>
      </c>
      <c r="K1442" t="s">
        <v>10</v>
      </c>
      <c r="L1442" s="19">
        <v>2020</v>
      </c>
      <c r="M1442" t="s">
        <v>1472</v>
      </c>
      <c r="N1442" t="s">
        <v>11</v>
      </c>
      <c r="O1442" s="26">
        <v>1.29</v>
      </c>
      <c r="P1442" s="12">
        <f>ROUND(O1442*L1442,2)</f>
        <v>2605.8000000000002</v>
      </c>
      <c r="Q1442" s="13">
        <f>IF(N1442="HKD",7.8,IF(N1442="CNY",7.30034,1))</f>
        <v>7.3003400000000003</v>
      </c>
      <c r="R1442" s="15">
        <f>+ROUND(O1442/Q1442,4)</f>
        <v>0.1767</v>
      </c>
      <c r="S1442" s="14">
        <f>ROUND(R1442*L1442,2)</f>
        <v>356.93</v>
      </c>
      <c r="T1442" s="15" t="s">
        <v>349</v>
      </c>
      <c r="U1442" t="s">
        <v>177</v>
      </c>
    </row>
    <row r="1443" spans="1:21" x14ac:dyDescent="0.2">
      <c r="A1443" t="s">
        <v>1933</v>
      </c>
      <c r="B1443" s="24">
        <v>45708</v>
      </c>
      <c r="C1443" s="24">
        <v>45674</v>
      </c>
      <c r="D1443" t="s">
        <v>169</v>
      </c>
      <c r="E1443" t="s">
        <v>170</v>
      </c>
      <c r="G1443" t="s">
        <v>2170</v>
      </c>
      <c r="H1443" s="19" t="s">
        <v>1659</v>
      </c>
      <c r="I1443" s="19" t="s">
        <v>643</v>
      </c>
      <c r="J1443" s="11" t="str">
        <f>+LEFT(U1443,4)</f>
        <v>U&amp;C-</v>
      </c>
      <c r="K1443" t="s">
        <v>10</v>
      </c>
      <c r="L1443" s="19">
        <v>3000</v>
      </c>
      <c r="M1443" t="s">
        <v>1472</v>
      </c>
      <c r="N1443" t="s">
        <v>11</v>
      </c>
      <c r="O1443" s="26">
        <v>1.53</v>
      </c>
      <c r="P1443" s="12">
        <f>ROUND(O1443*L1443,2)</f>
        <v>4590</v>
      </c>
      <c r="Q1443" s="13">
        <f>IF(N1443="HKD",7.8,IF(N1443="CNY",7.30034,1))</f>
        <v>7.3003400000000003</v>
      </c>
      <c r="R1443" s="15">
        <f>+ROUND(O1443/Q1443,4)</f>
        <v>0.20960000000000001</v>
      </c>
      <c r="S1443" s="14">
        <f>ROUND(R1443*L1443,2)</f>
        <v>628.79999999999995</v>
      </c>
      <c r="T1443" s="15" t="s">
        <v>349</v>
      </c>
      <c r="U1443" t="s">
        <v>177</v>
      </c>
    </row>
    <row r="1444" spans="1:21" x14ac:dyDescent="0.2">
      <c r="A1444" t="s">
        <v>1905</v>
      </c>
      <c r="B1444" s="24">
        <v>45715</v>
      </c>
      <c r="C1444" s="24">
        <v>45715</v>
      </c>
      <c r="D1444" t="s">
        <v>5</v>
      </c>
      <c r="E1444" t="s">
        <v>6</v>
      </c>
      <c r="G1444" t="s">
        <v>2163</v>
      </c>
      <c r="H1444" s="19" t="s">
        <v>1637</v>
      </c>
      <c r="I1444" s="19" t="s">
        <v>1638</v>
      </c>
      <c r="J1444" s="11" t="str">
        <f>+LEFT(U1444,4)</f>
        <v>U&amp;C-</v>
      </c>
      <c r="K1444" t="s">
        <v>10</v>
      </c>
      <c r="L1444" s="19">
        <v>1000</v>
      </c>
      <c r="M1444" t="s">
        <v>1472</v>
      </c>
      <c r="N1444" t="s">
        <v>11</v>
      </c>
      <c r="O1444" s="26">
        <v>0.69</v>
      </c>
      <c r="P1444" s="12">
        <f>ROUND(O1444*L1444,2)</f>
        <v>690</v>
      </c>
      <c r="Q1444" s="13">
        <f>IF(N1444="HKD",7.8,IF(N1444="CNY",7.30034,1))</f>
        <v>7.3003400000000003</v>
      </c>
      <c r="R1444" s="15">
        <f>+ROUND(O1444/Q1444,4)</f>
        <v>9.4500000000000001E-2</v>
      </c>
      <c r="S1444" s="14">
        <f>ROUND(R1444*L1444,2)</f>
        <v>94.5</v>
      </c>
      <c r="T1444" s="15" t="s">
        <v>349</v>
      </c>
      <c r="U1444" t="s">
        <v>177</v>
      </c>
    </row>
    <row r="1445" spans="1:21" x14ac:dyDescent="0.2">
      <c r="A1445" t="s">
        <v>2768</v>
      </c>
      <c r="B1445" s="24">
        <v>45741</v>
      </c>
      <c r="C1445" s="24">
        <v>45730</v>
      </c>
      <c r="D1445" t="s">
        <v>806</v>
      </c>
      <c r="E1445" t="s">
        <v>807</v>
      </c>
      <c r="G1445" t="s">
        <v>3024</v>
      </c>
      <c r="H1445" t="s">
        <v>3255</v>
      </c>
      <c r="I1445" t="s">
        <v>3462</v>
      </c>
      <c r="J1445" s="11" t="str">
        <f>+LEFT(U1445,4)</f>
        <v>SWF-</v>
      </c>
      <c r="K1445" t="s">
        <v>10</v>
      </c>
      <c r="L1445">
        <v>9</v>
      </c>
      <c r="M1445" t="s">
        <v>186</v>
      </c>
      <c r="N1445" t="s">
        <v>11</v>
      </c>
      <c r="O1445">
        <v>17.2</v>
      </c>
      <c r="P1445" s="12">
        <f>ROUND(O1445*L1445,2)</f>
        <v>154.80000000000001</v>
      </c>
      <c r="Q1445" s="13">
        <f>IF(N1445="HKD",7.8,IF(N1445="CNY",7.30034,1))</f>
        <v>7.3003400000000003</v>
      </c>
      <c r="R1445" s="15">
        <f>+ROUND(O1445/Q1445,4)</f>
        <v>2.3561000000000001</v>
      </c>
      <c r="S1445" s="14">
        <f>ROUND(R1445*L1445,2)</f>
        <v>21.2</v>
      </c>
      <c r="T1445" s="15" t="s">
        <v>349</v>
      </c>
      <c r="U1445" t="s">
        <v>3483</v>
      </c>
    </row>
    <row r="1446" spans="1:21" x14ac:dyDescent="0.2">
      <c r="A1446" t="s">
        <v>2273</v>
      </c>
      <c r="B1446" s="24">
        <v>45729</v>
      </c>
      <c r="C1446" s="24">
        <v>45000</v>
      </c>
      <c r="D1446" t="s">
        <v>866</v>
      </c>
      <c r="E1446" t="s">
        <v>867</v>
      </c>
      <c r="G1446" t="s">
        <v>2835</v>
      </c>
      <c r="H1446" t="s">
        <v>1546</v>
      </c>
      <c r="I1446" t="s">
        <v>1818</v>
      </c>
      <c r="J1446" s="11" t="s">
        <v>1484</v>
      </c>
      <c r="K1446" t="s">
        <v>10</v>
      </c>
      <c r="L1446">
        <v>820</v>
      </c>
      <c r="M1446" t="s">
        <v>1472</v>
      </c>
      <c r="N1446" t="s">
        <v>11</v>
      </c>
      <c r="O1446">
        <v>17.805299999999999</v>
      </c>
      <c r="P1446" s="12">
        <f>ROUND(O1446*L1446,2)</f>
        <v>14600.35</v>
      </c>
      <c r="Q1446" s="13">
        <f>IF(N1446="HKD",7.8,IF(N1446="CNY",7.30034,1))</f>
        <v>7.3003400000000003</v>
      </c>
      <c r="R1446" s="15">
        <f>+ROUND(O1446/Q1446,4)</f>
        <v>2.4390000000000001</v>
      </c>
      <c r="S1446" s="14">
        <f>ROUND(R1446*L1446,2)</f>
        <v>1999.98</v>
      </c>
      <c r="T1446" s="15" t="s">
        <v>349</v>
      </c>
      <c r="U1446" t="s">
        <v>36</v>
      </c>
    </row>
    <row r="1447" spans="1:21" x14ac:dyDescent="0.2">
      <c r="A1447" t="s">
        <v>2120</v>
      </c>
      <c r="B1447" s="24">
        <v>45729</v>
      </c>
      <c r="C1447" s="24">
        <v>45646</v>
      </c>
      <c r="D1447" t="s">
        <v>866</v>
      </c>
      <c r="E1447" t="s">
        <v>867</v>
      </c>
      <c r="G1447" t="s">
        <v>2865</v>
      </c>
      <c r="H1447" t="s">
        <v>1546</v>
      </c>
      <c r="I1447" t="s">
        <v>1818</v>
      </c>
      <c r="J1447" s="11" t="s">
        <v>1484</v>
      </c>
      <c r="K1447" t="s">
        <v>10</v>
      </c>
      <c r="L1447">
        <v>188</v>
      </c>
      <c r="M1447" t="s">
        <v>1472</v>
      </c>
      <c r="N1447" t="s">
        <v>11</v>
      </c>
      <c r="O1447">
        <v>17.805299999999999</v>
      </c>
      <c r="P1447" s="12">
        <f>ROUND(O1447*L1447,2)</f>
        <v>3347.4</v>
      </c>
      <c r="Q1447" s="13">
        <f>IF(N1447="HKD",7.8,IF(N1447="CNY",7.30034,1))</f>
        <v>7.3003400000000003</v>
      </c>
      <c r="R1447" s="15">
        <f>+ROUND(O1447/Q1447,4)</f>
        <v>2.4390000000000001</v>
      </c>
      <c r="S1447" s="14">
        <f>ROUND(R1447*L1447,2)</f>
        <v>458.53</v>
      </c>
      <c r="T1447" s="15" t="s">
        <v>349</v>
      </c>
      <c r="U1447" t="s">
        <v>36</v>
      </c>
    </row>
    <row r="1448" spans="1:21" x14ac:dyDescent="0.2">
      <c r="A1448" t="s">
        <v>2546</v>
      </c>
      <c r="B1448" s="24">
        <v>45730</v>
      </c>
      <c r="C1448" s="24">
        <v>45716</v>
      </c>
      <c r="D1448" t="s">
        <v>2825</v>
      </c>
      <c r="E1448" t="s">
        <v>2826</v>
      </c>
      <c r="G1448" t="s">
        <v>2991</v>
      </c>
      <c r="H1448" t="s">
        <v>3168</v>
      </c>
      <c r="I1448" t="s">
        <v>3378</v>
      </c>
      <c r="J1448" s="11" t="str">
        <f>+LEFT(U1448,4)</f>
        <v>CDM-</v>
      </c>
      <c r="K1448" t="s">
        <v>10</v>
      </c>
      <c r="L1448">
        <v>550</v>
      </c>
      <c r="M1448" t="s">
        <v>1472</v>
      </c>
      <c r="N1448" t="s">
        <v>11</v>
      </c>
      <c r="O1448">
        <v>43.610599999999998</v>
      </c>
      <c r="P1448" s="12">
        <f>ROUND(O1448*L1448,2)</f>
        <v>23985.83</v>
      </c>
      <c r="Q1448" s="13">
        <f>IF(N1448="HKD",7.8,IF(N1448="CNY",7.30034,1))</f>
        <v>7.3003400000000003</v>
      </c>
      <c r="R1448" s="15">
        <f>+ROUND(O1448/Q1448,4)</f>
        <v>5.9737999999999998</v>
      </c>
      <c r="S1448" s="14">
        <f>ROUND(R1448*L1448,2)</f>
        <v>3285.59</v>
      </c>
      <c r="T1448" s="15" t="s">
        <v>349</v>
      </c>
      <c r="U1448" t="s">
        <v>3484</v>
      </c>
    </row>
    <row r="1449" spans="1:21" x14ac:dyDescent="0.2">
      <c r="A1449" t="s">
        <v>2473</v>
      </c>
      <c r="B1449" s="24">
        <v>45733</v>
      </c>
      <c r="C1449" s="24">
        <v>45708</v>
      </c>
      <c r="D1449" t="s">
        <v>2823</v>
      </c>
      <c r="E1449" t="s">
        <v>2824</v>
      </c>
      <c r="G1449" t="s">
        <v>2947</v>
      </c>
      <c r="H1449" t="s">
        <v>3143</v>
      </c>
      <c r="I1449" t="s">
        <v>3353</v>
      </c>
      <c r="J1449" s="11" t="str">
        <f>+LEFT(U1449,4)</f>
        <v>MISC</v>
      </c>
      <c r="K1449" t="s">
        <v>10</v>
      </c>
      <c r="L1449">
        <v>100</v>
      </c>
      <c r="M1449" t="s">
        <v>1472</v>
      </c>
      <c r="N1449" t="s">
        <v>11</v>
      </c>
      <c r="O1449">
        <v>52</v>
      </c>
      <c r="P1449" s="12">
        <f>ROUND(O1449*L1449,2)</f>
        <v>5200</v>
      </c>
      <c r="Q1449" s="13">
        <f>IF(N1449="HKD",7.8,IF(N1449="CNY",7.30034,1))</f>
        <v>7.3003400000000003</v>
      </c>
      <c r="R1449" s="15">
        <f>+ROUND(O1449/Q1449,4)</f>
        <v>7.1230000000000002</v>
      </c>
      <c r="S1449" s="14">
        <f>ROUND(R1449*L1449,2)</f>
        <v>712.3</v>
      </c>
      <c r="T1449" s="15" t="s">
        <v>349</v>
      </c>
      <c r="U1449" t="s">
        <v>25</v>
      </c>
    </row>
    <row r="1450" spans="1:21" x14ac:dyDescent="0.2">
      <c r="A1450" t="s">
        <v>2547</v>
      </c>
      <c r="B1450" s="24">
        <v>45733</v>
      </c>
      <c r="C1450" s="24">
        <v>45716</v>
      </c>
      <c r="D1450" t="s">
        <v>311</v>
      </c>
      <c r="E1450" t="s">
        <v>312</v>
      </c>
      <c r="G1450" t="s">
        <v>2992</v>
      </c>
      <c r="H1450" t="s">
        <v>341</v>
      </c>
      <c r="I1450" t="s">
        <v>342</v>
      </c>
      <c r="J1450" s="11" t="str">
        <f>+LEFT(U1450,4)</f>
        <v>INM-</v>
      </c>
      <c r="K1450" t="s">
        <v>10</v>
      </c>
      <c r="L1450">
        <v>50</v>
      </c>
      <c r="M1450" t="s">
        <v>186</v>
      </c>
      <c r="N1450" t="s">
        <v>11</v>
      </c>
      <c r="O1450">
        <v>63.008800000000001</v>
      </c>
      <c r="P1450" s="12">
        <f>ROUND(O1450*L1450,2)</f>
        <v>3150.44</v>
      </c>
      <c r="Q1450" s="13">
        <f>IF(N1450="HKD",7.8,IF(N1450="CNY",7.30034,1))</f>
        <v>7.3003400000000003</v>
      </c>
      <c r="R1450" s="15">
        <f>+ROUND(O1450/Q1450,4)</f>
        <v>8.6309000000000005</v>
      </c>
      <c r="S1450" s="14">
        <f>ROUND(R1450*L1450,2)</f>
        <v>431.55</v>
      </c>
      <c r="T1450" s="15" t="s">
        <v>349</v>
      </c>
      <c r="U1450" t="s">
        <v>327</v>
      </c>
    </row>
    <row r="1451" spans="1:21" x14ac:dyDescent="0.2">
      <c r="A1451" t="s">
        <v>2651</v>
      </c>
      <c r="B1451" s="24">
        <v>45742</v>
      </c>
      <c r="C1451" s="24">
        <v>45721</v>
      </c>
      <c r="D1451" t="s">
        <v>311</v>
      </c>
      <c r="E1451" t="s">
        <v>312</v>
      </c>
      <c r="G1451" t="s">
        <v>3023</v>
      </c>
      <c r="H1451" t="s">
        <v>341</v>
      </c>
      <c r="I1451" t="s">
        <v>342</v>
      </c>
      <c r="J1451" s="11" t="str">
        <f>+LEFT(U1451,4)</f>
        <v>INM-</v>
      </c>
      <c r="K1451" t="s">
        <v>10</v>
      </c>
      <c r="L1451">
        <v>25</v>
      </c>
      <c r="M1451" t="s">
        <v>186</v>
      </c>
      <c r="N1451" t="s">
        <v>11</v>
      </c>
      <c r="O1451">
        <v>63.008800000000001</v>
      </c>
      <c r="P1451" s="12">
        <f>ROUND(O1451*L1451,2)</f>
        <v>1575.22</v>
      </c>
      <c r="Q1451" s="13">
        <f>IF(N1451="HKD",7.8,IF(N1451="CNY",7.30034,1))</f>
        <v>7.3003400000000003</v>
      </c>
      <c r="R1451" s="15">
        <f>+ROUND(O1451/Q1451,4)</f>
        <v>8.6309000000000005</v>
      </c>
      <c r="S1451" s="14">
        <f>ROUND(R1451*L1451,2)</f>
        <v>215.77</v>
      </c>
      <c r="T1451" s="15" t="s">
        <v>349</v>
      </c>
      <c r="U1451" t="s">
        <v>327</v>
      </c>
    </row>
    <row r="1452" spans="1:21" x14ac:dyDescent="0.2">
      <c r="A1452" t="s">
        <v>2694</v>
      </c>
      <c r="B1452" s="24">
        <v>45742</v>
      </c>
      <c r="C1452" s="24">
        <v>45728</v>
      </c>
      <c r="D1452" t="s">
        <v>311</v>
      </c>
      <c r="E1452" t="s">
        <v>312</v>
      </c>
      <c r="G1452" t="s">
        <v>3033</v>
      </c>
      <c r="H1452" t="s">
        <v>341</v>
      </c>
      <c r="I1452" t="s">
        <v>342</v>
      </c>
      <c r="J1452" s="11" t="str">
        <f>+LEFT(U1452,4)</f>
        <v>INM-</v>
      </c>
      <c r="K1452" t="s">
        <v>10</v>
      </c>
      <c r="L1452">
        <v>75</v>
      </c>
      <c r="M1452" t="s">
        <v>186</v>
      </c>
      <c r="N1452" t="s">
        <v>11</v>
      </c>
      <c r="O1452">
        <v>63.008800000000001</v>
      </c>
      <c r="P1452" s="12">
        <f>ROUND(O1452*L1452,2)</f>
        <v>4725.66</v>
      </c>
      <c r="Q1452" s="13">
        <f>IF(N1452="HKD",7.8,IF(N1452="CNY",7.30034,1))</f>
        <v>7.3003400000000003</v>
      </c>
      <c r="R1452" s="15">
        <f>+ROUND(O1452/Q1452,4)</f>
        <v>8.6309000000000005</v>
      </c>
      <c r="S1452" s="14">
        <f>ROUND(R1452*L1452,2)</f>
        <v>647.32000000000005</v>
      </c>
      <c r="T1452" s="15" t="s">
        <v>349</v>
      </c>
      <c r="U1452" t="s">
        <v>327</v>
      </c>
    </row>
    <row r="1453" spans="1:21" x14ac:dyDescent="0.2">
      <c r="A1453" t="s">
        <v>2472</v>
      </c>
      <c r="B1453" s="24">
        <v>45733</v>
      </c>
      <c r="C1453" s="24">
        <v>45708</v>
      </c>
      <c r="D1453" t="s">
        <v>2823</v>
      </c>
      <c r="E1453" t="s">
        <v>2824</v>
      </c>
      <c r="G1453" t="s">
        <v>2947</v>
      </c>
      <c r="H1453" t="s">
        <v>3142</v>
      </c>
      <c r="I1453" t="s">
        <v>3352</v>
      </c>
      <c r="J1453" s="11" t="str">
        <f>+LEFT(U1453,4)</f>
        <v>MISC</v>
      </c>
      <c r="K1453" t="s">
        <v>10</v>
      </c>
      <c r="L1453">
        <v>200</v>
      </c>
      <c r="M1453" t="s">
        <v>1472</v>
      </c>
      <c r="N1453" t="s">
        <v>11</v>
      </c>
      <c r="O1453">
        <v>64</v>
      </c>
      <c r="P1453" s="12">
        <f>ROUND(O1453*L1453,2)</f>
        <v>12800</v>
      </c>
      <c r="Q1453" s="13">
        <f>IF(N1453="HKD",7.8,IF(N1453="CNY",7.30034,1))</f>
        <v>7.3003400000000003</v>
      </c>
      <c r="R1453" s="15">
        <f>+ROUND(O1453/Q1453,4)</f>
        <v>8.7667000000000002</v>
      </c>
      <c r="S1453" s="14">
        <f>ROUND(R1453*L1453,2)</f>
        <v>1753.34</v>
      </c>
      <c r="T1453" s="15" t="s">
        <v>349</v>
      </c>
      <c r="U1453" t="s">
        <v>25</v>
      </c>
    </row>
    <row r="1454" spans="1:21" x14ac:dyDescent="0.2">
      <c r="A1454" t="s">
        <v>2649</v>
      </c>
      <c r="B1454" s="24">
        <v>45742</v>
      </c>
      <c r="C1454" s="24">
        <v>45721</v>
      </c>
      <c r="D1454" t="s">
        <v>311</v>
      </c>
      <c r="E1454" t="s">
        <v>312</v>
      </c>
      <c r="G1454" t="s">
        <v>3023</v>
      </c>
      <c r="H1454" t="s">
        <v>331</v>
      </c>
      <c r="I1454" t="s">
        <v>332</v>
      </c>
      <c r="J1454" s="11" t="str">
        <f>+LEFT(U1454,4)</f>
        <v>INM-</v>
      </c>
      <c r="K1454" t="s">
        <v>10</v>
      </c>
      <c r="L1454">
        <v>25</v>
      </c>
      <c r="M1454" t="s">
        <v>186</v>
      </c>
      <c r="N1454" t="s">
        <v>11</v>
      </c>
      <c r="O1454">
        <v>64.778800000000004</v>
      </c>
      <c r="P1454" s="12">
        <f>ROUND(O1454*L1454,2)</f>
        <v>1619.47</v>
      </c>
      <c r="Q1454" s="13">
        <f>IF(N1454="HKD",7.8,IF(N1454="CNY",7.30034,1))</f>
        <v>7.3003400000000003</v>
      </c>
      <c r="R1454" s="15">
        <f>+ROUND(O1454/Q1454,4)</f>
        <v>8.8734000000000002</v>
      </c>
      <c r="S1454" s="14">
        <f>ROUND(R1454*L1454,2)</f>
        <v>221.84</v>
      </c>
      <c r="T1454" s="15" t="s">
        <v>349</v>
      </c>
      <c r="U1454" t="s">
        <v>327</v>
      </c>
    </row>
    <row r="1455" spans="1:21" x14ac:dyDescent="0.2">
      <c r="A1455" t="s">
        <v>2756</v>
      </c>
      <c r="B1455" s="24">
        <v>45742</v>
      </c>
      <c r="C1455" s="24">
        <v>45729</v>
      </c>
      <c r="D1455" t="s">
        <v>311</v>
      </c>
      <c r="E1455" t="s">
        <v>312</v>
      </c>
      <c r="G1455" t="s">
        <v>3045</v>
      </c>
      <c r="H1455" t="s">
        <v>331</v>
      </c>
      <c r="I1455" t="s">
        <v>332</v>
      </c>
      <c r="J1455" s="11" t="str">
        <f>+LEFT(U1455,4)</f>
        <v>INM-</v>
      </c>
      <c r="K1455" t="s">
        <v>10</v>
      </c>
      <c r="L1455">
        <v>50</v>
      </c>
      <c r="M1455" t="s">
        <v>186</v>
      </c>
      <c r="N1455" t="s">
        <v>11</v>
      </c>
      <c r="O1455">
        <v>64.778800000000004</v>
      </c>
      <c r="P1455" s="12">
        <f>ROUND(O1455*L1455,2)</f>
        <v>3238.94</v>
      </c>
      <c r="Q1455" s="13">
        <f>IF(N1455="HKD",7.8,IF(N1455="CNY",7.30034,1))</f>
        <v>7.3003400000000003</v>
      </c>
      <c r="R1455" s="15">
        <f>+ROUND(O1455/Q1455,4)</f>
        <v>8.8734000000000002</v>
      </c>
      <c r="S1455" s="14">
        <f>ROUND(R1455*L1455,2)</f>
        <v>443.67</v>
      </c>
      <c r="T1455" s="15" t="s">
        <v>349</v>
      </c>
      <c r="U1455" t="s">
        <v>327</v>
      </c>
    </row>
    <row r="1456" spans="1:21" x14ac:dyDescent="0.2">
      <c r="A1456" t="s">
        <v>2758</v>
      </c>
      <c r="B1456" s="24">
        <v>45742</v>
      </c>
      <c r="C1456" s="24">
        <v>45729</v>
      </c>
      <c r="D1456" t="s">
        <v>311</v>
      </c>
      <c r="E1456" t="s">
        <v>312</v>
      </c>
      <c r="G1456" t="s">
        <v>3045</v>
      </c>
      <c r="H1456" t="s">
        <v>328</v>
      </c>
      <c r="I1456" t="s">
        <v>329</v>
      </c>
      <c r="J1456" s="11" t="str">
        <f>+LEFT(U1456,4)</f>
        <v>INM-</v>
      </c>
      <c r="K1456" t="s">
        <v>10</v>
      </c>
      <c r="L1456">
        <v>25</v>
      </c>
      <c r="M1456" t="s">
        <v>186</v>
      </c>
      <c r="N1456" t="s">
        <v>11</v>
      </c>
      <c r="O1456">
        <v>69.026499999999999</v>
      </c>
      <c r="P1456" s="12">
        <f>ROUND(O1456*L1456,2)</f>
        <v>1725.66</v>
      </c>
      <c r="Q1456" s="13">
        <f>IF(N1456="HKD",7.8,IF(N1456="CNY",7.30034,1))</f>
        <v>7.3003400000000003</v>
      </c>
      <c r="R1456" s="15">
        <f>+ROUND(O1456/Q1456,4)</f>
        <v>9.4551999999999996</v>
      </c>
      <c r="S1456" s="14">
        <f>ROUND(R1456*L1456,2)</f>
        <v>236.38</v>
      </c>
      <c r="T1456" s="15" t="s">
        <v>349</v>
      </c>
      <c r="U1456" t="s">
        <v>327</v>
      </c>
    </row>
    <row r="1457" spans="1:21" x14ac:dyDescent="0.2">
      <c r="A1457" t="s">
        <v>2759</v>
      </c>
      <c r="B1457" s="24">
        <v>45742</v>
      </c>
      <c r="C1457" s="24">
        <v>45729</v>
      </c>
      <c r="D1457" t="s">
        <v>311</v>
      </c>
      <c r="E1457" t="s">
        <v>312</v>
      </c>
      <c r="G1457" t="s">
        <v>3045</v>
      </c>
      <c r="H1457" t="s">
        <v>323</v>
      </c>
      <c r="I1457" t="s">
        <v>324</v>
      </c>
      <c r="J1457" s="11" t="str">
        <f>+LEFT(U1457,4)</f>
        <v>INM-</v>
      </c>
      <c r="K1457" t="s">
        <v>10</v>
      </c>
      <c r="L1457">
        <v>50</v>
      </c>
      <c r="M1457" t="s">
        <v>186</v>
      </c>
      <c r="N1457" t="s">
        <v>11</v>
      </c>
      <c r="O1457">
        <v>69.026499999999999</v>
      </c>
      <c r="P1457" s="12">
        <f>ROUND(O1457*L1457,2)</f>
        <v>3451.33</v>
      </c>
      <c r="Q1457" s="13">
        <f>IF(N1457="HKD",7.8,IF(N1457="CNY",7.30034,1))</f>
        <v>7.3003400000000003</v>
      </c>
      <c r="R1457" s="15">
        <f>+ROUND(O1457/Q1457,4)</f>
        <v>9.4551999999999996</v>
      </c>
      <c r="S1457" s="14">
        <f>ROUND(R1457*L1457,2)</f>
        <v>472.76</v>
      </c>
      <c r="T1457" s="15" t="s">
        <v>349</v>
      </c>
      <c r="U1457" t="s">
        <v>327</v>
      </c>
    </row>
    <row r="1458" spans="1:21" x14ac:dyDescent="0.2">
      <c r="A1458" t="s">
        <v>2584</v>
      </c>
      <c r="B1458" s="24">
        <v>45733</v>
      </c>
      <c r="C1458" s="24">
        <v>45716</v>
      </c>
      <c r="D1458" t="s">
        <v>2827</v>
      </c>
      <c r="E1458" t="s">
        <v>2828</v>
      </c>
      <c r="G1458" t="s">
        <v>3004</v>
      </c>
      <c r="H1458" t="s">
        <v>3187</v>
      </c>
      <c r="I1458" t="s">
        <v>3394</v>
      </c>
      <c r="J1458" s="11" t="str">
        <f>+LEFT(U1458,4)</f>
        <v>INM-</v>
      </c>
      <c r="K1458" t="s">
        <v>10</v>
      </c>
      <c r="L1458">
        <v>150</v>
      </c>
      <c r="M1458" t="s">
        <v>186</v>
      </c>
      <c r="N1458" t="s">
        <v>11</v>
      </c>
      <c r="O1458">
        <v>81</v>
      </c>
      <c r="P1458" s="12">
        <f>ROUND(O1458*L1458,2)</f>
        <v>12150</v>
      </c>
      <c r="Q1458" s="13">
        <f>IF(N1458="HKD",7.8,IF(N1458="CNY",7.30034,1))</f>
        <v>7.3003400000000003</v>
      </c>
      <c r="R1458" s="15">
        <f>+ROUND(O1458/Q1458,4)</f>
        <v>11.0954</v>
      </c>
      <c r="S1458" s="14">
        <f>ROUND(R1458*L1458,2)</f>
        <v>1664.31</v>
      </c>
      <c r="T1458" s="15" t="s">
        <v>349</v>
      </c>
      <c r="U1458" t="s">
        <v>327</v>
      </c>
    </row>
    <row r="1459" spans="1:21" x14ac:dyDescent="0.2">
      <c r="A1459" t="s">
        <v>2610</v>
      </c>
      <c r="B1459" s="24">
        <v>45734</v>
      </c>
      <c r="C1459" s="24">
        <v>45720</v>
      </c>
      <c r="D1459" t="s">
        <v>311</v>
      </c>
      <c r="E1459" t="s">
        <v>312</v>
      </c>
      <c r="G1459" t="s">
        <v>3013</v>
      </c>
      <c r="H1459" t="s">
        <v>3199</v>
      </c>
      <c r="I1459" t="s">
        <v>3406</v>
      </c>
      <c r="J1459" s="11" t="str">
        <f>+LEFT(U1459,4)</f>
        <v>EXM-</v>
      </c>
      <c r="K1459" t="s">
        <v>10</v>
      </c>
      <c r="L1459">
        <v>25</v>
      </c>
      <c r="M1459" t="s">
        <v>186</v>
      </c>
      <c r="N1459" t="s">
        <v>11</v>
      </c>
      <c r="O1459">
        <v>88.495599999999996</v>
      </c>
      <c r="P1459" s="12">
        <f>ROUND(O1459*L1459,2)</f>
        <v>2212.39</v>
      </c>
      <c r="Q1459" s="13">
        <f>IF(N1459="HKD",7.8,IF(N1459="CNY",7.30034,1))</f>
        <v>7.3003400000000003</v>
      </c>
      <c r="R1459" s="15">
        <f>+ROUND(O1459/Q1459,4)</f>
        <v>12.1221</v>
      </c>
      <c r="S1459" s="14">
        <f>ROUND(R1459*L1459,2)</f>
        <v>303.05</v>
      </c>
      <c r="T1459" s="15" t="s">
        <v>349</v>
      </c>
      <c r="U1459" t="s">
        <v>315</v>
      </c>
    </row>
    <row r="1460" spans="1:21" x14ac:dyDescent="0.2">
      <c r="A1460" t="s">
        <v>2673</v>
      </c>
      <c r="B1460" s="24">
        <v>45742</v>
      </c>
      <c r="C1460" s="24">
        <v>45726</v>
      </c>
      <c r="D1460" t="s">
        <v>311</v>
      </c>
      <c r="E1460" t="s">
        <v>312</v>
      </c>
      <c r="G1460" t="s">
        <v>3027</v>
      </c>
      <c r="H1460" t="s">
        <v>3199</v>
      </c>
      <c r="I1460" t="s">
        <v>3406</v>
      </c>
      <c r="J1460" s="11" t="str">
        <f>+LEFT(U1460,4)</f>
        <v>EXM-</v>
      </c>
      <c r="K1460" t="s">
        <v>10</v>
      </c>
      <c r="L1460">
        <v>25</v>
      </c>
      <c r="M1460" t="s">
        <v>186</v>
      </c>
      <c r="N1460" t="s">
        <v>11</v>
      </c>
      <c r="O1460">
        <v>88.495599999999996</v>
      </c>
      <c r="P1460" s="12">
        <f>ROUND(O1460*L1460,2)</f>
        <v>2212.39</v>
      </c>
      <c r="Q1460" s="13">
        <f>IF(N1460="HKD",7.8,IF(N1460="CNY",7.30034,1))</f>
        <v>7.3003400000000003</v>
      </c>
      <c r="R1460" s="15">
        <f>+ROUND(O1460/Q1460,4)</f>
        <v>12.1221</v>
      </c>
      <c r="S1460" s="14">
        <f>ROUND(R1460*L1460,2)</f>
        <v>303.05</v>
      </c>
      <c r="T1460" s="15" t="s">
        <v>349</v>
      </c>
      <c r="U1460" t="s">
        <v>315</v>
      </c>
    </row>
    <row r="1461" spans="1:21" x14ac:dyDescent="0.2">
      <c r="A1461" s="19" t="s">
        <v>1106</v>
      </c>
      <c r="B1461" s="20">
        <v>45663</v>
      </c>
      <c r="C1461" s="20">
        <v>45650</v>
      </c>
      <c r="D1461" s="19" t="s">
        <v>169</v>
      </c>
      <c r="E1461" s="19" t="s">
        <v>170</v>
      </c>
      <c r="G1461" s="19" t="s">
        <v>1107</v>
      </c>
      <c r="H1461" s="19" t="s">
        <v>1104</v>
      </c>
      <c r="I1461" s="19" t="s">
        <v>1105</v>
      </c>
      <c r="J1461" s="11" t="str">
        <f>+LEFT(U1461,4)</f>
        <v>WACD</v>
      </c>
      <c r="K1461" s="19" t="s">
        <v>10</v>
      </c>
      <c r="L1461" s="19">
        <v>1000</v>
      </c>
      <c r="M1461" s="19" t="s">
        <v>1472</v>
      </c>
      <c r="N1461" s="19" t="s">
        <v>11</v>
      </c>
      <c r="O1461" s="26">
        <v>0.26800000000000002</v>
      </c>
      <c r="P1461" s="12">
        <f>ROUND(O1461*L1461,2)</f>
        <v>268</v>
      </c>
      <c r="Q1461" s="13">
        <f>IF(N1461="HKD",7.8,IF(N1461="CNY",7.30034,1))</f>
        <v>7.3003400000000003</v>
      </c>
      <c r="R1461" s="15">
        <f>+ROUND(O1461/Q1461,4)</f>
        <v>3.6700000000000003E-2</v>
      </c>
      <c r="S1461" s="14">
        <f>ROUND(R1461*L1461,2)</f>
        <v>36.700000000000003</v>
      </c>
      <c r="T1461" s="15" t="s">
        <v>349</v>
      </c>
      <c r="U1461" s="19" t="s">
        <v>635</v>
      </c>
    </row>
    <row r="1462" spans="1:21" x14ac:dyDescent="0.2">
      <c r="A1462" s="19" t="s">
        <v>633</v>
      </c>
      <c r="B1462" s="20">
        <v>45670</v>
      </c>
      <c r="C1462" s="20">
        <v>45643</v>
      </c>
      <c r="D1462" s="19" t="s">
        <v>169</v>
      </c>
      <c r="E1462" s="19" t="s">
        <v>170</v>
      </c>
      <c r="G1462" s="19" t="s">
        <v>634</v>
      </c>
      <c r="H1462" s="19" t="s">
        <v>631</v>
      </c>
      <c r="I1462" s="19" t="s">
        <v>632</v>
      </c>
      <c r="J1462" s="11" t="str">
        <f>+LEFT(U1462,4)</f>
        <v>WACD</v>
      </c>
      <c r="K1462" s="19" t="s">
        <v>10</v>
      </c>
      <c r="L1462" s="19">
        <v>2010</v>
      </c>
      <c r="M1462" s="19" t="s">
        <v>1472</v>
      </c>
      <c r="N1462" s="19" t="s">
        <v>11</v>
      </c>
      <c r="O1462" s="26">
        <v>6.5000000000000002E-2</v>
      </c>
      <c r="P1462" s="12">
        <f>ROUND(O1462*L1462,2)</f>
        <v>130.65</v>
      </c>
      <c r="Q1462" s="13">
        <f>IF(N1462="HKD",7.8,IF(N1462="CNY",7.30034,1))</f>
        <v>7.3003400000000003</v>
      </c>
      <c r="R1462" s="15">
        <f>+ROUND(O1462/Q1462,4)</f>
        <v>8.8999999999999999E-3</v>
      </c>
      <c r="S1462" s="14">
        <f>ROUND(R1462*L1462,2)</f>
        <v>17.89</v>
      </c>
      <c r="T1462" s="15" t="s">
        <v>349</v>
      </c>
      <c r="U1462" s="19" t="s">
        <v>635</v>
      </c>
    </row>
    <row r="1463" spans="1:21" x14ac:dyDescent="0.2">
      <c r="A1463" s="19" t="s">
        <v>638</v>
      </c>
      <c r="B1463" s="20">
        <v>45670</v>
      </c>
      <c r="C1463" s="20">
        <v>45643</v>
      </c>
      <c r="D1463" s="19" t="s">
        <v>169</v>
      </c>
      <c r="E1463" s="19" t="s">
        <v>170</v>
      </c>
      <c r="G1463" s="19" t="s">
        <v>634</v>
      </c>
      <c r="H1463" s="19" t="s">
        <v>636</v>
      </c>
      <c r="I1463" s="19" t="s">
        <v>637</v>
      </c>
      <c r="J1463" s="11" t="str">
        <f>+LEFT(U1463,4)</f>
        <v>WACD</v>
      </c>
      <c r="K1463" s="19" t="s">
        <v>10</v>
      </c>
      <c r="L1463" s="19">
        <v>710</v>
      </c>
      <c r="M1463" s="19" t="s">
        <v>1472</v>
      </c>
      <c r="N1463" s="19" t="s">
        <v>11</v>
      </c>
      <c r="O1463" s="26">
        <v>0.315</v>
      </c>
      <c r="P1463" s="12">
        <f>ROUND(O1463*L1463,2)</f>
        <v>223.65</v>
      </c>
      <c r="Q1463" s="13">
        <f>IF(N1463="HKD",7.8,IF(N1463="CNY",7.30034,1))</f>
        <v>7.3003400000000003</v>
      </c>
      <c r="R1463" s="15">
        <f>+ROUND(O1463/Q1463,4)</f>
        <v>4.3099999999999999E-2</v>
      </c>
      <c r="S1463" s="14">
        <f>ROUND(R1463*L1463,2)</f>
        <v>30.6</v>
      </c>
      <c r="T1463" s="15" t="s">
        <v>349</v>
      </c>
      <c r="U1463" s="19" t="s">
        <v>635</v>
      </c>
    </row>
    <row r="1464" spans="1:21" x14ac:dyDescent="0.2">
      <c r="A1464" t="s">
        <v>1882</v>
      </c>
      <c r="B1464" s="24">
        <v>45708</v>
      </c>
      <c r="C1464" s="24">
        <v>45706</v>
      </c>
      <c r="D1464" t="s">
        <v>169</v>
      </c>
      <c r="E1464" t="s">
        <v>170</v>
      </c>
      <c r="G1464" t="s">
        <v>2154</v>
      </c>
      <c r="H1464" s="19" t="s">
        <v>1617</v>
      </c>
      <c r="I1464" s="19" t="s">
        <v>1618</v>
      </c>
      <c r="J1464" s="11" t="str">
        <f>+LEFT(U1464,4)</f>
        <v>WACD</v>
      </c>
      <c r="K1464" t="s">
        <v>10</v>
      </c>
      <c r="L1464" s="19">
        <v>1000</v>
      </c>
      <c r="M1464" t="s">
        <v>1472</v>
      </c>
      <c r="N1464" t="s">
        <v>11</v>
      </c>
      <c r="O1464" s="26">
        <v>0.252</v>
      </c>
      <c r="P1464" s="12">
        <f>ROUND(O1464*L1464,2)</f>
        <v>252</v>
      </c>
      <c r="Q1464" s="13">
        <f>IF(N1464="HKD",7.8,IF(N1464="CNY",7.30034,1))</f>
        <v>7.3003400000000003</v>
      </c>
      <c r="R1464" s="15">
        <f>+ROUND(O1464/Q1464,4)</f>
        <v>3.4500000000000003E-2</v>
      </c>
      <c r="S1464" s="14">
        <f>ROUND(R1464*L1464,2)</f>
        <v>34.5</v>
      </c>
      <c r="T1464" s="15" t="s">
        <v>349</v>
      </c>
      <c r="U1464" t="s">
        <v>635</v>
      </c>
    </row>
    <row r="1465" spans="1:21" x14ac:dyDescent="0.2">
      <c r="A1465" t="s">
        <v>1890</v>
      </c>
      <c r="B1465" s="24">
        <v>45708</v>
      </c>
      <c r="C1465" s="24">
        <v>45671</v>
      </c>
      <c r="D1465" t="s">
        <v>169</v>
      </c>
      <c r="E1465" t="s">
        <v>170</v>
      </c>
      <c r="G1465" t="s">
        <v>2154</v>
      </c>
      <c r="H1465" s="19" t="s">
        <v>1627</v>
      </c>
      <c r="I1465" s="19" t="s">
        <v>1628</v>
      </c>
      <c r="J1465" s="11" t="str">
        <f>+LEFT(U1465,4)</f>
        <v>WACD</v>
      </c>
      <c r="K1465" t="s">
        <v>10</v>
      </c>
      <c r="L1465" s="19">
        <v>1500</v>
      </c>
      <c r="M1465" t="s">
        <v>1472</v>
      </c>
      <c r="N1465" t="s">
        <v>11</v>
      </c>
      <c r="O1465" s="26">
        <v>0.39200000000000002</v>
      </c>
      <c r="P1465" s="12">
        <f>ROUND(O1465*L1465,2)</f>
        <v>588</v>
      </c>
      <c r="Q1465" s="13">
        <f>IF(N1465="HKD",7.8,IF(N1465="CNY",7.30034,1))</f>
        <v>7.3003400000000003</v>
      </c>
      <c r="R1465" s="15">
        <f>+ROUND(O1465/Q1465,4)</f>
        <v>5.3699999999999998E-2</v>
      </c>
      <c r="S1465" s="14">
        <f>ROUND(R1465*L1465,2)</f>
        <v>80.55</v>
      </c>
      <c r="T1465" s="15" t="s">
        <v>349</v>
      </c>
      <c r="U1465" t="s">
        <v>635</v>
      </c>
    </row>
    <row r="1466" spans="1:21" x14ac:dyDescent="0.2">
      <c r="A1466" t="s">
        <v>2548</v>
      </c>
      <c r="B1466" s="24">
        <v>45733</v>
      </c>
      <c r="C1466" s="24">
        <v>45716</v>
      </c>
      <c r="D1466" t="s">
        <v>311</v>
      </c>
      <c r="E1466" t="s">
        <v>312</v>
      </c>
      <c r="G1466" t="s">
        <v>2992</v>
      </c>
      <c r="H1466" t="s">
        <v>662</v>
      </c>
      <c r="I1466" t="s">
        <v>663</v>
      </c>
      <c r="J1466" s="11" t="str">
        <f>+LEFT(U1466,4)</f>
        <v>INM-</v>
      </c>
      <c r="K1466" t="s">
        <v>10</v>
      </c>
      <c r="L1466">
        <v>75</v>
      </c>
      <c r="M1466" t="s">
        <v>186</v>
      </c>
      <c r="N1466" t="s">
        <v>11</v>
      </c>
      <c r="O1466">
        <v>92.743399999999994</v>
      </c>
      <c r="P1466" s="12">
        <f>ROUND(O1466*L1466,2)</f>
        <v>6955.76</v>
      </c>
      <c r="Q1466" s="13">
        <f>IF(N1466="HKD",7.8,IF(N1466="CNY",7.30034,1))</f>
        <v>7.3003400000000003</v>
      </c>
      <c r="R1466" s="15">
        <f>+ROUND(O1466/Q1466,4)</f>
        <v>12.704000000000001</v>
      </c>
      <c r="S1466" s="14">
        <f>ROUND(R1466*L1466,2)</f>
        <v>952.8</v>
      </c>
      <c r="T1466" s="15" t="s">
        <v>349</v>
      </c>
      <c r="U1466" t="s">
        <v>327</v>
      </c>
    </row>
    <row r="1467" spans="1:21" x14ac:dyDescent="0.2">
      <c r="A1467" t="s">
        <v>2650</v>
      </c>
      <c r="B1467" s="24">
        <v>45742</v>
      </c>
      <c r="C1467" s="24">
        <v>45721</v>
      </c>
      <c r="D1467" t="s">
        <v>311</v>
      </c>
      <c r="E1467" t="s">
        <v>312</v>
      </c>
      <c r="G1467" t="s">
        <v>3023</v>
      </c>
      <c r="H1467" t="s">
        <v>662</v>
      </c>
      <c r="I1467" t="s">
        <v>663</v>
      </c>
      <c r="J1467" s="11" t="str">
        <f>+LEFT(U1467,4)</f>
        <v>INM-</v>
      </c>
      <c r="K1467" t="s">
        <v>10</v>
      </c>
      <c r="L1467">
        <v>75</v>
      </c>
      <c r="M1467" t="s">
        <v>186</v>
      </c>
      <c r="N1467" t="s">
        <v>11</v>
      </c>
      <c r="O1467">
        <v>92.743399999999994</v>
      </c>
      <c r="P1467" s="12">
        <f>ROUND(O1467*L1467,2)</f>
        <v>6955.76</v>
      </c>
      <c r="Q1467" s="13">
        <f>IF(N1467="HKD",7.8,IF(N1467="CNY",7.30034,1))</f>
        <v>7.3003400000000003</v>
      </c>
      <c r="R1467" s="15">
        <f>+ROUND(O1467/Q1467,4)</f>
        <v>12.704000000000001</v>
      </c>
      <c r="S1467" s="14">
        <f>ROUND(R1467*L1467,2)</f>
        <v>952.8</v>
      </c>
      <c r="T1467" s="15" t="s">
        <v>349</v>
      </c>
      <c r="U1467" t="s">
        <v>327</v>
      </c>
    </row>
    <row r="1468" spans="1:21" x14ac:dyDescent="0.2">
      <c r="A1468" s="19" t="s">
        <v>1392</v>
      </c>
      <c r="B1468" s="20">
        <v>45659</v>
      </c>
      <c r="C1468" s="20">
        <v>45609</v>
      </c>
      <c r="D1468" s="19" t="s">
        <v>143</v>
      </c>
      <c r="E1468" s="19" t="s">
        <v>144</v>
      </c>
      <c r="G1468" s="19" t="s">
        <v>1389</v>
      </c>
      <c r="H1468" s="19" t="s">
        <v>939</v>
      </c>
      <c r="I1468" s="19" t="s">
        <v>940</v>
      </c>
      <c r="J1468" s="11" t="str">
        <f>+LEFT(U1468,4)</f>
        <v>WHR-</v>
      </c>
      <c r="K1468" s="19" t="s">
        <v>10</v>
      </c>
      <c r="L1468" s="19">
        <v>4000</v>
      </c>
      <c r="M1468" s="19" t="s">
        <v>1472</v>
      </c>
      <c r="N1468" s="19" t="s">
        <v>11</v>
      </c>
      <c r="O1468" s="26">
        <v>6.2E-2</v>
      </c>
      <c r="P1468" s="12">
        <f>ROUND(O1468*L1468,2)</f>
        <v>248</v>
      </c>
      <c r="Q1468" s="13">
        <f>IF(N1468="HKD",7.8,IF(N1468="CNY",7.30034,1))</f>
        <v>7.3003400000000003</v>
      </c>
      <c r="R1468" s="15">
        <f>+ROUND(O1468/Q1468,4)</f>
        <v>8.5000000000000006E-3</v>
      </c>
      <c r="S1468" s="14">
        <f>ROUND(R1468*L1468,2)</f>
        <v>34</v>
      </c>
      <c r="T1468" s="15" t="s">
        <v>349</v>
      </c>
      <c r="U1468" s="19" t="s">
        <v>248</v>
      </c>
    </row>
    <row r="1469" spans="1:21" x14ac:dyDescent="0.2">
      <c r="A1469" s="19" t="s">
        <v>1391</v>
      </c>
      <c r="B1469" s="20">
        <v>45659</v>
      </c>
      <c r="C1469" s="20">
        <v>45622</v>
      </c>
      <c r="D1469" s="19" t="s">
        <v>143</v>
      </c>
      <c r="E1469" s="19" t="s">
        <v>144</v>
      </c>
      <c r="G1469" s="19" t="s">
        <v>1389</v>
      </c>
      <c r="H1469" s="19" t="s">
        <v>939</v>
      </c>
      <c r="I1469" s="19" t="s">
        <v>940</v>
      </c>
      <c r="J1469" s="11" t="str">
        <f>+LEFT(U1469,4)</f>
        <v>WHR-</v>
      </c>
      <c r="K1469" s="19" t="s">
        <v>10</v>
      </c>
      <c r="L1469" s="19">
        <v>2000</v>
      </c>
      <c r="M1469" s="19" t="s">
        <v>1472</v>
      </c>
      <c r="N1469" s="19" t="s">
        <v>11</v>
      </c>
      <c r="O1469" s="26">
        <v>6.2E-2</v>
      </c>
      <c r="P1469" s="12">
        <f>ROUND(O1469*L1469,2)</f>
        <v>124</v>
      </c>
      <c r="Q1469" s="13">
        <f>IF(N1469="HKD",7.8,IF(N1469="CNY",7.30034,1))</f>
        <v>7.3003400000000003</v>
      </c>
      <c r="R1469" s="15">
        <f>+ROUND(O1469/Q1469,4)</f>
        <v>8.5000000000000006E-3</v>
      </c>
      <c r="S1469" s="14">
        <f>ROUND(R1469*L1469,2)</f>
        <v>17</v>
      </c>
      <c r="T1469" s="15" t="s">
        <v>349</v>
      </c>
      <c r="U1469" s="19" t="s">
        <v>248</v>
      </c>
    </row>
    <row r="1470" spans="1:21" x14ac:dyDescent="0.2">
      <c r="A1470" s="19" t="s">
        <v>1390</v>
      </c>
      <c r="B1470" s="20">
        <v>45659</v>
      </c>
      <c r="C1470" s="20">
        <v>45643</v>
      </c>
      <c r="D1470" s="19" t="s">
        <v>143</v>
      </c>
      <c r="E1470" s="19" t="s">
        <v>144</v>
      </c>
      <c r="G1470" s="19" t="s">
        <v>1389</v>
      </c>
      <c r="H1470" s="19" t="s">
        <v>939</v>
      </c>
      <c r="I1470" s="19" t="s">
        <v>940</v>
      </c>
      <c r="J1470" s="11" t="str">
        <f>+LEFT(U1470,4)</f>
        <v>WHR-</v>
      </c>
      <c r="K1470" s="19" t="s">
        <v>10</v>
      </c>
      <c r="L1470" s="19">
        <v>2000</v>
      </c>
      <c r="M1470" s="19" t="s">
        <v>1472</v>
      </c>
      <c r="N1470" s="19" t="s">
        <v>11</v>
      </c>
      <c r="O1470" s="26">
        <v>6.2E-2</v>
      </c>
      <c r="P1470" s="12">
        <f>ROUND(O1470*L1470,2)</f>
        <v>124</v>
      </c>
      <c r="Q1470" s="13">
        <f>IF(N1470="HKD",7.8,IF(N1470="CNY",7.30034,1))</f>
        <v>7.3003400000000003</v>
      </c>
      <c r="R1470" s="15">
        <f>+ROUND(O1470/Q1470,4)</f>
        <v>8.5000000000000006E-3</v>
      </c>
      <c r="S1470" s="14">
        <f>ROUND(R1470*L1470,2)</f>
        <v>17</v>
      </c>
      <c r="T1470" s="15" t="s">
        <v>349</v>
      </c>
      <c r="U1470" s="19" t="s">
        <v>248</v>
      </c>
    </row>
    <row r="1471" spans="1:21" x14ac:dyDescent="0.2">
      <c r="A1471" s="19" t="s">
        <v>1399</v>
      </c>
      <c r="B1471" s="20">
        <v>45659</v>
      </c>
      <c r="C1471" s="20">
        <v>45643</v>
      </c>
      <c r="D1471" s="19" t="s">
        <v>143</v>
      </c>
      <c r="E1471" s="19" t="s">
        <v>144</v>
      </c>
      <c r="G1471" s="19" t="s">
        <v>1396</v>
      </c>
      <c r="H1471" s="19" t="s">
        <v>1397</v>
      </c>
      <c r="I1471" s="19" t="s">
        <v>1398</v>
      </c>
      <c r="J1471" s="11" t="str">
        <f>+LEFT(U1471,4)</f>
        <v>WHR-</v>
      </c>
      <c r="K1471" s="19" t="s">
        <v>10</v>
      </c>
      <c r="L1471" s="19">
        <v>2500</v>
      </c>
      <c r="M1471" s="19" t="s">
        <v>1472</v>
      </c>
      <c r="N1471" s="19" t="s">
        <v>11</v>
      </c>
      <c r="O1471" s="26">
        <v>8.9499999999999996E-2</v>
      </c>
      <c r="P1471" s="12">
        <f>ROUND(O1471*L1471,2)</f>
        <v>223.75</v>
      </c>
      <c r="Q1471" s="13">
        <f>IF(N1471="HKD",7.8,IF(N1471="CNY",7.30034,1))</f>
        <v>7.3003400000000003</v>
      </c>
      <c r="R1471" s="15">
        <f>+ROUND(O1471/Q1471,4)</f>
        <v>1.23E-2</v>
      </c>
      <c r="S1471" s="14">
        <f>ROUND(R1471*L1471,2)</f>
        <v>30.75</v>
      </c>
      <c r="T1471" s="15" t="s">
        <v>349</v>
      </c>
      <c r="U1471" s="19" t="s">
        <v>248</v>
      </c>
    </row>
    <row r="1472" spans="1:21" x14ac:dyDescent="0.2">
      <c r="A1472" s="19" t="s">
        <v>1400</v>
      </c>
      <c r="B1472" s="20">
        <v>45659</v>
      </c>
      <c r="C1472" s="20">
        <v>45644</v>
      </c>
      <c r="D1472" s="19" t="s">
        <v>143</v>
      </c>
      <c r="E1472" s="19" t="s">
        <v>144</v>
      </c>
      <c r="G1472" s="19" t="s">
        <v>1396</v>
      </c>
      <c r="H1472" s="19" t="s">
        <v>1397</v>
      </c>
      <c r="I1472" s="19" t="s">
        <v>1398</v>
      </c>
      <c r="J1472" s="11" t="str">
        <f>+LEFT(U1472,4)</f>
        <v>WHR-</v>
      </c>
      <c r="K1472" s="19" t="s">
        <v>10</v>
      </c>
      <c r="L1472" s="19">
        <v>9000</v>
      </c>
      <c r="M1472" s="19" t="s">
        <v>1472</v>
      </c>
      <c r="N1472" s="19" t="s">
        <v>11</v>
      </c>
      <c r="O1472" s="26">
        <v>8.9499999999999996E-2</v>
      </c>
      <c r="P1472" s="12">
        <f>ROUND(O1472*L1472,2)</f>
        <v>805.5</v>
      </c>
      <c r="Q1472" s="13">
        <f>IF(N1472="HKD",7.8,IF(N1472="CNY",7.30034,1))</f>
        <v>7.3003400000000003</v>
      </c>
      <c r="R1472" s="15">
        <f>+ROUND(O1472/Q1472,4)</f>
        <v>1.23E-2</v>
      </c>
      <c r="S1472" s="14">
        <f>ROUND(R1472*L1472,2)</f>
        <v>110.7</v>
      </c>
      <c r="T1472" s="15" t="s">
        <v>349</v>
      </c>
      <c r="U1472" s="19" t="s">
        <v>248</v>
      </c>
    </row>
    <row r="1473" spans="1:21" x14ac:dyDescent="0.2">
      <c r="A1473" s="19" t="s">
        <v>1401</v>
      </c>
      <c r="B1473" s="20">
        <v>45659</v>
      </c>
      <c r="C1473" s="20">
        <v>45609</v>
      </c>
      <c r="D1473" s="19" t="s">
        <v>143</v>
      </c>
      <c r="E1473" s="19" t="s">
        <v>144</v>
      </c>
      <c r="G1473" s="19" t="s">
        <v>1396</v>
      </c>
      <c r="H1473" s="19" t="s">
        <v>245</v>
      </c>
      <c r="I1473" s="19" t="s">
        <v>246</v>
      </c>
      <c r="J1473" s="11" t="str">
        <f>+LEFT(U1473,4)</f>
        <v>WHR-</v>
      </c>
      <c r="K1473" s="19" t="s">
        <v>10</v>
      </c>
      <c r="L1473" s="19">
        <v>2300</v>
      </c>
      <c r="M1473" s="19" t="s">
        <v>1472</v>
      </c>
      <c r="N1473" s="19" t="s">
        <v>11</v>
      </c>
      <c r="O1473" s="26">
        <v>0.1096</v>
      </c>
      <c r="P1473" s="12">
        <f>ROUND(O1473*L1473,2)</f>
        <v>252.08</v>
      </c>
      <c r="Q1473" s="13">
        <f>IF(N1473="HKD",7.8,IF(N1473="CNY",7.30034,1))</f>
        <v>7.3003400000000003</v>
      </c>
      <c r="R1473" s="15">
        <f>+ROUND(O1473/Q1473,4)</f>
        <v>1.4999999999999999E-2</v>
      </c>
      <c r="S1473" s="14">
        <f>ROUND(R1473*L1473,2)</f>
        <v>34.5</v>
      </c>
      <c r="T1473" s="15" t="s">
        <v>349</v>
      </c>
      <c r="U1473" s="19" t="s">
        <v>248</v>
      </c>
    </row>
    <row r="1474" spans="1:21" x14ac:dyDescent="0.2">
      <c r="A1474" s="19" t="s">
        <v>1414</v>
      </c>
      <c r="B1474" s="20">
        <v>45659</v>
      </c>
      <c r="C1474" s="20">
        <v>45639</v>
      </c>
      <c r="D1474" s="19" t="s">
        <v>569</v>
      </c>
      <c r="E1474" s="19" t="s">
        <v>570</v>
      </c>
      <c r="G1474" s="19" t="s">
        <v>1403</v>
      </c>
      <c r="H1474" s="19" t="s">
        <v>1412</v>
      </c>
      <c r="I1474" s="19" t="s">
        <v>1413</v>
      </c>
      <c r="J1474" s="11" t="str">
        <f>+LEFT(U1474,4)</f>
        <v>WHR-</v>
      </c>
      <c r="K1474" s="19" t="s">
        <v>10</v>
      </c>
      <c r="L1474" s="19">
        <v>2560</v>
      </c>
      <c r="M1474" s="19" t="s">
        <v>1472</v>
      </c>
      <c r="N1474" s="19" t="s">
        <v>11</v>
      </c>
      <c r="O1474" s="26">
        <v>0.1176</v>
      </c>
      <c r="P1474" s="12">
        <f>ROUND(O1474*L1474,2)</f>
        <v>301.06</v>
      </c>
      <c r="Q1474" s="13">
        <f>IF(N1474="HKD",7.8,IF(N1474="CNY",7.30034,1))</f>
        <v>7.3003400000000003</v>
      </c>
      <c r="R1474" s="15">
        <f>+ROUND(O1474/Q1474,4)</f>
        <v>1.61E-2</v>
      </c>
      <c r="S1474" s="14">
        <f>ROUND(R1474*L1474,2)</f>
        <v>41.22</v>
      </c>
      <c r="T1474" s="15" t="s">
        <v>349</v>
      </c>
      <c r="U1474" s="19" t="s">
        <v>248</v>
      </c>
    </row>
    <row r="1475" spans="1:21" x14ac:dyDescent="0.2">
      <c r="A1475" s="19" t="s">
        <v>1388</v>
      </c>
      <c r="B1475" s="20">
        <v>45659</v>
      </c>
      <c r="C1475" s="20">
        <v>45629</v>
      </c>
      <c r="D1475" s="19" t="s">
        <v>143</v>
      </c>
      <c r="E1475" s="19" t="s">
        <v>144</v>
      </c>
      <c r="G1475" s="19" t="s">
        <v>1389</v>
      </c>
      <c r="H1475" s="19" t="s">
        <v>1386</v>
      </c>
      <c r="I1475" s="19" t="s">
        <v>1387</v>
      </c>
      <c r="J1475" s="11" t="str">
        <f>+LEFT(U1475,4)</f>
        <v>WHR-</v>
      </c>
      <c r="K1475" s="19" t="s">
        <v>10</v>
      </c>
      <c r="L1475" s="19">
        <v>500</v>
      </c>
      <c r="M1475" s="19" t="s">
        <v>1472</v>
      </c>
      <c r="N1475" s="19" t="s">
        <v>11</v>
      </c>
      <c r="O1475" s="26">
        <v>0.14000000000000001</v>
      </c>
      <c r="P1475" s="12">
        <f>ROUND(O1475*L1475,2)</f>
        <v>70</v>
      </c>
      <c r="Q1475" s="13">
        <f>IF(N1475="HKD",7.8,IF(N1475="CNY",7.30034,1))</f>
        <v>7.3003400000000003</v>
      </c>
      <c r="R1475" s="15">
        <f>+ROUND(O1475/Q1475,4)</f>
        <v>1.9199999999999998E-2</v>
      </c>
      <c r="S1475" s="14">
        <f>ROUND(R1475*L1475,2)</f>
        <v>9.6</v>
      </c>
      <c r="T1475" s="15" t="s">
        <v>349</v>
      </c>
      <c r="U1475" s="19" t="s">
        <v>248</v>
      </c>
    </row>
    <row r="1476" spans="1:21" x14ac:dyDescent="0.2">
      <c r="A1476" s="19" t="s">
        <v>1402</v>
      </c>
      <c r="B1476" s="20">
        <v>45659</v>
      </c>
      <c r="C1476" s="20">
        <v>45644</v>
      </c>
      <c r="D1476" s="19" t="s">
        <v>569</v>
      </c>
      <c r="E1476" s="19" t="s">
        <v>570</v>
      </c>
      <c r="G1476" s="19" t="s">
        <v>1403</v>
      </c>
      <c r="H1476" s="19" t="s">
        <v>772</v>
      </c>
      <c r="I1476" s="19" t="s">
        <v>773</v>
      </c>
      <c r="J1476" s="11" t="str">
        <f>+LEFT(U1476,4)</f>
        <v>WHR-</v>
      </c>
      <c r="K1476" s="19" t="s">
        <v>10</v>
      </c>
      <c r="L1476" s="19">
        <v>2100</v>
      </c>
      <c r="M1476" s="19" t="s">
        <v>1472</v>
      </c>
      <c r="N1476" s="19" t="s">
        <v>11</v>
      </c>
      <c r="O1476" s="26">
        <v>0.441</v>
      </c>
      <c r="P1476" s="12">
        <f>ROUND(O1476*L1476,2)</f>
        <v>926.1</v>
      </c>
      <c r="Q1476" s="13">
        <f>IF(N1476="HKD",7.8,IF(N1476="CNY",7.30034,1))</f>
        <v>7.3003400000000003</v>
      </c>
      <c r="R1476" s="15">
        <f>+ROUND(O1476/Q1476,4)</f>
        <v>6.0400000000000002E-2</v>
      </c>
      <c r="S1476" s="14">
        <f>ROUND(R1476*L1476,2)</f>
        <v>126.84</v>
      </c>
      <c r="T1476" s="15" t="s">
        <v>349</v>
      </c>
      <c r="U1476" s="19" t="s">
        <v>248</v>
      </c>
    </row>
    <row r="1477" spans="1:21" x14ac:dyDescent="0.2">
      <c r="A1477" s="19" t="s">
        <v>943</v>
      </c>
      <c r="B1477" s="20">
        <v>45664</v>
      </c>
      <c r="C1477" s="20">
        <v>45629</v>
      </c>
      <c r="D1477" s="19" t="s">
        <v>143</v>
      </c>
      <c r="E1477" s="19" t="s">
        <v>144</v>
      </c>
      <c r="G1477" s="19" t="s">
        <v>942</v>
      </c>
      <c r="H1477" s="19" t="s">
        <v>939</v>
      </c>
      <c r="I1477" s="19" t="s">
        <v>940</v>
      </c>
      <c r="J1477" s="11" t="str">
        <f>+LEFT(U1477,4)</f>
        <v>WHR-</v>
      </c>
      <c r="K1477" s="19" t="s">
        <v>10</v>
      </c>
      <c r="L1477" s="19">
        <v>1000</v>
      </c>
      <c r="M1477" s="19" t="s">
        <v>1472</v>
      </c>
      <c r="N1477" s="19" t="s">
        <v>11</v>
      </c>
      <c r="O1477" s="26">
        <v>6.2E-2</v>
      </c>
      <c r="P1477" s="12">
        <f>ROUND(O1477*L1477,2)</f>
        <v>62</v>
      </c>
      <c r="Q1477" s="13">
        <f>IF(N1477="HKD",7.8,IF(N1477="CNY",7.30034,1))</f>
        <v>7.3003400000000003</v>
      </c>
      <c r="R1477" s="15">
        <f>+ROUND(O1477/Q1477,4)</f>
        <v>8.5000000000000006E-3</v>
      </c>
      <c r="S1477" s="14">
        <f>ROUND(R1477*L1477,2)</f>
        <v>8.5</v>
      </c>
      <c r="T1477" s="15" t="s">
        <v>349</v>
      </c>
      <c r="U1477" s="19" t="s">
        <v>248</v>
      </c>
    </row>
    <row r="1478" spans="1:21" x14ac:dyDescent="0.2">
      <c r="A1478" s="19" t="s">
        <v>941</v>
      </c>
      <c r="B1478" s="20">
        <v>45664</v>
      </c>
      <c r="C1478" s="20">
        <v>45646</v>
      </c>
      <c r="D1478" s="19" t="s">
        <v>143</v>
      </c>
      <c r="E1478" s="19" t="s">
        <v>144</v>
      </c>
      <c r="G1478" s="19" t="s">
        <v>942</v>
      </c>
      <c r="H1478" s="19" t="s">
        <v>939</v>
      </c>
      <c r="I1478" s="19" t="s">
        <v>940</v>
      </c>
      <c r="J1478" s="11" t="str">
        <f>+LEFT(U1478,4)</f>
        <v>WHR-</v>
      </c>
      <c r="K1478" s="19" t="s">
        <v>10</v>
      </c>
      <c r="L1478" s="19">
        <v>9800</v>
      </c>
      <c r="M1478" s="19" t="s">
        <v>1472</v>
      </c>
      <c r="N1478" s="19" t="s">
        <v>11</v>
      </c>
      <c r="O1478" s="26">
        <v>6.2E-2</v>
      </c>
      <c r="P1478" s="12">
        <f>ROUND(O1478*L1478,2)</f>
        <v>607.6</v>
      </c>
      <c r="Q1478" s="13">
        <f>IF(N1478="HKD",7.8,IF(N1478="CNY",7.30034,1))</f>
        <v>7.3003400000000003</v>
      </c>
      <c r="R1478" s="15">
        <f>+ROUND(O1478/Q1478,4)</f>
        <v>8.5000000000000006E-3</v>
      </c>
      <c r="S1478" s="14">
        <f>ROUND(R1478*L1478,2)</f>
        <v>83.3</v>
      </c>
      <c r="T1478" s="15" t="s">
        <v>349</v>
      </c>
      <c r="U1478" s="19" t="s">
        <v>248</v>
      </c>
    </row>
    <row r="1479" spans="1:21" x14ac:dyDescent="0.2">
      <c r="A1479" s="19" t="s">
        <v>774</v>
      </c>
      <c r="B1479" s="20">
        <v>45666</v>
      </c>
      <c r="C1479" s="20">
        <v>45646</v>
      </c>
      <c r="D1479" s="19" t="s">
        <v>569</v>
      </c>
      <c r="E1479" s="19" t="s">
        <v>570</v>
      </c>
      <c r="G1479" s="19" t="s">
        <v>762</v>
      </c>
      <c r="H1479" s="19" t="s">
        <v>772</v>
      </c>
      <c r="I1479" s="19" t="s">
        <v>773</v>
      </c>
      <c r="J1479" s="11" t="str">
        <f>+LEFT(U1479,4)</f>
        <v>WHR-</v>
      </c>
      <c r="K1479" s="19" t="s">
        <v>10</v>
      </c>
      <c r="L1479" s="19">
        <v>9200</v>
      </c>
      <c r="M1479" s="19" t="s">
        <v>1472</v>
      </c>
      <c r="N1479" s="19" t="s">
        <v>11</v>
      </c>
      <c r="O1479" s="26">
        <v>0.4365</v>
      </c>
      <c r="P1479" s="12">
        <f>ROUND(O1479*L1479,2)</f>
        <v>4015.8</v>
      </c>
      <c r="Q1479" s="13">
        <f>IF(N1479="HKD",7.8,IF(N1479="CNY",7.30034,1))</f>
        <v>7.3003400000000003</v>
      </c>
      <c r="R1479" s="15">
        <f>+ROUND(O1479/Q1479,4)</f>
        <v>5.9799999999999999E-2</v>
      </c>
      <c r="S1479" s="14">
        <f>ROUND(R1479*L1479,2)</f>
        <v>550.16</v>
      </c>
      <c r="T1479" s="15" t="s">
        <v>349</v>
      </c>
      <c r="U1479" s="19" t="s">
        <v>248</v>
      </c>
    </row>
    <row r="1480" spans="1:21" x14ac:dyDescent="0.2">
      <c r="A1480" s="19" t="s">
        <v>561</v>
      </c>
      <c r="B1480" s="20">
        <v>45670</v>
      </c>
      <c r="C1480" s="20">
        <v>45629</v>
      </c>
      <c r="D1480" s="19" t="s">
        <v>545</v>
      </c>
      <c r="E1480" s="19" t="s">
        <v>546</v>
      </c>
      <c r="G1480" s="19" t="s">
        <v>548</v>
      </c>
      <c r="H1480" s="19" t="s">
        <v>557</v>
      </c>
      <c r="I1480" s="19" t="s">
        <v>558</v>
      </c>
      <c r="J1480" s="11" t="str">
        <f>+LEFT(U1480,4)</f>
        <v>WHR-</v>
      </c>
      <c r="K1480" s="19" t="s">
        <v>10</v>
      </c>
      <c r="L1480" s="19">
        <v>5000</v>
      </c>
      <c r="M1480" s="19" t="s">
        <v>1472</v>
      </c>
      <c r="N1480" s="19" t="s">
        <v>11</v>
      </c>
      <c r="O1480" s="26">
        <v>3.9800000000000002E-2</v>
      </c>
      <c r="P1480" s="12">
        <f>ROUND(O1480*L1480,2)</f>
        <v>199</v>
      </c>
      <c r="Q1480" s="13">
        <f>IF(N1480="HKD",7.8,IF(N1480="CNY",7.30034,1))</f>
        <v>7.3003400000000003</v>
      </c>
      <c r="R1480" s="15">
        <f>+ROUND(O1480/Q1480,4)</f>
        <v>5.4999999999999997E-3</v>
      </c>
      <c r="S1480" s="14">
        <f>ROUND(R1480*L1480,2)</f>
        <v>27.5</v>
      </c>
      <c r="T1480" s="15" t="s">
        <v>349</v>
      </c>
      <c r="U1480" s="19" t="s">
        <v>248</v>
      </c>
    </row>
    <row r="1481" spans="1:21" x14ac:dyDescent="0.2">
      <c r="A1481" s="19" t="s">
        <v>560</v>
      </c>
      <c r="B1481" s="20">
        <v>45670</v>
      </c>
      <c r="C1481" s="20">
        <v>45636</v>
      </c>
      <c r="D1481" s="19" t="s">
        <v>545</v>
      </c>
      <c r="E1481" s="19" t="s">
        <v>546</v>
      </c>
      <c r="G1481" s="19" t="s">
        <v>548</v>
      </c>
      <c r="H1481" s="19" t="s">
        <v>557</v>
      </c>
      <c r="I1481" s="19" t="s">
        <v>558</v>
      </c>
      <c r="J1481" s="11" t="str">
        <f>+LEFT(U1481,4)</f>
        <v>WHR-</v>
      </c>
      <c r="K1481" s="19" t="s">
        <v>10</v>
      </c>
      <c r="L1481" s="19">
        <v>1400</v>
      </c>
      <c r="M1481" s="19" t="s">
        <v>1472</v>
      </c>
      <c r="N1481" s="19" t="s">
        <v>11</v>
      </c>
      <c r="O1481" s="26">
        <v>3.9800000000000002E-2</v>
      </c>
      <c r="P1481" s="12">
        <f>ROUND(O1481*L1481,2)</f>
        <v>55.72</v>
      </c>
      <c r="Q1481" s="13">
        <f>IF(N1481="HKD",7.8,IF(N1481="CNY",7.30034,1))</f>
        <v>7.3003400000000003</v>
      </c>
      <c r="R1481" s="15">
        <f>+ROUND(O1481/Q1481,4)</f>
        <v>5.4999999999999997E-3</v>
      </c>
      <c r="S1481" s="14">
        <f>ROUND(R1481*L1481,2)</f>
        <v>7.7</v>
      </c>
      <c r="T1481" s="15" t="s">
        <v>349</v>
      </c>
      <c r="U1481" s="19" t="s">
        <v>248</v>
      </c>
    </row>
    <row r="1482" spans="1:21" x14ac:dyDescent="0.2">
      <c r="A1482" s="19" t="s">
        <v>559</v>
      </c>
      <c r="B1482" s="20">
        <v>45670</v>
      </c>
      <c r="C1482" s="20">
        <v>45653</v>
      </c>
      <c r="D1482" s="19" t="s">
        <v>545</v>
      </c>
      <c r="E1482" s="19" t="s">
        <v>546</v>
      </c>
      <c r="G1482" s="19" t="s">
        <v>548</v>
      </c>
      <c r="H1482" s="19" t="s">
        <v>557</v>
      </c>
      <c r="I1482" s="19" t="s">
        <v>558</v>
      </c>
      <c r="J1482" s="11" t="str">
        <f>+LEFT(U1482,4)</f>
        <v>WHR-</v>
      </c>
      <c r="K1482" s="19" t="s">
        <v>10</v>
      </c>
      <c r="L1482" s="19">
        <v>1000</v>
      </c>
      <c r="M1482" s="19" t="s">
        <v>1472</v>
      </c>
      <c r="N1482" s="19" t="s">
        <v>11</v>
      </c>
      <c r="O1482" s="26">
        <v>3.9800000000000002E-2</v>
      </c>
      <c r="P1482" s="12">
        <f>ROUND(O1482*L1482,2)</f>
        <v>39.799999999999997</v>
      </c>
      <c r="Q1482" s="13">
        <f>IF(N1482="HKD",7.8,IF(N1482="CNY",7.30034,1))</f>
        <v>7.3003400000000003</v>
      </c>
      <c r="R1482" s="15">
        <f>+ROUND(O1482/Q1482,4)</f>
        <v>5.4999999999999997E-3</v>
      </c>
      <c r="S1482" s="14">
        <f>ROUND(R1482*L1482,2)</f>
        <v>5.5</v>
      </c>
      <c r="T1482" s="15" t="s">
        <v>349</v>
      </c>
      <c r="U1482" s="19" t="s">
        <v>248</v>
      </c>
    </row>
    <row r="1483" spans="1:21" x14ac:dyDescent="0.2">
      <c r="A1483" s="19" t="s">
        <v>566</v>
      </c>
      <c r="B1483" s="20">
        <v>45670</v>
      </c>
      <c r="C1483" s="20">
        <v>45644</v>
      </c>
      <c r="D1483" s="19" t="s">
        <v>545</v>
      </c>
      <c r="E1483" s="19" t="s">
        <v>546</v>
      </c>
      <c r="G1483" s="19" t="s">
        <v>562</v>
      </c>
      <c r="H1483" s="19" t="s">
        <v>563</v>
      </c>
      <c r="I1483" s="19" t="s">
        <v>564</v>
      </c>
      <c r="J1483" s="11" t="str">
        <f>+LEFT(U1483,4)</f>
        <v>WHR-</v>
      </c>
      <c r="K1483" s="19" t="s">
        <v>10</v>
      </c>
      <c r="L1483" s="19">
        <v>9800</v>
      </c>
      <c r="M1483" s="19" t="s">
        <v>1472</v>
      </c>
      <c r="N1483" s="19" t="s">
        <v>11</v>
      </c>
      <c r="O1483" s="26">
        <v>4.1000000000000002E-2</v>
      </c>
      <c r="P1483" s="12">
        <f>ROUND(O1483*L1483,2)</f>
        <v>401.8</v>
      </c>
      <c r="Q1483" s="13">
        <f>IF(N1483="HKD",7.8,IF(N1483="CNY",7.30034,1))</f>
        <v>7.3003400000000003</v>
      </c>
      <c r="R1483" s="15">
        <f>+ROUND(O1483/Q1483,4)</f>
        <v>5.5999999999999999E-3</v>
      </c>
      <c r="S1483" s="14">
        <f>ROUND(R1483*L1483,2)</f>
        <v>54.88</v>
      </c>
      <c r="T1483" s="15" t="s">
        <v>349</v>
      </c>
      <c r="U1483" s="19" t="s">
        <v>248</v>
      </c>
    </row>
    <row r="1484" spans="1:21" x14ac:dyDescent="0.2">
      <c r="A1484" s="19" t="s">
        <v>565</v>
      </c>
      <c r="B1484" s="20">
        <v>45670</v>
      </c>
      <c r="C1484" s="20">
        <v>45646</v>
      </c>
      <c r="D1484" s="19" t="s">
        <v>545</v>
      </c>
      <c r="E1484" s="19" t="s">
        <v>546</v>
      </c>
      <c r="G1484" s="19" t="s">
        <v>562</v>
      </c>
      <c r="H1484" s="19" t="s">
        <v>563</v>
      </c>
      <c r="I1484" s="19" t="s">
        <v>564</v>
      </c>
      <c r="J1484" s="11" t="str">
        <f>+LEFT(U1484,4)</f>
        <v>WHR-</v>
      </c>
      <c r="K1484" s="19" t="s">
        <v>10</v>
      </c>
      <c r="L1484" s="19">
        <v>3900</v>
      </c>
      <c r="M1484" s="19" t="s">
        <v>1472</v>
      </c>
      <c r="N1484" s="19" t="s">
        <v>11</v>
      </c>
      <c r="O1484" s="26">
        <v>4.1000000000000002E-2</v>
      </c>
      <c r="P1484" s="12">
        <f>ROUND(O1484*L1484,2)</f>
        <v>159.9</v>
      </c>
      <c r="Q1484" s="13">
        <f>IF(N1484="HKD",7.8,IF(N1484="CNY",7.30034,1))</f>
        <v>7.3003400000000003</v>
      </c>
      <c r="R1484" s="15">
        <f>+ROUND(O1484/Q1484,4)</f>
        <v>5.5999999999999999E-3</v>
      </c>
      <c r="S1484" s="14">
        <f>ROUND(R1484*L1484,2)</f>
        <v>21.84</v>
      </c>
      <c r="T1484" s="15" t="s">
        <v>349</v>
      </c>
      <c r="U1484" s="19" t="s">
        <v>248</v>
      </c>
    </row>
    <row r="1485" spans="1:21" x14ac:dyDescent="0.2">
      <c r="A1485" s="19" t="s">
        <v>547</v>
      </c>
      <c r="B1485" s="20">
        <v>45670</v>
      </c>
      <c r="C1485" s="20">
        <v>45660</v>
      </c>
      <c r="D1485" s="19" t="s">
        <v>545</v>
      </c>
      <c r="E1485" s="19" t="s">
        <v>546</v>
      </c>
      <c r="G1485" s="19" t="s">
        <v>548</v>
      </c>
      <c r="H1485" s="19" t="s">
        <v>543</v>
      </c>
      <c r="I1485" s="19" t="s">
        <v>544</v>
      </c>
      <c r="J1485" s="11" t="str">
        <f>+LEFT(U1485,4)</f>
        <v>WHR-</v>
      </c>
      <c r="K1485" s="19" t="s">
        <v>10</v>
      </c>
      <c r="L1485" s="19">
        <v>1000</v>
      </c>
      <c r="M1485" s="19" t="s">
        <v>1472</v>
      </c>
      <c r="N1485" s="19" t="s">
        <v>11</v>
      </c>
      <c r="O1485" s="26">
        <v>4.2999999999999997E-2</v>
      </c>
      <c r="P1485" s="12">
        <f>ROUND(O1485*L1485,2)</f>
        <v>43</v>
      </c>
      <c r="Q1485" s="13">
        <f>IF(N1485="HKD",7.8,IF(N1485="CNY",7.30034,1))</f>
        <v>7.3003400000000003</v>
      </c>
      <c r="R1485" s="15">
        <f>+ROUND(O1485/Q1485,4)</f>
        <v>5.8999999999999999E-3</v>
      </c>
      <c r="S1485" s="14">
        <f>ROUND(R1485*L1485,2)</f>
        <v>5.9</v>
      </c>
      <c r="T1485" s="15" t="s">
        <v>349</v>
      </c>
      <c r="U1485" s="19" t="s">
        <v>248</v>
      </c>
    </row>
    <row r="1486" spans="1:21" x14ac:dyDescent="0.2">
      <c r="A1486" s="19" t="s">
        <v>556</v>
      </c>
      <c r="B1486" s="20">
        <v>45670</v>
      </c>
      <c r="C1486" s="20">
        <v>45639</v>
      </c>
      <c r="D1486" s="19" t="s">
        <v>545</v>
      </c>
      <c r="E1486" s="19" t="s">
        <v>546</v>
      </c>
      <c r="G1486" s="19" t="s">
        <v>548</v>
      </c>
      <c r="H1486" s="19" t="s">
        <v>553</v>
      </c>
      <c r="I1486" s="19" t="s">
        <v>554</v>
      </c>
      <c r="J1486" s="11" t="str">
        <f>+LEFT(U1486,4)</f>
        <v>WHR-</v>
      </c>
      <c r="K1486" s="19" t="s">
        <v>10</v>
      </c>
      <c r="L1486" s="19">
        <v>2300</v>
      </c>
      <c r="M1486" s="19" t="s">
        <v>1472</v>
      </c>
      <c r="N1486" s="19" t="s">
        <v>11</v>
      </c>
      <c r="O1486" s="26">
        <v>8.5000000000000006E-2</v>
      </c>
      <c r="P1486" s="12">
        <f>ROUND(O1486*L1486,2)</f>
        <v>195.5</v>
      </c>
      <c r="Q1486" s="13">
        <f>IF(N1486="HKD",7.8,IF(N1486="CNY",7.30034,1))</f>
        <v>7.3003400000000003</v>
      </c>
      <c r="R1486" s="15">
        <f>+ROUND(O1486/Q1486,4)</f>
        <v>1.1599999999999999E-2</v>
      </c>
      <c r="S1486" s="14">
        <f>ROUND(R1486*L1486,2)</f>
        <v>26.68</v>
      </c>
      <c r="T1486" s="15" t="s">
        <v>349</v>
      </c>
      <c r="U1486" s="19" t="s">
        <v>248</v>
      </c>
    </row>
    <row r="1487" spans="1:21" x14ac:dyDescent="0.2">
      <c r="A1487" s="19" t="s">
        <v>555</v>
      </c>
      <c r="B1487" s="20">
        <v>45670</v>
      </c>
      <c r="C1487" s="20">
        <v>45643</v>
      </c>
      <c r="D1487" s="19" t="s">
        <v>545</v>
      </c>
      <c r="E1487" s="19" t="s">
        <v>546</v>
      </c>
      <c r="G1487" s="19" t="s">
        <v>548</v>
      </c>
      <c r="H1487" s="19" t="s">
        <v>553</v>
      </c>
      <c r="I1487" s="19" t="s">
        <v>554</v>
      </c>
      <c r="J1487" s="11" t="str">
        <f>+LEFT(U1487,4)</f>
        <v>WHR-</v>
      </c>
      <c r="K1487" s="19" t="s">
        <v>10</v>
      </c>
      <c r="L1487" s="19">
        <v>4100</v>
      </c>
      <c r="M1487" s="19" t="s">
        <v>1472</v>
      </c>
      <c r="N1487" s="19" t="s">
        <v>11</v>
      </c>
      <c r="O1487" s="26">
        <v>8.5000000000000006E-2</v>
      </c>
      <c r="P1487" s="12">
        <f>ROUND(O1487*L1487,2)</f>
        <v>348.5</v>
      </c>
      <c r="Q1487" s="13">
        <f>IF(N1487="HKD",7.8,IF(N1487="CNY",7.30034,1))</f>
        <v>7.3003400000000003</v>
      </c>
      <c r="R1487" s="15">
        <f>+ROUND(O1487/Q1487,4)</f>
        <v>1.1599999999999999E-2</v>
      </c>
      <c r="S1487" s="14">
        <f>ROUND(R1487*L1487,2)</f>
        <v>47.56</v>
      </c>
      <c r="T1487" s="15" t="s">
        <v>349</v>
      </c>
      <c r="U1487" s="19" t="s">
        <v>248</v>
      </c>
    </row>
    <row r="1488" spans="1:21" x14ac:dyDescent="0.2">
      <c r="A1488" s="19" t="s">
        <v>247</v>
      </c>
      <c r="B1488" s="20">
        <v>45674</v>
      </c>
      <c r="C1488" s="20">
        <v>45664</v>
      </c>
      <c r="D1488" s="19" t="s">
        <v>143</v>
      </c>
      <c r="E1488" s="19" t="s">
        <v>144</v>
      </c>
      <c r="G1488" s="19" t="s">
        <v>182</v>
      </c>
      <c r="H1488" s="19" t="s">
        <v>245</v>
      </c>
      <c r="I1488" s="19" t="s">
        <v>246</v>
      </c>
      <c r="J1488" s="11" t="str">
        <f>+LEFT(U1488,4)</f>
        <v>WHR-</v>
      </c>
      <c r="K1488" s="19" t="s">
        <v>10</v>
      </c>
      <c r="L1488" s="19">
        <v>9000</v>
      </c>
      <c r="M1488" s="19" t="s">
        <v>1472</v>
      </c>
      <c r="N1488" s="19" t="s">
        <v>11</v>
      </c>
      <c r="O1488" s="26">
        <v>0.1096</v>
      </c>
      <c r="P1488" s="12">
        <f>ROUND(O1488*L1488,2)</f>
        <v>986.4</v>
      </c>
      <c r="Q1488" s="13">
        <f>IF(N1488="HKD",7.8,IF(N1488="CNY",7.30034,1))</f>
        <v>7.3003400000000003</v>
      </c>
      <c r="R1488" s="15">
        <f>+ROUND(O1488/Q1488,4)</f>
        <v>1.4999999999999999E-2</v>
      </c>
      <c r="S1488" s="14">
        <f>ROUND(R1488*L1488,2)</f>
        <v>135</v>
      </c>
      <c r="T1488" s="15" t="s">
        <v>349</v>
      </c>
      <c r="U1488" s="19" t="s">
        <v>248</v>
      </c>
    </row>
    <row r="1489" spans="1:21" x14ac:dyDescent="0.2">
      <c r="A1489" t="s">
        <v>1862</v>
      </c>
      <c r="B1489" s="24">
        <v>45699</v>
      </c>
      <c r="C1489" s="24">
        <v>45674</v>
      </c>
      <c r="D1489" t="s">
        <v>569</v>
      </c>
      <c r="E1489" t="s">
        <v>570</v>
      </c>
      <c r="G1489" t="s">
        <v>2148</v>
      </c>
      <c r="H1489" s="19" t="s">
        <v>1412</v>
      </c>
      <c r="I1489" s="19" t="s">
        <v>1413</v>
      </c>
      <c r="J1489" s="11" t="str">
        <f>+LEFT(U1489,4)</f>
        <v>WHR-</v>
      </c>
      <c r="K1489" t="s">
        <v>10</v>
      </c>
      <c r="L1489" s="19">
        <v>500</v>
      </c>
      <c r="M1489" t="s">
        <v>1472</v>
      </c>
      <c r="N1489" t="s">
        <v>11</v>
      </c>
      <c r="O1489" s="26">
        <v>0.12</v>
      </c>
      <c r="P1489" s="12">
        <f>ROUND(O1489*L1489,2)</f>
        <v>60</v>
      </c>
      <c r="Q1489" s="13">
        <f>IF(N1489="HKD",7.8,IF(N1489="CNY",7.30034,1))</f>
        <v>7.3003400000000003</v>
      </c>
      <c r="R1489" s="15">
        <f>+ROUND(O1489/Q1489,4)</f>
        <v>1.6400000000000001E-2</v>
      </c>
      <c r="S1489" s="14">
        <f>ROUND(R1489*L1489,2)</f>
        <v>8.1999999999999993</v>
      </c>
      <c r="T1489" s="15" t="s">
        <v>349</v>
      </c>
      <c r="U1489" t="s">
        <v>248</v>
      </c>
    </row>
    <row r="1490" spans="1:21" x14ac:dyDescent="0.2">
      <c r="A1490" t="s">
        <v>1891</v>
      </c>
      <c r="B1490" s="24">
        <v>45699</v>
      </c>
      <c r="C1490" s="24">
        <v>45674</v>
      </c>
      <c r="D1490" t="s">
        <v>569</v>
      </c>
      <c r="E1490" t="s">
        <v>570</v>
      </c>
      <c r="G1490" t="s">
        <v>2148</v>
      </c>
      <c r="H1490" s="19" t="s">
        <v>772</v>
      </c>
      <c r="I1490" s="19" t="s">
        <v>773</v>
      </c>
      <c r="J1490" s="11" t="str">
        <f>+LEFT(U1490,4)</f>
        <v>WHR-</v>
      </c>
      <c r="K1490" t="s">
        <v>10</v>
      </c>
      <c r="L1490" s="19">
        <v>1300</v>
      </c>
      <c r="M1490" t="s">
        <v>1472</v>
      </c>
      <c r="N1490" t="s">
        <v>11</v>
      </c>
      <c r="O1490" s="26">
        <v>0.45</v>
      </c>
      <c r="P1490" s="12">
        <f>ROUND(O1490*L1490,2)</f>
        <v>585</v>
      </c>
      <c r="Q1490" s="13">
        <f>IF(N1490="HKD",7.8,IF(N1490="CNY",7.30034,1))</f>
        <v>7.3003400000000003</v>
      </c>
      <c r="R1490" s="15">
        <f>+ROUND(O1490/Q1490,4)</f>
        <v>6.1600000000000002E-2</v>
      </c>
      <c r="S1490" s="14">
        <f>ROUND(R1490*L1490,2)</f>
        <v>80.08</v>
      </c>
      <c r="T1490" s="15" t="s">
        <v>349</v>
      </c>
      <c r="U1490" t="s">
        <v>248</v>
      </c>
    </row>
    <row r="1491" spans="1:21" x14ac:dyDescent="0.2">
      <c r="A1491" t="s">
        <v>1857</v>
      </c>
      <c r="B1491" s="24">
        <v>45705</v>
      </c>
      <c r="C1491" s="24">
        <v>45695</v>
      </c>
      <c r="D1491" t="s">
        <v>143</v>
      </c>
      <c r="E1491" t="s">
        <v>144</v>
      </c>
      <c r="G1491" t="s">
        <v>2147</v>
      </c>
      <c r="H1491" s="19" t="s">
        <v>245</v>
      </c>
      <c r="I1491" s="19" t="s">
        <v>246</v>
      </c>
      <c r="J1491" s="11" t="str">
        <f>+LEFT(U1491,4)</f>
        <v>WHR-</v>
      </c>
      <c r="K1491" t="s">
        <v>10</v>
      </c>
      <c r="L1491" s="19">
        <v>4000</v>
      </c>
      <c r="M1491" t="s">
        <v>1472</v>
      </c>
      <c r="N1491" t="s">
        <v>11</v>
      </c>
      <c r="O1491" s="26">
        <v>0.1096</v>
      </c>
      <c r="P1491" s="12">
        <f>ROUND(O1491*L1491,2)</f>
        <v>438.4</v>
      </c>
      <c r="Q1491" s="13">
        <f>IF(N1491="HKD",7.8,IF(N1491="CNY",7.30034,1))</f>
        <v>7.3003400000000003</v>
      </c>
      <c r="R1491" s="15">
        <f>+ROUND(O1491/Q1491,4)</f>
        <v>1.4999999999999999E-2</v>
      </c>
      <c r="S1491" s="14">
        <f>ROUND(R1491*L1491,2)</f>
        <v>60</v>
      </c>
      <c r="T1491" s="15" t="s">
        <v>349</v>
      </c>
      <c r="U1491" t="s">
        <v>248</v>
      </c>
    </row>
    <row r="1492" spans="1:21" x14ac:dyDescent="0.2">
      <c r="A1492" t="s">
        <v>1858</v>
      </c>
      <c r="B1492" s="24">
        <v>45705</v>
      </c>
      <c r="C1492" s="24">
        <v>45698</v>
      </c>
      <c r="D1492" t="s">
        <v>143</v>
      </c>
      <c r="E1492" t="s">
        <v>144</v>
      </c>
      <c r="G1492" t="s">
        <v>2147</v>
      </c>
      <c r="H1492" s="19" t="s">
        <v>245</v>
      </c>
      <c r="I1492" s="19" t="s">
        <v>246</v>
      </c>
      <c r="J1492" s="11" t="str">
        <f>+LEFT(U1492,4)</f>
        <v>WHR-</v>
      </c>
      <c r="K1492" t="s">
        <v>10</v>
      </c>
      <c r="L1492" s="19">
        <v>10000</v>
      </c>
      <c r="M1492" t="s">
        <v>1472</v>
      </c>
      <c r="N1492" t="s">
        <v>11</v>
      </c>
      <c r="O1492" s="26">
        <v>0.1096</v>
      </c>
      <c r="P1492" s="12">
        <f>ROUND(O1492*L1492,2)</f>
        <v>1096</v>
      </c>
      <c r="Q1492" s="13">
        <f>IF(N1492="HKD",7.8,IF(N1492="CNY",7.30034,1))</f>
        <v>7.3003400000000003</v>
      </c>
      <c r="R1492" s="15">
        <f>+ROUND(O1492/Q1492,4)</f>
        <v>1.4999999999999999E-2</v>
      </c>
      <c r="S1492" s="14">
        <f>ROUND(R1492*L1492,2)</f>
        <v>150</v>
      </c>
      <c r="T1492" s="15" t="s">
        <v>349</v>
      </c>
      <c r="U1492" t="s">
        <v>248</v>
      </c>
    </row>
    <row r="1493" spans="1:21" x14ac:dyDescent="0.2">
      <c r="A1493" t="s">
        <v>2672</v>
      </c>
      <c r="B1493" s="24">
        <v>45742</v>
      </c>
      <c r="C1493" s="24">
        <v>45726</v>
      </c>
      <c r="D1493" t="s">
        <v>311</v>
      </c>
      <c r="E1493" t="s">
        <v>312</v>
      </c>
      <c r="G1493" t="s">
        <v>3026</v>
      </c>
      <c r="H1493" t="s">
        <v>662</v>
      </c>
      <c r="I1493" t="s">
        <v>663</v>
      </c>
      <c r="J1493" s="11" t="str">
        <f>+LEFT(U1493,4)</f>
        <v>INM-</v>
      </c>
      <c r="K1493" t="s">
        <v>10</v>
      </c>
      <c r="L1493">
        <v>75</v>
      </c>
      <c r="M1493" t="s">
        <v>186</v>
      </c>
      <c r="N1493" t="s">
        <v>11</v>
      </c>
      <c r="O1493">
        <v>92.743399999999994</v>
      </c>
      <c r="P1493" s="12">
        <f>ROUND(O1493*L1493,2)</f>
        <v>6955.76</v>
      </c>
      <c r="Q1493" s="13">
        <f>IF(N1493="HKD",7.8,IF(N1493="CNY",7.30034,1))</f>
        <v>7.3003400000000003</v>
      </c>
      <c r="R1493" s="15">
        <f>+ROUND(O1493/Q1493,4)</f>
        <v>12.704000000000001</v>
      </c>
      <c r="S1493" s="14">
        <f>ROUND(R1493*L1493,2)</f>
        <v>952.8</v>
      </c>
      <c r="T1493" s="15" t="s">
        <v>349</v>
      </c>
      <c r="U1493" t="s">
        <v>327</v>
      </c>
    </row>
    <row r="1494" spans="1:21" x14ac:dyDescent="0.2">
      <c r="A1494" t="s">
        <v>2647</v>
      </c>
      <c r="B1494" s="24">
        <v>45742</v>
      </c>
      <c r="C1494" s="24">
        <v>45721</v>
      </c>
      <c r="D1494" t="s">
        <v>311</v>
      </c>
      <c r="E1494" t="s">
        <v>312</v>
      </c>
      <c r="G1494" t="s">
        <v>3022</v>
      </c>
      <c r="H1494" t="s">
        <v>309</v>
      </c>
      <c r="I1494" t="s">
        <v>310</v>
      </c>
      <c r="J1494" s="11" t="str">
        <f>+LEFT(U1494,4)</f>
        <v>EXM-</v>
      </c>
      <c r="K1494" t="s">
        <v>10</v>
      </c>
      <c r="L1494">
        <v>25</v>
      </c>
      <c r="M1494" t="s">
        <v>186</v>
      </c>
      <c r="N1494" t="s">
        <v>11</v>
      </c>
      <c r="O1494">
        <v>102.0354</v>
      </c>
      <c r="P1494" s="12">
        <f>ROUND(O1494*L1494,2)</f>
        <v>2550.89</v>
      </c>
      <c r="Q1494" s="13">
        <f>IF(N1494="HKD",7.8,IF(N1494="CNY",7.30034,1))</f>
        <v>7.3003400000000003</v>
      </c>
      <c r="R1494" s="15">
        <f>+ROUND(O1494/Q1494,4)</f>
        <v>13.976800000000001</v>
      </c>
      <c r="S1494" s="14">
        <f>ROUND(R1494*L1494,2)</f>
        <v>349.42</v>
      </c>
      <c r="T1494" s="15" t="s">
        <v>349</v>
      </c>
      <c r="U1494" t="s">
        <v>315</v>
      </c>
    </row>
    <row r="1495" spans="1:21" x14ac:dyDescent="0.2">
      <c r="A1495" t="s">
        <v>2648</v>
      </c>
      <c r="B1495" s="24">
        <v>45742</v>
      </c>
      <c r="C1495" s="24">
        <v>45721</v>
      </c>
      <c r="D1495" t="s">
        <v>311</v>
      </c>
      <c r="E1495" t="s">
        <v>312</v>
      </c>
      <c r="G1495" t="s">
        <v>3023</v>
      </c>
      <c r="H1495" t="s">
        <v>669</v>
      </c>
      <c r="I1495" t="s">
        <v>670</v>
      </c>
      <c r="J1495" s="11" t="str">
        <f>+LEFT(U1495,4)</f>
        <v>INM-</v>
      </c>
      <c r="K1495" t="s">
        <v>10</v>
      </c>
      <c r="L1495">
        <v>50</v>
      </c>
      <c r="M1495" t="s">
        <v>186</v>
      </c>
      <c r="N1495" t="s">
        <v>11</v>
      </c>
      <c r="O1495">
        <v>110.17700000000001</v>
      </c>
      <c r="P1495" s="12">
        <f>ROUND(O1495*L1495,2)</f>
        <v>5508.85</v>
      </c>
      <c r="Q1495" s="13">
        <f>IF(N1495="HKD",7.8,IF(N1495="CNY",7.30034,1))</f>
        <v>7.3003400000000003</v>
      </c>
      <c r="R1495" s="15">
        <f>+ROUND(O1495/Q1495,4)</f>
        <v>15.092000000000001</v>
      </c>
      <c r="S1495" s="14">
        <f>ROUND(R1495*L1495,2)</f>
        <v>754.6</v>
      </c>
      <c r="T1495" s="15" t="s">
        <v>349</v>
      </c>
      <c r="U1495" t="s">
        <v>327</v>
      </c>
    </row>
    <row r="1496" spans="1:21" x14ac:dyDescent="0.2">
      <c r="A1496" t="s">
        <v>2671</v>
      </c>
      <c r="B1496" s="24">
        <v>45742</v>
      </c>
      <c r="C1496" s="24">
        <v>45726</v>
      </c>
      <c r="D1496" t="s">
        <v>311</v>
      </c>
      <c r="E1496" t="s">
        <v>312</v>
      </c>
      <c r="G1496" t="s">
        <v>3026</v>
      </c>
      <c r="H1496" t="s">
        <v>669</v>
      </c>
      <c r="I1496" t="s">
        <v>670</v>
      </c>
      <c r="J1496" s="11" t="str">
        <f>+LEFT(U1496,4)</f>
        <v>INM-</v>
      </c>
      <c r="K1496" t="s">
        <v>10</v>
      </c>
      <c r="L1496">
        <v>50</v>
      </c>
      <c r="M1496" t="s">
        <v>186</v>
      </c>
      <c r="N1496" t="s">
        <v>11</v>
      </c>
      <c r="O1496">
        <v>110.17700000000001</v>
      </c>
      <c r="P1496" s="12">
        <f>ROUND(O1496*L1496,2)</f>
        <v>5508.85</v>
      </c>
      <c r="Q1496" s="13">
        <f>IF(N1496="HKD",7.8,IF(N1496="CNY",7.30034,1))</f>
        <v>7.3003400000000003</v>
      </c>
      <c r="R1496" s="15">
        <f>+ROUND(O1496/Q1496,4)</f>
        <v>15.092000000000001</v>
      </c>
      <c r="S1496" s="14">
        <f>ROUND(R1496*L1496,2)</f>
        <v>754.6</v>
      </c>
      <c r="T1496" s="15" t="s">
        <v>349</v>
      </c>
      <c r="U1496" t="s">
        <v>327</v>
      </c>
    </row>
    <row r="1497" spans="1:21" x14ac:dyDescent="0.2">
      <c r="A1497" t="s">
        <v>2757</v>
      </c>
      <c r="B1497" s="24">
        <v>45742</v>
      </c>
      <c r="C1497" s="24">
        <v>45729</v>
      </c>
      <c r="D1497" t="s">
        <v>311</v>
      </c>
      <c r="E1497" t="s">
        <v>312</v>
      </c>
      <c r="G1497" t="s">
        <v>3046</v>
      </c>
      <c r="H1497" t="s">
        <v>320</v>
      </c>
      <c r="I1497" t="s">
        <v>321</v>
      </c>
      <c r="J1497" s="11" t="str">
        <f>+LEFT(U1497,4)</f>
        <v>EXM-</v>
      </c>
      <c r="K1497" t="s">
        <v>10</v>
      </c>
      <c r="L1497">
        <v>25</v>
      </c>
      <c r="M1497" t="s">
        <v>186</v>
      </c>
      <c r="N1497" t="s">
        <v>11</v>
      </c>
      <c r="O1497">
        <v>110.6195</v>
      </c>
      <c r="P1497" s="12">
        <f>ROUND(O1497*L1497,2)</f>
        <v>2765.49</v>
      </c>
      <c r="Q1497" s="13">
        <f>IF(N1497="HKD",7.8,IF(N1497="CNY",7.30034,1))</f>
        <v>7.3003400000000003</v>
      </c>
      <c r="R1497" s="15">
        <f>+ROUND(O1497/Q1497,4)</f>
        <v>15.152699999999999</v>
      </c>
      <c r="S1497" s="14">
        <f>ROUND(R1497*L1497,2)</f>
        <v>378.82</v>
      </c>
      <c r="T1497" s="15" t="s">
        <v>349</v>
      </c>
      <c r="U1497" t="s">
        <v>315</v>
      </c>
    </row>
    <row r="1498" spans="1:21" x14ac:dyDescent="0.2">
      <c r="A1498" t="s">
        <v>2582</v>
      </c>
      <c r="B1498" s="24">
        <v>45733</v>
      </c>
      <c r="C1498" s="24">
        <v>45716</v>
      </c>
      <c r="D1498" t="s">
        <v>2827</v>
      </c>
      <c r="E1498" t="s">
        <v>2828</v>
      </c>
      <c r="G1498" t="s">
        <v>3004</v>
      </c>
      <c r="H1498" t="s">
        <v>3185</v>
      </c>
      <c r="I1498" t="s">
        <v>3392</v>
      </c>
      <c r="J1498" s="11" t="str">
        <f>+LEFT(U1498,4)</f>
        <v>INM-</v>
      </c>
      <c r="K1498" t="s">
        <v>10</v>
      </c>
      <c r="L1498">
        <v>150</v>
      </c>
      <c r="M1498" t="s">
        <v>186</v>
      </c>
      <c r="N1498" t="s">
        <v>11</v>
      </c>
      <c r="O1498">
        <v>120.4248</v>
      </c>
      <c r="P1498" s="12">
        <f>ROUND(O1498*L1498,2)</f>
        <v>18063.72</v>
      </c>
      <c r="Q1498" s="13">
        <f>IF(N1498="HKD",7.8,IF(N1498="CNY",7.30034,1))</f>
        <v>7.3003400000000003</v>
      </c>
      <c r="R1498" s="15">
        <f>+ROUND(O1498/Q1498,4)</f>
        <v>16.495799999999999</v>
      </c>
      <c r="S1498" s="14">
        <f>ROUND(R1498*L1498,2)</f>
        <v>2474.37</v>
      </c>
      <c r="T1498" s="15" t="s">
        <v>349</v>
      </c>
      <c r="U1498" t="s">
        <v>327</v>
      </c>
    </row>
    <row r="1499" spans="1:21" x14ac:dyDescent="0.2">
      <c r="A1499" t="s">
        <v>2582</v>
      </c>
      <c r="B1499" s="24">
        <v>45733</v>
      </c>
      <c r="C1499" s="24">
        <v>45716</v>
      </c>
      <c r="D1499" t="s">
        <v>2827</v>
      </c>
      <c r="E1499" t="s">
        <v>2828</v>
      </c>
      <c r="G1499" t="s">
        <v>3005</v>
      </c>
      <c r="H1499" t="s">
        <v>3185</v>
      </c>
      <c r="I1499" t="s">
        <v>3392</v>
      </c>
      <c r="J1499" s="11" t="str">
        <f>+LEFT(U1499,4)</f>
        <v>INM-</v>
      </c>
      <c r="K1499" t="s">
        <v>10</v>
      </c>
      <c r="L1499">
        <v>-150</v>
      </c>
      <c r="M1499" t="s">
        <v>186</v>
      </c>
      <c r="N1499" t="s">
        <v>11</v>
      </c>
      <c r="O1499">
        <v>120.4248</v>
      </c>
      <c r="P1499" s="12">
        <f>ROUND(O1499*L1499,2)</f>
        <v>-18063.72</v>
      </c>
      <c r="Q1499" s="13">
        <f>IF(N1499="HKD",7.8,IF(N1499="CNY",7.30034,1))</f>
        <v>7.3003400000000003</v>
      </c>
      <c r="R1499" s="15">
        <f>+ROUND(O1499/Q1499,4)</f>
        <v>16.495799999999999</v>
      </c>
      <c r="S1499" s="14">
        <f>ROUND(R1499*L1499,2)</f>
        <v>-2474.37</v>
      </c>
      <c r="T1499" s="15" t="s">
        <v>349</v>
      </c>
      <c r="U1499" t="s">
        <v>327</v>
      </c>
    </row>
    <row r="1500" spans="1:21" x14ac:dyDescent="0.2">
      <c r="A1500" t="s">
        <v>2582</v>
      </c>
      <c r="B1500" s="24">
        <v>45733</v>
      </c>
      <c r="C1500" s="24">
        <v>45716</v>
      </c>
      <c r="D1500" t="s">
        <v>2827</v>
      </c>
      <c r="E1500" t="s">
        <v>2828</v>
      </c>
      <c r="G1500" t="s">
        <v>3004</v>
      </c>
      <c r="H1500" t="s">
        <v>3185</v>
      </c>
      <c r="I1500" t="s">
        <v>3392</v>
      </c>
      <c r="J1500" s="11" t="str">
        <f>+LEFT(U1500,4)</f>
        <v>INM-</v>
      </c>
      <c r="K1500" t="s">
        <v>10</v>
      </c>
      <c r="L1500">
        <v>150</v>
      </c>
      <c r="M1500" t="s">
        <v>186</v>
      </c>
      <c r="N1500" t="s">
        <v>11</v>
      </c>
      <c r="O1500">
        <v>120.4248</v>
      </c>
      <c r="P1500" s="12">
        <f>ROUND(O1500*L1500,2)</f>
        <v>18063.72</v>
      </c>
      <c r="Q1500" s="13">
        <f>IF(N1500="HKD",7.8,IF(N1500="CNY",7.30034,1))</f>
        <v>7.3003400000000003</v>
      </c>
      <c r="R1500" s="15">
        <f>+ROUND(O1500/Q1500,4)</f>
        <v>16.495799999999999</v>
      </c>
      <c r="S1500" s="14">
        <f>ROUND(R1500*L1500,2)</f>
        <v>2474.37</v>
      </c>
      <c r="T1500" s="15" t="s">
        <v>349</v>
      </c>
      <c r="U1500" t="s">
        <v>327</v>
      </c>
    </row>
    <row r="1501" spans="1:21" x14ac:dyDescent="0.2">
      <c r="A1501" t="s">
        <v>2680</v>
      </c>
      <c r="B1501" s="24">
        <v>45733</v>
      </c>
      <c r="C1501" s="24">
        <v>45726</v>
      </c>
      <c r="D1501" t="s">
        <v>2832</v>
      </c>
      <c r="E1501" t="s">
        <v>2833</v>
      </c>
      <c r="G1501" t="s">
        <v>3029</v>
      </c>
      <c r="H1501" t="s">
        <v>3222</v>
      </c>
      <c r="I1501" t="s">
        <v>3429</v>
      </c>
      <c r="J1501" s="11" t="str">
        <f>+LEFT(U1501,4)</f>
        <v>EXM-</v>
      </c>
      <c r="K1501" t="s">
        <v>10</v>
      </c>
      <c r="L1501">
        <v>20</v>
      </c>
      <c r="M1501" t="s">
        <v>186</v>
      </c>
      <c r="N1501" t="s">
        <v>11</v>
      </c>
      <c r="O1501">
        <v>123.8938</v>
      </c>
      <c r="P1501" s="12">
        <f>ROUND(O1501*L1501,2)</f>
        <v>2477.88</v>
      </c>
      <c r="Q1501" s="13">
        <f>IF(N1501="HKD",7.8,IF(N1501="CNY",7.30034,1))</f>
        <v>7.3003400000000003</v>
      </c>
      <c r="R1501" s="15">
        <f>+ROUND(O1501/Q1501,4)</f>
        <v>16.971</v>
      </c>
      <c r="S1501" s="14">
        <f>ROUND(R1501*L1501,2)</f>
        <v>339.42</v>
      </c>
      <c r="T1501" s="15" t="s">
        <v>349</v>
      </c>
      <c r="U1501" t="s">
        <v>315</v>
      </c>
    </row>
    <row r="1502" spans="1:21" x14ac:dyDescent="0.2">
      <c r="A1502" t="s">
        <v>2583</v>
      </c>
      <c r="B1502" s="24">
        <v>45733</v>
      </c>
      <c r="C1502" s="24">
        <v>45716</v>
      </c>
      <c r="D1502" t="s">
        <v>2827</v>
      </c>
      <c r="E1502" t="s">
        <v>2828</v>
      </c>
      <c r="G1502" t="s">
        <v>3004</v>
      </c>
      <c r="H1502" t="s">
        <v>3186</v>
      </c>
      <c r="I1502" t="s">
        <v>3393</v>
      </c>
      <c r="J1502" s="11" t="str">
        <f>+LEFT(U1502,4)</f>
        <v>INM-</v>
      </c>
      <c r="K1502" t="s">
        <v>10</v>
      </c>
      <c r="L1502">
        <v>30</v>
      </c>
      <c r="M1502" t="s">
        <v>186</v>
      </c>
      <c r="N1502" t="s">
        <v>11</v>
      </c>
      <c r="O1502">
        <v>129.82300000000001</v>
      </c>
      <c r="P1502" s="12">
        <f>ROUND(O1502*L1502,2)</f>
        <v>3894.69</v>
      </c>
      <c r="Q1502" s="13">
        <f>IF(N1502="HKD",7.8,IF(N1502="CNY",7.30034,1))</f>
        <v>7.3003400000000003</v>
      </c>
      <c r="R1502" s="15">
        <f>+ROUND(O1502/Q1502,4)</f>
        <v>17.783100000000001</v>
      </c>
      <c r="S1502" s="14">
        <f>ROUND(R1502*L1502,2)</f>
        <v>533.49</v>
      </c>
      <c r="T1502" s="15" t="s">
        <v>349</v>
      </c>
      <c r="U1502" t="s">
        <v>327</v>
      </c>
    </row>
    <row r="1503" spans="1:21" x14ac:dyDescent="0.2">
      <c r="A1503" t="s">
        <v>2474</v>
      </c>
      <c r="B1503" s="24">
        <v>45733</v>
      </c>
      <c r="C1503" s="24">
        <v>45708</v>
      </c>
      <c r="D1503" t="s">
        <v>2823</v>
      </c>
      <c r="E1503" t="s">
        <v>2824</v>
      </c>
      <c r="G1503" t="s">
        <v>2947</v>
      </c>
      <c r="H1503" t="s">
        <v>3144</v>
      </c>
      <c r="I1503" t="s">
        <v>3354</v>
      </c>
      <c r="J1503" s="11" t="str">
        <f>+LEFT(U1503,4)</f>
        <v>MISC</v>
      </c>
      <c r="K1503" t="s">
        <v>10</v>
      </c>
      <c r="L1503">
        <v>50</v>
      </c>
      <c r="M1503" t="s">
        <v>1472</v>
      </c>
      <c r="N1503" t="s">
        <v>11</v>
      </c>
      <c r="O1503">
        <v>276.60000000000002</v>
      </c>
      <c r="P1503" s="12">
        <f>ROUND(O1503*L1503,2)</f>
        <v>13830</v>
      </c>
      <c r="Q1503" s="13">
        <f>IF(N1503="HKD",7.8,IF(N1503="CNY",7.30034,1))</f>
        <v>7.3003400000000003</v>
      </c>
      <c r="R1503" s="15">
        <f>+ROUND(O1503/Q1503,4)</f>
        <v>37.888599999999997</v>
      </c>
      <c r="S1503" s="14">
        <f>ROUND(R1503*L1503,2)</f>
        <v>1894.43</v>
      </c>
      <c r="T1503" s="15" t="s">
        <v>349</v>
      </c>
      <c r="U1503" t="s">
        <v>25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03"/>
  <sheetViews>
    <sheetView workbookViewId="0">
      <pane xSplit="8" ySplit="1" topLeftCell="I847" activePane="bottomRight" state="frozen"/>
      <selection pane="topRight" activeCell="I1" sqref="I1"/>
      <selection pane="bottomLeft" activeCell="A2" sqref="A2"/>
      <selection pane="bottomRight" activeCell="I853" sqref="I853"/>
    </sheetView>
  </sheetViews>
  <sheetFormatPr defaultRowHeight="12.75" x14ac:dyDescent="0.2"/>
  <cols>
    <col min="1" max="1" width="12.85546875" style="40" customWidth="1"/>
    <col min="2" max="2" width="9.85546875" style="40" bestFit="1" customWidth="1"/>
    <col min="3" max="3" width="10.42578125" style="40" customWidth="1"/>
    <col min="4" max="5" width="9.140625" style="40"/>
    <col min="6" max="6" width="9.140625" style="51"/>
    <col min="7" max="7" width="9.140625" style="40"/>
    <col min="8" max="8" width="13" style="40" customWidth="1"/>
    <col min="9" max="11" width="9.140625" style="40"/>
    <col min="12" max="12" width="9.28515625" style="44" bestFit="1" customWidth="1"/>
    <col min="13" max="14" width="9.140625" style="40"/>
    <col min="15" max="15" width="12.28515625" style="40" customWidth="1"/>
    <col min="16" max="16" width="12.28515625" style="40" bestFit="1" customWidth="1"/>
    <col min="17" max="18" width="9.28515625" style="40" hidden="1" customWidth="1"/>
    <col min="19" max="19" width="10.42578125" style="40" hidden="1" customWidth="1"/>
    <col min="20" max="21" width="0" style="40" hidden="1" customWidth="1"/>
    <col min="22" max="22" width="9.140625" style="40"/>
    <col min="23" max="23" width="11.28515625" style="55" bestFit="1" customWidth="1"/>
    <col min="24" max="16384" width="9.140625" style="40"/>
  </cols>
  <sheetData>
    <row r="1" spans="1:24" s="37" customFormat="1" ht="36" customHeight="1" x14ac:dyDescent="0.2">
      <c r="A1" s="27" t="s">
        <v>2266</v>
      </c>
      <c r="B1" s="28" t="s">
        <v>1453</v>
      </c>
      <c r="C1" s="28" t="s">
        <v>1454</v>
      </c>
      <c r="D1" s="27" t="s">
        <v>2267</v>
      </c>
      <c r="E1" s="27" t="s">
        <v>2268</v>
      </c>
      <c r="F1" s="29" t="s">
        <v>1457</v>
      </c>
      <c r="G1" s="27" t="s">
        <v>1458</v>
      </c>
      <c r="H1" s="27" t="s">
        <v>1459</v>
      </c>
      <c r="I1" s="27" t="s">
        <v>1460</v>
      </c>
      <c r="J1" s="27" t="s">
        <v>2269</v>
      </c>
      <c r="K1" s="27" t="s">
        <v>1462</v>
      </c>
      <c r="L1" s="30" t="s">
        <v>1463</v>
      </c>
      <c r="M1" s="27" t="s">
        <v>1464</v>
      </c>
      <c r="N1" s="31" t="s">
        <v>1465</v>
      </c>
      <c r="O1" s="32" t="s">
        <v>1466</v>
      </c>
      <c r="P1" s="33" t="s">
        <v>1467</v>
      </c>
      <c r="Q1" s="31" t="s">
        <v>1468</v>
      </c>
      <c r="R1" s="34" t="s">
        <v>1469</v>
      </c>
      <c r="S1" s="35" t="s">
        <v>1470</v>
      </c>
      <c r="T1" s="36" t="s">
        <v>1471</v>
      </c>
      <c r="V1" s="37" t="s">
        <v>2270</v>
      </c>
      <c r="W1" s="38" t="s">
        <v>2271</v>
      </c>
      <c r="X1" s="39"/>
    </row>
    <row r="2" spans="1:24" s="50" customFormat="1" x14ac:dyDescent="0.2">
      <c r="A2" s="40" t="s">
        <v>1270</v>
      </c>
      <c r="B2" s="41">
        <v>45663</v>
      </c>
      <c r="C2" s="41">
        <v>45576</v>
      </c>
      <c r="D2" s="40" t="s">
        <v>94</v>
      </c>
      <c r="E2" s="40" t="s">
        <v>95</v>
      </c>
      <c r="F2" s="42"/>
      <c r="G2" s="40" t="s">
        <v>1271</v>
      </c>
      <c r="H2" s="40" t="s">
        <v>1268</v>
      </c>
      <c r="I2" s="40" t="s">
        <v>1269</v>
      </c>
      <c r="J2" s="43" t="str">
        <f t="shared" ref="J2:J65" si="0">+LEFT(U2,4)</f>
        <v>SKU-</v>
      </c>
      <c r="K2" s="40" t="s">
        <v>98</v>
      </c>
      <c r="L2" s="44">
        <v>1000</v>
      </c>
      <c r="M2" s="40" t="s">
        <v>1472</v>
      </c>
      <c r="N2" s="40" t="s">
        <v>11</v>
      </c>
      <c r="O2" s="40">
        <v>4.3499999999999996</v>
      </c>
      <c r="P2" s="45">
        <f t="shared" ref="P2:P65" si="1">ROUND(O2*L2,2)</f>
        <v>4350</v>
      </c>
      <c r="Q2" s="46">
        <f t="shared" ref="Q2:Q65" si="2">IF(N2="HKD",7.8,IF(N2="CNY",7.30034,1))</f>
        <v>7.3003400000000003</v>
      </c>
      <c r="R2" s="47">
        <f t="shared" ref="R2:R65" si="3">+ROUND(O2/Q2,4)</f>
        <v>0.59589999999999999</v>
      </c>
      <c r="S2" s="48">
        <f t="shared" ref="S2:S65" si="4">ROUND(R2*L2,2)</f>
        <v>595.9</v>
      </c>
      <c r="T2" s="47" t="s">
        <v>349</v>
      </c>
      <c r="U2" s="40" t="s">
        <v>2</v>
      </c>
      <c r="V2" s="38">
        <v>7.1879</v>
      </c>
      <c r="W2" s="49">
        <f t="shared" ref="W2:W65" si="5">IF(N2="CNY",O2/V2*L2,1)</f>
        <v>605.18371151518522</v>
      </c>
    </row>
    <row r="3" spans="1:24" s="50" customFormat="1" x14ac:dyDescent="0.2">
      <c r="A3" s="40" t="s">
        <v>116</v>
      </c>
      <c r="B3" s="41">
        <v>45678</v>
      </c>
      <c r="C3" s="41">
        <v>45677</v>
      </c>
      <c r="D3" s="40" t="s">
        <v>101</v>
      </c>
      <c r="E3" s="40" t="s">
        <v>102</v>
      </c>
      <c r="F3" s="42"/>
      <c r="G3" s="40" t="s">
        <v>117</v>
      </c>
      <c r="H3" s="40" t="s">
        <v>114</v>
      </c>
      <c r="I3" s="40" t="s">
        <v>115</v>
      </c>
      <c r="J3" s="43" t="str">
        <f t="shared" si="0"/>
        <v>STKR</v>
      </c>
      <c r="K3" s="40" t="s">
        <v>10</v>
      </c>
      <c r="L3" s="44">
        <v>5000</v>
      </c>
      <c r="M3" s="40" t="s">
        <v>1472</v>
      </c>
      <c r="N3" s="40" t="s">
        <v>11</v>
      </c>
      <c r="O3" s="40">
        <v>2.5000000000000001E-2</v>
      </c>
      <c r="P3" s="45">
        <f t="shared" si="1"/>
        <v>125</v>
      </c>
      <c r="Q3" s="46">
        <f t="shared" si="2"/>
        <v>7.3003400000000003</v>
      </c>
      <c r="R3" s="47">
        <f t="shared" si="3"/>
        <v>3.3999999999999998E-3</v>
      </c>
      <c r="S3" s="48">
        <f t="shared" si="4"/>
        <v>17</v>
      </c>
      <c r="T3" s="47" t="s">
        <v>349</v>
      </c>
      <c r="U3" s="40" t="s">
        <v>18</v>
      </c>
      <c r="V3" s="38">
        <v>7.1879</v>
      </c>
      <c r="W3" s="49">
        <f t="shared" si="5"/>
        <v>17.390336537792681</v>
      </c>
    </row>
    <row r="4" spans="1:24" s="50" customFormat="1" x14ac:dyDescent="0.2">
      <c r="A4" s="40" t="s">
        <v>1135</v>
      </c>
      <c r="B4" s="41">
        <v>45663</v>
      </c>
      <c r="C4" s="41">
        <v>45643</v>
      </c>
      <c r="D4" s="40" t="s">
        <v>169</v>
      </c>
      <c r="E4" s="40" t="s">
        <v>170</v>
      </c>
      <c r="F4" s="42"/>
      <c r="G4" s="40" t="s">
        <v>1132</v>
      </c>
      <c r="H4" s="40" t="s">
        <v>1133</v>
      </c>
      <c r="I4" s="40" t="s">
        <v>1134</v>
      </c>
      <c r="J4" s="43" t="str">
        <f t="shared" si="0"/>
        <v>STKR</v>
      </c>
      <c r="K4" s="40" t="s">
        <v>10</v>
      </c>
      <c r="L4" s="44">
        <v>11300</v>
      </c>
      <c r="M4" s="40" t="s">
        <v>1472</v>
      </c>
      <c r="N4" s="40" t="s">
        <v>11</v>
      </c>
      <c r="O4" s="40">
        <v>2.5899999999999999E-2</v>
      </c>
      <c r="P4" s="45">
        <f t="shared" si="1"/>
        <v>292.67</v>
      </c>
      <c r="Q4" s="46">
        <f t="shared" si="2"/>
        <v>7.3003400000000003</v>
      </c>
      <c r="R4" s="47">
        <f t="shared" si="3"/>
        <v>3.5000000000000001E-3</v>
      </c>
      <c r="S4" s="48">
        <f t="shared" si="4"/>
        <v>39.549999999999997</v>
      </c>
      <c r="T4" s="47" t="s">
        <v>349</v>
      </c>
      <c r="U4" s="40" t="s">
        <v>18</v>
      </c>
      <c r="V4" s="38">
        <v>7.1879</v>
      </c>
      <c r="W4" s="49">
        <f t="shared" si="5"/>
        <v>40.717038356126267</v>
      </c>
    </row>
    <row r="5" spans="1:24" x14ac:dyDescent="0.2">
      <c r="A5" s="40" t="s">
        <v>16</v>
      </c>
      <c r="B5" s="41">
        <v>45680</v>
      </c>
      <c r="C5" s="41">
        <v>45671</v>
      </c>
      <c r="D5" s="40" t="s">
        <v>14</v>
      </c>
      <c r="E5" s="40" t="s">
        <v>15</v>
      </c>
      <c r="G5" s="40" t="s">
        <v>17</v>
      </c>
      <c r="H5" s="40" t="s">
        <v>12</v>
      </c>
      <c r="I5" s="40" t="s">
        <v>13</v>
      </c>
      <c r="J5" s="43" t="str">
        <f t="shared" si="0"/>
        <v>STKR</v>
      </c>
      <c r="K5" s="40" t="s">
        <v>10</v>
      </c>
      <c r="L5" s="44">
        <v>60000</v>
      </c>
      <c r="M5" s="40" t="s">
        <v>1472</v>
      </c>
      <c r="N5" s="40" t="s">
        <v>11</v>
      </c>
      <c r="O5" s="40">
        <v>2.8199999999999999E-2</v>
      </c>
      <c r="P5" s="45">
        <f t="shared" si="1"/>
        <v>1692</v>
      </c>
      <c r="Q5" s="46">
        <f t="shared" si="2"/>
        <v>7.3003400000000003</v>
      </c>
      <c r="R5" s="47">
        <f t="shared" si="3"/>
        <v>3.8999999999999998E-3</v>
      </c>
      <c r="S5" s="48">
        <f t="shared" si="4"/>
        <v>234</v>
      </c>
      <c r="T5" s="47" t="s">
        <v>349</v>
      </c>
      <c r="U5" s="40" t="s">
        <v>18</v>
      </c>
      <c r="V5" s="38">
        <v>7.1879</v>
      </c>
      <c r="W5" s="49">
        <f t="shared" si="5"/>
        <v>235.3955953755617</v>
      </c>
    </row>
    <row r="6" spans="1:24" x14ac:dyDescent="0.2">
      <c r="A6" s="40" t="s">
        <v>621</v>
      </c>
      <c r="B6" s="41">
        <v>45670</v>
      </c>
      <c r="C6" s="41">
        <v>45643</v>
      </c>
      <c r="D6" s="40" t="s">
        <v>169</v>
      </c>
      <c r="E6" s="40" t="s">
        <v>170</v>
      </c>
      <c r="G6" s="40" t="s">
        <v>618</v>
      </c>
      <c r="H6" s="40" t="s">
        <v>619</v>
      </c>
      <c r="I6" s="40" t="s">
        <v>620</v>
      </c>
      <c r="J6" s="43" t="str">
        <f t="shared" si="0"/>
        <v>STKR</v>
      </c>
      <c r="K6" s="40" t="s">
        <v>10</v>
      </c>
      <c r="L6" s="44">
        <v>3020</v>
      </c>
      <c r="M6" s="40" t="s">
        <v>1472</v>
      </c>
      <c r="N6" s="40" t="s">
        <v>11</v>
      </c>
      <c r="O6" s="40">
        <v>0.03</v>
      </c>
      <c r="P6" s="45">
        <f t="shared" si="1"/>
        <v>90.6</v>
      </c>
      <c r="Q6" s="46">
        <f t="shared" si="2"/>
        <v>7.3003400000000003</v>
      </c>
      <c r="R6" s="47">
        <f t="shared" si="3"/>
        <v>4.1000000000000003E-3</v>
      </c>
      <c r="S6" s="48">
        <f t="shared" si="4"/>
        <v>12.38</v>
      </c>
      <c r="T6" s="47" t="s">
        <v>349</v>
      </c>
      <c r="U6" s="40" t="s">
        <v>18</v>
      </c>
      <c r="V6" s="38">
        <v>7.1879</v>
      </c>
      <c r="W6" s="49">
        <f t="shared" si="5"/>
        <v>12.604515922592135</v>
      </c>
    </row>
    <row r="7" spans="1:24" x14ac:dyDescent="0.2">
      <c r="A7" s="40" t="s">
        <v>1138</v>
      </c>
      <c r="B7" s="41">
        <v>45663</v>
      </c>
      <c r="C7" s="41">
        <v>45643</v>
      </c>
      <c r="D7" s="40" t="s">
        <v>169</v>
      </c>
      <c r="E7" s="40" t="s">
        <v>170</v>
      </c>
      <c r="G7" s="40" t="s">
        <v>1132</v>
      </c>
      <c r="H7" s="40" t="s">
        <v>1136</v>
      </c>
      <c r="I7" s="40" t="s">
        <v>1137</v>
      </c>
      <c r="J7" s="43" t="str">
        <f t="shared" si="0"/>
        <v>STKR</v>
      </c>
      <c r="K7" s="40" t="s">
        <v>10</v>
      </c>
      <c r="L7" s="44">
        <v>1010</v>
      </c>
      <c r="M7" s="40" t="s">
        <v>1472</v>
      </c>
      <c r="N7" s="40" t="s">
        <v>11</v>
      </c>
      <c r="O7" s="40">
        <v>0.03</v>
      </c>
      <c r="P7" s="45">
        <f t="shared" si="1"/>
        <v>30.3</v>
      </c>
      <c r="Q7" s="46">
        <f t="shared" si="2"/>
        <v>7.3003400000000003</v>
      </c>
      <c r="R7" s="47">
        <f t="shared" si="3"/>
        <v>4.1000000000000003E-3</v>
      </c>
      <c r="S7" s="48">
        <f t="shared" si="4"/>
        <v>4.1399999999999997</v>
      </c>
      <c r="T7" s="47" t="s">
        <v>349</v>
      </c>
      <c r="U7" s="40" t="s">
        <v>18</v>
      </c>
      <c r="V7" s="38">
        <v>7.1879</v>
      </c>
      <c r="W7" s="49">
        <f t="shared" si="5"/>
        <v>4.2154175767609452</v>
      </c>
    </row>
    <row r="8" spans="1:24" x14ac:dyDescent="0.2">
      <c r="A8" s="40" t="s">
        <v>613</v>
      </c>
      <c r="B8" s="41">
        <v>45670</v>
      </c>
      <c r="C8" s="41">
        <v>45643</v>
      </c>
      <c r="D8" s="40" t="s">
        <v>101</v>
      </c>
      <c r="E8" s="40" t="s">
        <v>102</v>
      </c>
      <c r="G8" s="40" t="s">
        <v>614</v>
      </c>
      <c r="H8" s="40" t="s">
        <v>611</v>
      </c>
      <c r="I8" s="40" t="s">
        <v>612</v>
      </c>
      <c r="J8" s="43" t="str">
        <f t="shared" si="0"/>
        <v>STKR</v>
      </c>
      <c r="K8" s="40" t="s">
        <v>10</v>
      </c>
      <c r="L8" s="44">
        <v>1010</v>
      </c>
      <c r="M8" s="40" t="s">
        <v>1472</v>
      </c>
      <c r="N8" s="40" t="s">
        <v>11</v>
      </c>
      <c r="O8" s="40">
        <v>0.03</v>
      </c>
      <c r="P8" s="45">
        <f t="shared" si="1"/>
        <v>30.3</v>
      </c>
      <c r="Q8" s="46">
        <f t="shared" si="2"/>
        <v>7.3003400000000003</v>
      </c>
      <c r="R8" s="47">
        <f t="shared" si="3"/>
        <v>4.1000000000000003E-3</v>
      </c>
      <c r="S8" s="48">
        <f t="shared" si="4"/>
        <v>4.1399999999999997</v>
      </c>
      <c r="T8" s="47" t="s">
        <v>349</v>
      </c>
      <c r="U8" s="40" t="s">
        <v>18</v>
      </c>
      <c r="V8" s="38">
        <v>7.1879</v>
      </c>
      <c r="W8" s="49">
        <f t="shared" si="5"/>
        <v>4.2154175767609452</v>
      </c>
    </row>
    <row r="9" spans="1:24" x14ac:dyDescent="0.2">
      <c r="A9" s="40" t="s">
        <v>1131</v>
      </c>
      <c r="B9" s="41">
        <v>45663</v>
      </c>
      <c r="C9" s="41">
        <v>45653</v>
      </c>
      <c r="D9" s="40" t="s">
        <v>169</v>
      </c>
      <c r="E9" s="40" t="s">
        <v>170</v>
      </c>
      <c r="G9" s="40" t="s">
        <v>1132</v>
      </c>
      <c r="H9" s="40" t="s">
        <v>1129</v>
      </c>
      <c r="I9" s="40" t="s">
        <v>1130</v>
      </c>
      <c r="J9" s="43" t="str">
        <f t="shared" si="0"/>
        <v>STKR</v>
      </c>
      <c r="K9" s="40" t="s">
        <v>10</v>
      </c>
      <c r="L9" s="44">
        <v>1500</v>
      </c>
      <c r="M9" s="40" t="s">
        <v>1472</v>
      </c>
      <c r="N9" s="40" t="s">
        <v>11</v>
      </c>
      <c r="O9" s="40">
        <v>3.4200000000000001E-2</v>
      </c>
      <c r="P9" s="45">
        <f t="shared" si="1"/>
        <v>51.3</v>
      </c>
      <c r="Q9" s="46">
        <f t="shared" si="2"/>
        <v>7.3003400000000003</v>
      </c>
      <c r="R9" s="47">
        <f t="shared" si="3"/>
        <v>4.7000000000000002E-3</v>
      </c>
      <c r="S9" s="48">
        <f t="shared" si="4"/>
        <v>7.05</v>
      </c>
      <c r="T9" s="47" t="s">
        <v>349</v>
      </c>
      <c r="U9" s="40" t="s">
        <v>18</v>
      </c>
      <c r="V9" s="38">
        <v>7.1879</v>
      </c>
      <c r="W9" s="49">
        <f t="shared" si="5"/>
        <v>7.1369941151101157</v>
      </c>
    </row>
    <row r="10" spans="1:24" x14ac:dyDescent="0.2">
      <c r="A10" s="40" t="s">
        <v>561</v>
      </c>
      <c r="B10" s="41">
        <v>45670</v>
      </c>
      <c r="C10" s="41">
        <v>45629</v>
      </c>
      <c r="D10" s="40" t="s">
        <v>545</v>
      </c>
      <c r="E10" s="40" t="s">
        <v>546</v>
      </c>
      <c r="G10" s="40" t="s">
        <v>548</v>
      </c>
      <c r="H10" s="40" t="s">
        <v>557</v>
      </c>
      <c r="I10" s="40" t="s">
        <v>558</v>
      </c>
      <c r="J10" s="43" t="str">
        <f t="shared" si="0"/>
        <v>WHR-</v>
      </c>
      <c r="K10" s="40" t="s">
        <v>10</v>
      </c>
      <c r="L10" s="44">
        <v>5000</v>
      </c>
      <c r="M10" s="40" t="s">
        <v>1472</v>
      </c>
      <c r="N10" s="40" t="s">
        <v>11</v>
      </c>
      <c r="O10" s="40">
        <v>3.9800000000000002E-2</v>
      </c>
      <c r="P10" s="45">
        <f t="shared" si="1"/>
        <v>199</v>
      </c>
      <c r="Q10" s="46">
        <f t="shared" si="2"/>
        <v>7.3003400000000003</v>
      </c>
      <c r="R10" s="47">
        <f t="shared" si="3"/>
        <v>5.4999999999999997E-3</v>
      </c>
      <c r="S10" s="48">
        <f t="shared" si="4"/>
        <v>27.5</v>
      </c>
      <c r="T10" s="47" t="s">
        <v>349</v>
      </c>
      <c r="U10" s="40" t="s">
        <v>248</v>
      </c>
      <c r="V10" s="38">
        <v>7.1879</v>
      </c>
      <c r="W10" s="49">
        <f t="shared" si="5"/>
        <v>27.685415768165946</v>
      </c>
    </row>
    <row r="11" spans="1:24" x14ac:dyDescent="0.2">
      <c r="A11" s="40" t="s">
        <v>560</v>
      </c>
      <c r="B11" s="41">
        <v>45670</v>
      </c>
      <c r="C11" s="41">
        <v>45636</v>
      </c>
      <c r="D11" s="40" t="s">
        <v>545</v>
      </c>
      <c r="E11" s="40" t="s">
        <v>546</v>
      </c>
      <c r="G11" s="40" t="s">
        <v>548</v>
      </c>
      <c r="H11" s="40" t="s">
        <v>557</v>
      </c>
      <c r="I11" s="40" t="s">
        <v>558</v>
      </c>
      <c r="J11" s="43" t="str">
        <f t="shared" si="0"/>
        <v>WHR-</v>
      </c>
      <c r="K11" s="40" t="s">
        <v>10</v>
      </c>
      <c r="L11" s="44">
        <v>1400</v>
      </c>
      <c r="M11" s="40" t="s">
        <v>1472</v>
      </c>
      <c r="N11" s="40" t="s">
        <v>11</v>
      </c>
      <c r="O11" s="40">
        <v>3.9800000000000002E-2</v>
      </c>
      <c r="P11" s="45">
        <f t="shared" si="1"/>
        <v>55.72</v>
      </c>
      <c r="Q11" s="46">
        <f t="shared" si="2"/>
        <v>7.3003400000000003</v>
      </c>
      <c r="R11" s="47">
        <f t="shared" si="3"/>
        <v>5.4999999999999997E-3</v>
      </c>
      <c r="S11" s="48">
        <f t="shared" si="4"/>
        <v>7.7</v>
      </c>
      <c r="T11" s="47" t="s">
        <v>349</v>
      </c>
      <c r="U11" s="40" t="s">
        <v>248</v>
      </c>
      <c r="V11" s="38">
        <v>7.1879</v>
      </c>
      <c r="W11" s="49">
        <f t="shared" si="5"/>
        <v>7.7519164150864652</v>
      </c>
    </row>
    <row r="12" spans="1:24" x14ac:dyDescent="0.2">
      <c r="A12" s="40" t="s">
        <v>559</v>
      </c>
      <c r="B12" s="41">
        <v>45670</v>
      </c>
      <c r="C12" s="41">
        <v>45653</v>
      </c>
      <c r="D12" s="40" t="s">
        <v>545</v>
      </c>
      <c r="E12" s="40" t="s">
        <v>546</v>
      </c>
      <c r="G12" s="40" t="s">
        <v>548</v>
      </c>
      <c r="H12" s="40" t="s">
        <v>557</v>
      </c>
      <c r="I12" s="40" t="s">
        <v>558</v>
      </c>
      <c r="J12" s="43" t="str">
        <f t="shared" si="0"/>
        <v>WHR-</v>
      </c>
      <c r="K12" s="40" t="s">
        <v>10</v>
      </c>
      <c r="L12" s="44">
        <v>1000</v>
      </c>
      <c r="M12" s="40" t="s">
        <v>1472</v>
      </c>
      <c r="N12" s="40" t="s">
        <v>11</v>
      </c>
      <c r="O12" s="40">
        <v>3.9800000000000002E-2</v>
      </c>
      <c r="P12" s="45">
        <f t="shared" si="1"/>
        <v>39.799999999999997</v>
      </c>
      <c r="Q12" s="46">
        <f t="shared" si="2"/>
        <v>7.3003400000000003</v>
      </c>
      <c r="R12" s="47">
        <f t="shared" si="3"/>
        <v>5.4999999999999997E-3</v>
      </c>
      <c r="S12" s="48">
        <f t="shared" si="4"/>
        <v>5.5</v>
      </c>
      <c r="T12" s="47" t="s">
        <v>349</v>
      </c>
      <c r="U12" s="40" t="s">
        <v>248</v>
      </c>
      <c r="V12" s="38">
        <v>7.1879</v>
      </c>
      <c r="W12" s="49">
        <f t="shared" si="5"/>
        <v>5.5370831536331897</v>
      </c>
    </row>
    <row r="13" spans="1:24" x14ac:dyDescent="0.2">
      <c r="A13" s="40" t="s">
        <v>566</v>
      </c>
      <c r="B13" s="41">
        <v>45670</v>
      </c>
      <c r="C13" s="41">
        <v>45644</v>
      </c>
      <c r="D13" s="40" t="s">
        <v>545</v>
      </c>
      <c r="E13" s="40" t="s">
        <v>546</v>
      </c>
      <c r="G13" s="40" t="s">
        <v>562</v>
      </c>
      <c r="H13" s="40" t="s">
        <v>563</v>
      </c>
      <c r="I13" s="40" t="s">
        <v>564</v>
      </c>
      <c r="J13" s="43" t="str">
        <f t="shared" si="0"/>
        <v>WHR-</v>
      </c>
      <c r="K13" s="40" t="s">
        <v>10</v>
      </c>
      <c r="L13" s="44">
        <v>9800</v>
      </c>
      <c r="M13" s="40" t="s">
        <v>1472</v>
      </c>
      <c r="N13" s="40" t="s">
        <v>11</v>
      </c>
      <c r="O13" s="40">
        <v>4.1000000000000002E-2</v>
      </c>
      <c r="P13" s="45">
        <f t="shared" si="1"/>
        <v>401.8</v>
      </c>
      <c r="Q13" s="46">
        <f t="shared" si="2"/>
        <v>7.3003400000000003</v>
      </c>
      <c r="R13" s="47">
        <f t="shared" si="3"/>
        <v>5.5999999999999999E-3</v>
      </c>
      <c r="S13" s="48">
        <f t="shared" si="4"/>
        <v>54.88</v>
      </c>
      <c r="T13" s="47" t="s">
        <v>349</v>
      </c>
      <c r="U13" s="40" t="s">
        <v>248</v>
      </c>
      <c r="V13" s="38">
        <v>7.1879</v>
      </c>
      <c r="W13" s="49">
        <f t="shared" si="5"/>
        <v>55.899497767080788</v>
      </c>
    </row>
    <row r="14" spans="1:24" x14ac:dyDescent="0.2">
      <c r="A14" s="40" t="s">
        <v>565</v>
      </c>
      <c r="B14" s="41">
        <v>45670</v>
      </c>
      <c r="C14" s="41">
        <v>45646</v>
      </c>
      <c r="D14" s="40" t="s">
        <v>545</v>
      </c>
      <c r="E14" s="40" t="s">
        <v>546</v>
      </c>
      <c r="G14" s="40" t="s">
        <v>562</v>
      </c>
      <c r="H14" s="40" t="s">
        <v>563</v>
      </c>
      <c r="I14" s="40" t="s">
        <v>564</v>
      </c>
      <c r="J14" s="43" t="str">
        <f t="shared" si="0"/>
        <v>WHR-</v>
      </c>
      <c r="K14" s="40" t="s">
        <v>10</v>
      </c>
      <c r="L14" s="44">
        <v>3900</v>
      </c>
      <c r="M14" s="40" t="s">
        <v>1472</v>
      </c>
      <c r="N14" s="40" t="s">
        <v>11</v>
      </c>
      <c r="O14" s="40">
        <v>4.1000000000000002E-2</v>
      </c>
      <c r="P14" s="45">
        <f t="shared" si="1"/>
        <v>159.9</v>
      </c>
      <c r="Q14" s="46">
        <f t="shared" si="2"/>
        <v>7.3003400000000003</v>
      </c>
      <c r="R14" s="47">
        <f t="shared" si="3"/>
        <v>5.5999999999999999E-3</v>
      </c>
      <c r="S14" s="48">
        <f t="shared" si="4"/>
        <v>21.84</v>
      </c>
      <c r="T14" s="47" t="s">
        <v>349</v>
      </c>
      <c r="U14" s="40" t="s">
        <v>248</v>
      </c>
      <c r="V14" s="38">
        <v>7.1879</v>
      </c>
      <c r="W14" s="49">
        <f t="shared" si="5"/>
        <v>22.245718499144395</v>
      </c>
    </row>
    <row r="15" spans="1:24" x14ac:dyDescent="0.2">
      <c r="A15" s="40" t="s">
        <v>1364</v>
      </c>
      <c r="B15" s="41">
        <v>45660</v>
      </c>
      <c r="C15" s="41">
        <v>45611</v>
      </c>
      <c r="D15" s="40" t="s">
        <v>235</v>
      </c>
      <c r="E15" s="40" t="s">
        <v>236</v>
      </c>
      <c r="G15" s="40" t="s">
        <v>1365</v>
      </c>
      <c r="H15" s="40" t="s">
        <v>233</v>
      </c>
      <c r="I15" s="40" t="s">
        <v>234</v>
      </c>
      <c r="J15" s="43" t="str">
        <f t="shared" si="0"/>
        <v>RIV-</v>
      </c>
      <c r="K15" s="40" t="s">
        <v>10</v>
      </c>
      <c r="L15" s="44">
        <v>11000</v>
      </c>
      <c r="M15" s="40" t="s">
        <v>1472</v>
      </c>
      <c r="N15" s="40" t="s">
        <v>11</v>
      </c>
      <c r="O15" s="40">
        <v>4.1599999999999998E-2</v>
      </c>
      <c r="P15" s="45">
        <f t="shared" si="1"/>
        <v>457.6</v>
      </c>
      <c r="Q15" s="46">
        <f t="shared" si="2"/>
        <v>7.3003400000000003</v>
      </c>
      <c r="R15" s="47">
        <f t="shared" si="3"/>
        <v>5.7000000000000002E-3</v>
      </c>
      <c r="S15" s="48">
        <f t="shared" si="4"/>
        <v>62.7</v>
      </c>
      <c r="T15" s="47" t="s">
        <v>349</v>
      </c>
      <c r="U15" s="40" t="s">
        <v>132</v>
      </c>
      <c r="V15" s="38">
        <v>7.1879</v>
      </c>
      <c r="W15" s="49">
        <f t="shared" si="5"/>
        <v>63.662543997551438</v>
      </c>
    </row>
    <row r="16" spans="1:24" x14ac:dyDescent="0.2">
      <c r="A16" s="40" t="s">
        <v>1351</v>
      </c>
      <c r="B16" s="41">
        <v>45660</v>
      </c>
      <c r="C16" s="41">
        <v>45639</v>
      </c>
      <c r="D16" s="40" t="s">
        <v>235</v>
      </c>
      <c r="E16" s="40" t="s">
        <v>236</v>
      </c>
      <c r="G16" s="40" t="s">
        <v>1347</v>
      </c>
      <c r="H16" s="40" t="s">
        <v>233</v>
      </c>
      <c r="I16" s="40" t="s">
        <v>234</v>
      </c>
      <c r="J16" s="43" t="str">
        <f t="shared" si="0"/>
        <v>RIV-</v>
      </c>
      <c r="K16" s="40" t="s">
        <v>10</v>
      </c>
      <c r="L16" s="44">
        <v>10000</v>
      </c>
      <c r="M16" s="40" t="s">
        <v>1472</v>
      </c>
      <c r="N16" s="40" t="s">
        <v>11</v>
      </c>
      <c r="O16" s="40">
        <v>4.1599999999999998E-2</v>
      </c>
      <c r="P16" s="45">
        <f t="shared" si="1"/>
        <v>416</v>
      </c>
      <c r="Q16" s="46">
        <f t="shared" si="2"/>
        <v>7.3003400000000003</v>
      </c>
      <c r="R16" s="47">
        <f t="shared" si="3"/>
        <v>5.7000000000000002E-3</v>
      </c>
      <c r="S16" s="48">
        <f t="shared" si="4"/>
        <v>57</v>
      </c>
      <c r="T16" s="47" t="s">
        <v>349</v>
      </c>
      <c r="U16" s="40" t="s">
        <v>132</v>
      </c>
      <c r="V16" s="38">
        <v>7.1879</v>
      </c>
      <c r="W16" s="49">
        <f t="shared" si="5"/>
        <v>57.875039997774032</v>
      </c>
    </row>
    <row r="17" spans="1:23" x14ac:dyDescent="0.2">
      <c r="A17" s="40" t="s">
        <v>1343</v>
      </c>
      <c r="B17" s="41">
        <v>45660</v>
      </c>
      <c r="C17" s="41">
        <v>45643</v>
      </c>
      <c r="D17" s="40" t="s">
        <v>235</v>
      </c>
      <c r="E17" s="40" t="s">
        <v>236</v>
      </c>
      <c r="G17" s="40" t="s">
        <v>1340</v>
      </c>
      <c r="H17" s="40" t="s">
        <v>233</v>
      </c>
      <c r="I17" s="40" t="s">
        <v>234</v>
      </c>
      <c r="J17" s="43" t="str">
        <f t="shared" si="0"/>
        <v>RIV-</v>
      </c>
      <c r="K17" s="40" t="s">
        <v>10</v>
      </c>
      <c r="L17" s="44">
        <v>1600</v>
      </c>
      <c r="M17" s="40" t="s">
        <v>1472</v>
      </c>
      <c r="N17" s="40" t="s">
        <v>11</v>
      </c>
      <c r="O17" s="40">
        <v>4.1599999999999998E-2</v>
      </c>
      <c r="P17" s="45">
        <f t="shared" si="1"/>
        <v>66.56</v>
      </c>
      <c r="Q17" s="46">
        <f t="shared" si="2"/>
        <v>7.3003400000000003</v>
      </c>
      <c r="R17" s="47">
        <f t="shared" si="3"/>
        <v>5.7000000000000002E-3</v>
      </c>
      <c r="S17" s="48">
        <f t="shared" si="4"/>
        <v>9.1199999999999992</v>
      </c>
      <c r="T17" s="47" t="s">
        <v>349</v>
      </c>
      <c r="U17" s="40" t="s">
        <v>132</v>
      </c>
      <c r="V17" s="38">
        <v>7.1879</v>
      </c>
      <c r="W17" s="49">
        <f t="shared" si="5"/>
        <v>9.2600063996438458</v>
      </c>
    </row>
    <row r="18" spans="1:23" x14ac:dyDescent="0.2">
      <c r="A18" s="40" t="s">
        <v>237</v>
      </c>
      <c r="B18" s="41">
        <v>45674</v>
      </c>
      <c r="C18" s="41">
        <v>45660</v>
      </c>
      <c r="D18" s="40" t="s">
        <v>235</v>
      </c>
      <c r="E18" s="40" t="s">
        <v>236</v>
      </c>
      <c r="G18" s="40" t="s">
        <v>238</v>
      </c>
      <c r="H18" s="40" t="s">
        <v>233</v>
      </c>
      <c r="I18" s="40" t="s">
        <v>234</v>
      </c>
      <c r="J18" s="43" t="str">
        <f t="shared" si="0"/>
        <v>RIV-</v>
      </c>
      <c r="K18" s="40" t="s">
        <v>10</v>
      </c>
      <c r="L18" s="44">
        <v>2000</v>
      </c>
      <c r="M18" s="40" t="s">
        <v>1472</v>
      </c>
      <c r="N18" s="40" t="s">
        <v>11</v>
      </c>
      <c r="O18" s="40">
        <v>4.1599999999999998E-2</v>
      </c>
      <c r="P18" s="45">
        <f t="shared" si="1"/>
        <v>83.2</v>
      </c>
      <c r="Q18" s="46">
        <f t="shared" si="2"/>
        <v>7.3003400000000003</v>
      </c>
      <c r="R18" s="47">
        <f t="shared" si="3"/>
        <v>5.7000000000000002E-3</v>
      </c>
      <c r="S18" s="48">
        <f t="shared" si="4"/>
        <v>11.4</v>
      </c>
      <c r="T18" s="47" t="s">
        <v>349</v>
      </c>
      <c r="U18" s="40" t="s">
        <v>132</v>
      </c>
      <c r="V18" s="38">
        <v>7.1879</v>
      </c>
      <c r="W18" s="49">
        <f t="shared" si="5"/>
        <v>11.575007999554806</v>
      </c>
    </row>
    <row r="19" spans="1:23" x14ac:dyDescent="0.2">
      <c r="A19" s="40" t="s">
        <v>604</v>
      </c>
      <c r="B19" s="41">
        <v>45670</v>
      </c>
      <c r="C19" s="41">
        <v>45622</v>
      </c>
      <c r="D19" s="40" t="s">
        <v>162</v>
      </c>
      <c r="E19" s="40" t="s">
        <v>163</v>
      </c>
      <c r="G19" s="40" t="s">
        <v>602</v>
      </c>
      <c r="H19" s="40" t="s">
        <v>599</v>
      </c>
      <c r="I19" s="40" t="s">
        <v>600</v>
      </c>
      <c r="J19" s="43" t="str">
        <f t="shared" si="0"/>
        <v>SCR-</v>
      </c>
      <c r="K19" s="40" t="s">
        <v>10</v>
      </c>
      <c r="L19" s="44">
        <v>15000</v>
      </c>
      <c r="M19" s="40" t="s">
        <v>1472</v>
      </c>
      <c r="N19" s="40" t="s">
        <v>11</v>
      </c>
      <c r="O19" s="40">
        <v>4.2000000000000003E-2</v>
      </c>
      <c r="P19" s="45">
        <f t="shared" si="1"/>
        <v>630</v>
      </c>
      <c r="Q19" s="46">
        <f t="shared" si="2"/>
        <v>7.3003400000000003</v>
      </c>
      <c r="R19" s="47">
        <f t="shared" si="3"/>
        <v>5.7999999999999996E-3</v>
      </c>
      <c r="S19" s="48">
        <f t="shared" si="4"/>
        <v>87</v>
      </c>
      <c r="T19" s="47" t="s">
        <v>349</v>
      </c>
      <c r="U19" s="40" t="s">
        <v>166</v>
      </c>
      <c r="V19" s="38">
        <v>7.1879</v>
      </c>
      <c r="W19" s="49">
        <f t="shared" si="5"/>
        <v>87.647296150475114</v>
      </c>
    </row>
    <row r="20" spans="1:23" x14ac:dyDescent="0.2">
      <c r="A20" s="40" t="s">
        <v>603</v>
      </c>
      <c r="B20" s="41">
        <v>45670</v>
      </c>
      <c r="C20" s="41">
        <v>45643</v>
      </c>
      <c r="D20" s="40" t="s">
        <v>162</v>
      </c>
      <c r="E20" s="40" t="s">
        <v>163</v>
      </c>
      <c r="G20" s="40" t="s">
        <v>602</v>
      </c>
      <c r="H20" s="40" t="s">
        <v>599</v>
      </c>
      <c r="I20" s="40" t="s">
        <v>600</v>
      </c>
      <c r="J20" s="43" t="str">
        <f t="shared" si="0"/>
        <v>SCR-</v>
      </c>
      <c r="K20" s="40" t="s">
        <v>10</v>
      </c>
      <c r="L20" s="44">
        <v>7300</v>
      </c>
      <c r="M20" s="40" t="s">
        <v>1472</v>
      </c>
      <c r="N20" s="40" t="s">
        <v>11</v>
      </c>
      <c r="O20" s="40">
        <v>4.2000000000000003E-2</v>
      </c>
      <c r="P20" s="45">
        <f t="shared" si="1"/>
        <v>306.60000000000002</v>
      </c>
      <c r="Q20" s="46">
        <f t="shared" si="2"/>
        <v>7.3003400000000003</v>
      </c>
      <c r="R20" s="47">
        <f t="shared" si="3"/>
        <v>5.7999999999999996E-3</v>
      </c>
      <c r="S20" s="48">
        <f t="shared" si="4"/>
        <v>42.34</v>
      </c>
      <c r="T20" s="47" t="s">
        <v>349</v>
      </c>
      <c r="U20" s="40" t="s">
        <v>166</v>
      </c>
      <c r="V20" s="38">
        <v>7.1879</v>
      </c>
      <c r="W20" s="49">
        <f t="shared" si="5"/>
        <v>42.655017459897884</v>
      </c>
    </row>
    <row r="21" spans="1:23" x14ac:dyDescent="0.2">
      <c r="A21" s="40" t="s">
        <v>625</v>
      </c>
      <c r="B21" s="41">
        <v>45670</v>
      </c>
      <c r="C21" s="41">
        <v>45643</v>
      </c>
      <c r="D21" s="40" t="s">
        <v>169</v>
      </c>
      <c r="E21" s="40" t="s">
        <v>170</v>
      </c>
      <c r="G21" s="40" t="s">
        <v>618</v>
      </c>
      <c r="H21" s="40" t="s">
        <v>622</v>
      </c>
      <c r="I21" s="40" t="s">
        <v>623</v>
      </c>
      <c r="J21" s="43" t="str">
        <f t="shared" si="0"/>
        <v>STKR</v>
      </c>
      <c r="K21" s="40" t="s">
        <v>10</v>
      </c>
      <c r="L21" s="44">
        <v>2020</v>
      </c>
      <c r="M21" s="40" t="s">
        <v>1472</v>
      </c>
      <c r="N21" s="40" t="s">
        <v>11</v>
      </c>
      <c r="O21" s="40">
        <v>4.2000000000000003E-2</v>
      </c>
      <c r="P21" s="45">
        <f t="shared" si="1"/>
        <v>84.84</v>
      </c>
      <c r="Q21" s="46">
        <f t="shared" si="2"/>
        <v>7.3003400000000003</v>
      </c>
      <c r="R21" s="47">
        <f t="shared" si="3"/>
        <v>5.7999999999999996E-3</v>
      </c>
      <c r="S21" s="48">
        <f t="shared" si="4"/>
        <v>11.72</v>
      </c>
      <c r="T21" s="47" t="s">
        <v>349</v>
      </c>
      <c r="U21" s="40" t="s">
        <v>18</v>
      </c>
      <c r="V21" s="38">
        <v>7.1879</v>
      </c>
      <c r="W21" s="49">
        <f t="shared" si="5"/>
        <v>11.803169214930648</v>
      </c>
    </row>
    <row r="22" spans="1:23" x14ac:dyDescent="0.2">
      <c r="A22" s="40" t="s">
        <v>624</v>
      </c>
      <c r="B22" s="41">
        <v>45670</v>
      </c>
      <c r="C22" s="41">
        <v>45643</v>
      </c>
      <c r="D22" s="40" t="s">
        <v>169</v>
      </c>
      <c r="E22" s="40" t="s">
        <v>170</v>
      </c>
      <c r="G22" s="40" t="s">
        <v>618</v>
      </c>
      <c r="H22" s="40" t="s">
        <v>622</v>
      </c>
      <c r="I22" s="40" t="s">
        <v>623</v>
      </c>
      <c r="J22" s="43" t="str">
        <f t="shared" si="0"/>
        <v>STKR</v>
      </c>
      <c r="K22" s="40" t="s">
        <v>10</v>
      </c>
      <c r="L22" s="44">
        <v>50</v>
      </c>
      <c r="M22" s="40" t="s">
        <v>1472</v>
      </c>
      <c r="N22" s="40" t="s">
        <v>11</v>
      </c>
      <c r="O22" s="40">
        <v>4.2000000000000003E-2</v>
      </c>
      <c r="P22" s="45">
        <f t="shared" si="1"/>
        <v>2.1</v>
      </c>
      <c r="Q22" s="46">
        <f t="shared" si="2"/>
        <v>7.3003400000000003</v>
      </c>
      <c r="R22" s="47">
        <f t="shared" si="3"/>
        <v>5.7999999999999996E-3</v>
      </c>
      <c r="S22" s="48">
        <f t="shared" si="4"/>
        <v>0.28999999999999998</v>
      </c>
      <c r="T22" s="47" t="s">
        <v>349</v>
      </c>
      <c r="U22" s="40" t="s">
        <v>18</v>
      </c>
      <c r="V22" s="38">
        <v>7.1879</v>
      </c>
      <c r="W22" s="49">
        <f t="shared" si="5"/>
        <v>0.29215765383491704</v>
      </c>
    </row>
    <row r="23" spans="1:23" x14ac:dyDescent="0.2">
      <c r="A23" s="40" t="s">
        <v>617</v>
      </c>
      <c r="B23" s="41">
        <v>45670</v>
      </c>
      <c r="C23" s="41">
        <v>45643</v>
      </c>
      <c r="D23" s="40" t="s">
        <v>169</v>
      </c>
      <c r="E23" s="40" t="s">
        <v>170</v>
      </c>
      <c r="G23" s="40" t="s">
        <v>618</v>
      </c>
      <c r="H23" s="40" t="s">
        <v>615</v>
      </c>
      <c r="I23" s="40" t="s">
        <v>616</v>
      </c>
      <c r="J23" s="43" t="str">
        <f t="shared" si="0"/>
        <v>STKR</v>
      </c>
      <c r="K23" s="40" t="s">
        <v>10</v>
      </c>
      <c r="L23" s="44">
        <v>2520</v>
      </c>
      <c r="M23" s="40" t="s">
        <v>1472</v>
      </c>
      <c r="N23" s="40" t="s">
        <v>11</v>
      </c>
      <c r="O23" s="40">
        <v>4.2000000000000003E-2</v>
      </c>
      <c r="P23" s="45">
        <f t="shared" si="1"/>
        <v>105.84</v>
      </c>
      <c r="Q23" s="46">
        <f t="shared" si="2"/>
        <v>7.3003400000000003</v>
      </c>
      <c r="R23" s="47">
        <f t="shared" si="3"/>
        <v>5.7999999999999996E-3</v>
      </c>
      <c r="S23" s="48">
        <f t="shared" si="4"/>
        <v>14.62</v>
      </c>
      <c r="T23" s="47" t="s">
        <v>349</v>
      </c>
      <c r="U23" s="40" t="s">
        <v>18</v>
      </c>
      <c r="V23" s="38">
        <v>7.1879</v>
      </c>
      <c r="W23" s="49">
        <f t="shared" si="5"/>
        <v>14.724745753279818</v>
      </c>
    </row>
    <row r="24" spans="1:23" x14ac:dyDescent="0.2">
      <c r="A24" s="40" t="s">
        <v>601</v>
      </c>
      <c r="B24" s="41">
        <v>45670</v>
      </c>
      <c r="C24" s="41">
        <v>45646</v>
      </c>
      <c r="D24" s="40" t="s">
        <v>162</v>
      </c>
      <c r="E24" s="40" t="s">
        <v>163</v>
      </c>
      <c r="G24" s="40" t="s">
        <v>602</v>
      </c>
      <c r="H24" s="40" t="s">
        <v>599</v>
      </c>
      <c r="I24" s="40" t="s">
        <v>600</v>
      </c>
      <c r="J24" s="43" t="str">
        <f t="shared" si="0"/>
        <v>SCR-</v>
      </c>
      <c r="K24" s="40" t="s">
        <v>10</v>
      </c>
      <c r="L24" s="44">
        <v>2200</v>
      </c>
      <c r="M24" s="40" t="s">
        <v>1472</v>
      </c>
      <c r="N24" s="40" t="s">
        <v>11</v>
      </c>
      <c r="O24" s="40">
        <v>4.2000000000000003E-2</v>
      </c>
      <c r="P24" s="45">
        <f t="shared" si="1"/>
        <v>92.4</v>
      </c>
      <c r="Q24" s="46">
        <f t="shared" si="2"/>
        <v>7.3003400000000003</v>
      </c>
      <c r="R24" s="47">
        <f t="shared" si="3"/>
        <v>5.7999999999999996E-3</v>
      </c>
      <c r="S24" s="48">
        <f t="shared" si="4"/>
        <v>12.76</v>
      </c>
      <c r="T24" s="47" t="s">
        <v>349</v>
      </c>
      <c r="U24" s="40" t="s">
        <v>166</v>
      </c>
      <c r="V24" s="38">
        <v>7.1879</v>
      </c>
      <c r="W24" s="49">
        <f t="shared" si="5"/>
        <v>12.85493676873635</v>
      </c>
    </row>
    <row r="25" spans="1:23" x14ac:dyDescent="0.2">
      <c r="A25" s="40" t="s">
        <v>547</v>
      </c>
      <c r="B25" s="41">
        <v>45670</v>
      </c>
      <c r="C25" s="41">
        <v>45660</v>
      </c>
      <c r="D25" s="40" t="s">
        <v>545</v>
      </c>
      <c r="E25" s="40" t="s">
        <v>546</v>
      </c>
      <c r="G25" s="40" t="s">
        <v>548</v>
      </c>
      <c r="H25" s="40" t="s">
        <v>543</v>
      </c>
      <c r="I25" s="40" t="s">
        <v>544</v>
      </c>
      <c r="J25" s="43" t="str">
        <f t="shared" si="0"/>
        <v>WHR-</v>
      </c>
      <c r="K25" s="40" t="s">
        <v>10</v>
      </c>
      <c r="L25" s="44">
        <v>1000</v>
      </c>
      <c r="M25" s="40" t="s">
        <v>1472</v>
      </c>
      <c r="N25" s="40" t="s">
        <v>11</v>
      </c>
      <c r="O25" s="40">
        <v>4.2999999999999997E-2</v>
      </c>
      <c r="P25" s="45">
        <f t="shared" si="1"/>
        <v>43</v>
      </c>
      <c r="Q25" s="46">
        <f t="shared" si="2"/>
        <v>7.3003400000000003</v>
      </c>
      <c r="R25" s="47">
        <f t="shared" si="3"/>
        <v>5.8999999999999999E-3</v>
      </c>
      <c r="S25" s="48">
        <f t="shared" si="4"/>
        <v>5.9</v>
      </c>
      <c r="T25" s="47" t="s">
        <v>349</v>
      </c>
      <c r="U25" s="40" t="s">
        <v>248</v>
      </c>
      <c r="V25" s="38">
        <v>7.1879</v>
      </c>
      <c r="W25" s="49">
        <f t="shared" si="5"/>
        <v>5.9822757690006814</v>
      </c>
    </row>
    <row r="26" spans="1:23" x14ac:dyDescent="0.2">
      <c r="A26" s="40" t="s">
        <v>961</v>
      </c>
      <c r="B26" s="41">
        <v>45664</v>
      </c>
      <c r="C26" s="41">
        <v>45643</v>
      </c>
      <c r="D26" s="40" t="s">
        <v>128</v>
      </c>
      <c r="E26" s="40" t="s">
        <v>129</v>
      </c>
      <c r="G26" s="40" t="s">
        <v>953</v>
      </c>
      <c r="H26" s="40" t="s">
        <v>958</v>
      </c>
      <c r="I26" s="40" t="s">
        <v>959</v>
      </c>
      <c r="J26" s="43" t="str">
        <f t="shared" si="0"/>
        <v>RIV-</v>
      </c>
      <c r="K26" s="40" t="s">
        <v>10</v>
      </c>
      <c r="L26" s="44">
        <v>4300</v>
      </c>
      <c r="M26" s="40" t="s">
        <v>1472</v>
      </c>
      <c r="N26" s="40" t="s">
        <v>11</v>
      </c>
      <c r="O26" s="40">
        <v>4.8000000000000001E-2</v>
      </c>
      <c r="P26" s="45">
        <f t="shared" si="1"/>
        <v>206.4</v>
      </c>
      <c r="Q26" s="46">
        <f t="shared" si="2"/>
        <v>7.3003400000000003</v>
      </c>
      <c r="R26" s="47">
        <f t="shared" si="3"/>
        <v>6.6E-3</v>
      </c>
      <c r="S26" s="48">
        <f t="shared" si="4"/>
        <v>28.38</v>
      </c>
      <c r="T26" s="47" t="s">
        <v>349</v>
      </c>
      <c r="U26" s="40" t="s">
        <v>132</v>
      </c>
      <c r="V26" s="38">
        <v>7.1879</v>
      </c>
      <c r="W26" s="49">
        <f t="shared" si="5"/>
        <v>28.714923691203271</v>
      </c>
    </row>
    <row r="27" spans="1:23" x14ac:dyDescent="0.2">
      <c r="A27" s="40" t="s">
        <v>960</v>
      </c>
      <c r="B27" s="41">
        <v>45664</v>
      </c>
      <c r="C27" s="41">
        <v>45653</v>
      </c>
      <c r="D27" s="40" t="s">
        <v>128</v>
      </c>
      <c r="E27" s="40" t="s">
        <v>129</v>
      </c>
      <c r="G27" s="40" t="s">
        <v>953</v>
      </c>
      <c r="H27" s="40" t="s">
        <v>958</v>
      </c>
      <c r="I27" s="40" t="s">
        <v>959</v>
      </c>
      <c r="J27" s="43" t="str">
        <f t="shared" si="0"/>
        <v>RIV-</v>
      </c>
      <c r="K27" s="40" t="s">
        <v>10</v>
      </c>
      <c r="L27" s="44">
        <v>1000</v>
      </c>
      <c r="M27" s="40" t="s">
        <v>1472</v>
      </c>
      <c r="N27" s="40" t="s">
        <v>11</v>
      </c>
      <c r="O27" s="40">
        <v>4.8000000000000001E-2</v>
      </c>
      <c r="P27" s="45">
        <f t="shared" si="1"/>
        <v>48</v>
      </c>
      <c r="Q27" s="46">
        <f t="shared" si="2"/>
        <v>7.3003400000000003</v>
      </c>
      <c r="R27" s="47">
        <f t="shared" si="3"/>
        <v>6.6E-3</v>
      </c>
      <c r="S27" s="48">
        <f t="shared" si="4"/>
        <v>6.6</v>
      </c>
      <c r="T27" s="47" t="s">
        <v>349</v>
      </c>
      <c r="U27" s="40" t="s">
        <v>132</v>
      </c>
      <c r="V27" s="38">
        <v>7.1879</v>
      </c>
      <c r="W27" s="49">
        <f t="shared" si="5"/>
        <v>6.6778892305123891</v>
      </c>
    </row>
    <row r="28" spans="1:23" x14ac:dyDescent="0.2">
      <c r="A28" s="40" t="s">
        <v>1322</v>
      </c>
      <c r="B28" s="41">
        <v>45660</v>
      </c>
      <c r="C28" s="41">
        <v>45622</v>
      </c>
      <c r="D28" s="40" t="s">
        <v>169</v>
      </c>
      <c r="E28" s="40" t="s">
        <v>170</v>
      </c>
      <c r="G28" s="40" t="s">
        <v>1323</v>
      </c>
      <c r="H28" s="40" t="s">
        <v>1320</v>
      </c>
      <c r="I28" s="40" t="s">
        <v>1321</v>
      </c>
      <c r="J28" s="43" t="str">
        <f t="shared" si="0"/>
        <v>STKR</v>
      </c>
      <c r="K28" s="40" t="s">
        <v>10</v>
      </c>
      <c r="L28" s="44">
        <v>3020</v>
      </c>
      <c r="M28" s="40" t="s">
        <v>1472</v>
      </c>
      <c r="N28" s="40" t="s">
        <v>11</v>
      </c>
      <c r="O28" s="40">
        <v>0.05</v>
      </c>
      <c r="P28" s="45">
        <f t="shared" si="1"/>
        <v>151</v>
      </c>
      <c r="Q28" s="46">
        <f t="shared" si="2"/>
        <v>7.3003400000000003</v>
      </c>
      <c r="R28" s="47">
        <f t="shared" si="3"/>
        <v>6.7999999999999996E-3</v>
      </c>
      <c r="S28" s="48">
        <f t="shared" si="4"/>
        <v>20.54</v>
      </c>
      <c r="T28" s="47" t="s">
        <v>349</v>
      </c>
      <c r="U28" s="40" t="s">
        <v>18</v>
      </c>
      <c r="V28" s="38">
        <v>7.1879</v>
      </c>
      <c r="W28" s="49">
        <f t="shared" si="5"/>
        <v>21.007526537653558</v>
      </c>
    </row>
    <row r="29" spans="1:23" x14ac:dyDescent="0.2">
      <c r="A29" s="40" t="s">
        <v>113</v>
      </c>
      <c r="B29" s="41">
        <v>45678</v>
      </c>
      <c r="C29" s="41">
        <v>45643</v>
      </c>
      <c r="D29" s="40" t="s">
        <v>101</v>
      </c>
      <c r="E29" s="40" t="s">
        <v>102</v>
      </c>
      <c r="G29" s="40" t="s">
        <v>104</v>
      </c>
      <c r="H29" s="40" t="s">
        <v>111</v>
      </c>
      <c r="I29" s="40" t="s">
        <v>112</v>
      </c>
      <c r="J29" s="43" t="str">
        <f t="shared" si="0"/>
        <v>STKR</v>
      </c>
      <c r="K29" s="40" t="s">
        <v>10</v>
      </c>
      <c r="L29" s="44">
        <v>2270</v>
      </c>
      <c r="M29" s="40" t="s">
        <v>1472</v>
      </c>
      <c r="N29" s="40" t="s">
        <v>11</v>
      </c>
      <c r="O29" s="40">
        <v>0.05</v>
      </c>
      <c r="P29" s="45">
        <f t="shared" si="1"/>
        <v>113.5</v>
      </c>
      <c r="Q29" s="46">
        <f t="shared" si="2"/>
        <v>7.3003400000000003</v>
      </c>
      <c r="R29" s="47">
        <f t="shared" si="3"/>
        <v>6.7999999999999996E-3</v>
      </c>
      <c r="S29" s="48">
        <f t="shared" si="4"/>
        <v>15.44</v>
      </c>
      <c r="T29" s="47" t="s">
        <v>349</v>
      </c>
      <c r="U29" s="40" t="s">
        <v>18</v>
      </c>
      <c r="V29" s="38">
        <v>7.1879</v>
      </c>
      <c r="W29" s="49">
        <f t="shared" si="5"/>
        <v>15.790425576315753</v>
      </c>
    </row>
    <row r="30" spans="1:23" x14ac:dyDescent="0.2">
      <c r="A30" s="40" t="s">
        <v>110</v>
      </c>
      <c r="B30" s="41">
        <v>45678</v>
      </c>
      <c r="C30" s="41">
        <v>45643</v>
      </c>
      <c r="D30" s="40" t="s">
        <v>101</v>
      </c>
      <c r="E30" s="40" t="s">
        <v>102</v>
      </c>
      <c r="G30" s="40" t="s">
        <v>104</v>
      </c>
      <c r="H30" s="40" t="s">
        <v>108</v>
      </c>
      <c r="I30" s="40" t="s">
        <v>109</v>
      </c>
      <c r="J30" s="43" t="str">
        <f t="shared" si="0"/>
        <v>STKR</v>
      </c>
      <c r="K30" s="40" t="s">
        <v>10</v>
      </c>
      <c r="L30" s="44">
        <v>1880</v>
      </c>
      <c r="M30" s="40" t="s">
        <v>1472</v>
      </c>
      <c r="N30" s="40" t="s">
        <v>11</v>
      </c>
      <c r="O30" s="40">
        <v>0.05</v>
      </c>
      <c r="P30" s="45">
        <f t="shared" si="1"/>
        <v>94</v>
      </c>
      <c r="Q30" s="46">
        <f t="shared" si="2"/>
        <v>7.3003400000000003</v>
      </c>
      <c r="R30" s="47">
        <f t="shared" si="3"/>
        <v>6.7999999999999996E-3</v>
      </c>
      <c r="S30" s="48">
        <f t="shared" si="4"/>
        <v>12.78</v>
      </c>
      <c r="T30" s="47" t="s">
        <v>349</v>
      </c>
      <c r="U30" s="40" t="s">
        <v>18</v>
      </c>
      <c r="V30" s="38">
        <v>7.1879</v>
      </c>
      <c r="W30" s="49">
        <f t="shared" si="5"/>
        <v>13.077533076420096</v>
      </c>
    </row>
    <row r="31" spans="1:23" x14ac:dyDescent="0.2">
      <c r="A31" s="40" t="s">
        <v>107</v>
      </c>
      <c r="B31" s="41">
        <v>45678</v>
      </c>
      <c r="C31" s="41">
        <v>45643</v>
      </c>
      <c r="D31" s="40" t="s">
        <v>101</v>
      </c>
      <c r="E31" s="40" t="s">
        <v>102</v>
      </c>
      <c r="G31" s="40" t="s">
        <v>104</v>
      </c>
      <c r="H31" s="40" t="s">
        <v>105</v>
      </c>
      <c r="I31" s="40" t="s">
        <v>106</v>
      </c>
      <c r="J31" s="43" t="str">
        <f t="shared" si="0"/>
        <v>STKR</v>
      </c>
      <c r="K31" s="40" t="s">
        <v>10</v>
      </c>
      <c r="L31" s="44">
        <v>1200</v>
      </c>
      <c r="M31" s="40" t="s">
        <v>1472</v>
      </c>
      <c r="N31" s="40" t="s">
        <v>11</v>
      </c>
      <c r="O31" s="40">
        <v>0.05</v>
      </c>
      <c r="P31" s="45">
        <f t="shared" si="1"/>
        <v>60</v>
      </c>
      <c r="Q31" s="46">
        <f t="shared" si="2"/>
        <v>7.3003400000000003</v>
      </c>
      <c r="R31" s="47">
        <f t="shared" si="3"/>
        <v>6.7999999999999996E-3</v>
      </c>
      <c r="S31" s="48">
        <f t="shared" si="4"/>
        <v>8.16</v>
      </c>
      <c r="T31" s="47" t="s">
        <v>349</v>
      </c>
      <c r="U31" s="40" t="s">
        <v>18</v>
      </c>
      <c r="V31" s="38">
        <v>7.1879</v>
      </c>
      <c r="W31" s="49">
        <f t="shared" si="5"/>
        <v>8.3473615381404862</v>
      </c>
    </row>
    <row r="32" spans="1:23" x14ac:dyDescent="0.2">
      <c r="A32" s="40" t="s">
        <v>1264</v>
      </c>
      <c r="B32" s="41">
        <v>45663</v>
      </c>
      <c r="C32" s="41">
        <v>45651</v>
      </c>
      <c r="D32" s="40" t="s">
        <v>101</v>
      </c>
      <c r="E32" s="40" t="s">
        <v>102</v>
      </c>
      <c r="G32" s="40" t="s">
        <v>1248</v>
      </c>
      <c r="H32" s="40" t="s">
        <v>1245</v>
      </c>
      <c r="I32" s="40" t="s">
        <v>1246</v>
      </c>
      <c r="J32" s="43" t="str">
        <f t="shared" si="0"/>
        <v>STKR</v>
      </c>
      <c r="K32" s="40" t="s">
        <v>10</v>
      </c>
      <c r="L32" s="44">
        <v>1010</v>
      </c>
      <c r="M32" s="40" t="s">
        <v>1472</v>
      </c>
      <c r="N32" s="40" t="s">
        <v>11</v>
      </c>
      <c r="O32" s="40">
        <v>0.05</v>
      </c>
      <c r="P32" s="45">
        <f t="shared" si="1"/>
        <v>50.5</v>
      </c>
      <c r="Q32" s="46">
        <f t="shared" si="2"/>
        <v>7.3003400000000003</v>
      </c>
      <c r="R32" s="47">
        <f t="shared" si="3"/>
        <v>6.7999999999999996E-3</v>
      </c>
      <c r="S32" s="48">
        <f t="shared" si="4"/>
        <v>6.87</v>
      </c>
      <c r="T32" s="47" t="s">
        <v>349</v>
      </c>
      <c r="U32" s="40" t="s">
        <v>18</v>
      </c>
      <c r="V32" s="38">
        <v>7.1879</v>
      </c>
      <c r="W32" s="49">
        <f t="shared" si="5"/>
        <v>7.0256959612682426</v>
      </c>
    </row>
    <row r="33" spans="1:23" x14ac:dyDescent="0.2">
      <c r="A33" s="40" t="s">
        <v>1263</v>
      </c>
      <c r="B33" s="41">
        <v>45663</v>
      </c>
      <c r="C33" s="41">
        <v>45651</v>
      </c>
      <c r="D33" s="40" t="s">
        <v>101</v>
      </c>
      <c r="E33" s="40" t="s">
        <v>102</v>
      </c>
      <c r="G33" s="40" t="s">
        <v>1248</v>
      </c>
      <c r="H33" s="40" t="s">
        <v>1261</v>
      </c>
      <c r="I33" s="40" t="s">
        <v>1262</v>
      </c>
      <c r="J33" s="43" t="str">
        <f t="shared" si="0"/>
        <v>STKR</v>
      </c>
      <c r="K33" s="40" t="s">
        <v>10</v>
      </c>
      <c r="L33" s="44">
        <v>1010</v>
      </c>
      <c r="M33" s="40" t="s">
        <v>1472</v>
      </c>
      <c r="N33" s="40" t="s">
        <v>11</v>
      </c>
      <c r="O33" s="40">
        <v>0.05</v>
      </c>
      <c r="P33" s="45">
        <f t="shared" si="1"/>
        <v>50.5</v>
      </c>
      <c r="Q33" s="46">
        <f t="shared" si="2"/>
        <v>7.3003400000000003</v>
      </c>
      <c r="R33" s="47">
        <f t="shared" si="3"/>
        <v>6.7999999999999996E-3</v>
      </c>
      <c r="S33" s="48">
        <f t="shared" si="4"/>
        <v>6.87</v>
      </c>
      <c r="T33" s="47" t="s">
        <v>349</v>
      </c>
      <c r="U33" s="40" t="s">
        <v>18</v>
      </c>
      <c r="V33" s="38">
        <v>7.1879</v>
      </c>
      <c r="W33" s="49">
        <f t="shared" si="5"/>
        <v>7.0256959612682426</v>
      </c>
    </row>
    <row r="34" spans="1:23" x14ac:dyDescent="0.2">
      <c r="A34" s="40" t="s">
        <v>1260</v>
      </c>
      <c r="B34" s="41">
        <v>45663</v>
      </c>
      <c r="C34" s="41">
        <v>45651</v>
      </c>
      <c r="D34" s="40" t="s">
        <v>101</v>
      </c>
      <c r="E34" s="40" t="s">
        <v>102</v>
      </c>
      <c r="G34" s="40" t="s">
        <v>1248</v>
      </c>
      <c r="H34" s="40" t="s">
        <v>1258</v>
      </c>
      <c r="I34" s="40" t="s">
        <v>1259</v>
      </c>
      <c r="J34" s="43" t="str">
        <f t="shared" si="0"/>
        <v>STKR</v>
      </c>
      <c r="K34" s="40" t="s">
        <v>10</v>
      </c>
      <c r="L34" s="44">
        <v>510</v>
      </c>
      <c r="M34" s="40" t="s">
        <v>1472</v>
      </c>
      <c r="N34" s="40" t="s">
        <v>11</v>
      </c>
      <c r="O34" s="40">
        <v>0.05</v>
      </c>
      <c r="P34" s="45">
        <f t="shared" si="1"/>
        <v>25.5</v>
      </c>
      <c r="Q34" s="46">
        <f t="shared" si="2"/>
        <v>7.3003400000000003</v>
      </c>
      <c r="R34" s="47">
        <f t="shared" si="3"/>
        <v>6.7999999999999996E-3</v>
      </c>
      <c r="S34" s="48">
        <f t="shared" si="4"/>
        <v>3.47</v>
      </c>
      <c r="T34" s="47" t="s">
        <v>349</v>
      </c>
      <c r="U34" s="40" t="s">
        <v>18</v>
      </c>
      <c r="V34" s="38">
        <v>7.1879</v>
      </c>
      <c r="W34" s="49">
        <f t="shared" si="5"/>
        <v>3.5476286537097068</v>
      </c>
    </row>
    <row r="35" spans="1:23" x14ac:dyDescent="0.2">
      <c r="A35" s="40" t="s">
        <v>1257</v>
      </c>
      <c r="B35" s="41">
        <v>45663</v>
      </c>
      <c r="C35" s="41">
        <v>45651</v>
      </c>
      <c r="D35" s="40" t="s">
        <v>101</v>
      </c>
      <c r="E35" s="40" t="s">
        <v>102</v>
      </c>
      <c r="G35" s="40" t="s">
        <v>1248</v>
      </c>
      <c r="H35" s="40" t="s">
        <v>1255</v>
      </c>
      <c r="I35" s="40" t="s">
        <v>1256</v>
      </c>
      <c r="J35" s="43" t="str">
        <f t="shared" si="0"/>
        <v>STKR</v>
      </c>
      <c r="K35" s="40" t="s">
        <v>10</v>
      </c>
      <c r="L35" s="44">
        <v>1010</v>
      </c>
      <c r="M35" s="40" t="s">
        <v>1472</v>
      </c>
      <c r="N35" s="40" t="s">
        <v>11</v>
      </c>
      <c r="O35" s="40">
        <v>0.05</v>
      </c>
      <c r="P35" s="45">
        <f t="shared" si="1"/>
        <v>50.5</v>
      </c>
      <c r="Q35" s="46">
        <f t="shared" si="2"/>
        <v>7.3003400000000003</v>
      </c>
      <c r="R35" s="47">
        <f t="shared" si="3"/>
        <v>6.7999999999999996E-3</v>
      </c>
      <c r="S35" s="48">
        <f t="shared" si="4"/>
        <v>6.87</v>
      </c>
      <c r="T35" s="47" t="s">
        <v>349</v>
      </c>
      <c r="U35" s="40" t="s">
        <v>18</v>
      </c>
      <c r="V35" s="38">
        <v>7.1879</v>
      </c>
      <c r="W35" s="49">
        <f t="shared" si="5"/>
        <v>7.0256959612682426</v>
      </c>
    </row>
    <row r="36" spans="1:23" x14ac:dyDescent="0.2">
      <c r="A36" s="40" t="s">
        <v>1251</v>
      </c>
      <c r="B36" s="41">
        <v>45663</v>
      </c>
      <c r="C36" s="41">
        <v>45651</v>
      </c>
      <c r="D36" s="40" t="s">
        <v>101</v>
      </c>
      <c r="E36" s="40" t="s">
        <v>102</v>
      </c>
      <c r="G36" s="40" t="s">
        <v>1248</v>
      </c>
      <c r="H36" s="40" t="s">
        <v>1249</v>
      </c>
      <c r="I36" s="40" t="s">
        <v>1250</v>
      </c>
      <c r="J36" s="43" t="str">
        <f t="shared" si="0"/>
        <v>STKR</v>
      </c>
      <c r="K36" s="40" t="s">
        <v>10</v>
      </c>
      <c r="L36" s="44">
        <v>1010</v>
      </c>
      <c r="M36" s="40" t="s">
        <v>1472</v>
      </c>
      <c r="N36" s="40" t="s">
        <v>11</v>
      </c>
      <c r="O36" s="40">
        <v>0.05</v>
      </c>
      <c r="P36" s="45">
        <f t="shared" si="1"/>
        <v>50.5</v>
      </c>
      <c r="Q36" s="46">
        <f t="shared" si="2"/>
        <v>7.3003400000000003</v>
      </c>
      <c r="R36" s="47">
        <f t="shared" si="3"/>
        <v>6.7999999999999996E-3</v>
      </c>
      <c r="S36" s="48">
        <f t="shared" si="4"/>
        <v>6.87</v>
      </c>
      <c r="T36" s="47" t="s">
        <v>349</v>
      </c>
      <c r="U36" s="40" t="s">
        <v>18</v>
      </c>
      <c r="V36" s="38">
        <v>7.1879</v>
      </c>
      <c r="W36" s="49">
        <f t="shared" si="5"/>
        <v>7.0256959612682426</v>
      </c>
    </row>
    <row r="37" spans="1:23" x14ac:dyDescent="0.2">
      <c r="A37" s="40" t="s">
        <v>1247</v>
      </c>
      <c r="B37" s="41">
        <v>45663</v>
      </c>
      <c r="C37" s="41">
        <v>45651</v>
      </c>
      <c r="D37" s="40" t="s">
        <v>101</v>
      </c>
      <c r="E37" s="40" t="s">
        <v>102</v>
      </c>
      <c r="G37" s="40" t="s">
        <v>1248</v>
      </c>
      <c r="H37" s="40" t="s">
        <v>1245</v>
      </c>
      <c r="I37" s="40" t="s">
        <v>1246</v>
      </c>
      <c r="J37" s="43" t="str">
        <f t="shared" si="0"/>
        <v>STKR</v>
      </c>
      <c r="K37" s="40" t="s">
        <v>10</v>
      </c>
      <c r="L37" s="44">
        <v>1010</v>
      </c>
      <c r="M37" s="40" t="s">
        <v>1472</v>
      </c>
      <c r="N37" s="40" t="s">
        <v>11</v>
      </c>
      <c r="O37" s="40">
        <v>0.05</v>
      </c>
      <c r="P37" s="45">
        <f t="shared" si="1"/>
        <v>50.5</v>
      </c>
      <c r="Q37" s="46">
        <f t="shared" si="2"/>
        <v>7.3003400000000003</v>
      </c>
      <c r="R37" s="47">
        <f t="shared" si="3"/>
        <v>6.7999999999999996E-3</v>
      </c>
      <c r="S37" s="48">
        <f t="shared" si="4"/>
        <v>6.87</v>
      </c>
      <c r="T37" s="47" t="s">
        <v>349</v>
      </c>
      <c r="U37" s="40" t="s">
        <v>18</v>
      </c>
      <c r="V37" s="38">
        <v>7.1879</v>
      </c>
      <c r="W37" s="49">
        <f t="shared" si="5"/>
        <v>7.0256959612682426</v>
      </c>
    </row>
    <row r="38" spans="1:23" x14ac:dyDescent="0.2">
      <c r="A38" s="40" t="s">
        <v>231</v>
      </c>
      <c r="B38" s="41">
        <v>45674</v>
      </c>
      <c r="C38" s="41">
        <v>45653</v>
      </c>
      <c r="D38" s="40" t="s">
        <v>101</v>
      </c>
      <c r="E38" s="40" t="s">
        <v>102</v>
      </c>
      <c r="G38" s="40" t="s">
        <v>232</v>
      </c>
      <c r="H38" s="40" t="s">
        <v>229</v>
      </c>
      <c r="I38" s="40" t="s">
        <v>230</v>
      </c>
      <c r="J38" s="43" t="str">
        <f t="shared" si="0"/>
        <v>STKR</v>
      </c>
      <c r="K38" s="40" t="s">
        <v>10</v>
      </c>
      <c r="L38" s="44">
        <v>1010</v>
      </c>
      <c r="M38" s="40" t="s">
        <v>1472</v>
      </c>
      <c r="N38" s="40" t="s">
        <v>11</v>
      </c>
      <c r="O38" s="40">
        <v>0.05</v>
      </c>
      <c r="P38" s="45">
        <f t="shared" si="1"/>
        <v>50.5</v>
      </c>
      <c r="Q38" s="46">
        <f t="shared" si="2"/>
        <v>7.3003400000000003</v>
      </c>
      <c r="R38" s="47">
        <f t="shared" si="3"/>
        <v>6.7999999999999996E-3</v>
      </c>
      <c r="S38" s="48">
        <f t="shared" si="4"/>
        <v>6.87</v>
      </c>
      <c r="T38" s="47" t="s">
        <v>349</v>
      </c>
      <c r="U38" s="40" t="s">
        <v>18</v>
      </c>
      <c r="V38" s="38">
        <v>7.1879</v>
      </c>
      <c r="W38" s="49">
        <f t="shared" si="5"/>
        <v>7.0256959612682426</v>
      </c>
    </row>
    <row r="39" spans="1:23" x14ac:dyDescent="0.2">
      <c r="A39" s="40" t="s">
        <v>1254</v>
      </c>
      <c r="B39" s="41">
        <v>45663</v>
      </c>
      <c r="C39" s="41">
        <v>45651</v>
      </c>
      <c r="D39" s="40" t="s">
        <v>101</v>
      </c>
      <c r="E39" s="40" t="s">
        <v>102</v>
      </c>
      <c r="G39" s="40" t="s">
        <v>1248</v>
      </c>
      <c r="H39" s="40" t="s">
        <v>1252</v>
      </c>
      <c r="I39" s="40" t="s">
        <v>1253</v>
      </c>
      <c r="J39" s="43" t="str">
        <f t="shared" si="0"/>
        <v>STKR</v>
      </c>
      <c r="K39" s="40" t="s">
        <v>10</v>
      </c>
      <c r="L39" s="44">
        <v>505</v>
      </c>
      <c r="M39" s="40" t="s">
        <v>1472</v>
      </c>
      <c r="N39" s="40" t="s">
        <v>11</v>
      </c>
      <c r="O39" s="40">
        <v>0.06</v>
      </c>
      <c r="P39" s="45">
        <f t="shared" si="1"/>
        <v>30.3</v>
      </c>
      <c r="Q39" s="46">
        <f t="shared" si="2"/>
        <v>7.3003400000000003</v>
      </c>
      <c r="R39" s="47">
        <f t="shared" si="3"/>
        <v>8.2000000000000007E-3</v>
      </c>
      <c r="S39" s="48">
        <f t="shared" si="4"/>
        <v>4.1399999999999997</v>
      </c>
      <c r="T39" s="47" t="s">
        <v>349</v>
      </c>
      <c r="U39" s="40" t="s">
        <v>18</v>
      </c>
      <c r="V39" s="38">
        <v>7.1879</v>
      </c>
      <c r="W39" s="49">
        <f t="shared" si="5"/>
        <v>4.2154175767609452</v>
      </c>
    </row>
    <row r="40" spans="1:23" x14ac:dyDescent="0.2">
      <c r="A40" s="40" t="s">
        <v>1267</v>
      </c>
      <c r="B40" s="41">
        <v>45663</v>
      </c>
      <c r="C40" s="41">
        <v>45652</v>
      </c>
      <c r="D40" s="40" t="s">
        <v>101</v>
      </c>
      <c r="E40" s="40" t="s">
        <v>102</v>
      </c>
      <c r="G40" s="40" t="s">
        <v>1248</v>
      </c>
      <c r="H40" s="40" t="s">
        <v>1265</v>
      </c>
      <c r="I40" s="40" t="s">
        <v>1266</v>
      </c>
      <c r="J40" s="43" t="str">
        <f t="shared" si="0"/>
        <v>STKR</v>
      </c>
      <c r="K40" s="40" t="s">
        <v>10</v>
      </c>
      <c r="L40" s="44">
        <v>1010</v>
      </c>
      <c r="M40" s="40" t="s">
        <v>1472</v>
      </c>
      <c r="N40" s="40" t="s">
        <v>11</v>
      </c>
      <c r="O40" s="40">
        <v>0.06</v>
      </c>
      <c r="P40" s="45">
        <f t="shared" si="1"/>
        <v>60.6</v>
      </c>
      <c r="Q40" s="46">
        <f t="shared" si="2"/>
        <v>7.3003400000000003</v>
      </c>
      <c r="R40" s="47">
        <f t="shared" si="3"/>
        <v>8.2000000000000007E-3</v>
      </c>
      <c r="S40" s="48">
        <f t="shared" si="4"/>
        <v>8.2799999999999994</v>
      </c>
      <c r="T40" s="47" t="s">
        <v>349</v>
      </c>
      <c r="U40" s="40" t="s">
        <v>18</v>
      </c>
      <c r="V40" s="38">
        <v>7.1879</v>
      </c>
      <c r="W40" s="49">
        <f t="shared" si="5"/>
        <v>8.4308351535218904</v>
      </c>
    </row>
    <row r="41" spans="1:23" x14ac:dyDescent="0.2">
      <c r="A41" s="40" t="s">
        <v>69</v>
      </c>
      <c r="B41" s="41">
        <v>45678</v>
      </c>
      <c r="C41" s="41">
        <v>45678</v>
      </c>
      <c r="D41" s="40" t="s">
        <v>67</v>
      </c>
      <c r="E41" s="40" t="s">
        <v>68</v>
      </c>
      <c r="G41" s="40" t="s">
        <v>70</v>
      </c>
      <c r="H41" s="40" t="s">
        <v>65</v>
      </c>
      <c r="I41" s="40" t="s">
        <v>66</v>
      </c>
      <c r="J41" s="43" t="str">
        <f t="shared" si="0"/>
        <v>MISC</v>
      </c>
      <c r="K41" s="40" t="s">
        <v>10</v>
      </c>
      <c r="L41" s="44">
        <v>1000</v>
      </c>
      <c r="M41" s="40" t="s">
        <v>1472</v>
      </c>
      <c r="N41" s="40" t="s">
        <v>11</v>
      </c>
      <c r="O41" s="40">
        <v>6.1100000000000002E-2</v>
      </c>
      <c r="P41" s="45">
        <f t="shared" si="1"/>
        <v>61.1</v>
      </c>
      <c r="Q41" s="46">
        <f t="shared" si="2"/>
        <v>7.3003400000000003</v>
      </c>
      <c r="R41" s="47">
        <f t="shared" si="3"/>
        <v>8.3999999999999995E-3</v>
      </c>
      <c r="S41" s="48">
        <f t="shared" si="4"/>
        <v>8.4</v>
      </c>
      <c r="T41" s="47" t="s">
        <v>349</v>
      </c>
      <c r="U41" s="40" t="s">
        <v>25</v>
      </c>
      <c r="V41" s="38">
        <v>7.1879</v>
      </c>
      <c r="W41" s="49">
        <f t="shared" si="5"/>
        <v>8.5003964996730623</v>
      </c>
    </row>
    <row r="42" spans="1:23" x14ac:dyDescent="0.2">
      <c r="A42" s="40" t="s">
        <v>1392</v>
      </c>
      <c r="B42" s="41">
        <v>45659</v>
      </c>
      <c r="C42" s="41">
        <v>45609</v>
      </c>
      <c r="D42" s="40" t="s">
        <v>143</v>
      </c>
      <c r="E42" s="40" t="s">
        <v>144</v>
      </c>
      <c r="G42" s="40" t="s">
        <v>1389</v>
      </c>
      <c r="H42" s="40" t="s">
        <v>939</v>
      </c>
      <c r="I42" s="40" t="s">
        <v>940</v>
      </c>
      <c r="J42" s="43" t="str">
        <f t="shared" si="0"/>
        <v>WHR-</v>
      </c>
      <c r="K42" s="40" t="s">
        <v>10</v>
      </c>
      <c r="L42" s="44">
        <v>4000</v>
      </c>
      <c r="M42" s="40" t="s">
        <v>1472</v>
      </c>
      <c r="N42" s="40" t="s">
        <v>11</v>
      </c>
      <c r="O42" s="40">
        <v>6.2E-2</v>
      </c>
      <c r="P42" s="45">
        <f t="shared" si="1"/>
        <v>248</v>
      </c>
      <c r="Q42" s="46">
        <f t="shared" si="2"/>
        <v>7.3003400000000003</v>
      </c>
      <c r="R42" s="47">
        <f t="shared" si="3"/>
        <v>8.5000000000000006E-3</v>
      </c>
      <c r="S42" s="48">
        <f t="shared" si="4"/>
        <v>34</v>
      </c>
      <c r="T42" s="47" t="s">
        <v>349</v>
      </c>
      <c r="U42" s="40" t="s">
        <v>248</v>
      </c>
      <c r="V42" s="38">
        <v>7.1879</v>
      </c>
      <c r="W42" s="49">
        <f t="shared" si="5"/>
        <v>34.502427690980674</v>
      </c>
    </row>
    <row r="43" spans="1:23" x14ac:dyDescent="0.2">
      <c r="A43" s="40" t="s">
        <v>1391</v>
      </c>
      <c r="B43" s="41">
        <v>45659</v>
      </c>
      <c r="C43" s="41">
        <v>45622</v>
      </c>
      <c r="D43" s="40" t="s">
        <v>143</v>
      </c>
      <c r="E43" s="40" t="s">
        <v>144</v>
      </c>
      <c r="G43" s="40" t="s">
        <v>1389</v>
      </c>
      <c r="H43" s="40" t="s">
        <v>939</v>
      </c>
      <c r="I43" s="40" t="s">
        <v>940</v>
      </c>
      <c r="J43" s="43" t="str">
        <f t="shared" si="0"/>
        <v>WHR-</v>
      </c>
      <c r="K43" s="40" t="s">
        <v>10</v>
      </c>
      <c r="L43" s="44">
        <v>2000</v>
      </c>
      <c r="M43" s="40" t="s">
        <v>1472</v>
      </c>
      <c r="N43" s="40" t="s">
        <v>11</v>
      </c>
      <c r="O43" s="40">
        <v>6.2E-2</v>
      </c>
      <c r="P43" s="45">
        <f t="shared" si="1"/>
        <v>124</v>
      </c>
      <c r="Q43" s="46">
        <f t="shared" si="2"/>
        <v>7.3003400000000003</v>
      </c>
      <c r="R43" s="47">
        <f t="shared" si="3"/>
        <v>8.5000000000000006E-3</v>
      </c>
      <c r="S43" s="48">
        <f t="shared" si="4"/>
        <v>17</v>
      </c>
      <c r="T43" s="47" t="s">
        <v>349</v>
      </c>
      <c r="U43" s="40" t="s">
        <v>248</v>
      </c>
      <c r="V43" s="38">
        <v>7.1879</v>
      </c>
      <c r="W43" s="49">
        <f t="shared" si="5"/>
        <v>17.251213845490337</v>
      </c>
    </row>
    <row r="44" spans="1:23" x14ac:dyDescent="0.2">
      <c r="A44" s="40" t="s">
        <v>943</v>
      </c>
      <c r="B44" s="41">
        <v>45664</v>
      </c>
      <c r="C44" s="41">
        <v>45629</v>
      </c>
      <c r="D44" s="40" t="s">
        <v>143</v>
      </c>
      <c r="E44" s="40" t="s">
        <v>144</v>
      </c>
      <c r="G44" s="40" t="s">
        <v>942</v>
      </c>
      <c r="H44" s="40" t="s">
        <v>939</v>
      </c>
      <c r="I44" s="40" t="s">
        <v>940</v>
      </c>
      <c r="J44" s="43" t="str">
        <f t="shared" si="0"/>
        <v>WHR-</v>
      </c>
      <c r="K44" s="40" t="s">
        <v>10</v>
      </c>
      <c r="L44" s="44">
        <v>1000</v>
      </c>
      <c r="M44" s="40" t="s">
        <v>1472</v>
      </c>
      <c r="N44" s="40" t="s">
        <v>11</v>
      </c>
      <c r="O44" s="40">
        <v>6.2E-2</v>
      </c>
      <c r="P44" s="45">
        <f t="shared" si="1"/>
        <v>62</v>
      </c>
      <c r="Q44" s="46">
        <f t="shared" si="2"/>
        <v>7.3003400000000003</v>
      </c>
      <c r="R44" s="47">
        <f t="shared" si="3"/>
        <v>8.5000000000000006E-3</v>
      </c>
      <c r="S44" s="48">
        <f t="shared" si="4"/>
        <v>8.5</v>
      </c>
      <c r="T44" s="47" t="s">
        <v>349</v>
      </c>
      <c r="U44" s="40" t="s">
        <v>248</v>
      </c>
      <c r="V44" s="38">
        <v>7.1879</v>
      </c>
      <c r="W44" s="49">
        <f t="shared" si="5"/>
        <v>8.6256069227451686</v>
      </c>
    </row>
    <row r="45" spans="1:23" x14ac:dyDescent="0.2">
      <c r="A45" s="40" t="s">
        <v>1390</v>
      </c>
      <c r="B45" s="41">
        <v>45659</v>
      </c>
      <c r="C45" s="41">
        <v>45643</v>
      </c>
      <c r="D45" s="40" t="s">
        <v>143</v>
      </c>
      <c r="E45" s="40" t="s">
        <v>144</v>
      </c>
      <c r="G45" s="40" t="s">
        <v>1389</v>
      </c>
      <c r="H45" s="40" t="s">
        <v>939</v>
      </c>
      <c r="I45" s="40" t="s">
        <v>940</v>
      </c>
      <c r="J45" s="43" t="str">
        <f t="shared" si="0"/>
        <v>WHR-</v>
      </c>
      <c r="K45" s="40" t="s">
        <v>10</v>
      </c>
      <c r="L45" s="44">
        <v>2000</v>
      </c>
      <c r="M45" s="40" t="s">
        <v>1472</v>
      </c>
      <c r="N45" s="40" t="s">
        <v>11</v>
      </c>
      <c r="O45" s="40">
        <v>6.2E-2</v>
      </c>
      <c r="P45" s="45">
        <f t="shared" si="1"/>
        <v>124</v>
      </c>
      <c r="Q45" s="46">
        <f t="shared" si="2"/>
        <v>7.3003400000000003</v>
      </c>
      <c r="R45" s="47">
        <f t="shared" si="3"/>
        <v>8.5000000000000006E-3</v>
      </c>
      <c r="S45" s="48">
        <f t="shared" si="4"/>
        <v>17</v>
      </c>
      <c r="T45" s="47" t="s">
        <v>349</v>
      </c>
      <c r="U45" s="40" t="s">
        <v>248</v>
      </c>
      <c r="V45" s="38">
        <v>7.1879</v>
      </c>
      <c r="W45" s="49">
        <f t="shared" si="5"/>
        <v>17.251213845490337</v>
      </c>
    </row>
    <row r="46" spans="1:23" x14ac:dyDescent="0.2">
      <c r="A46" s="40" t="s">
        <v>941</v>
      </c>
      <c r="B46" s="41">
        <v>45664</v>
      </c>
      <c r="C46" s="41">
        <v>45646</v>
      </c>
      <c r="D46" s="40" t="s">
        <v>143</v>
      </c>
      <c r="E46" s="40" t="s">
        <v>144</v>
      </c>
      <c r="G46" s="40" t="s">
        <v>942</v>
      </c>
      <c r="H46" s="40" t="s">
        <v>939</v>
      </c>
      <c r="I46" s="40" t="s">
        <v>940</v>
      </c>
      <c r="J46" s="43" t="str">
        <f t="shared" si="0"/>
        <v>WHR-</v>
      </c>
      <c r="K46" s="40" t="s">
        <v>10</v>
      </c>
      <c r="L46" s="44">
        <v>9800</v>
      </c>
      <c r="M46" s="40" t="s">
        <v>1472</v>
      </c>
      <c r="N46" s="40" t="s">
        <v>11</v>
      </c>
      <c r="O46" s="40">
        <v>6.2E-2</v>
      </c>
      <c r="P46" s="45">
        <f t="shared" si="1"/>
        <v>607.6</v>
      </c>
      <c r="Q46" s="46">
        <f t="shared" si="2"/>
        <v>7.3003400000000003</v>
      </c>
      <c r="R46" s="47">
        <f t="shared" si="3"/>
        <v>8.5000000000000006E-3</v>
      </c>
      <c r="S46" s="48">
        <f t="shared" si="4"/>
        <v>83.3</v>
      </c>
      <c r="T46" s="47" t="s">
        <v>349</v>
      </c>
      <c r="U46" s="40" t="s">
        <v>248</v>
      </c>
      <c r="V46" s="38">
        <v>7.1879</v>
      </c>
      <c r="W46" s="49">
        <f t="shared" si="5"/>
        <v>84.530947842902663</v>
      </c>
    </row>
    <row r="47" spans="1:23" x14ac:dyDescent="0.2">
      <c r="A47" s="40" t="s">
        <v>633</v>
      </c>
      <c r="B47" s="41">
        <v>45670</v>
      </c>
      <c r="C47" s="41">
        <v>45643</v>
      </c>
      <c r="D47" s="40" t="s">
        <v>169</v>
      </c>
      <c r="E47" s="40" t="s">
        <v>170</v>
      </c>
      <c r="G47" s="40" t="s">
        <v>634</v>
      </c>
      <c r="H47" s="40" t="s">
        <v>631</v>
      </c>
      <c r="I47" s="40" t="s">
        <v>632</v>
      </c>
      <c r="J47" s="43" t="str">
        <f t="shared" si="0"/>
        <v>WACD</v>
      </c>
      <c r="K47" s="40" t="s">
        <v>10</v>
      </c>
      <c r="L47" s="44">
        <v>2010</v>
      </c>
      <c r="M47" s="40" t="s">
        <v>1472</v>
      </c>
      <c r="N47" s="40" t="s">
        <v>11</v>
      </c>
      <c r="O47" s="40">
        <v>6.5000000000000002E-2</v>
      </c>
      <c r="P47" s="45">
        <f t="shared" si="1"/>
        <v>130.65</v>
      </c>
      <c r="Q47" s="46">
        <f t="shared" si="2"/>
        <v>7.3003400000000003</v>
      </c>
      <c r="R47" s="47">
        <f t="shared" si="3"/>
        <v>8.8999999999999999E-3</v>
      </c>
      <c r="S47" s="48">
        <f t="shared" si="4"/>
        <v>17.89</v>
      </c>
      <c r="T47" s="47" t="s">
        <v>349</v>
      </c>
      <c r="U47" s="40" t="s">
        <v>635</v>
      </c>
      <c r="V47" s="38">
        <v>7.1879</v>
      </c>
      <c r="W47" s="49">
        <f t="shared" si="5"/>
        <v>18.176379749300906</v>
      </c>
    </row>
    <row r="48" spans="1:23" x14ac:dyDescent="0.2">
      <c r="A48" s="40" t="s">
        <v>595</v>
      </c>
      <c r="B48" s="41">
        <v>45670</v>
      </c>
      <c r="C48" s="41">
        <v>45630</v>
      </c>
      <c r="D48" s="40" t="s">
        <v>162</v>
      </c>
      <c r="E48" s="40" t="s">
        <v>163</v>
      </c>
      <c r="G48" s="40" t="s">
        <v>590</v>
      </c>
      <c r="H48" s="40" t="s">
        <v>592</v>
      </c>
      <c r="I48" s="40" t="s">
        <v>593</v>
      </c>
      <c r="J48" s="43" t="str">
        <f t="shared" si="0"/>
        <v>SCR-</v>
      </c>
      <c r="K48" s="40" t="s">
        <v>10</v>
      </c>
      <c r="L48" s="44">
        <v>21000</v>
      </c>
      <c r="M48" s="40" t="s">
        <v>1472</v>
      </c>
      <c r="N48" s="40" t="s">
        <v>11</v>
      </c>
      <c r="O48" s="40">
        <v>6.8599999999999994E-2</v>
      </c>
      <c r="P48" s="45">
        <f t="shared" si="1"/>
        <v>1440.6</v>
      </c>
      <c r="Q48" s="46">
        <f t="shared" si="2"/>
        <v>7.3003400000000003</v>
      </c>
      <c r="R48" s="47">
        <f t="shared" si="3"/>
        <v>9.4000000000000004E-3</v>
      </c>
      <c r="S48" s="48">
        <f t="shared" si="4"/>
        <v>197.4</v>
      </c>
      <c r="T48" s="47" t="s">
        <v>349</v>
      </c>
      <c r="U48" s="40" t="s">
        <v>166</v>
      </c>
      <c r="V48" s="38">
        <v>7.1879</v>
      </c>
      <c r="W48" s="49">
        <f t="shared" si="5"/>
        <v>200.42015053075303</v>
      </c>
    </row>
    <row r="49" spans="1:23" x14ac:dyDescent="0.2">
      <c r="A49" s="40" t="s">
        <v>609</v>
      </c>
      <c r="B49" s="41">
        <v>45670</v>
      </c>
      <c r="C49" s="41">
        <v>45636</v>
      </c>
      <c r="D49" s="40" t="s">
        <v>162</v>
      </c>
      <c r="E49" s="40" t="s">
        <v>163</v>
      </c>
      <c r="G49" s="40" t="s">
        <v>602</v>
      </c>
      <c r="H49" s="40" t="s">
        <v>606</v>
      </c>
      <c r="I49" s="40" t="s">
        <v>607</v>
      </c>
      <c r="J49" s="43" t="str">
        <f t="shared" si="0"/>
        <v>SCR-</v>
      </c>
      <c r="K49" s="40" t="s">
        <v>10</v>
      </c>
      <c r="L49" s="44">
        <v>1100</v>
      </c>
      <c r="M49" s="40" t="s">
        <v>1472</v>
      </c>
      <c r="N49" s="40" t="s">
        <v>11</v>
      </c>
      <c r="O49" s="40">
        <v>6.9000000000000006E-2</v>
      </c>
      <c r="P49" s="45">
        <f t="shared" si="1"/>
        <v>75.900000000000006</v>
      </c>
      <c r="Q49" s="46">
        <f t="shared" si="2"/>
        <v>7.3003400000000003</v>
      </c>
      <c r="R49" s="47">
        <f t="shared" si="3"/>
        <v>9.4999999999999998E-3</v>
      </c>
      <c r="S49" s="48">
        <f t="shared" si="4"/>
        <v>10.45</v>
      </c>
      <c r="T49" s="47" t="s">
        <v>349</v>
      </c>
      <c r="U49" s="40" t="s">
        <v>166</v>
      </c>
      <c r="V49" s="38">
        <v>7.1879</v>
      </c>
      <c r="W49" s="49">
        <f t="shared" si="5"/>
        <v>10.559412345747715</v>
      </c>
    </row>
    <row r="50" spans="1:23" x14ac:dyDescent="0.2">
      <c r="A50" s="40" t="s">
        <v>608</v>
      </c>
      <c r="B50" s="41">
        <v>45670</v>
      </c>
      <c r="C50" s="41">
        <v>45653</v>
      </c>
      <c r="D50" s="40" t="s">
        <v>162</v>
      </c>
      <c r="E50" s="40" t="s">
        <v>163</v>
      </c>
      <c r="G50" s="40" t="s">
        <v>602</v>
      </c>
      <c r="H50" s="40" t="s">
        <v>606</v>
      </c>
      <c r="I50" s="40" t="s">
        <v>607</v>
      </c>
      <c r="J50" s="43" t="str">
        <f t="shared" si="0"/>
        <v>SCR-</v>
      </c>
      <c r="K50" s="40" t="s">
        <v>10</v>
      </c>
      <c r="L50" s="44">
        <v>1000</v>
      </c>
      <c r="M50" s="40" t="s">
        <v>1472</v>
      </c>
      <c r="N50" s="40" t="s">
        <v>11</v>
      </c>
      <c r="O50" s="40">
        <v>6.9000000000000006E-2</v>
      </c>
      <c r="P50" s="45">
        <f t="shared" si="1"/>
        <v>69</v>
      </c>
      <c r="Q50" s="46">
        <f t="shared" si="2"/>
        <v>7.3003400000000003</v>
      </c>
      <c r="R50" s="47">
        <f t="shared" si="3"/>
        <v>9.4999999999999998E-3</v>
      </c>
      <c r="S50" s="48">
        <f t="shared" si="4"/>
        <v>9.5</v>
      </c>
      <c r="T50" s="47" t="s">
        <v>349</v>
      </c>
      <c r="U50" s="40" t="s">
        <v>166</v>
      </c>
      <c r="V50" s="38">
        <v>7.1879</v>
      </c>
      <c r="W50" s="49">
        <f t="shared" si="5"/>
        <v>9.5994657688615597</v>
      </c>
    </row>
    <row r="51" spans="1:23" x14ac:dyDescent="0.2">
      <c r="A51" s="40" t="s">
        <v>598</v>
      </c>
      <c r="B51" s="41">
        <v>45670</v>
      </c>
      <c r="C51" s="41">
        <v>45636</v>
      </c>
      <c r="D51" s="40" t="s">
        <v>162</v>
      </c>
      <c r="E51" s="40" t="s">
        <v>163</v>
      </c>
      <c r="G51" s="40" t="s">
        <v>590</v>
      </c>
      <c r="H51" s="40" t="s">
        <v>592</v>
      </c>
      <c r="I51" s="40" t="s">
        <v>593</v>
      </c>
      <c r="J51" s="43" t="str">
        <f t="shared" si="0"/>
        <v>SCR-</v>
      </c>
      <c r="K51" s="40" t="s">
        <v>10</v>
      </c>
      <c r="L51" s="44">
        <v>2100</v>
      </c>
      <c r="M51" s="40" t="s">
        <v>1472</v>
      </c>
      <c r="N51" s="40" t="s">
        <v>11</v>
      </c>
      <c r="O51" s="40">
        <v>7.0000000000000007E-2</v>
      </c>
      <c r="P51" s="45">
        <f t="shared" si="1"/>
        <v>147</v>
      </c>
      <c r="Q51" s="46">
        <f t="shared" si="2"/>
        <v>7.3003400000000003</v>
      </c>
      <c r="R51" s="47">
        <f t="shared" si="3"/>
        <v>9.5999999999999992E-3</v>
      </c>
      <c r="S51" s="48">
        <f t="shared" si="4"/>
        <v>20.16</v>
      </c>
      <c r="T51" s="47" t="s">
        <v>349</v>
      </c>
      <c r="U51" s="40" t="s">
        <v>166</v>
      </c>
      <c r="V51" s="38">
        <v>7.1879</v>
      </c>
      <c r="W51" s="49">
        <f t="shared" si="5"/>
        <v>20.451035768444193</v>
      </c>
    </row>
    <row r="52" spans="1:23" x14ac:dyDescent="0.2">
      <c r="A52" s="40" t="s">
        <v>597</v>
      </c>
      <c r="B52" s="41">
        <v>45670</v>
      </c>
      <c r="C52" s="41">
        <v>45639</v>
      </c>
      <c r="D52" s="40" t="s">
        <v>162</v>
      </c>
      <c r="E52" s="40" t="s">
        <v>163</v>
      </c>
      <c r="G52" s="40" t="s">
        <v>590</v>
      </c>
      <c r="H52" s="40" t="s">
        <v>592</v>
      </c>
      <c r="I52" s="40" t="s">
        <v>593</v>
      </c>
      <c r="J52" s="43" t="str">
        <f t="shared" si="0"/>
        <v>SCR-</v>
      </c>
      <c r="K52" s="40" t="s">
        <v>10</v>
      </c>
      <c r="L52" s="44">
        <v>3100</v>
      </c>
      <c r="M52" s="40" t="s">
        <v>1472</v>
      </c>
      <c r="N52" s="40" t="s">
        <v>11</v>
      </c>
      <c r="O52" s="40">
        <v>7.0000000000000007E-2</v>
      </c>
      <c r="P52" s="45">
        <f t="shared" si="1"/>
        <v>217</v>
      </c>
      <c r="Q52" s="46">
        <f t="shared" si="2"/>
        <v>7.3003400000000003</v>
      </c>
      <c r="R52" s="47">
        <f t="shared" si="3"/>
        <v>9.5999999999999992E-3</v>
      </c>
      <c r="S52" s="48">
        <f t="shared" si="4"/>
        <v>29.76</v>
      </c>
      <c r="T52" s="47" t="s">
        <v>349</v>
      </c>
      <c r="U52" s="40" t="s">
        <v>166</v>
      </c>
      <c r="V52" s="38">
        <v>7.1879</v>
      </c>
      <c r="W52" s="49">
        <f t="shared" si="5"/>
        <v>30.189624229608096</v>
      </c>
    </row>
    <row r="53" spans="1:23" x14ac:dyDescent="0.2">
      <c r="A53" s="40" t="s">
        <v>596</v>
      </c>
      <c r="B53" s="41">
        <v>45670</v>
      </c>
      <c r="C53" s="41">
        <v>45643</v>
      </c>
      <c r="D53" s="40" t="s">
        <v>162</v>
      </c>
      <c r="E53" s="40" t="s">
        <v>163</v>
      </c>
      <c r="G53" s="40" t="s">
        <v>590</v>
      </c>
      <c r="H53" s="40" t="s">
        <v>592</v>
      </c>
      <c r="I53" s="40" t="s">
        <v>593</v>
      </c>
      <c r="J53" s="43" t="str">
        <f t="shared" si="0"/>
        <v>SCR-</v>
      </c>
      <c r="K53" s="40" t="s">
        <v>10</v>
      </c>
      <c r="L53" s="44">
        <v>3100</v>
      </c>
      <c r="M53" s="40" t="s">
        <v>1472</v>
      </c>
      <c r="N53" s="40" t="s">
        <v>11</v>
      </c>
      <c r="O53" s="40">
        <v>7.0000000000000007E-2</v>
      </c>
      <c r="P53" s="45">
        <f t="shared" si="1"/>
        <v>217</v>
      </c>
      <c r="Q53" s="46">
        <f t="shared" si="2"/>
        <v>7.3003400000000003</v>
      </c>
      <c r="R53" s="47">
        <f t="shared" si="3"/>
        <v>9.5999999999999992E-3</v>
      </c>
      <c r="S53" s="48">
        <f t="shared" si="4"/>
        <v>29.76</v>
      </c>
      <c r="T53" s="47" t="s">
        <v>349</v>
      </c>
      <c r="U53" s="40" t="s">
        <v>166</v>
      </c>
      <c r="V53" s="38">
        <v>7.1879</v>
      </c>
      <c r="W53" s="49">
        <f t="shared" si="5"/>
        <v>30.189624229608096</v>
      </c>
    </row>
    <row r="54" spans="1:23" x14ac:dyDescent="0.2">
      <c r="A54" s="40" t="s">
        <v>594</v>
      </c>
      <c r="B54" s="41">
        <v>45670</v>
      </c>
      <c r="C54" s="41">
        <v>45646</v>
      </c>
      <c r="D54" s="40" t="s">
        <v>162</v>
      </c>
      <c r="E54" s="40" t="s">
        <v>163</v>
      </c>
      <c r="G54" s="40" t="s">
        <v>590</v>
      </c>
      <c r="H54" s="40" t="s">
        <v>592</v>
      </c>
      <c r="I54" s="40" t="s">
        <v>593</v>
      </c>
      <c r="J54" s="43" t="str">
        <f t="shared" si="0"/>
        <v>SCR-</v>
      </c>
      <c r="K54" s="40" t="s">
        <v>10</v>
      </c>
      <c r="L54" s="44">
        <v>13500</v>
      </c>
      <c r="M54" s="40" t="s">
        <v>1472</v>
      </c>
      <c r="N54" s="40" t="s">
        <v>11</v>
      </c>
      <c r="O54" s="40">
        <v>7.0000000000000007E-2</v>
      </c>
      <c r="P54" s="45">
        <f t="shared" si="1"/>
        <v>945</v>
      </c>
      <c r="Q54" s="46">
        <f t="shared" si="2"/>
        <v>7.3003400000000003</v>
      </c>
      <c r="R54" s="47">
        <f t="shared" si="3"/>
        <v>9.5999999999999992E-3</v>
      </c>
      <c r="S54" s="48">
        <f t="shared" si="4"/>
        <v>129.6</v>
      </c>
      <c r="T54" s="47" t="s">
        <v>349</v>
      </c>
      <c r="U54" s="40" t="s">
        <v>166</v>
      </c>
      <c r="V54" s="38">
        <v>7.1879</v>
      </c>
      <c r="W54" s="49">
        <f t="shared" si="5"/>
        <v>131.47094422571269</v>
      </c>
    </row>
    <row r="55" spans="1:23" x14ac:dyDescent="0.2">
      <c r="A55" s="40" t="s">
        <v>1383</v>
      </c>
      <c r="B55" s="41">
        <v>45659</v>
      </c>
      <c r="C55" s="41">
        <v>45610</v>
      </c>
      <c r="D55" s="40" t="s">
        <v>128</v>
      </c>
      <c r="E55" s="40" t="s">
        <v>129</v>
      </c>
      <c r="G55" s="40" t="s">
        <v>1377</v>
      </c>
      <c r="H55" s="40" t="s">
        <v>954</v>
      </c>
      <c r="I55" s="40" t="s">
        <v>955</v>
      </c>
      <c r="J55" s="43" t="str">
        <f t="shared" si="0"/>
        <v>RIV-</v>
      </c>
      <c r="K55" s="40" t="s">
        <v>10</v>
      </c>
      <c r="L55" s="44">
        <v>3000</v>
      </c>
      <c r="M55" s="40" t="s">
        <v>1472</v>
      </c>
      <c r="N55" s="40" t="s">
        <v>11</v>
      </c>
      <c r="O55" s="40">
        <v>7.0099999999999996E-2</v>
      </c>
      <c r="P55" s="45">
        <f t="shared" si="1"/>
        <v>210.3</v>
      </c>
      <c r="Q55" s="46">
        <f t="shared" si="2"/>
        <v>7.3003400000000003</v>
      </c>
      <c r="R55" s="47">
        <f t="shared" si="3"/>
        <v>9.5999999999999992E-3</v>
      </c>
      <c r="S55" s="48">
        <f t="shared" si="4"/>
        <v>28.8</v>
      </c>
      <c r="T55" s="47" t="s">
        <v>349</v>
      </c>
      <c r="U55" s="40" t="s">
        <v>132</v>
      </c>
      <c r="V55" s="38">
        <v>7.1879</v>
      </c>
      <c r="W55" s="49">
        <f t="shared" si="5"/>
        <v>29.257502191182404</v>
      </c>
    </row>
    <row r="56" spans="1:23" x14ac:dyDescent="0.2">
      <c r="A56" s="40" t="s">
        <v>1382</v>
      </c>
      <c r="B56" s="41">
        <v>45659</v>
      </c>
      <c r="C56" s="41">
        <v>45622</v>
      </c>
      <c r="D56" s="40" t="s">
        <v>128</v>
      </c>
      <c r="E56" s="40" t="s">
        <v>129</v>
      </c>
      <c r="G56" s="40" t="s">
        <v>1377</v>
      </c>
      <c r="H56" s="40" t="s">
        <v>954</v>
      </c>
      <c r="I56" s="40" t="s">
        <v>955</v>
      </c>
      <c r="J56" s="43" t="str">
        <f t="shared" si="0"/>
        <v>RIV-</v>
      </c>
      <c r="K56" s="40" t="s">
        <v>10</v>
      </c>
      <c r="L56" s="44">
        <v>8000</v>
      </c>
      <c r="M56" s="40" t="s">
        <v>1472</v>
      </c>
      <c r="N56" s="40" t="s">
        <v>11</v>
      </c>
      <c r="O56" s="40">
        <v>7.0099999999999996E-2</v>
      </c>
      <c r="P56" s="45">
        <f t="shared" si="1"/>
        <v>560.79999999999995</v>
      </c>
      <c r="Q56" s="46">
        <f t="shared" si="2"/>
        <v>7.3003400000000003</v>
      </c>
      <c r="R56" s="47">
        <f t="shared" si="3"/>
        <v>9.5999999999999992E-3</v>
      </c>
      <c r="S56" s="48">
        <f t="shared" si="4"/>
        <v>76.8</v>
      </c>
      <c r="T56" s="47" t="s">
        <v>349</v>
      </c>
      <c r="U56" s="40" t="s">
        <v>132</v>
      </c>
      <c r="V56" s="38">
        <v>7.1879</v>
      </c>
      <c r="W56" s="49">
        <f t="shared" si="5"/>
        <v>78.020005843153072</v>
      </c>
    </row>
    <row r="57" spans="1:23" x14ac:dyDescent="0.2">
      <c r="A57" s="40" t="s">
        <v>1381</v>
      </c>
      <c r="B57" s="41">
        <v>45659</v>
      </c>
      <c r="C57" s="41">
        <v>45622</v>
      </c>
      <c r="D57" s="40" t="s">
        <v>128</v>
      </c>
      <c r="E57" s="40" t="s">
        <v>129</v>
      </c>
      <c r="G57" s="40" t="s">
        <v>1377</v>
      </c>
      <c r="H57" s="40" t="s">
        <v>954</v>
      </c>
      <c r="I57" s="40" t="s">
        <v>955</v>
      </c>
      <c r="J57" s="43" t="str">
        <f t="shared" si="0"/>
        <v>RIV-</v>
      </c>
      <c r="K57" s="40" t="s">
        <v>10</v>
      </c>
      <c r="L57" s="44">
        <v>12000</v>
      </c>
      <c r="M57" s="40" t="s">
        <v>1472</v>
      </c>
      <c r="N57" s="40" t="s">
        <v>11</v>
      </c>
      <c r="O57" s="40">
        <v>7.0099999999999996E-2</v>
      </c>
      <c r="P57" s="45">
        <f t="shared" si="1"/>
        <v>841.2</v>
      </c>
      <c r="Q57" s="46">
        <f t="shared" si="2"/>
        <v>7.3003400000000003</v>
      </c>
      <c r="R57" s="47">
        <f t="shared" si="3"/>
        <v>9.5999999999999992E-3</v>
      </c>
      <c r="S57" s="48">
        <f t="shared" si="4"/>
        <v>115.2</v>
      </c>
      <c r="T57" s="47" t="s">
        <v>349</v>
      </c>
      <c r="U57" s="40" t="s">
        <v>132</v>
      </c>
      <c r="V57" s="38">
        <v>7.1879</v>
      </c>
      <c r="W57" s="49">
        <f t="shared" si="5"/>
        <v>117.03000876472962</v>
      </c>
    </row>
    <row r="58" spans="1:23" x14ac:dyDescent="0.2">
      <c r="A58" s="40" t="s">
        <v>1380</v>
      </c>
      <c r="B58" s="41">
        <v>45659</v>
      </c>
      <c r="C58" s="41">
        <v>45636</v>
      </c>
      <c r="D58" s="40" t="s">
        <v>128</v>
      </c>
      <c r="E58" s="40" t="s">
        <v>129</v>
      </c>
      <c r="G58" s="40" t="s">
        <v>1377</v>
      </c>
      <c r="H58" s="40" t="s">
        <v>954</v>
      </c>
      <c r="I58" s="40" t="s">
        <v>955</v>
      </c>
      <c r="J58" s="43" t="str">
        <f t="shared" si="0"/>
        <v>RIV-</v>
      </c>
      <c r="K58" s="40" t="s">
        <v>10</v>
      </c>
      <c r="L58" s="44">
        <v>6500</v>
      </c>
      <c r="M58" s="40" t="s">
        <v>1472</v>
      </c>
      <c r="N58" s="40" t="s">
        <v>11</v>
      </c>
      <c r="O58" s="40">
        <v>7.0099999999999996E-2</v>
      </c>
      <c r="P58" s="45">
        <f t="shared" si="1"/>
        <v>455.65</v>
      </c>
      <c r="Q58" s="46">
        <f t="shared" si="2"/>
        <v>7.3003400000000003</v>
      </c>
      <c r="R58" s="47">
        <f t="shared" si="3"/>
        <v>9.5999999999999992E-3</v>
      </c>
      <c r="S58" s="48">
        <f t="shared" si="4"/>
        <v>62.4</v>
      </c>
      <c r="T58" s="47" t="s">
        <v>349</v>
      </c>
      <c r="U58" s="40" t="s">
        <v>132</v>
      </c>
      <c r="V58" s="38">
        <v>7.1879</v>
      </c>
      <c r="W58" s="49">
        <f t="shared" si="5"/>
        <v>63.391254747561874</v>
      </c>
    </row>
    <row r="59" spans="1:23" x14ac:dyDescent="0.2">
      <c r="A59" s="40" t="s">
        <v>956</v>
      </c>
      <c r="B59" s="41">
        <v>45664</v>
      </c>
      <c r="C59" s="41">
        <v>45653</v>
      </c>
      <c r="D59" s="40" t="s">
        <v>128</v>
      </c>
      <c r="E59" s="40" t="s">
        <v>129</v>
      </c>
      <c r="G59" s="40" t="s">
        <v>953</v>
      </c>
      <c r="H59" s="40" t="s">
        <v>954</v>
      </c>
      <c r="I59" s="40" t="s">
        <v>955</v>
      </c>
      <c r="J59" s="43" t="str">
        <f t="shared" si="0"/>
        <v>RIV-</v>
      </c>
      <c r="K59" s="40" t="s">
        <v>10</v>
      </c>
      <c r="L59" s="44">
        <v>2100</v>
      </c>
      <c r="M59" s="40" t="s">
        <v>1472</v>
      </c>
      <c r="N59" s="40" t="s">
        <v>11</v>
      </c>
      <c r="O59" s="40">
        <v>7.0099999999999996E-2</v>
      </c>
      <c r="P59" s="45">
        <f t="shared" si="1"/>
        <v>147.21</v>
      </c>
      <c r="Q59" s="46">
        <f t="shared" si="2"/>
        <v>7.3003400000000003</v>
      </c>
      <c r="R59" s="47">
        <f t="shared" si="3"/>
        <v>9.5999999999999992E-3</v>
      </c>
      <c r="S59" s="48">
        <f t="shared" si="4"/>
        <v>20.16</v>
      </c>
      <c r="T59" s="47" t="s">
        <v>349</v>
      </c>
      <c r="U59" s="40" t="s">
        <v>132</v>
      </c>
      <c r="V59" s="38">
        <v>7.1879</v>
      </c>
      <c r="W59" s="49">
        <f t="shared" si="5"/>
        <v>20.480251533827683</v>
      </c>
    </row>
    <row r="60" spans="1:23" x14ac:dyDescent="0.2">
      <c r="A60" s="40" t="s">
        <v>1332</v>
      </c>
      <c r="B60" s="41">
        <v>45660</v>
      </c>
      <c r="C60" s="41">
        <v>45622</v>
      </c>
      <c r="D60" s="40" t="s">
        <v>169</v>
      </c>
      <c r="E60" s="40" t="s">
        <v>170</v>
      </c>
      <c r="G60" s="40" t="s">
        <v>1323</v>
      </c>
      <c r="H60" s="40" t="s">
        <v>1330</v>
      </c>
      <c r="I60" s="40" t="s">
        <v>1331</v>
      </c>
      <c r="J60" s="43" t="str">
        <f t="shared" si="0"/>
        <v>STKR</v>
      </c>
      <c r="K60" s="40" t="s">
        <v>10</v>
      </c>
      <c r="L60" s="44">
        <v>2020</v>
      </c>
      <c r="M60" s="40" t="s">
        <v>1472</v>
      </c>
      <c r="N60" s="40" t="s">
        <v>11</v>
      </c>
      <c r="O60" s="40">
        <v>0.08</v>
      </c>
      <c r="P60" s="45">
        <f t="shared" si="1"/>
        <v>161.6</v>
      </c>
      <c r="Q60" s="46">
        <f t="shared" si="2"/>
        <v>7.3003400000000003</v>
      </c>
      <c r="R60" s="47">
        <f t="shared" si="3"/>
        <v>1.0999999999999999E-2</v>
      </c>
      <c r="S60" s="48">
        <f t="shared" si="4"/>
        <v>22.22</v>
      </c>
      <c r="T60" s="47" t="s">
        <v>349</v>
      </c>
      <c r="U60" s="40" t="s">
        <v>18</v>
      </c>
      <c r="V60" s="38">
        <v>7.1879</v>
      </c>
      <c r="W60" s="49">
        <f t="shared" si="5"/>
        <v>22.482227076058376</v>
      </c>
    </row>
    <row r="61" spans="1:23" x14ac:dyDescent="0.2">
      <c r="A61" s="40" t="s">
        <v>1329</v>
      </c>
      <c r="B61" s="41">
        <v>45660</v>
      </c>
      <c r="C61" s="41">
        <v>45622</v>
      </c>
      <c r="D61" s="40" t="s">
        <v>169</v>
      </c>
      <c r="E61" s="40" t="s">
        <v>170</v>
      </c>
      <c r="G61" s="40" t="s">
        <v>1323</v>
      </c>
      <c r="H61" s="40" t="s">
        <v>1327</v>
      </c>
      <c r="I61" s="40" t="s">
        <v>1328</v>
      </c>
      <c r="J61" s="43" t="str">
        <f t="shared" si="0"/>
        <v>STKR</v>
      </c>
      <c r="K61" s="40" t="s">
        <v>10</v>
      </c>
      <c r="L61" s="44">
        <v>1010</v>
      </c>
      <c r="M61" s="40" t="s">
        <v>1472</v>
      </c>
      <c r="N61" s="40" t="s">
        <v>11</v>
      </c>
      <c r="O61" s="40">
        <v>0.08</v>
      </c>
      <c r="P61" s="45">
        <f t="shared" si="1"/>
        <v>80.8</v>
      </c>
      <c r="Q61" s="46">
        <f t="shared" si="2"/>
        <v>7.3003400000000003</v>
      </c>
      <c r="R61" s="47">
        <f t="shared" si="3"/>
        <v>1.0999999999999999E-2</v>
      </c>
      <c r="S61" s="48">
        <f t="shared" si="4"/>
        <v>11.11</v>
      </c>
      <c r="T61" s="47" t="s">
        <v>349</v>
      </c>
      <c r="U61" s="40" t="s">
        <v>18</v>
      </c>
      <c r="V61" s="38">
        <v>7.1879</v>
      </c>
      <c r="W61" s="49">
        <f t="shared" si="5"/>
        <v>11.241113538029188</v>
      </c>
    </row>
    <row r="62" spans="1:23" x14ac:dyDescent="0.2">
      <c r="A62" s="40" t="s">
        <v>1326</v>
      </c>
      <c r="B62" s="41">
        <v>45660</v>
      </c>
      <c r="C62" s="41">
        <v>45622</v>
      </c>
      <c r="D62" s="40" t="s">
        <v>169</v>
      </c>
      <c r="E62" s="40" t="s">
        <v>170</v>
      </c>
      <c r="G62" s="40" t="s">
        <v>1323</v>
      </c>
      <c r="H62" s="40" t="s">
        <v>1324</v>
      </c>
      <c r="I62" s="40" t="s">
        <v>1325</v>
      </c>
      <c r="J62" s="43" t="str">
        <f t="shared" si="0"/>
        <v>STKR</v>
      </c>
      <c r="K62" s="40" t="s">
        <v>10</v>
      </c>
      <c r="L62" s="44">
        <v>1010</v>
      </c>
      <c r="M62" s="40" t="s">
        <v>1472</v>
      </c>
      <c r="N62" s="40" t="s">
        <v>11</v>
      </c>
      <c r="O62" s="40">
        <v>0.08</v>
      </c>
      <c r="P62" s="45">
        <f t="shared" si="1"/>
        <v>80.8</v>
      </c>
      <c r="Q62" s="46">
        <f t="shared" si="2"/>
        <v>7.3003400000000003</v>
      </c>
      <c r="R62" s="47">
        <f t="shared" si="3"/>
        <v>1.0999999999999999E-2</v>
      </c>
      <c r="S62" s="48">
        <f t="shared" si="4"/>
        <v>11.11</v>
      </c>
      <c r="T62" s="47" t="s">
        <v>349</v>
      </c>
      <c r="U62" s="40" t="s">
        <v>18</v>
      </c>
      <c r="V62" s="38">
        <v>7.1879</v>
      </c>
      <c r="W62" s="49">
        <f t="shared" si="5"/>
        <v>11.241113538029188</v>
      </c>
    </row>
    <row r="63" spans="1:23" x14ac:dyDescent="0.2">
      <c r="A63" s="40" t="s">
        <v>823</v>
      </c>
      <c r="B63" s="41">
        <v>45666</v>
      </c>
      <c r="C63" s="41">
        <v>45650</v>
      </c>
      <c r="D63" s="40" t="s">
        <v>806</v>
      </c>
      <c r="E63" s="40" t="s">
        <v>807</v>
      </c>
      <c r="G63" s="40" t="s">
        <v>809</v>
      </c>
      <c r="H63" s="40" t="s">
        <v>821</v>
      </c>
      <c r="I63" s="40" t="s">
        <v>822</v>
      </c>
      <c r="J63" s="43" t="str">
        <f t="shared" si="0"/>
        <v>BAG-</v>
      </c>
      <c r="K63" s="40" t="s">
        <v>10</v>
      </c>
      <c r="L63" s="44">
        <v>5000</v>
      </c>
      <c r="M63" s="40" t="s">
        <v>1472</v>
      </c>
      <c r="N63" s="40" t="s">
        <v>11</v>
      </c>
      <c r="O63" s="40">
        <v>0.08</v>
      </c>
      <c r="P63" s="45">
        <f t="shared" si="1"/>
        <v>400</v>
      </c>
      <c r="Q63" s="46">
        <f t="shared" si="2"/>
        <v>7.3003400000000003</v>
      </c>
      <c r="R63" s="47">
        <f t="shared" si="3"/>
        <v>1.0999999999999999E-2</v>
      </c>
      <c r="S63" s="48">
        <f t="shared" si="4"/>
        <v>55</v>
      </c>
      <c r="T63" s="47" t="s">
        <v>349</v>
      </c>
      <c r="U63" s="40" t="s">
        <v>810</v>
      </c>
      <c r="V63" s="38">
        <v>7.1879</v>
      </c>
      <c r="W63" s="49">
        <f t="shared" si="5"/>
        <v>55.649076920936572</v>
      </c>
    </row>
    <row r="64" spans="1:23" x14ac:dyDescent="0.2">
      <c r="A64" s="40" t="s">
        <v>556</v>
      </c>
      <c r="B64" s="41">
        <v>45670</v>
      </c>
      <c r="C64" s="41">
        <v>45639</v>
      </c>
      <c r="D64" s="40" t="s">
        <v>545</v>
      </c>
      <c r="E64" s="40" t="s">
        <v>546</v>
      </c>
      <c r="G64" s="40" t="s">
        <v>548</v>
      </c>
      <c r="H64" s="40" t="s">
        <v>553</v>
      </c>
      <c r="I64" s="40" t="s">
        <v>554</v>
      </c>
      <c r="J64" s="43" t="str">
        <f t="shared" si="0"/>
        <v>WHR-</v>
      </c>
      <c r="K64" s="40" t="s">
        <v>10</v>
      </c>
      <c r="L64" s="44">
        <v>2300</v>
      </c>
      <c r="M64" s="40" t="s">
        <v>1472</v>
      </c>
      <c r="N64" s="40" t="s">
        <v>11</v>
      </c>
      <c r="O64" s="40">
        <v>8.5000000000000006E-2</v>
      </c>
      <c r="P64" s="45">
        <f t="shared" si="1"/>
        <v>195.5</v>
      </c>
      <c r="Q64" s="46">
        <f t="shared" si="2"/>
        <v>7.3003400000000003</v>
      </c>
      <c r="R64" s="47">
        <f t="shared" si="3"/>
        <v>1.1599999999999999E-2</v>
      </c>
      <c r="S64" s="48">
        <f t="shared" si="4"/>
        <v>26.68</v>
      </c>
      <c r="T64" s="47" t="s">
        <v>349</v>
      </c>
      <c r="U64" s="40" t="s">
        <v>248</v>
      </c>
      <c r="V64" s="38">
        <v>7.1879</v>
      </c>
      <c r="W64" s="49">
        <f t="shared" si="5"/>
        <v>27.198486345107753</v>
      </c>
    </row>
    <row r="65" spans="1:23" x14ac:dyDescent="0.2">
      <c r="A65" s="40" t="s">
        <v>555</v>
      </c>
      <c r="B65" s="41">
        <v>45670</v>
      </c>
      <c r="C65" s="41">
        <v>45643</v>
      </c>
      <c r="D65" s="40" t="s">
        <v>545</v>
      </c>
      <c r="E65" s="40" t="s">
        <v>546</v>
      </c>
      <c r="G65" s="40" t="s">
        <v>548</v>
      </c>
      <c r="H65" s="40" t="s">
        <v>553</v>
      </c>
      <c r="I65" s="40" t="s">
        <v>554</v>
      </c>
      <c r="J65" s="43" t="str">
        <f t="shared" si="0"/>
        <v>WHR-</v>
      </c>
      <c r="K65" s="40" t="s">
        <v>10</v>
      </c>
      <c r="L65" s="44">
        <v>4100</v>
      </c>
      <c r="M65" s="40" t="s">
        <v>1472</v>
      </c>
      <c r="N65" s="40" t="s">
        <v>11</v>
      </c>
      <c r="O65" s="40">
        <v>8.5000000000000006E-2</v>
      </c>
      <c r="P65" s="45">
        <f t="shared" si="1"/>
        <v>348.5</v>
      </c>
      <c r="Q65" s="46">
        <f t="shared" si="2"/>
        <v>7.3003400000000003</v>
      </c>
      <c r="R65" s="47">
        <f t="shared" si="3"/>
        <v>1.1599999999999999E-2</v>
      </c>
      <c r="S65" s="48">
        <f t="shared" si="4"/>
        <v>47.56</v>
      </c>
      <c r="T65" s="47" t="s">
        <v>349</v>
      </c>
      <c r="U65" s="40" t="s">
        <v>248</v>
      </c>
      <c r="V65" s="38">
        <v>7.1879</v>
      </c>
      <c r="W65" s="49">
        <f t="shared" si="5"/>
        <v>48.484258267365995</v>
      </c>
    </row>
    <row r="66" spans="1:23" x14ac:dyDescent="0.2">
      <c r="A66" s="40" t="s">
        <v>819</v>
      </c>
      <c r="B66" s="41">
        <v>45666</v>
      </c>
      <c r="C66" s="41">
        <v>45650</v>
      </c>
      <c r="D66" s="40" t="s">
        <v>806</v>
      </c>
      <c r="E66" s="40" t="s">
        <v>807</v>
      </c>
      <c r="G66" s="40" t="s">
        <v>809</v>
      </c>
      <c r="H66" s="40" t="s">
        <v>817</v>
      </c>
      <c r="I66" s="40" t="s">
        <v>818</v>
      </c>
      <c r="J66" s="43" t="str">
        <f t="shared" ref="J66:J129" si="6">+LEFT(U66,4)</f>
        <v>BAG-</v>
      </c>
      <c r="K66" s="40" t="s">
        <v>10</v>
      </c>
      <c r="L66" s="44">
        <v>5000</v>
      </c>
      <c r="M66" s="40" t="s">
        <v>1472</v>
      </c>
      <c r="N66" s="40" t="s">
        <v>11</v>
      </c>
      <c r="O66" s="40">
        <v>8.5000000000000006E-2</v>
      </c>
      <c r="P66" s="45">
        <f t="shared" ref="P66:P129" si="7">ROUND(O66*L66,2)</f>
        <v>425</v>
      </c>
      <c r="Q66" s="46">
        <f t="shared" ref="Q66:Q129" si="8">IF(N66="HKD",7.8,IF(N66="CNY",7.30034,1))</f>
        <v>7.3003400000000003</v>
      </c>
      <c r="R66" s="47">
        <f t="shared" ref="R66:R129" si="9">+ROUND(O66/Q66,4)</f>
        <v>1.1599999999999999E-2</v>
      </c>
      <c r="S66" s="48">
        <f t="shared" ref="S66:S129" si="10">ROUND(R66*L66,2)</f>
        <v>58</v>
      </c>
      <c r="T66" s="47" t="s">
        <v>349</v>
      </c>
      <c r="U66" s="40" t="s">
        <v>810</v>
      </c>
      <c r="V66" s="38">
        <v>7.1879</v>
      </c>
      <c r="W66" s="49">
        <f t="shared" ref="W66:W129" si="11">IF(N66="CNY",O66/V66*L66,1)</f>
        <v>59.127144228495119</v>
      </c>
    </row>
    <row r="67" spans="1:23" x14ac:dyDescent="0.2">
      <c r="A67" s="40" t="s">
        <v>130</v>
      </c>
      <c r="B67" s="41">
        <v>45677</v>
      </c>
      <c r="C67" s="41">
        <v>45664</v>
      </c>
      <c r="D67" s="40" t="s">
        <v>128</v>
      </c>
      <c r="E67" s="40" t="s">
        <v>129</v>
      </c>
      <c r="G67" s="40" t="s">
        <v>131</v>
      </c>
      <c r="H67" s="40" t="s">
        <v>126</v>
      </c>
      <c r="I67" s="40" t="s">
        <v>127</v>
      </c>
      <c r="J67" s="43" t="str">
        <f t="shared" si="6"/>
        <v>RIV-</v>
      </c>
      <c r="K67" s="40" t="s">
        <v>10</v>
      </c>
      <c r="L67" s="44">
        <v>1000</v>
      </c>
      <c r="M67" s="40" t="s">
        <v>1472</v>
      </c>
      <c r="N67" s="40" t="s">
        <v>11</v>
      </c>
      <c r="O67" s="40">
        <v>8.7300000000000003E-2</v>
      </c>
      <c r="P67" s="45">
        <f t="shared" si="7"/>
        <v>87.3</v>
      </c>
      <c r="Q67" s="46">
        <f t="shared" si="8"/>
        <v>7.3003400000000003</v>
      </c>
      <c r="R67" s="47">
        <f t="shared" si="9"/>
        <v>1.2E-2</v>
      </c>
      <c r="S67" s="48">
        <f t="shared" si="10"/>
        <v>12</v>
      </c>
      <c r="T67" s="47" t="s">
        <v>349</v>
      </c>
      <c r="U67" s="40" t="s">
        <v>132</v>
      </c>
      <c r="V67" s="38">
        <v>7.1879</v>
      </c>
      <c r="W67" s="49">
        <f t="shared" si="11"/>
        <v>12.145411037994409</v>
      </c>
    </row>
    <row r="68" spans="1:23" x14ac:dyDescent="0.2">
      <c r="A68" s="40" t="s">
        <v>1399</v>
      </c>
      <c r="B68" s="41">
        <v>45659</v>
      </c>
      <c r="C68" s="41">
        <v>45643</v>
      </c>
      <c r="D68" s="40" t="s">
        <v>143</v>
      </c>
      <c r="E68" s="40" t="s">
        <v>144</v>
      </c>
      <c r="G68" s="40" t="s">
        <v>1396</v>
      </c>
      <c r="H68" s="40" t="s">
        <v>1397</v>
      </c>
      <c r="I68" s="40" t="s">
        <v>1398</v>
      </c>
      <c r="J68" s="43" t="str">
        <f t="shared" si="6"/>
        <v>WHR-</v>
      </c>
      <c r="K68" s="40" t="s">
        <v>10</v>
      </c>
      <c r="L68" s="44">
        <v>2500</v>
      </c>
      <c r="M68" s="40" t="s">
        <v>1472</v>
      </c>
      <c r="N68" s="40" t="s">
        <v>11</v>
      </c>
      <c r="O68" s="40">
        <v>8.9499999999999996E-2</v>
      </c>
      <c r="P68" s="45">
        <f t="shared" si="7"/>
        <v>223.75</v>
      </c>
      <c r="Q68" s="46">
        <f t="shared" si="8"/>
        <v>7.3003400000000003</v>
      </c>
      <c r="R68" s="47">
        <f t="shared" si="9"/>
        <v>1.23E-2</v>
      </c>
      <c r="S68" s="48">
        <f t="shared" si="10"/>
        <v>30.75</v>
      </c>
      <c r="T68" s="47" t="s">
        <v>349</v>
      </c>
      <c r="U68" s="40" t="s">
        <v>248</v>
      </c>
      <c r="V68" s="38">
        <v>7.1879</v>
      </c>
      <c r="W68" s="49">
        <f t="shared" si="11"/>
        <v>31.128702402648894</v>
      </c>
    </row>
    <row r="69" spans="1:23" x14ac:dyDescent="0.2">
      <c r="A69" s="40" t="s">
        <v>1400</v>
      </c>
      <c r="B69" s="41">
        <v>45659</v>
      </c>
      <c r="C69" s="41">
        <v>45644</v>
      </c>
      <c r="D69" s="40" t="s">
        <v>143</v>
      </c>
      <c r="E69" s="40" t="s">
        <v>144</v>
      </c>
      <c r="G69" s="40" t="s">
        <v>1396</v>
      </c>
      <c r="H69" s="40" t="s">
        <v>1397</v>
      </c>
      <c r="I69" s="40" t="s">
        <v>1398</v>
      </c>
      <c r="J69" s="43" t="str">
        <f t="shared" si="6"/>
        <v>WHR-</v>
      </c>
      <c r="K69" s="40" t="s">
        <v>10</v>
      </c>
      <c r="L69" s="44">
        <v>9000</v>
      </c>
      <c r="M69" s="40" t="s">
        <v>1472</v>
      </c>
      <c r="N69" s="40" t="s">
        <v>11</v>
      </c>
      <c r="O69" s="40">
        <v>8.9499999999999996E-2</v>
      </c>
      <c r="P69" s="45">
        <f t="shared" si="7"/>
        <v>805.5</v>
      </c>
      <c r="Q69" s="46">
        <f t="shared" si="8"/>
        <v>7.3003400000000003</v>
      </c>
      <c r="R69" s="47">
        <f t="shared" si="9"/>
        <v>1.23E-2</v>
      </c>
      <c r="S69" s="48">
        <f t="shared" si="10"/>
        <v>110.7</v>
      </c>
      <c r="T69" s="47" t="s">
        <v>349</v>
      </c>
      <c r="U69" s="40" t="s">
        <v>248</v>
      </c>
      <c r="V69" s="38">
        <v>7.1879</v>
      </c>
      <c r="W69" s="49">
        <f t="shared" si="11"/>
        <v>112.06332864953602</v>
      </c>
    </row>
    <row r="70" spans="1:23" x14ac:dyDescent="0.2">
      <c r="A70" s="40" t="s">
        <v>586</v>
      </c>
      <c r="B70" s="41">
        <v>45670</v>
      </c>
      <c r="C70" s="41">
        <v>45643</v>
      </c>
      <c r="D70" s="40" t="s">
        <v>162</v>
      </c>
      <c r="E70" s="40" t="s">
        <v>163</v>
      </c>
      <c r="G70" s="40" t="s">
        <v>576</v>
      </c>
      <c r="H70" s="40" t="s">
        <v>583</v>
      </c>
      <c r="I70" s="40" t="s">
        <v>584</v>
      </c>
      <c r="J70" s="43" t="str">
        <f t="shared" si="6"/>
        <v>SCR-</v>
      </c>
      <c r="K70" s="40" t="s">
        <v>10</v>
      </c>
      <c r="L70" s="44">
        <v>2000</v>
      </c>
      <c r="M70" s="40" t="s">
        <v>1472</v>
      </c>
      <c r="N70" s="40" t="s">
        <v>11</v>
      </c>
      <c r="O70" s="40">
        <v>9.2999999999999999E-2</v>
      </c>
      <c r="P70" s="45">
        <f t="shared" si="7"/>
        <v>186</v>
      </c>
      <c r="Q70" s="46">
        <f t="shared" si="8"/>
        <v>7.3003400000000003</v>
      </c>
      <c r="R70" s="47">
        <f t="shared" si="9"/>
        <v>1.2699999999999999E-2</v>
      </c>
      <c r="S70" s="48">
        <f t="shared" si="10"/>
        <v>25.4</v>
      </c>
      <c r="T70" s="47" t="s">
        <v>349</v>
      </c>
      <c r="U70" s="40" t="s">
        <v>166</v>
      </c>
      <c r="V70" s="38">
        <v>7.1879</v>
      </c>
      <c r="W70" s="49">
        <f t="shared" si="11"/>
        <v>25.876820768235508</v>
      </c>
    </row>
    <row r="71" spans="1:23" x14ac:dyDescent="0.2">
      <c r="A71" s="40" t="s">
        <v>585</v>
      </c>
      <c r="B71" s="41">
        <v>45670</v>
      </c>
      <c r="C71" s="41">
        <v>45646</v>
      </c>
      <c r="D71" s="40" t="s">
        <v>162</v>
      </c>
      <c r="E71" s="40" t="s">
        <v>163</v>
      </c>
      <c r="G71" s="40" t="s">
        <v>576</v>
      </c>
      <c r="H71" s="40" t="s">
        <v>583</v>
      </c>
      <c r="I71" s="40" t="s">
        <v>584</v>
      </c>
      <c r="J71" s="43" t="str">
        <f t="shared" si="6"/>
        <v>SCR-</v>
      </c>
      <c r="K71" s="40" t="s">
        <v>10</v>
      </c>
      <c r="L71" s="44">
        <v>9250</v>
      </c>
      <c r="M71" s="40" t="s">
        <v>1472</v>
      </c>
      <c r="N71" s="40" t="s">
        <v>11</v>
      </c>
      <c r="O71" s="40">
        <v>9.2999999999999999E-2</v>
      </c>
      <c r="P71" s="45">
        <f t="shared" si="7"/>
        <v>860.25</v>
      </c>
      <c r="Q71" s="46">
        <f t="shared" si="8"/>
        <v>7.3003400000000003</v>
      </c>
      <c r="R71" s="47">
        <f t="shared" si="9"/>
        <v>1.2699999999999999E-2</v>
      </c>
      <c r="S71" s="48">
        <f t="shared" si="10"/>
        <v>117.48</v>
      </c>
      <c r="T71" s="47" t="s">
        <v>349</v>
      </c>
      <c r="U71" s="40" t="s">
        <v>166</v>
      </c>
      <c r="V71" s="38">
        <v>7.1879</v>
      </c>
      <c r="W71" s="49">
        <f t="shared" si="11"/>
        <v>119.68029605308922</v>
      </c>
    </row>
    <row r="72" spans="1:23" x14ac:dyDescent="0.2">
      <c r="A72" s="40" t="s">
        <v>582</v>
      </c>
      <c r="B72" s="41">
        <v>45670</v>
      </c>
      <c r="C72" s="41">
        <v>45629</v>
      </c>
      <c r="D72" s="40" t="s">
        <v>162</v>
      </c>
      <c r="E72" s="40" t="s">
        <v>163</v>
      </c>
      <c r="G72" s="40" t="s">
        <v>576</v>
      </c>
      <c r="H72" s="40" t="s">
        <v>578</v>
      </c>
      <c r="I72" s="40" t="s">
        <v>579</v>
      </c>
      <c r="J72" s="43" t="str">
        <f t="shared" si="6"/>
        <v>SCR-</v>
      </c>
      <c r="K72" s="40" t="s">
        <v>10</v>
      </c>
      <c r="L72" s="44">
        <v>6000</v>
      </c>
      <c r="M72" s="40" t="s">
        <v>1472</v>
      </c>
      <c r="N72" s="40" t="s">
        <v>11</v>
      </c>
      <c r="O72" s="40">
        <v>9.8000000000000004E-2</v>
      </c>
      <c r="P72" s="45">
        <f t="shared" si="7"/>
        <v>588</v>
      </c>
      <c r="Q72" s="46">
        <f t="shared" si="8"/>
        <v>7.3003400000000003</v>
      </c>
      <c r="R72" s="47">
        <f t="shared" si="9"/>
        <v>1.34E-2</v>
      </c>
      <c r="S72" s="48">
        <f t="shared" si="10"/>
        <v>80.400000000000006</v>
      </c>
      <c r="T72" s="47" t="s">
        <v>349</v>
      </c>
      <c r="U72" s="40" t="s">
        <v>166</v>
      </c>
      <c r="V72" s="38">
        <v>7.1879</v>
      </c>
      <c r="W72" s="49">
        <f t="shared" si="11"/>
        <v>81.804143073776771</v>
      </c>
    </row>
    <row r="73" spans="1:23" x14ac:dyDescent="0.2">
      <c r="A73" s="40" t="s">
        <v>581</v>
      </c>
      <c r="B73" s="41">
        <v>45670</v>
      </c>
      <c r="C73" s="41">
        <v>45643</v>
      </c>
      <c r="D73" s="40" t="s">
        <v>162</v>
      </c>
      <c r="E73" s="40" t="s">
        <v>163</v>
      </c>
      <c r="G73" s="40" t="s">
        <v>576</v>
      </c>
      <c r="H73" s="40" t="s">
        <v>578</v>
      </c>
      <c r="I73" s="40" t="s">
        <v>579</v>
      </c>
      <c r="J73" s="43" t="str">
        <f t="shared" si="6"/>
        <v>SCR-</v>
      </c>
      <c r="K73" s="40" t="s">
        <v>10</v>
      </c>
      <c r="L73" s="44">
        <v>4200</v>
      </c>
      <c r="M73" s="40" t="s">
        <v>1472</v>
      </c>
      <c r="N73" s="40" t="s">
        <v>11</v>
      </c>
      <c r="O73" s="40">
        <v>9.8000000000000004E-2</v>
      </c>
      <c r="P73" s="45">
        <f t="shared" si="7"/>
        <v>411.6</v>
      </c>
      <c r="Q73" s="46">
        <f t="shared" si="8"/>
        <v>7.3003400000000003</v>
      </c>
      <c r="R73" s="47">
        <f t="shared" si="9"/>
        <v>1.34E-2</v>
      </c>
      <c r="S73" s="48">
        <f t="shared" si="10"/>
        <v>56.28</v>
      </c>
      <c r="T73" s="47" t="s">
        <v>349</v>
      </c>
      <c r="U73" s="40" t="s">
        <v>166</v>
      </c>
      <c r="V73" s="38">
        <v>7.1879</v>
      </c>
      <c r="W73" s="49">
        <f t="shared" si="11"/>
        <v>57.262900151643734</v>
      </c>
    </row>
    <row r="74" spans="1:23" x14ac:dyDescent="0.2">
      <c r="A74" s="40" t="s">
        <v>580</v>
      </c>
      <c r="B74" s="41">
        <v>45670</v>
      </c>
      <c r="C74" s="41">
        <v>45653</v>
      </c>
      <c r="D74" s="40" t="s">
        <v>162</v>
      </c>
      <c r="E74" s="40" t="s">
        <v>163</v>
      </c>
      <c r="G74" s="40" t="s">
        <v>576</v>
      </c>
      <c r="H74" s="40" t="s">
        <v>578</v>
      </c>
      <c r="I74" s="40" t="s">
        <v>579</v>
      </c>
      <c r="J74" s="43" t="str">
        <f t="shared" si="6"/>
        <v>SCR-</v>
      </c>
      <c r="K74" s="40" t="s">
        <v>10</v>
      </c>
      <c r="L74" s="44">
        <v>1000</v>
      </c>
      <c r="M74" s="40" t="s">
        <v>1472</v>
      </c>
      <c r="N74" s="40" t="s">
        <v>11</v>
      </c>
      <c r="O74" s="40">
        <v>9.8000000000000004E-2</v>
      </c>
      <c r="P74" s="45">
        <f t="shared" si="7"/>
        <v>98</v>
      </c>
      <c r="Q74" s="46">
        <f t="shared" si="8"/>
        <v>7.3003400000000003</v>
      </c>
      <c r="R74" s="47">
        <f t="shared" si="9"/>
        <v>1.34E-2</v>
      </c>
      <c r="S74" s="48">
        <f t="shared" si="10"/>
        <v>13.4</v>
      </c>
      <c r="T74" s="47" t="s">
        <v>349</v>
      </c>
      <c r="U74" s="40" t="s">
        <v>166</v>
      </c>
      <c r="V74" s="38">
        <v>7.1879</v>
      </c>
      <c r="W74" s="49">
        <f t="shared" si="11"/>
        <v>13.634023845629461</v>
      </c>
    </row>
    <row r="75" spans="1:23" x14ac:dyDescent="0.2">
      <c r="A75" s="40" t="s">
        <v>1103</v>
      </c>
      <c r="B75" s="41">
        <v>45663</v>
      </c>
      <c r="C75" s="41">
        <v>45653</v>
      </c>
      <c r="D75" s="40" t="s">
        <v>169</v>
      </c>
      <c r="E75" s="40" t="s">
        <v>170</v>
      </c>
      <c r="G75" s="40" t="s">
        <v>1093</v>
      </c>
      <c r="H75" s="40" t="s">
        <v>1101</v>
      </c>
      <c r="I75" s="40" t="s">
        <v>1102</v>
      </c>
      <c r="J75" s="43" t="str">
        <f t="shared" si="6"/>
        <v>PAP-</v>
      </c>
      <c r="K75" s="40" t="s">
        <v>10</v>
      </c>
      <c r="L75" s="44">
        <v>10000</v>
      </c>
      <c r="M75" s="40" t="s">
        <v>1472</v>
      </c>
      <c r="N75" s="40" t="s">
        <v>11</v>
      </c>
      <c r="O75" s="40">
        <v>0.1</v>
      </c>
      <c r="P75" s="45">
        <f t="shared" si="7"/>
        <v>1000</v>
      </c>
      <c r="Q75" s="46">
        <f t="shared" si="8"/>
        <v>7.3003400000000003</v>
      </c>
      <c r="R75" s="47">
        <f t="shared" si="9"/>
        <v>1.37E-2</v>
      </c>
      <c r="S75" s="48">
        <f t="shared" si="10"/>
        <v>137</v>
      </c>
      <c r="T75" s="47" t="s">
        <v>349</v>
      </c>
      <c r="U75" s="40" t="s">
        <v>1094</v>
      </c>
      <c r="V75" s="38">
        <v>7.1879</v>
      </c>
      <c r="W75" s="49">
        <f t="shared" si="11"/>
        <v>139.12269230234145</v>
      </c>
    </row>
    <row r="76" spans="1:23" x14ac:dyDescent="0.2">
      <c r="A76" s="40" t="s">
        <v>957</v>
      </c>
      <c r="B76" s="41">
        <v>45664</v>
      </c>
      <c r="C76" s="41">
        <v>45610</v>
      </c>
      <c r="D76" s="40" t="s">
        <v>128</v>
      </c>
      <c r="E76" s="40" t="s">
        <v>129</v>
      </c>
      <c r="G76" s="40" t="s">
        <v>953</v>
      </c>
      <c r="H76" s="40" t="s">
        <v>950</v>
      </c>
      <c r="I76" s="40" t="s">
        <v>951</v>
      </c>
      <c r="J76" s="43" t="str">
        <f t="shared" si="6"/>
        <v>RIV-</v>
      </c>
      <c r="K76" s="40" t="s">
        <v>10</v>
      </c>
      <c r="L76" s="44">
        <v>2000</v>
      </c>
      <c r="M76" s="40" t="s">
        <v>1472</v>
      </c>
      <c r="N76" s="40" t="s">
        <v>11</v>
      </c>
      <c r="O76" s="40">
        <v>0.1016</v>
      </c>
      <c r="P76" s="45">
        <f t="shared" si="7"/>
        <v>203.2</v>
      </c>
      <c r="Q76" s="46">
        <f t="shared" si="8"/>
        <v>7.3003400000000003</v>
      </c>
      <c r="R76" s="47">
        <f t="shared" si="9"/>
        <v>1.3899999999999999E-2</v>
      </c>
      <c r="S76" s="48">
        <f t="shared" si="10"/>
        <v>27.8</v>
      </c>
      <c r="T76" s="47" t="s">
        <v>349</v>
      </c>
      <c r="U76" s="40" t="s">
        <v>132</v>
      </c>
      <c r="V76" s="38">
        <v>7.1879</v>
      </c>
      <c r="W76" s="49">
        <f t="shared" si="11"/>
        <v>28.269731075835779</v>
      </c>
    </row>
    <row r="77" spans="1:23" x14ac:dyDescent="0.2">
      <c r="A77" s="40" t="s">
        <v>1385</v>
      </c>
      <c r="B77" s="41">
        <v>45659</v>
      </c>
      <c r="C77" s="41">
        <v>45643</v>
      </c>
      <c r="D77" s="40" t="s">
        <v>128</v>
      </c>
      <c r="E77" s="40" t="s">
        <v>129</v>
      </c>
      <c r="G77" s="40" t="s">
        <v>1377</v>
      </c>
      <c r="H77" s="40" t="s">
        <v>950</v>
      </c>
      <c r="I77" s="40" t="s">
        <v>951</v>
      </c>
      <c r="J77" s="43" t="str">
        <f t="shared" si="6"/>
        <v>RIV-</v>
      </c>
      <c r="K77" s="40" t="s">
        <v>10</v>
      </c>
      <c r="L77" s="44">
        <v>2050</v>
      </c>
      <c r="M77" s="40" t="s">
        <v>1472</v>
      </c>
      <c r="N77" s="40" t="s">
        <v>11</v>
      </c>
      <c r="O77" s="40">
        <v>0.1016</v>
      </c>
      <c r="P77" s="45">
        <f t="shared" si="7"/>
        <v>208.28</v>
      </c>
      <c r="Q77" s="46">
        <f t="shared" si="8"/>
        <v>7.3003400000000003</v>
      </c>
      <c r="R77" s="47">
        <f t="shared" si="9"/>
        <v>1.3899999999999999E-2</v>
      </c>
      <c r="S77" s="48">
        <f t="shared" si="10"/>
        <v>28.5</v>
      </c>
      <c r="T77" s="47" t="s">
        <v>349</v>
      </c>
      <c r="U77" s="40" t="s">
        <v>132</v>
      </c>
      <c r="V77" s="38">
        <v>7.1879</v>
      </c>
      <c r="W77" s="49">
        <f t="shared" si="11"/>
        <v>28.976474352731671</v>
      </c>
    </row>
    <row r="78" spans="1:23" x14ac:dyDescent="0.2">
      <c r="A78" s="40" t="s">
        <v>952</v>
      </c>
      <c r="B78" s="41">
        <v>45664</v>
      </c>
      <c r="C78" s="41">
        <v>45644</v>
      </c>
      <c r="D78" s="40" t="s">
        <v>128</v>
      </c>
      <c r="E78" s="40" t="s">
        <v>129</v>
      </c>
      <c r="G78" s="40" t="s">
        <v>953</v>
      </c>
      <c r="H78" s="40" t="s">
        <v>950</v>
      </c>
      <c r="I78" s="40" t="s">
        <v>951</v>
      </c>
      <c r="J78" s="43" t="str">
        <f t="shared" si="6"/>
        <v>RIV-</v>
      </c>
      <c r="K78" s="40" t="s">
        <v>10</v>
      </c>
      <c r="L78" s="44">
        <v>600</v>
      </c>
      <c r="M78" s="40" t="s">
        <v>1472</v>
      </c>
      <c r="N78" s="40" t="s">
        <v>11</v>
      </c>
      <c r="O78" s="40">
        <v>0.1016</v>
      </c>
      <c r="P78" s="45">
        <f t="shared" si="7"/>
        <v>60.96</v>
      </c>
      <c r="Q78" s="46">
        <f t="shared" si="8"/>
        <v>7.3003400000000003</v>
      </c>
      <c r="R78" s="47">
        <f t="shared" si="9"/>
        <v>1.3899999999999999E-2</v>
      </c>
      <c r="S78" s="48">
        <f t="shared" si="10"/>
        <v>8.34</v>
      </c>
      <c r="T78" s="47" t="s">
        <v>349</v>
      </c>
      <c r="U78" s="40" t="s">
        <v>132</v>
      </c>
      <c r="V78" s="38">
        <v>7.1879</v>
      </c>
      <c r="W78" s="49">
        <f t="shared" si="11"/>
        <v>8.4809193227507329</v>
      </c>
    </row>
    <row r="79" spans="1:23" x14ac:dyDescent="0.2">
      <c r="A79" s="40" t="s">
        <v>952</v>
      </c>
      <c r="B79" s="41">
        <v>45660</v>
      </c>
      <c r="C79" s="41">
        <v>45644</v>
      </c>
      <c r="D79" s="40" t="s">
        <v>128</v>
      </c>
      <c r="E79" s="40" t="s">
        <v>129</v>
      </c>
      <c r="G79" s="40" t="s">
        <v>1377</v>
      </c>
      <c r="H79" s="40" t="s">
        <v>950</v>
      </c>
      <c r="I79" s="40" t="s">
        <v>951</v>
      </c>
      <c r="J79" s="43" t="str">
        <f t="shared" si="6"/>
        <v>RIV-</v>
      </c>
      <c r="K79" s="40" t="s">
        <v>10</v>
      </c>
      <c r="L79" s="44">
        <v>6000</v>
      </c>
      <c r="M79" s="40" t="s">
        <v>1472</v>
      </c>
      <c r="N79" s="40" t="s">
        <v>11</v>
      </c>
      <c r="O79" s="40">
        <v>0.1016</v>
      </c>
      <c r="P79" s="45">
        <f t="shared" si="7"/>
        <v>609.6</v>
      </c>
      <c r="Q79" s="46">
        <f t="shared" si="8"/>
        <v>7.3003400000000003</v>
      </c>
      <c r="R79" s="47">
        <f t="shared" si="9"/>
        <v>1.3899999999999999E-2</v>
      </c>
      <c r="S79" s="48">
        <f t="shared" si="10"/>
        <v>83.4</v>
      </c>
      <c r="T79" s="47" t="s">
        <v>349</v>
      </c>
      <c r="U79" s="40" t="s">
        <v>132</v>
      </c>
      <c r="V79" s="38">
        <v>7.1879</v>
      </c>
      <c r="W79" s="49">
        <f t="shared" si="11"/>
        <v>84.809193227507336</v>
      </c>
    </row>
    <row r="80" spans="1:23" x14ac:dyDescent="0.2">
      <c r="A80" s="40" t="s">
        <v>952</v>
      </c>
      <c r="B80" s="41">
        <v>45660</v>
      </c>
      <c r="C80" s="41">
        <v>45644</v>
      </c>
      <c r="D80" s="40" t="s">
        <v>128</v>
      </c>
      <c r="E80" s="40" t="s">
        <v>129</v>
      </c>
      <c r="G80" s="40" t="s">
        <v>1378</v>
      </c>
      <c r="H80" s="40" t="s">
        <v>950</v>
      </c>
      <c r="I80" s="40" t="s">
        <v>951</v>
      </c>
      <c r="J80" s="43" t="str">
        <f t="shared" si="6"/>
        <v>RIV-</v>
      </c>
      <c r="K80" s="40" t="s">
        <v>10</v>
      </c>
      <c r="L80" s="44">
        <v>-6600</v>
      </c>
      <c r="M80" s="40" t="s">
        <v>1472</v>
      </c>
      <c r="N80" s="40" t="s">
        <v>11</v>
      </c>
      <c r="O80" s="40">
        <v>0.1016</v>
      </c>
      <c r="P80" s="45">
        <f t="shared" si="7"/>
        <v>-670.56</v>
      </c>
      <c r="Q80" s="46">
        <f t="shared" si="8"/>
        <v>7.3003400000000003</v>
      </c>
      <c r="R80" s="47">
        <f t="shared" si="9"/>
        <v>1.3899999999999999E-2</v>
      </c>
      <c r="S80" s="48">
        <f t="shared" si="10"/>
        <v>-91.74</v>
      </c>
      <c r="T80" s="47" t="s">
        <v>349</v>
      </c>
      <c r="U80" s="40" t="s">
        <v>132</v>
      </c>
      <c r="V80" s="38">
        <v>7.1879</v>
      </c>
      <c r="W80" s="49">
        <f t="shared" si="11"/>
        <v>-93.290112550258073</v>
      </c>
    </row>
    <row r="81" spans="1:23" x14ac:dyDescent="0.2">
      <c r="A81" s="40" t="s">
        <v>952</v>
      </c>
      <c r="B81" s="41">
        <v>45659</v>
      </c>
      <c r="C81" s="41">
        <v>45644</v>
      </c>
      <c r="D81" s="40" t="s">
        <v>128</v>
      </c>
      <c r="E81" s="40" t="s">
        <v>129</v>
      </c>
      <c r="G81" s="40" t="s">
        <v>1377</v>
      </c>
      <c r="H81" s="40" t="s">
        <v>950</v>
      </c>
      <c r="I81" s="40" t="s">
        <v>951</v>
      </c>
      <c r="J81" s="43" t="str">
        <f t="shared" si="6"/>
        <v>RIV-</v>
      </c>
      <c r="K81" s="40" t="s">
        <v>10</v>
      </c>
      <c r="L81" s="44">
        <v>6600</v>
      </c>
      <c r="M81" s="40" t="s">
        <v>1472</v>
      </c>
      <c r="N81" s="40" t="s">
        <v>11</v>
      </c>
      <c r="O81" s="40">
        <v>0.1016</v>
      </c>
      <c r="P81" s="45">
        <f t="shared" si="7"/>
        <v>670.56</v>
      </c>
      <c r="Q81" s="46">
        <f t="shared" si="8"/>
        <v>7.3003400000000003</v>
      </c>
      <c r="R81" s="47">
        <f t="shared" si="9"/>
        <v>1.3899999999999999E-2</v>
      </c>
      <c r="S81" s="48">
        <f t="shared" si="10"/>
        <v>91.74</v>
      </c>
      <c r="T81" s="47" t="s">
        <v>349</v>
      </c>
      <c r="U81" s="40" t="s">
        <v>132</v>
      </c>
      <c r="V81" s="38">
        <v>7.1879</v>
      </c>
      <c r="W81" s="49">
        <f t="shared" si="11"/>
        <v>93.290112550258073</v>
      </c>
    </row>
    <row r="82" spans="1:23" x14ac:dyDescent="0.2">
      <c r="A82" s="40" t="s">
        <v>1384</v>
      </c>
      <c r="B82" s="41">
        <v>45659</v>
      </c>
      <c r="C82" s="41">
        <v>45646</v>
      </c>
      <c r="D82" s="40" t="s">
        <v>128</v>
      </c>
      <c r="E82" s="40" t="s">
        <v>129</v>
      </c>
      <c r="G82" s="40" t="s">
        <v>1377</v>
      </c>
      <c r="H82" s="40" t="s">
        <v>950</v>
      </c>
      <c r="I82" s="40" t="s">
        <v>951</v>
      </c>
      <c r="J82" s="43" t="str">
        <f t="shared" si="6"/>
        <v>RIV-</v>
      </c>
      <c r="K82" s="40" t="s">
        <v>10</v>
      </c>
      <c r="L82" s="44">
        <v>2100</v>
      </c>
      <c r="M82" s="40" t="s">
        <v>1472</v>
      </c>
      <c r="N82" s="40" t="s">
        <v>11</v>
      </c>
      <c r="O82" s="40">
        <v>0.1016</v>
      </c>
      <c r="P82" s="45">
        <f t="shared" si="7"/>
        <v>213.36</v>
      </c>
      <c r="Q82" s="46">
        <f t="shared" si="8"/>
        <v>7.3003400000000003</v>
      </c>
      <c r="R82" s="47">
        <f t="shared" si="9"/>
        <v>1.3899999999999999E-2</v>
      </c>
      <c r="S82" s="48">
        <f t="shared" si="10"/>
        <v>29.19</v>
      </c>
      <c r="T82" s="47" t="s">
        <v>349</v>
      </c>
      <c r="U82" s="40" t="s">
        <v>132</v>
      </c>
      <c r="V82" s="38">
        <v>7.1879</v>
      </c>
      <c r="W82" s="49">
        <f t="shared" si="11"/>
        <v>29.683217629627567</v>
      </c>
    </row>
    <row r="83" spans="1:23" x14ac:dyDescent="0.2">
      <c r="A83" s="40" t="s">
        <v>1401</v>
      </c>
      <c r="B83" s="41">
        <v>45659</v>
      </c>
      <c r="C83" s="41">
        <v>45609</v>
      </c>
      <c r="D83" s="40" t="s">
        <v>143</v>
      </c>
      <c r="E83" s="40" t="s">
        <v>144</v>
      </c>
      <c r="G83" s="40" t="s">
        <v>1396</v>
      </c>
      <c r="H83" s="40" t="s">
        <v>245</v>
      </c>
      <c r="I83" s="40" t="s">
        <v>246</v>
      </c>
      <c r="J83" s="43" t="str">
        <f t="shared" si="6"/>
        <v>WHR-</v>
      </c>
      <c r="K83" s="40" t="s">
        <v>10</v>
      </c>
      <c r="L83" s="44">
        <v>2300</v>
      </c>
      <c r="M83" s="40" t="s">
        <v>1472</v>
      </c>
      <c r="N83" s="40" t="s">
        <v>11</v>
      </c>
      <c r="O83" s="40">
        <v>0.1096</v>
      </c>
      <c r="P83" s="45">
        <f t="shared" si="7"/>
        <v>252.08</v>
      </c>
      <c r="Q83" s="46">
        <f t="shared" si="8"/>
        <v>7.3003400000000003</v>
      </c>
      <c r="R83" s="47">
        <f t="shared" si="9"/>
        <v>1.4999999999999999E-2</v>
      </c>
      <c r="S83" s="48">
        <f t="shared" si="10"/>
        <v>34.5</v>
      </c>
      <c r="T83" s="47" t="s">
        <v>349</v>
      </c>
      <c r="U83" s="40" t="s">
        <v>248</v>
      </c>
      <c r="V83" s="38">
        <v>7.1879</v>
      </c>
      <c r="W83" s="49">
        <f t="shared" si="11"/>
        <v>35.07004827557423</v>
      </c>
    </row>
    <row r="84" spans="1:23" x14ac:dyDescent="0.2">
      <c r="A84" s="40" t="s">
        <v>247</v>
      </c>
      <c r="B84" s="41">
        <v>45674</v>
      </c>
      <c r="C84" s="41">
        <v>45664</v>
      </c>
      <c r="D84" s="40" t="s">
        <v>143</v>
      </c>
      <c r="E84" s="40" t="s">
        <v>144</v>
      </c>
      <c r="G84" s="40" t="s">
        <v>182</v>
      </c>
      <c r="H84" s="40" t="s">
        <v>245</v>
      </c>
      <c r="I84" s="40" t="s">
        <v>246</v>
      </c>
      <c r="J84" s="43" t="str">
        <f t="shared" si="6"/>
        <v>WHR-</v>
      </c>
      <c r="K84" s="40" t="s">
        <v>10</v>
      </c>
      <c r="L84" s="44">
        <v>9000</v>
      </c>
      <c r="M84" s="40" t="s">
        <v>1472</v>
      </c>
      <c r="N84" s="40" t="s">
        <v>11</v>
      </c>
      <c r="O84" s="40">
        <v>0.1096</v>
      </c>
      <c r="P84" s="45">
        <f t="shared" si="7"/>
        <v>986.4</v>
      </c>
      <c r="Q84" s="46">
        <f t="shared" si="8"/>
        <v>7.3003400000000003</v>
      </c>
      <c r="R84" s="47">
        <f t="shared" si="9"/>
        <v>1.4999999999999999E-2</v>
      </c>
      <c r="S84" s="48">
        <f t="shared" si="10"/>
        <v>135</v>
      </c>
      <c r="T84" s="47" t="s">
        <v>349</v>
      </c>
      <c r="U84" s="40" t="s">
        <v>248</v>
      </c>
      <c r="V84" s="38">
        <v>7.1879</v>
      </c>
      <c r="W84" s="49">
        <f t="shared" si="11"/>
        <v>137.23062368702958</v>
      </c>
    </row>
    <row r="85" spans="1:23" x14ac:dyDescent="0.2">
      <c r="A85" s="40" t="s">
        <v>103</v>
      </c>
      <c r="B85" s="41">
        <v>45678</v>
      </c>
      <c r="C85" s="41">
        <v>45643</v>
      </c>
      <c r="D85" s="40" t="s">
        <v>101</v>
      </c>
      <c r="E85" s="40" t="s">
        <v>102</v>
      </c>
      <c r="G85" s="40" t="s">
        <v>104</v>
      </c>
      <c r="H85" s="40" t="s">
        <v>99</v>
      </c>
      <c r="I85" s="40" t="s">
        <v>100</v>
      </c>
      <c r="J85" s="43" t="str">
        <f t="shared" si="6"/>
        <v>STKR</v>
      </c>
      <c r="K85" s="40" t="s">
        <v>10</v>
      </c>
      <c r="L85" s="44">
        <v>1010</v>
      </c>
      <c r="M85" s="40" t="s">
        <v>1472</v>
      </c>
      <c r="N85" s="40" t="s">
        <v>11</v>
      </c>
      <c r="O85" s="40">
        <v>0.11</v>
      </c>
      <c r="P85" s="45">
        <f t="shared" si="7"/>
        <v>111.1</v>
      </c>
      <c r="Q85" s="46">
        <f t="shared" si="8"/>
        <v>7.3003400000000003</v>
      </c>
      <c r="R85" s="47">
        <f t="shared" si="9"/>
        <v>1.5100000000000001E-2</v>
      </c>
      <c r="S85" s="48">
        <f t="shared" si="10"/>
        <v>15.25</v>
      </c>
      <c r="T85" s="47" t="s">
        <v>349</v>
      </c>
      <c r="U85" s="40" t="s">
        <v>18</v>
      </c>
      <c r="V85" s="38">
        <v>7.1879</v>
      </c>
      <c r="W85" s="49">
        <f t="shared" si="11"/>
        <v>15.456531114790133</v>
      </c>
    </row>
    <row r="86" spans="1:23" x14ac:dyDescent="0.2">
      <c r="A86" s="40" t="s">
        <v>551</v>
      </c>
      <c r="B86" s="41">
        <v>45670</v>
      </c>
      <c r="C86" s="41">
        <v>45639</v>
      </c>
      <c r="D86" s="40" t="s">
        <v>545</v>
      </c>
      <c r="E86" s="40" t="s">
        <v>546</v>
      </c>
      <c r="G86" s="40" t="s">
        <v>548</v>
      </c>
      <c r="H86" s="40" t="s">
        <v>549</v>
      </c>
      <c r="I86" s="40" t="s">
        <v>550</v>
      </c>
      <c r="J86" s="43" t="str">
        <f t="shared" si="6"/>
        <v>MISC</v>
      </c>
      <c r="K86" s="40" t="s">
        <v>10</v>
      </c>
      <c r="L86" s="44">
        <v>13000</v>
      </c>
      <c r="M86" s="40" t="s">
        <v>1472</v>
      </c>
      <c r="N86" s="40" t="s">
        <v>11</v>
      </c>
      <c r="O86" s="40">
        <v>0.115</v>
      </c>
      <c r="P86" s="45">
        <f t="shared" si="7"/>
        <v>1495</v>
      </c>
      <c r="Q86" s="46">
        <f t="shared" si="8"/>
        <v>7.3003400000000003</v>
      </c>
      <c r="R86" s="47">
        <f t="shared" si="9"/>
        <v>1.5800000000000002E-2</v>
      </c>
      <c r="S86" s="48">
        <f t="shared" si="10"/>
        <v>205.4</v>
      </c>
      <c r="T86" s="47" t="s">
        <v>349</v>
      </c>
      <c r="U86" s="40" t="s">
        <v>25</v>
      </c>
      <c r="V86" s="38">
        <v>7.1879</v>
      </c>
      <c r="W86" s="49">
        <f t="shared" si="11"/>
        <v>207.98842499200043</v>
      </c>
    </row>
    <row r="87" spans="1:23" x14ac:dyDescent="0.2">
      <c r="A87" s="40" t="s">
        <v>551</v>
      </c>
      <c r="B87" s="41">
        <v>45670</v>
      </c>
      <c r="C87" s="41">
        <v>45639</v>
      </c>
      <c r="D87" s="40" t="s">
        <v>545</v>
      </c>
      <c r="E87" s="40" t="s">
        <v>546</v>
      </c>
      <c r="G87" s="40" t="s">
        <v>562</v>
      </c>
      <c r="H87" s="40" t="s">
        <v>549</v>
      </c>
      <c r="I87" s="40" t="s">
        <v>550</v>
      </c>
      <c r="J87" s="43" t="str">
        <f t="shared" si="6"/>
        <v>MISC</v>
      </c>
      <c r="K87" s="40" t="s">
        <v>10</v>
      </c>
      <c r="L87" s="44">
        <v>500</v>
      </c>
      <c r="M87" s="40" t="s">
        <v>1472</v>
      </c>
      <c r="N87" s="40" t="s">
        <v>11</v>
      </c>
      <c r="O87" s="40">
        <v>0.115</v>
      </c>
      <c r="P87" s="45">
        <f t="shared" si="7"/>
        <v>57.5</v>
      </c>
      <c r="Q87" s="46">
        <f t="shared" si="8"/>
        <v>7.3003400000000003</v>
      </c>
      <c r="R87" s="47">
        <f t="shared" si="9"/>
        <v>1.5800000000000002E-2</v>
      </c>
      <c r="S87" s="48">
        <f t="shared" si="10"/>
        <v>7.9</v>
      </c>
      <c r="T87" s="47" t="s">
        <v>349</v>
      </c>
      <c r="U87" s="40" t="s">
        <v>25</v>
      </c>
      <c r="V87" s="38">
        <v>7.1879</v>
      </c>
      <c r="W87" s="49">
        <f t="shared" si="11"/>
        <v>7.9995548073846319</v>
      </c>
    </row>
    <row r="88" spans="1:23" x14ac:dyDescent="0.2">
      <c r="A88" s="40" t="s">
        <v>552</v>
      </c>
      <c r="B88" s="41">
        <v>45670</v>
      </c>
      <c r="C88" s="41">
        <v>45644</v>
      </c>
      <c r="D88" s="40" t="s">
        <v>545</v>
      </c>
      <c r="E88" s="40" t="s">
        <v>546</v>
      </c>
      <c r="G88" s="40" t="s">
        <v>548</v>
      </c>
      <c r="H88" s="40" t="s">
        <v>549</v>
      </c>
      <c r="I88" s="40" t="s">
        <v>550</v>
      </c>
      <c r="J88" s="43" t="str">
        <f t="shared" si="6"/>
        <v>MISC</v>
      </c>
      <c r="K88" s="40" t="s">
        <v>10</v>
      </c>
      <c r="L88" s="44">
        <v>9800</v>
      </c>
      <c r="M88" s="40" t="s">
        <v>1472</v>
      </c>
      <c r="N88" s="40" t="s">
        <v>11</v>
      </c>
      <c r="O88" s="40">
        <v>0.115</v>
      </c>
      <c r="P88" s="45">
        <f t="shared" si="7"/>
        <v>1127</v>
      </c>
      <c r="Q88" s="46">
        <f t="shared" si="8"/>
        <v>7.3003400000000003</v>
      </c>
      <c r="R88" s="47">
        <f t="shared" si="9"/>
        <v>1.5800000000000002E-2</v>
      </c>
      <c r="S88" s="48">
        <f t="shared" si="10"/>
        <v>154.84</v>
      </c>
      <c r="T88" s="47" t="s">
        <v>349</v>
      </c>
      <c r="U88" s="40" t="s">
        <v>25</v>
      </c>
      <c r="V88" s="38">
        <v>7.1879</v>
      </c>
      <c r="W88" s="49">
        <f t="shared" si="11"/>
        <v>156.7912742247388</v>
      </c>
    </row>
    <row r="89" spans="1:23" x14ac:dyDescent="0.2">
      <c r="A89" s="40" t="s">
        <v>577</v>
      </c>
      <c r="B89" s="41">
        <v>45670</v>
      </c>
      <c r="C89" s="41">
        <v>45646</v>
      </c>
      <c r="D89" s="40" t="s">
        <v>162</v>
      </c>
      <c r="E89" s="40" t="s">
        <v>163</v>
      </c>
      <c r="G89" s="40" t="s">
        <v>576</v>
      </c>
      <c r="H89" s="40" t="s">
        <v>573</v>
      </c>
      <c r="I89" s="40" t="s">
        <v>574</v>
      </c>
      <c r="J89" s="43" t="str">
        <f t="shared" si="6"/>
        <v>SCR-</v>
      </c>
      <c r="K89" s="40" t="s">
        <v>10</v>
      </c>
      <c r="L89" s="44">
        <v>400</v>
      </c>
      <c r="M89" s="40" t="s">
        <v>1472</v>
      </c>
      <c r="N89" s="40" t="s">
        <v>11</v>
      </c>
      <c r="O89" s="40">
        <v>0.11700000000000001</v>
      </c>
      <c r="P89" s="45">
        <f t="shared" si="7"/>
        <v>46.8</v>
      </c>
      <c r="Q89" s="46">
        <f t="shared" si="8"/>
        <v>7.3003400000000003</v>
      </c>
      <c r="R89" s="47">
        <f t="shared" si="9"/>
        <v>1.6E-2</v>
      </c>
      <c r="S89" s="48">
        <f t="shared" si="10"/>
        <v>6.4</v>
      </c>
      <c r="T89" s="47" t="s">
        <v>349</v>
      </c>
      <c r="U89" s="40" t="s">
        <v>166</v>
      </c>
      <c r="V89" s="38">
        <v>7.1879</v>
      </c>
      <c r="W89" s="49">
        <f t="shared" si="11"/>
        <v>6.5109419997495799</v>
      </c>
    </row>
    <row r="90" spans="1:23" x14ac:dyDescent="0.2">
      <c r="A90" s="40" t="s">
        <v>575</v>
      </c>
      <c r="B90" s="41">
        <v>45670</v>
      </c>
      <c r="C90" s="41">
        <v>45664</v>
      </c>
      <c r="D90" s="40" t="s">
        <v>162</v>
      </c>
      <c r="E90" s="40" t="s">
        <v>163</v>
      </c>
      <c r="G90" s="40" t="s">
        <v>576</v>
      </c>
      <c r="H90" s="40" t="s">
        <v>573</v>
      </c>
      <c r="I90" s="40" t="s">
        <v>574</v>
      </c>
      <c r="J90" s="43" t="str">
        <f t="shared" si="6"/>
        <v>SCR-</v>
      </c>
      <c r="K90" s="40" t="s">
        <v>10</v>
      </c>
      <c r="L90" s="44">
        <v>1500</v>
      </c>
      <c r="M90" s="40" t="s">
        <v>1472</v>
      </c>
      <c r="N90" s="40" t="s">
        <v>11</v>
      </c>
      <c r="O90" s="40">
        <v>0.11700000000000001</v>
      </c>
      <c r="P90" s="45">
        <f t="shared" si="7"/>
        <v>175.5</v>
      </c>
      <c r="Q90" s="46">
        <f t="shared" si="8"/>
        <v>7.3003400000000003</v>
      </c>
      <c r="R90" s="47">
        <f t="shared" si="9"/>
        <v>1.6E-2</v>
      </c>
      <c r="S90" s="48">
        <f t="shared" si="10"/>
        <v>24</v>
      </c>
      <c r="T90" s="47" t="s">
        <v>349</v>
      </c>
      <c r="U90" s="40" t="s">
        <v>166</v>
      </c>
      <c r="V90" s="38">
        <v>7.1879</v>
      </c>
      <c r="W90" s="49">
        <f t="shared" si="11"/>
        <v>24.416032499060922</v>
      </c>
    </row>
    <row r="91" spans="1:23" x14ac:dyDescent="0.2">
      <c r="A91" s="40" t="s">
        <v>1414</v>
      </c>
      <c r="B91" s="41">
        <v>45659</v>
      </c>
      <c r="C91" s="41">
        <v>45639</v>
      </c>
      <c r="D91" s="40" t="s">
        <v>569</v>
      </c>
      <c r="E91" s="40" t="s">
        <v>570</v>
      </c>
      <c r="G91" s="40" t="s">
        <v>1403</v>
      </c>
      <c r="H91" s="40" t="s">
        <v>1412</v>
      </c>
      <c r="I91" s="40" t="s">
        <v>1413</v>
      </c>
      <c r="J91" s="43" t="str">
        <f t="shared" si="6"/>
        <v>WHR-</v>
      </c>
      <c r="K91" s="40" t="s">
        <v>10</v>
      </c>
      <c r="L91" s="44">
        <v>2560</v>
      </c>
      <c r="M91" s="40" t="s">
        <v>1472</v>
      </c>
      <c r="N91" s="40" t="s">
        <v>11</v>
      </c>
      <c r="O91" s="40">
        <v>0.1176</v>
      </c>
      <c r="P91" s="45">
        <f t="shared" si="7"/>
        <v>301.06</v>
      </c>
      <c r="Q91" s="46">
        <f t="shared" si="8"/>
        <v>7.3003400000000003</v>
      </c>
      <c r="R91" s="47">
        <f t="shared" si="9"/>
        <v>1.61E-2</v>
      </c>
      <c r="S91" s="48">
        <f t="shared" si="10"/>
        <v>41.22</v>
      </c>
      <c r="T91" s="47" t="s">
        <v>349</v>
      </c>
      <c r="U91" s="40" t="s">
        <v>248</v>
      </c>
      <c r="V91" s="38">
        <v>7.1879</v>
      </c>
      <c r="W91" s="49">
        <f t="shared" si="11"/>
        <v>41.8837212537737</v>
      </c>
    </row>
    <row r="92" spans="1:23" x14ac:dyDescent="0.2">
      <c r="A92" s="40" t="s">
        <v>641</v>
      </c>
      <c r="B92" s="41">
        <v>45670</v>
      </c>
      <c r="C92" s="41">
        <v>45643</v>
      </c>
      <c r="D92" s="40" t="s">
        <v>169</v>
      </c>
      <c r="E92" s="40" t="s">
        <v>170</v>
      </c>
      <c r="G92" s="40" t="s">
        <v>634</v>
      </c>
      <c r="H92" s="40" t="s">
        <v>639</v>
      </c>
      <c r="I92" s="40" t="s">
        <v>640</v>
      </c>
      <c r="J92" s="43" t="str">
        <f t="shared" si="6"/>
        <v>U&amp;C-</v>
      </c>
      <c r="K92" s="40" t="s">
        <v>10</v>
      </c>
      <c r="L92" s="44">
        <v>2020</v>
      </c>
      <c r="M92" s="40" t="s">
        <v>1472</v>
      </c>
      <c r="N92" s="40" t="s">
        <v>11</v>
      </c>
      <c r="O92" s="40">
        <v>0.1244</v>
      </c>
      <c r="P92" s="45">
        <f t="shared" si="7"/>
        <v>251.29</v>
      </c>
      <c r="Q92" s="46">
        <f t="shared" si="8"/>
        <v>7.3003400000000003</v>
      </c>
      <c r="R92" s="47">
        <f t="shared" si="9"/>
        <v>1.7000000000000001E-2</v>
      </c>
      <c r="S92" s="48">
        <f t="shared" si="10"/>
        <v>34.340000000000003</v>
      </c>
      <c r="T92" s="47" t="s">
        <v>349</v>
      </c>
      <c r="U92" s="40" t="s">
        <v>177</v>
      </c>
      <c r="V92" s="38">
        <v>7.1879</v>
      </c>
      <c r="W92" s="49">
        <f t="shared" si="11"/>
        <v>34.959863103270777</v>
      </c>
    </row>
    <row r="93" spans="1:23" x14ac:dyDescent="0.2">
      <c r="A93" s="40" t="s">
        <v>1376</v>
      </c>
      <c r="B93" s="41">
        <v>45660</v>
      </c>
      <c r="C93" s="41">
        <v>45609</v>
      </c>
      <c r="D93" s="40" t="s">
        <v>235</v>
      </c>
      <c r="E93" s="40" t="s">
        <v>236</v>
      </c>
      <c r="G93" s="40" t="s">
        <v>1369</v>
      </c>
      <c r="H93" s="40" t="s">
        <v>1374</v>
      </c>
      <c r="I93" s="40" t="s">
        <v>1375</v>
      </c>
      <c r="J93" s="43" t="str">
        <f t="shared" si="6"/>
        <v>SCR-</v>
      </c>
      <c r="K93" s="40" t="s">
        <v>10</v>
      </c>
      <c r="L93" s="44">
        <v>1000</v>
      </c>
      <c r="M93" s="40" t="s">
        <v>1472</v>
      </c>
      <c r="N93" s="40" t="s">
        <v>11</v>
      </c>
      <c r="O93" s="40">
        <v>0.12939999999999999</v>
      </c>
      <c r="P93" s="45">
        <f t="shared" si="7"/>
        <v>129.4</v>
      </c>
      <c r="Q93" s="46">
        <f t="shared" si="8"/>
        <v>7.3003400000000003</v>
      </c>
      <c r="R93" s="47">
        <f t="shared" si="9"/>
        <v>1.77E-2</v>
      </c>
      <c r="S93" s="48">
        <f t="shared" si="10"/>
        <v>17.7</v>
      </c>
      <c r="T93" s="47" t="s">
        <v>349</v>
      </c>
      <c r="U93" s="40" t="s">
        <v>166</v>
      </c>
      <c r="V93" s="38">
        <v>7.1879</v>
      </c>
      <c r="W93" s="49">
        <f t="shared" si="11"/>
        <v>18.002476383922978</v>
      </c>
    </row>
    <row r="94" spans="1:23" x14ac:dyDescent="0.2">
      <c r="A94" s="40" t="s">
        <v>1370</v>
      </c>
      <c r="B94" s="41">
        <v>45660</v>
      </c>
      <c r="C94" s="41">
        <v>45618</v>
      </c>
      <c r="D94" s="40" t="s">
        <v>235</v>
      </c>
      <c r="E94" s="40" t="s">
        <v>236</v>
      </c>
      <c r="G94" s="40" t="s">
        <v>1369</v>
      </c>
      <c r="H94" s="40" t="s">
        <v>1352</v>
      </c>
      <c r="I94" s="40" t="s">
        <v>1353</v>
      </c>
      <c r="J94" s="43" t="str">
        <f t="shared" si="6"/>
        <v>RIV-</v>
      </c>
      <c r="K94" s="40" t="s">
        <v>10</v>
      </c>
      <c r="L94" s="44">
        <v>5600</v>
      </c>
      <c r="M94" s="40" t="s">
        <v>1472</v>
      </c>
      <c r="N94" s="40" t="s">
        <v>11</v>
      </c>
      <c r="O94" s="40">
        <v>0.13550000000000001</v>
      </c>
      <c r="P94" s="45">
        <f t="shared" si="7"/>
        <v>758.8</v>
      </c>
      <c r="Q94" s="46">
        <f t="shared" si="8"/>
        <v>7.3003400000000003</v>
      </c>
      <c r="R94" s="47">
        <f t="shared" si="9"/>
        <v>1.8599999999999998E-2</v>
      </c>
      <c r="S94" s="48">
        <f t="shared" si="10"/>
        <v>104.16</v>
      </c>
      <c r="T94" s="47" t="s">
        <v>349</v>
      </c>
      <c r="U94" s="40" t="s">
        <v>132</v>
      </c>
      <c r="V94" s="38">
        <v>7.1879</v>
      </c>
      <c r="W94" s="49">
        <f t="shared" si="11"/>
        <v>105.56629891901667</v>
      </c>
    </row>
    <row r="95" spans="1:23" x14ac:dyDescent="0.2">
      <c r="A95" s="40" t="s">
        <v>1355</v>
      </c>
      <c r="B95" s="41">
        <v>45660</v>
      </c>
      <c r="C95" s="41">
        <v>45636</v>
      </c>
      <c r="D95" s="40" t="s">
        <v>235</v>
      </c>
      <c r="E95" s="40" t="s">
        <v>236</v>
      </c>
      <c r="G95" s="40" t="s">
        <v>1356</v>
      </c>
      <c r="H95" s="40" t="s">
        <v>1352</v>
      </c>
      <c r="I95" s="40" t="s">
        <v>1353</v>
      </c>
      <c r="J95" s="43" t="str">
        <f t="shared" si="6"/>
        <v>RIV-</v>
      </c>
      <c r="K95" s="40" t="s">
        <v>10</v>
      </c>
      <c r="L95" s="44">
        <v>10500</v>
      </c>
      <c r="M95" s="40" t="s">
        <v>1472</v>
      </c>
      <c r="N95" s="40" t="s">
        <v>11</v>
      </c>
      <c r="O95" s="40">
        <v>0.13550000000000001</v>
      </c>
      <c r="P95" s="45">
        <f t="shared" si="7"/>
        <v>1422.75</v>
      </c>
      <c r="Q95" s="46">
        <f t="shared" si="8"/>
        <v>7.3003400000000003</v>
      </c>
      <c r="R95" s="47">
        <f t="shared" si="9"/>
        <v>1.8599999999999998E-2</v>
      </c>
      <c r="S95" s="48">
        <f t="shared" si="10"/>
        <v>195.3</v>
      </c>
      <c r="T95" s="47" t="s">
        <v>349</v>
      </c>
      <c r="U95" s="40" t="s">
        <v>132</v>
      </c>
      <c r="V95" s="38">
        <v>7.1879</v>
      </c>
      <c r="W95" s="49">
        <f t="shared" si="11"/>
        <v>197.93681047315627</v>
      </c>
    </row>
    <row r="96" spans="1:23" x14ac:dyDescent="0.2">
      <c r="A96" s="40" t="s">
        <v>1354</v>
      </c>
      <c r="B96" s="41">
        <v>45660</v>
      </c>
      <c r="C96" s="41">
        <v>45638</v>
      </c>
      <c r="D96" s="40" t="s">
        <v>235</v>
      </c>
      <c r="E96" s="40" t="s">
        <v>236</v>
      </c>
      <c r="G96" s="40" t="s">
        <v>1347</v>
      </c>
      <c r="H96" s="40" t="s">
        <v>1352</v>
      </c>
      <c r="I96" s="40" t="s">
        <v>1353</v>
      </c>
      <c r="J96" s="43" t="str">
        <f t="shared" si="6"/>
        <v>RIV-</v>
      </c>
      <c r="K96" s="40" t="s">
        <v>10</v>
      </c>
      <c r="L96" s="44">
        <v>1600</v>
      </c>
      <c r="M96" s="40" t="s">
        <v>1472</v>
      </c>
      <c r="N96" s="40" t="s">
        <v>11</v>
      </c>
      <c r="O96" s="40">
        <v>0.13550000000000001</v>
      </c>
      <c r="P96" s="45">
        <f t="shared" si="7"/>
        <v>216.8</v>
      </c>
      <c r="Q96" s="46">
        <f t="shared" si="8"/>
        <v>7.3003400000000003</v>
      </c>
      <c r="R96" s="47">
        <f t="shared" si="9"/>
        <v>1.8599999999999998E-2</v>
      </c>
      <c r="S96" s="48">
        <f t="shared" si="10"/>
        <v>29.76</v>
      </c>
      <c r="T96" s="47" t="s">
        <v>349</v>
      </c>
      <c r="U96" s="40" t="s">
        <v>132</v>
      </c>
      <c r="V96" s="38">
        <v>7.1879</v>
      </c>
      <c r="W96" s="49">
        <f t="shared" si="11"/>
        <v>30.161799691147621</v>
      </c>
    </row>
    <row r="97" spans="1:23" x14ac:dyDescent="0.2">
      <c r="A97" s="40" t="s">
        <v>1388</v>
      </c>
      <c r="B97" s="41">
        <v>45659</v>
      </c>
      <c r="C97" s="41">
        <v>45629</v>
      </c>
      <c r="D97" s="40" t="s">
        <v>143</v>
      </c>
      <c r="E97" s="40" t="s">
        <v>144</v>
      </c>
      <c r="G97" s="40" t="s">
        <v>1389</v>
      </c>
      <c r="H97" s="40" t="s">
        <v>1386</v>
      </c>
      <c r="I97" s="40" t="s">
        <v>1387</v>
      </c>
      <c r="J97" s="43" t="str">
        <f t="shared" si="6"/>
        <v>WHR-</v>
      </c>
      <c r="K97" s="40" t="s">
        <v>10</v>
      </c>
      <c r="L97" s="44">
        <v>500</v>
      </c>
      <c r="M97" s="40" t="s">
        <v>1472</v>
      </c>
      <c r="N97" s="40" t="s">
        <v>11</v>
      </c>
      <c r="O97" s="40">
        <v>0.14000000000000001</v>
      </c>
      <c r="P97" s="45">
        <f t="shared" si="7"/>
        <v>70</v>
      </c>
      <c r="Q97" s="46">
        <f t="shared" si="8"/>
        <v>7.3003400000000003</v>
      </c>
      <c r="R97" s="47">
        <f t="shared" si="9"/>
        <v>1.9199999999999998E-2</v>
      </c>
      <c r="S97" s="48">
        <f t="shared" si="10"/>
        <v>9.6</v>
      </c>
      <c r="T97" s="47" t="s">
        <v>349</v>
      </c>
      <c r="U97" s="40" t="s">
        <v>248</v>
      </c>
      <c r="V97" s="38">
        <v>7.1879</v>
      </c>
      <c r="W97" s="49">
        <f t="shared" si="11"/>
        <v>9.7385884611639018</v>
      </c>
    </row>
    <row r="98" spans="1:23" x14ac:dyDescent="0.2">
      <c r="A98" s="40" t="s">
        <v>605</v>
      </c>
      <c r="B98" s="41">
        <v>45670</v>
      </c>
      <c r="C98" s="41">
        <v>45643</v>
      </c>
      <c r="D98" s="40" t="s">
        <v>162</v>
      </c>
      <c r="E98" s="40" t="s">
        <v>163</v>
      </c>
      <c r="G98" s="40" t="s">
        <v>602</v>
      </c>
      <c r="H98" s="40" t="s">
        <v>160</v>
      </c>
      <c r="I98" s="40" t="s">
        <v>161</v>
      </c>
      <c r="J98" s="43" t="str">
        <f t="shared" si="6"/>
        <v>SCR-</v>
      </c>
      <c r="K98" s="40" t="s">
        <v>10</v>
      </c>
      <c r="L98" s="44">
        <v>7200</v>
      </c>
      <c r="M98" s="40" t="s">
        <v>1472</v>
      </c>
      <c r="N98" s="40" t="s">
        <v>11</v>
      </c>
      <c r="O98" s="40">
        <v>0.14199999999999999</v>
      </c>
      <c r="P98" s="45">
        <f t="shared" si="7"/>
        <v>1022.4</v>
      </c>
      <c r="Q98" s="46">
        <f t="shared" si="8"/>
        <v>7.3003400000000003</v>
      </c>
      <c r="R98" s="47">
        <f t="shared" si="9"/>
        <v>1.95E-2</v>
      </c>
      <c r="S98" s="48">
        <f t="shared" si="10"/>
        <v>140.4</v>
      </c>
      <c r="T98" s="47" t="s">
        <v>349</v>
      </c>
      <c r="U98" s="40" t="s">
        <v>166</v>
      </c>
      <c r="V98" s="38">
        <v>7.1879</v>
      </c>
      <c r="W98" s="49">
        <f t="shared" si="11"/>
        <v>142.23904060991387</v>
      </c>
    </row>
    <row r="99" spans="1:23" x14ac:dyDescent="0.2">
      <c r="A99" s="40" t="s">
        <v>164</v>
      </c>
      <c r="B99" s="41">
        <v>45675</v>
      </c>
      <c r="C99" s="41">
        <v>45670</v>
      </c>
      <c r="D99" s="40" t="s">
        <v>162</v>
      </c>
      <c r="E99" s="40" t="s">
        <v>163</v>
      </c>
      <c r="G99" s="40" t="s">
        <v>165</v>
      </c>
      <c r="H99" s="40" t="s">
        <v>160</v>
      </c>
      <c r="I99" s="40" t="s">
        <v>161</v>
      </c>
      <c r="J99" s="43" t="str">
        <f t="shared" si="6"/>
        <v>SCR-</v>
      </c>
      <c r="K99" s="40" t="s">
        <v>10</v>
      </c>
      <c r="L99" s="44">
        <v>3200</v>
      </c>
      <c r="M99" s="40" t="s">
        <v>1472</v>
      </c>
      <c r="N99" s="40" t="s">
        <v>11</v>
      </c>
      <c r="O99" s="40">
        <v>0.14199999999999999</v>
      </c>
      <c r="P99" s="45">
        <f t="shared" si="7"/>
        <v>454.4</v>
      </c>
      <c r="Q99" s="46">
        <f t="shared" si="8"/>
        <v>7.3003400000000003</v>
      </c>
      <c r="R99" s="47">
        <f t="shared" si="9"/>
        <v>1.95E-2</v>
      </c>
      <c r="S99" s="48">
        <f t="shared" si="10"/>
        <v>62.4</v>
      </c>
      <c r="T99" s="47" t="s">
        <v>349</v>
      </c>
      <c r="U99" s="40" t="s">
        <v>166</v>
      </c>
      <c r="V99" s="38">
        <v>7.1879</v>
      </c>
      <c r="W99" s="49">
        <f t="shared" si="11"/>
        <v>63.217351382183942</v>
      </c>
    </row>
    <row r="100" spans="1:23" x14ac:dyDescent="0.2">
      <c r="A100" s="40" t="s">
        <v>808</v>
      </c>
      <c r="B100" s="41">
        <v>45666</v>
      </c>
      <c r="C100" s="41">
        <v>45650</v>
      </c>
      <c r="D100" s="40" t="s">
        <v>806</v>
      </c>
      <c r="E100" s="40" t="s">
        <v>807</v>
      </c>
      <c r="G100" s="40" t="s">
        <v>809</v>
      </c>
      <c r="H100" s="40" t="s">
        <v>804</v>
      </c>
      <c r="I100" s="40" t="s">
        <v>805</v>
      </c>
      <c r="J100" s="43" t="str">
        <f t="shared" si="6"/>
        <v>BAG-</v>
      </c>
      <c r="K100" s="40" t="s">
        <v>10</v>
      </c>
      <c r="L100" s="44">
        <v>7000</v>
      </c>
      <c r="M100" s="40" t="s">
        <v>1472</v>
      </c>
      <c r="N100" s="40" t="s">
        <v>11</v>
      </c>
      <c r="O100" s="40">
        <v>0.152</v>
      </c>
      <c r="P100" s="45">
        <f t="shared" si="7"/>
        <v>1064</v>
      </c>
      <c r="Q100" s="46">
        <f t="shared" si="8"/>
        <v>7.3003400000000003</v>
      </c>
      <c r="R100" s="47">
        <f t="shared" si="9"/>
        <v>2.0799999999999999E-2</v>
      </c>
      <c r="S100" s="48">
        <f t="shared" si="10"/>
        <v>145.6</v>
      </c>
      <c r="T100" s="47" t="s">
        <v>349</v>
      </c>
      <c r="U100" s="40" t="s">
        <v>810</v>
      </c>
      <c r="V100" s="38">
        <v>7.1879</v>
      </c>
      <c r="W100" s="49">
        <f t="shared" si="11"/>
        <v>148.02654460969129</v>
      </c>
    </row>
    <row r="101" spans="1:23" x14ac:dyDescent="0.2">
      <c r="A101" s="40" t="s">
        <v>589</v>
      </c>
      <c r="B101" s="41">
        <v>45670</v>
      </c>
      <c r="C101" s="41">
        <v>45639</v>
      </c>
      <c r="D101" s="40" t="s">
        <v>162</v>
      </c>
      <c r="E101" s="40" t="s">
        <v>163</v>
      </c>
      <c r="G101" s="40" t="s">
        <v>590</v>
      </c>
      <c r="H101" s="40" t="s">
        <v>587</v>
      </c>
      <c r="I101" s="40" t="s">
        <v>588</v>
      </c>
      <c r="J101" s="43" t="str">
        <f t="shared" si="6"/>
        <v>SCR-</v>
      </c>
      <c r="K101" s="40" t="s">
        <v>10</v>
      </c>
      <c r="L101" s="44">
        <v>13000</v>
      </c>
      <c r="M101" s="40" t="s">
        <v>1472</v>
      </c>
      <c r="N101" s="40" t="s">
        <v>11</v>
      </c>
      <c r="O101" s="40">
        <v>0.153</v>
      </c>
      <c r="P101" s="45">
        <f t="shared" si="7"/>
        <v>1989</v>
      </c>
      <c r="Q101" s="46">
        <f t="shared" si="8"/>
        <v>7.3003400000000003</v>
      </c>
      <c r="R101" s="47">
        <f t="shared" si="9"/>
        <v>2.1000000000000001E-2</v>
      </c>
      <c r="S101" s="48">
        <f t="shared" si="10"/>
        <v>273</v>
      </c>
      <c r="T101" s="47" t="s">
        <v>349</v>
      </c>
      <c r="U101" s="40" t="s">
        <v>166</v>
      </c>
      <c r="V101" s="38">
        <v>7.1879</v>
      </c>
      <c r="W101" s="49">
        <f t="shared" si="11"/>
        <v>276.71503498935715</v>
      </c>
    </row>
    <row r="102" spans="1:23" x14ac:dyDescent="0.2">
      <c r="A102" s="40" t="s">
        <v>591</v>
      </c>
      <c r="B102" s="41">
        <v>45670</v>
      </c>
      <c r="C102" s="41">
        <v>45644</v>
      </c>
      <c r="D102" s="40" t="s">
        <v>162</v>
      </c>
      <c r="E102" s="40" t="s">
        <v>163</v>
      </c>
      <c r="G102" s="40" t="s">
        <v>590</v>
      </c>
      <c r="H102" s="40" t="s">
        <v>587</v>
      </c>
      <c r="I102" s="40" t="s">
        <v>588</v>
      </c>
      <c r="J102" s="43" t="str">
        <f t="shared" si="6"/>
        <v>SCR-</v>
      </c>
      <c r="K102" s="40" t="s">
        <v>10</v>
      </c>
      <c r="L102" s="44">
        <v>9800</v>
      </c>
      <c r="M102" s="40" t="s">
        <v>1472</v>
      </c>
      <c r="N102" s="40" t="s">
        <v>11</v>
      </c>
      <c r="O102" s="40">
        <v>0.153</v>
      </c>
      <c r="P102" s="45">
        <f t="shared" si="7"/>
        <v>1499.4</v>
      </c>
      <c r="Q102" s="46">
        <f t="shared" si="8"/>
        <v>7.3003400000000003</v>
      </c>
      <c r="R102" s="47">
        <f t="shared" si="9"/>
        <v>2.1000000000000001E-2</v>
      </c>
      <c r="S102" s="48">
        <f t="shared" si="10"/>
        <v>205.8</v>
      </c>
      <c r="T102" s="47" t="s">
        <v>349</v>
      </c>
      <c r="U102" s="40" t="s">
        <v>166</v>
      </c>
      <c r="V102" s="38">
        <v>7.1879</v>
      </c>
      <c r="W102" s="49">
        <f t="shared" si="11"/>
        <v>208.60056483813077</v>
      </c>
    </row>
    <row r="103" spans="1:23" x14ac:dyDescent="0.2">
      <c r="A103" s="40" t="s">
        <v>1367</v>
      </c>
      <c r="B103" s="41">
        <v>45660</v>
      </c>
      <c r="C103" s="41">
        <v>45611</v>
      </c>
      <c r="D103" s="40" t="s">
        <v>235</v>
      </c>
      <c r="E103" s="40" t="s">
        <v>236</v>
      </c>
      <c r="G103" s="40" t="s">
        <v>1365</v>
      </c>
      <c r="H103" s="40" t="s">
        <v>239</v>
      </c>
      <c r="I103" s="40" t="s">
        <v>240</v>
      </c>
      <c r="J103" s="43" t="str">
        <f t="shared" si="6"/>
        <v>RIV-</v>
      </c>
      <c r="K103" s="40" t="s">
        <v>10</v>
      </c>
      <c r="L103" s="44">
        <v>5000</v>
      </c>
      <c r="M103" s="40" t="s">
        <v>1472</v>
      </c>
      <c r="N103" s="40" t="s">
        <v>11</v>
      </c>
      <c r="O103" s="40">
        <v>0.16120000000000001</v>
      </c>
      <c r="P103" s="45">
        <f t="shared" si="7"/>
        <v>806</v>
      </c>
      <c r="Q103" s="46">
        <f t="shared" si="8"/>
        <v>7.3003400000000003</v>
      </c>
      <c r="R103" s="47">
        <f t="shared" si="9"/>
        <v>2.2100000000000002E-2</v>
      </c>
      <c r="S103" s="48">
        <f t="shared" si="10"/>
        <v>110.5</v>
      </c>
      <c r="T103" s="47" t="s">
        <v>349</v>
      </c>
      <c r="U103" s="40" t="s">
        <v>132</v>
      </c>
      <c r="V103" s="38">
        <v>7.1879</v>
      </c>
      <c r="W103" s="49">
        <f t="shared" si="11"/>
        <v>112.13288999568721</v>
      </c>
    </row>
    <row r="104" spans="1:23" x14ac:dyDescent="0.2">
      <c r="A104" s="40" t="s">
        <v>1368</v>
      </c>
      <c r="B104" s="41">
        <v>45660</v>
      </c>
      <c r="C104" s="41">
        <v>45618</v>
      </c>
      <c r="D104" s="40" t="s">
        <v>235</v>
      </c>
      <c r="E104" s="40" t="s">
        <v>236</v>
      </c>
      <c r="G104" s="40" t="s">
        <v>1369</v>
      </c>
      <c r="H104" s="40" t="s">
        <v>239</v>
      </c>
      <c r="I104" s="40" t="s">
        <v>240</v>
      </c>
      <c r="J104" s="43" t="str">
        <f t="shared" si="6"/>
        <v>RIV-</v>
      </c>
      <c r="K104" s="40" t="s">
        <v>10</v>
      </c>
      <c r="L104" s="44">
        <v>17000</v>
      </c>
      <c r="M104" s="40" t="s">
        <v>1472</v>
      </c>
      <c r="N104" s="40" t="s">
        <v>11</v>
      </c>
      <c r="O104" s="40">
        <v>0.16120000000000001</v>
      </c>
      <c r="P104" s="45">
        <f t="shared" si="7"/>
        <v>2740.4</v>
      </c>
      <c r="Q104" s="46">
        <f t="shared" si="8"/>
        <v>7.3003400000000003</v>
      </c>
      <c r="R104" s="47">
        <f t="shared" si="9"/>
        <v>2.2100000000000002E-2</v>
      </c>
      <c r="S104" s="48">
        <f t="shared" si="10"/>
        <v>375.7</v>
      </c>
      <c r="T104" s="47" t="s">
        <v>349</v>
      </c>
      <c r="U104" s="40" t="s">
        <v>132</v>
      </c>
      <c r="V104" s="38">
        <v>7.1879</v>
      </c>
      <c r="W104" s="49">
        <f t="shared" si="11"/>
        <v>381.2518259853365</v>
      </c>
    </row>
    <row r="105" spans="1:23" x14ac:dyDescent="0.2">
      <c r="A105" s="40" t="s">
        <v>1336</v>
      </c>
      <c r="B105" s="41">
        <v>45660</v>
      </c>
      <c r="C105" s="41">
        <v>45622</v>
      </c>
      <c r="D105" s="40" t="s">
        <v>235</v>
      </c>
      <c r="E105" s="40" t="s">
        <v>236</v>
      </c>
      <c r="G105" s="40" t="s">
        <v>1335</v>
      </c>
      <c r="H105" s="40" t="s">
        <v>239</v>
      </c>
      <c r="I105" s="40" t="s">
        <v>240</v>
      </c>
      <c r="J105" s="43" t="str">
        <f t="shared" si="6"/>
        <v>RIV-</v>
      </c>
      <c r="K105" s="40" t="s">
        <v>10</v>
      </c>
      <c r="L105" s="44">
        <v>10000</v>
      </c>
      <c r="M105" s="40" t="s">
        <v>1472</v>
      </c>
      <c r="N105" s="40" t="s">
        <v>11</v>
      </c>
      <c r="O105" s="40">
        <v>0.16120000000000001</v>
      </c>
      <c r="P105" s="45">
        <f t="shared" si="7"/>
        <v>1612</v>
      </c>
      <c r="Q105" s="46">
        <f t="shared" si="8"/>
        <v>7.3003400000000003</v>
      </c>
      <c r="R105" s="47">
        <f t="shared" si="9"/>
        <v>2.2100000000000002E-2</v>
      </c>
      <c r="S105" s="48">
        <f t="shared" si="10"/>
        <v>221</v>
      </c>
      <c r="T105" s="47" t="s">
        <v>349</v>
      </c>
      <c r="U105" s="40" t="s">
        <v>132</v>
      </c>
      <c r="V105" s="38">
        <v>7.1879</v>
      </c>
      <c r="W105" s="49">
        <f t="shared" si="11"/>
        <v>224.26577999137442</v>
      </c>
    </row>
    <row r="106" spans="1:23" x14ac:dyDescent="0.2">
      <c r="A106" s="40" t="s">
        <v>1342</v>
      </c>
      <c r="B106" s="41">
        <v>45660</v>
      </c>
      <c r="C106" s="41">
        <v>45643</v>
      </c>
      <c r="D106" s="40" t="s">
        <v>235</v>
      </c>
      <c r="E106" s="40" t="s">
        <v>236</v>
      </c>
      <c r="G106" s="40" t="s">
        <v>1340</v>
      </c>
      <c r="H106" s="40" t="s">
        <v>239</v>
      </c>
      <c r="I106" s="40" t="s">
        <v>240</v>
      </c>
      <c r="J106" s="43" t="str">
        <f t="shared" si="6"/>
        <v>RIV-</v>
      </c>
      <c r="K106" s="40" t="s">
        <v>10</v>
      </c>
      <c r="L106" s="44">
        <v>9200</v>
      </c>
      <c r="M106" s="40" t="s">
        <v>1472</v>
      </c>
      <c r="N106" s="40" t="s">
        <v>11</v>
      </c>
      <c r="O106" s="40">
        <v>0.16120000000000001</v>
      </c>
      <c r="P106" s="45">
        <f t="shared" si="7"/>
        <v>1483.04</v>
      </c>
      <c r="Q106" s="46">
        <f t="shared" si="8"/>
        <v>7.3003400000000003</v>
      </c>
      <c r="R106" s="47">
        <f t="shared" si="9"/>
        <v>2.2100000000000002E-2</v>
      </c>
      <c r="S106" s="48">
        <f t="shared" si="10"/>
        <v>203.32</v>
      </c>
      <c r="T106" s="47" t="s">
        <v>349</v>
      </c>
      <c r="U106" s="40" t="s">
        <v>132</v>
      </c>
      <c r="V106" s="38">
        <v>7.1879</v>
      </c>
      <c r="W106" s="49">
        <f t="shared" si="11"/>
        <v>206.32451759206447</v>
      </c>
    </row>
    <row r="107" spans="1:23" x14ac:dyDescent="0.2">
      <c r="A107" s="40" t="s">
        <v>241</v>
      </c>
      <c r="B107" s="41">
        <v>45674</v>
      </c>
      <c r="C107" s="41">
        <v>45646</v>
      </c>
      <c r="D107" s="40" t="s">
        <v>235</v>
      </c>
      <c r="E107" s="40" t="s">
        <v>236</v>
      </c>
      <c r="G107" s="40" t="s">
        <v>238</v>
      </c>
      <c r="H107" s="40" t="s">
        <v>239</v>
      </c>
      <c r="I107" s="40" t="s">
        <v>240</v>
      </c>
      <c r="J107" s="43" t="str">
        <f t="shared" si="6"/>
        <v>RIV-</v>
      </c>
      <c r="K107" s="40" t="s">
        <v>10</v>
      </c>
      <c r="L107" s="44">
        <v>18400</v>
      </c>
      <c r="M107" s="40" t="s">
        <v>1472</v>
      </c>
      <c r="N107" s="40" t="s">
        <v>11</v>
      </c>
      <c r="O107" s="40">
        <v>0.16120000000000001</v>
      </c>
      <c r="P107" s="45">
        <f t="shared" si="7"/>
        <v>2966.08</v>
      </c>
      <c r="Q107" s="46">
        <f t="shared" si="8"/>
        <v>7.3003400000000003</v>
      </c>
      <c r="R107" s="47">
        <f t="shared" si="9"/>
        <v>2.2100000000000002E-2</v>
      </c>
      <c r="S107" s="48">
        <f t="shared" si="10"/>
        <v>406.64</v>
      </c>
      <c r="T107" s="47" t="s">
        <v>349</v>
      </c>
      <c r="U107" s="40" t="s">
        <v>132</v>
      </c>
      <c r="V107" s="38">
        <v>7.1879</v>
      </c>
      <c r="W107" s="49">
        <f t="shared" si="11"/>
        <v>412.64903518412893</v>
      </c>
    </row>
    <row r="108" spans="1:23" x14ac:dyDescent="0.2">
      <c r="A108" s="40" t="s">
        <v>1339</v>
      </c>
      <c r="B108" s="41">
        <v>45660</v>
      </c>
      <c r="C108" s="41">
        <v>45643</v>
      </c>
      <c r="D108" s="40" t="s">
        <v>235</v>
      </c>
      <c r="E108" s="40" t="s">
        <v>236</v>
      </c>
      <c r="G108" s="40" t="s">
        <v>1340</v>
      </c>
      <c r="H108" s="40" t="s">
        <v>1337</v>
      </c>
      <c r="I108" s="40" t="s">
        <v>1338</v>
      </c>
      <c r="J108" s="43" t="str">
        <f t="shared" si="6"/>
        <v>RIV-</v>
      </c>
      <c r="K108" s="40" t="s">
        <v>10</v>
      </c>
      <c r="L108" s="44">
        <v>2000</v>
      </c>
      <c r="M108" s="40" t="s">
        <v>1472</v>
      </c>
      <c r="N108" s="40" t="s">
        <v>11</v>
      </c>
      <c r="O108" s="40">
        <v>0.17180000000000001</v>
      </c>
      <c r="P108" s="45">
        <f t="shared" si="7"/>
        <v>343.6</v>
      </c>
      <c r="Q108" s="46">
        <f t="shared" si="8"/>
        <v>7.3003400000000003</v>
      </c>
      <c r="R108" s="47">
        <f t="shared" si="9"/>
        <v>2.35E-2</v>
      </c>
      <c r="S108" s="48">
        <f t="shared" si="10"/>
        <v>47</v>
      </c>
      <c r="T108" s="47" t="s">
        <v>349</v>
      </c>
      <c r="U108" s="40" t="s">
        <v>132</v>
      </c>
      <c r="V108" s="38">
        <v>7.1879</v>
      </c>
      <c r="W108" s="49">
        <f t="shared" si="11"/>
        <v>47.802557075084515</v>
      </c>
    </row>
    <row r="109" spans="1:23" x14ac:dyDescent="0.2">
      <c r="A109" s="40" t="s">
        <v>826</v>
      </c>
      <c r="B109" s="41">
        <v>45666</v>
      </c>
      <c r="C109" s="41">
        <v>45660</v>
      </c>
      <c r="D109" s="40" t="s">
        <v>21</v>
      </c>
      <c r="E109" s="40" t="s">
        <v>22</v>
      </c>
      <c r="G109" s="40" t="s">
        <v>827</v>
      </c>
      <c r="H109" s="40" t="s">
        <v>824</v>
      </c>
      <c r="I109" s="40" t="s">
        <v>825</v>
      </c>
      <c r="J109" s="43" t="str">
        <f t="shared" si="6"/>
        <v>BRKT</v>
      </c>
      <c r="K109" s="40" t="s">
        <v>10</v>
      </c>
      <c r="L109" s="44">
        <v>1500</v>
      </c>
      <c r="M109" s="40" t="s">
        <v>1472</v>
      </c>
      <c r="N109" s="40" t="s">
        <v>11</v>
      </c>
      <c r="O109" s="40">
        <v>0.17269999999999999</v>
      </c>
      <c r="P109" s="45">
        <f t="shared" si="7"/>
        <v>259.05</v>
      </c>
      <c r="Q109" s="46">
        <f t="shared" si="8"/>
        <v>7.3003400000000003</v>
      </c>
      <c r="R109" s="47">
        <f t="shared" si="9"/>
        <v>2.3699999999999999E-2</v>
      </c>
      <c r="S109" s="48">
        <f t="shared" si="10"/>
        <v>35.549999999999997</v>
      </c>
      <c r="T109" s="47" t="s">
        <v>349</v>
      </c>
      <c r="U109" s="40" t="s">
        <v>442</v>
      </c>
      <c r="V109" s="38">
        <v>7.1879</v>
      </c>
      <c r="W109" s="49">
        <f t="shared" si="11"/>
        <v>36.039733440921545</v>
      </c>
    </row>
    <row r="110" spans="1:23" x14ac:dyDescent="0.2">
      <c r="A110" s="40" t="s">
        <v>1366</v>
      </c>
      <c r="B110" s="41">
        <v>45660</v>
      </c>
      <c r="C110" s="41">
        <v>45611</v>
      </c>
      <c r="D110" s="40" t="s">
        <v>235</v>
      </c>
      <c r="E110" s="40" t="s">
        <v>236</v>
      </c>
      <c r="G110" s="40" t="s">
        <v>1365</v>
      </c>
      <c r="H110" s="40" t="s">
        <v>1361</v>
      </c>
      <c r="I110" s="40" t="s">
        <v>1362</v>
      </c>
      <c r="J110" s="43" t="str">
        <f t="shared" si="6"/>
        <v>RIV-</v>
      </c>
      <c r="K110" s="40" t="s">
        <v>10</v>
      </c>
      <c r="L110" s="44">
        <v>6000</v>
      </c>
      <c r="M110" s="40" t="s">
        <v>1472</v>
      </c>
      <c r="N110" s="40" t="s">
        <v>11</v>
      </c>
      <c r="O110" s="40">
        <v>0.17649999999999999</v>
      </c>
      <c r="P110" s="45">
        <f t="shared" si="7"/>
        <v>1059</v>
      </c>
      <c r="Q110" s="46">
        <f t="shared" si="8"/>
        <v>7.3003400000000003</v>
      </c>
      <c r="R110" s="47">
        <f t="shared" si="9"/>
        <v>2.4199999999999999E-2</v>
      </c>
      <c r="S110" s="48">
        <f t="shared" si="10"/>
        <v>145.19999999999999</v>
      </c>
      <c r="T110" s="47" t="s">
        <v>349</v>
      </c>
      <c r="U110" s="40" t="s">
        <v>132</v>
      </c>
      <c r="V110" s="38">
        <v>7.1879</v>
      </c>
      <c r="W110" s="49">
        <f t="shared" si="11"/>
        <v>147.33093114817956</v>
      </c>
    </row>
    <row r="111" spans="1:23" x14ac:dyDescent="0.2">
      <c r="A111" s="40" t="s">
        <v>1363</v>
      </c>
      <c r="B111" s="41">
        <v>45660</v>
      </c>
      <c r="C111" s="41">
        <v>45629</v>
      </c>
      <c r="D111" s="40" t="s">
        <v>235</v>
      </c>
      <c r="E111" s="40" t="s">
        <v>236</v>
      </c>
      <c r="G111" s="40" t="s">
        <v>1356</v>
      </c>
      <c r="H111" s="40" t="s">
        <v>1361</v>
      </c>
      <c r="I111" s="40" t="s">
        <v>1362</v>
      </c>
      <c r="J111" s="43" t="str">
        <f t="shared" si="6"/>
        <v>RIV-</v>
      </c>
      <c r="K111" s="40" t="s">
        <v>10</v>
      </c>
      <c r="L111" s="44">
        <v>8000</v>
      </c>
      <c r="M111" s="40" t="s">
        <v>1472</v>
      </c>
      <c r="N111" s="40" t="s">
        <v>11</v>
      </c>
      <c r="O111" s="40">
        <v>0.17649999999999999</v>
      </c>
      <c r="P111" s="45">
        <f t="shared" si="7"/>
        <v>1412</v>
      </c>
      <c r="Q111" s="46">
        <f t="shared" si="8"/>
        <v>7.3003400000000003</v>
      </c>
      <c r="R111" s="47">
        <f t="shared" si="9"/>
        <v>2.4199999999999999E-2</v>
      </c>
      <c r="S111" s="48">
        <f t="shared" si="10"/>
        <v>193.6</v>
      </c>
      <c r="T111" s="47" t="s">
        <v>349</v>
      </c>
      <c r="U111" s="40" t="s">
        <v>132</v>
      </c>
      <c r="V111" s="38">
        <v>7.1879</v>
      </c>
      <c r="W111" s="49">
        <f t="shared" si="11"/>
        <v>196.4412415309061</v>
      </c>
    </row>
    <row r="112" spans="1:23" x14ac:dyDescent="0.2">
      <c r="A112" s="40" t="s">
        <v>1177</v>
      </c>
      <c r="B112" s="41">
        <v>45663</v>
      </c>
      <c r="C112" s="41">
        <v>45610</v>
      </c>
      <c r="D112" s="40" t="s">
        <v>28</v>
      </c>
      <c r="E112" s="40" t="s">
        <v>29</v>
      </c>
      <c r="G112" s="40" t="s">
        <v>1173</v>
      </c>
      <c r="H112" s="40" t="s">
        <v>1175</v>
      </c>
      <c r="I112" s="40" t="s">
        <v>1176</v>
      </c>
      <c r="J112" s="43" t="str">
        <f t="shared" si="6"/>
        <v>MISC</v>
      </c>
      <c r="K112" s="40" t="s">
        <v>10</v>
      </c>
      <c r="L112" s="44">
        <v>13000</v>
      </c>
      <c r="M112" s="40" t="s">
        <v>1472</v>
      </c>
      <c r="N112" s="40" t="s">
        <v>11</v>
      </c>
      <c r="O112" s="40">
        <v>0.18160000000000001</v>
      </c>
      <c r="P112" s="45">
        <f t="shared" si="7"/>
        <v>2360.8000000000002</v>
      </c>
      <c r="Q112" s="46">
        <f t="shared" si="8"/>
        <v>7.3003400000000003</v>
      </c>
      <c r="R112" s="47">
        <f t="shared" si="9"/>
        <v>2.4899999999999999E-2</v>
      </c>
      <c r="S112" s="48">
        <f t="shared" si="10"/>
        <v>323.7</v>
      </c>
      <c r="T112" s="47" t="s">
        <v>349</v>
      </c>
      <c r="U112" s="40" t="s">
        <v>25</v>
      </c>
      <c r="V112" s="38">
        <v>7.1879</v>
      </c>
      <c r="W112" s="49">
        <f t="shared" si="11"/>
        <v>328.44085198736769</v>
      </c>
    </row>
    <row r="113" spans="1:23" x14ac:dyDescent="0.2">
      <c r="A113" s="40" t="s">
        <v>1178</v>
      </c>
      <c r="B113" s="41">
        <v>45663</v>
      </c>
      <c r="C113" s="41">
        <v>45646</v>
      </c>
      <c r="D113" s="40" t="s">
        <v>28</v>
      </c>
      <c r="E113" s="40" t="s">
        <v>29</v>
      </c>
      <c r="G113" s="40" t="s">
        <v>1173</v>
      </c>
      <c r="H113" s="40" t="s">
        <v>1175</v>
      </c>
      <c r="I113" s="40" t="s">
        <v>1176</v>
      </c>
      <c r="J113" s="43" t="str">
        <f t="shared" si="6"/>
        <v>MISC</v>
      </c>
      <c r="K113" s="40" t="s">
        <v>10</v>
      </c>
      <c r="L113" s="44">
        <v>11000</v>
      </c>
      <c r="M113" s="40" t="s">
        <v>1472</v>
      </c>
      <c r="N113" s="40" t="s">
        <v>11</v>
      </c>
      <c r="O113" s="40">
        <v>0.18160000000000001</v>
      </c>
      <c r="P113" s="45">
        <f t="shared" si="7"/>
        <v>1997.6</v>
      </c>
      <c r="Q113" s="46">
        <f t="shared" si="8"/>
        <v>7.3003400000000003</v>
      </c>
      <c r="R113" s="47">
        <f t="shared" si="9"/>
        <v>2.4899999999999999E-2</v>
      </c>
      <c r="S113" s="48">
        <f t="shared" si="10"/>
        <v>273.89999999999998</v>
      </c>
      <c r="T113" s="47" t="s">
        <v>349</v>
      </c>
      <c r="U113" s="40" t="s">
        <v>25</v>
      </c>
      <c r="V113" s="38">
        <v>7.1879</v>
      </c>
      <c r="W113" s="49">
        <f t="shared" si="11"/>
        <v>277.91149014315727</v>
      </c>
    </row>
    <row r="114" spans="1:23" x14ac:dyDescent="0.2">
      <c r="A114" s="40" t="s">
        <v>244</v>
      </c>
      <c r="B114" s="41">
        <v>45674</v>
      </c>
      <c r="C114" s="41">
        <v>45611</v>
      </c>
      <c r="D114" s="40" t="s">
        <v>235</v>
      </c>
      <c r="E114" s="40" t="s">
        <v>236</v>
      </c>
      <c r="G114" s="40" t="s">
        <v>238</v>
      </c>
      <c r="H114" s="40" t="s">
        <v>242</v>
      </c>
      <c r="I114" s="40" t="s">
        <v>243</v>
      </c>
      <c r="J114" s="43" t="str">
        <f t="shared" si="6"/>
        <v>RIV-</v>
      </c>
      <c r="K114" s="40" t="s">
        <v>10</v>
      </c>
      <c r="L114" s="44">
        <v>4100</v>
      </c>
      <c r="M114" s="40" t="s">
        <v>1472</v>
      </c>
      <c r="N114" s="40" t="s">
        <v>11</v>
      </c>
      <c r="O114" s="40">
        <v>0.1865</v>
      </c>
      <c r="P114" s="45">
        <f t="shared" si="7"/>
        <v>764.65</v>
      </c>
      <c r="Q114" s="46">
        <f t="shared" si="8"/>
        <v>7.3003400000000003</v>
      </c>
      <c r="R114" s="47">
        <f t="shared" si="9"/>
        <v>2.5499999999999998E-2</v>
      </c>
      <c r="S114" s="48">
        <f t="shared" si="10"/>
        <v>104.55</v>
      </c>
      <c r="T114" s="47" t="s">
        <v>349</v>
      </c>
      <c r="U114" s="40" t="s">
        <v>132</v>
      </c>
      <c r="V114" s="38">
        <v>7.1879</v>
      </c>
      <c r="W114" s="49">
        <f t="shared" si="11"/>
        <v>106.38016666898538</v>
      </c>
    </row>
    <row r="115" spans="1:23" x14ac:dyDescent="0.2">
      <c r="A115" s="40" t="s">
        <v>1357</v>
      </c>
      <c r="B115" s="41">
        <v>45660</v>
      </c>
      <c r="C115" s="41">
        <v>45636</v>
      </c>
      <c r="D115" s="40" t="s">
        <v>235</v>
      </c>
      <c r="E115" s="40" t="s">
        <v>236</v>
      </c>
      <c r="G115" s="40" t="s">
        <v>1356</v>
      </c>
      <c r="H115" s="40" t="s">
        <v>242</v>
      </c>
      <c r="I115" s="40" t="s">
        <v>243</v>
      </c>
      <c r="J115" s="43" t="str">
        <f t="shared" si="6"/>
        <v>RIV-</v>
      </c>
      <c r="K115" s="40" t="s">
        <v>10</v>
      </c>
      <c r="L115" s="44">
        <v>2000</v>
      </c>
      <c r="M115" s="40" t="s">
        <v>1472</v>
      </c>
      <c r="N115" s="40" t="s">
        <v>11</v>
      </c>
      <c r="O115" s="40">
        <v>0.1865</v>
      </c>
      <c r="P115" s="45">
        <f t="shared" si="7"/>
        <v>373</v>
      </c>
      <c r="Q115" s="46">
        <f t="shared" si="8"/>
        <v>7.3003400000000003</v>
      </c>
      <c r="R115" s="47">
        <f t="shared" si="9"/>
        <v>2.5499999999999998E-2</v>
      </c>
      <c r="S115" s="48">
        <f t="shared" si="10"/>
        <v>51</v>
      </c>
      <c r="T115" s="47" t="s">
        <v>349</v>
      </c>
      <c r="U115" s="40" t="s">
        <v>132</v>
      </c>
      <c r="V115" s="38">
        <v>7.1879</v>
      </c>
      <c r="W115" s="49">
        <f t="shared" si="11"/>
        <v>51.892764228773352</v>
      </c>
    </row>
    <row r="116" spans="1:23" x14ac:dyDescent="0.2">
      <c r="A116" s="40" t="s">
        <v>1341</v>
      </c>
      <c r="B116" s="41">
        <v>45660</v>
      </c>
      <c r="C116" s="41">
        <v>45643</v>
      </c>
      <c r="D116" s="40" t="s">
        <v>235</v>
      </c>
      <c r="E116" s="40" t="s">
        <v>236</v>
      </c>
      <c r="G116" s="40" t="s">
        <v>1340</v>
      </c>
      <c r="H116" s="40" t="s">
        <v>242</v>
      </c>
      <c r="I116" s="40" t="s">
        <v>243</v>
      </c>
      <c r="J116" s="43" t="str">
        <f t="shared" si="6"/>
        <v>RIV-</v>
      </c>
      <c r="K116" s="40" t="s">
        <v>10</v>
      </c>
      <c r="L116" s="44">
        <v>4100</v>
      </c>
      <c r="M116" s="40" t="s">
        <v>1472</v>
      </c>
      <c r="N116" s="40" t="s">
        <v>11</v>
      </c>
      <c r="O116" s="40">
        <v>0.1865</v>
      </c>
      <c r="P116" s="45">
        <f t="shared" si="7"/>
        <v>764.65</v>
      </c>
      <c r="Q116" s="46">
        <f t="shared" si="8"/>
        <v>7.3003400000000003</v>
      </c>
      <c r="R116" s="47">
        <f t="shared" si="9"/>
        <v>2.5499999999999998E-2</v>
      </c>
      <c r="S116" s="48">
        <f t="shared" si="10"/>
        <v>104.55</v>
      </c>
      <c r="T116" s="47" t="s">
        <v>349</v>
      </c>
      <c r="U116" s="40" t="s">
        <v>132</v>
      </c>
      <c r="V116" s="38">
        <v>7.1879</v>
      </c>
      <c r="W116" s="49">
        <f t="shared" si="11"/>
        <v>106.38016666898538</v>
      </c>
    </row>
    <row r="117" spans="1:23" x14ac:dyDescent="0.2">
      <c r="A117" s="40" t="s">
        <v>1334</v>
      </c>
      <c r="B117" s="41">
        <v>45660</v>
      </c>
      <c r="C117" s="41">
        <v>45643</v>
      </c>
      <c r="D117" s="40" t="s">
        <v>235</v>
      </c>
      <c r="E117" s="40" t="s">
        <v>236</v>
      </c>
      <c r="G117" s="40" t="s">
        <v>1335</v>
      </c>
      <c r="H117" s="40" t="s">
        <v>242</v>
      </c>
      <c r="I117" s="40" t="s">
        <v>243</v>
      </c>
      <c r="J117" s="43" t="str">
        <f t="shared" si="6"/>
        <v>RIV-</v>
      </c>
      <c r="K117" s="40" t="s">
        <v>10</v>
      </c>
      <c r="L117" s="44">
        <v>5000</v>
      </c>
      <c r="M117" s="40" t="s">
        <v>1472</v>
      </c>
      <c r="N117" s="40" t="s">
        <v>11</v>
      </c>
      <c r="O117" s="40">
        <v>0.1865</v>
      </c>
      <c r="P117" s="45">
        <f t="shared" si="7"/>
        <v>932.5</v>
      </c>
      <c r="Q117" s="46">
        <f t="shared" si="8"/>
        <v>7.3003400000000003</v>
      </c>
      <c r="R117" s="47">
        <f t="shared" si="9"/>
        <v>2.5499999999999998E-2</v>
      </c>
      <c r="S117" s="48">
        <f t="shared" si="10"/>
        <v>127.5</v>
      </c>
      <c r="T117" s="47" t="s">
        <v>349</v>
      </c>
      <c r="U117" s="40" t="s">
        <v>132</v>
      </c>
      <c r="V117" s="38">
        <v>7.1879</v>
      </c>
      <c r="W117" s="49">
        <f t="shared" si="11"/>
        <v>129.73191057193338</v>
      </c>
    </row>
    <row r="118" spans="1:23" x14ac:dyDescent="0.2">
      <c r="A118" s="40" t="s">
        <v>1360</v>
      </c>
      <c r="B118" s="41">
        <v>45660</v>
      </c>
      <c r="C118" s="41">
        <v>45629</v>
      </c>
      <c r="D118" s="40" t="s">
        <v>235</v>
      </c>
      <c r="E118" s="40" t="s">
        <v>236</v>
      </c>
      <c r="G118" s="40" t="s">
        <v>1356</v>
      </c>
      <c r="H118" s="40" t="s">
        <v>1358</v>
      </c>
      <c r="I118" s="40" t="s">
        <v>1359</v>
      </c>
      <c r="J118" s="43" t="str">
        <f t="shared" si="6"/>
        <v>RIV-</v>
      </c>
      <c r="K118" s="40" t="s">
        <v>10</v>
      </c>
      <c r="L118" s="44">
        <v>20000</v>
      </c>
      <c r="M118" s="40" t="s">
        <v>1472</v>
      </c>
      <c r="N118" s="40" t="s">
        <v>11</v>
      </c>
      <c r="O118" s="40">
        <v>0.22839999999999999</v>
      </c>
      <c r="P118" s="45">
        <f t="shared" si="7"/>
        <v>4568</v>
      </c>
      <c r="Q118" s="46">
        <f t="shared" si="8"/>
        <v>7.3003400000000003</v>
      </c>
      <c r="R118" s="47">
        <f t="shared" si="9"/>
        <v>3.1300000000000001E-2</v>
      </c>
      <c r="S118" s="48">
        <f t="shared" si="10"/>
        <v>626</v>
      </c>
      <c r="T118" s="47" t="s">
        <v>349</v>
      </c>
      <c r="U118" s="40" t="s">
        <v>132</v>
      </c>
      <c r="V118" s="38">
        <v>7.1879</v>
      </c>
      <c r="W118" s="49">
        <f t="shared" si="11"/>
        <v>635.51245843709569</v>
      </c>
    </row>
    <row r="119" spans="1:23" x14ac:dyDescent="0.2">
      <c r="A119" s="40" t="s">
        <v>1100</v>
      </c>
      <c r="B119" s="41">
        <v>45663</v>
      </c>
      <c r="C119" s="41">
        <v>45653</v>
      </c>
      <c r="D119" s="40" t="s">
        <v>169</v>
      </c>
      <c r="E119" s="40" t="s">
        <v>170</v>
      </c>
      <c r="G119" s="40" t="s">
        <v>1093</v>
      </c>
      <c r="H119" s="40" t="s">
        <v>1098</v>
      </c>
      <c r="I119" s="40" t="s">
        <v>1099</v>
      </c>
      <c r="J119" s="43" t="str">
        <f t="shared" si="6"/>
        <v>PAP-</v>
      </c>
      <c r="K119" s="40" t="s">
        <v>10</v>
      </c>
      <c r="L119" s="44">
        <v>15000</v>
      </c>
      <c r="M119" s="40" t="s">
        <v>1472</v>
      </c>
      <c r="N119" s="40" t="s">
        <v>11</v>
      </c>
      <c r="O119" s="40">
        <v>0.23</v>
      </c>
      <c r="P119" s="45">
        <f t="shared" si="7"/>
        <v>3450</v>
      </c>
      <c r="Q119" s="46">
        <f t="shared" si="8"/>
        <v>7.3003400000000003</v>
      </c>
      <c r="R119" s="47">
        <f t="shared" si="9"/>
        <v>3.15E-2</v>
      </c>
      <c r="S119" s="48">
        <f t="shared" si="10"/>
        <v>472.5</v>
      </c>
      <c r="T119" s="47" t="s">
        <v>349</v>
      </c>
      <c r="U119" s="40" t="s">
        <v>1094</v>
      </c>
      <c r="V119" s="38">
        <v>7.1879</v>
      </c>
      <c r="W119" s="49">
        <f t="shared" si="11"/>
        <v>479.97328844307793</v>
      </c>
    </row>
    <row r="120" spans="1:23" x14ac:dyDescent="0.2">
      <c r="A120" s="40" t="s">
        <v>542</v>
      </c>
      <c r="B120" s="41">
        <v>45670</v>
      </c>
      <c r="C120" s="41">
        <v>45657</v>
      </c>
      <c r="D120" s="40" t="s">
        <v>530</v>
      </c>
      <c r="E120" s="40" t="s">
        <v>531</v>
      </c>
      <c r="G120" s="40" t="s">
        <v>533</v>
      </c>
      <c r="H120" s="40" t="s">
        <v>540</v>
      </c>
      <c r="I120" s="40" t="s">
        <v>541</v>
      </c>
      <c r="J120" s="43" t="str">
        <f t="shared" si="6"/>
        <v>MISC</v>
      </c>
      <c r="K120" s="40" t="s">
        <v>10</v>
      </c>
      <c r="L120" s="44">
        <v>20000</v>
      </c>
      <c r="M120" s="40" t="s">
        <v>1472</v>
      </c>
      <c r="N120" s="40" t="s">
        <v>11</v>
      </c>
      <c r="O120" s="40">
        <v>0.24829999999999999</v>
      </c>
      <c r="P120" s="45">
        <f t="shared" si="7"/>
        <v>4966</v>
      </c>
      <c r="Q120" s="46">
        <f t="shared" si="8"/>
        <v>7.3003400000000003</v>
      </c>
      <c r="R120" s="47">
        <f t="shared" si="9"/>
        <v>3.4000000000000002E-2</v>
      </c>
      <c r="S120" s="48">
        <f t="shared" si="10"/>
        <v>680</v>
      </c>
      <c r="T120" s="47" t="s">
        <v>349</v>
      </c>
      <c r="U120" s="40" t="s">
        <v>25</v>
      </c>
      <c r="V120" s="38">
        <v>7.1879</v>
      </c>
      <c r="W120" s="49">
        <f t="shared" si="11"/>
        <v>690.88328997342751</v>
      </c>
    </row>
    <row r="121" spans="1:23" x14ac:dyDescent="0.2">
      <c r="A121" s="40" t="s">
        <v>23</v>
      </c>
      <c r="B121" s="41">
        <v>45680</v>
      </c>
      <c r="C121" s="41">
        <v>45670</v>
      </c>
      <c r="D121" s="40" t="s">
        <v>21</v>
      </c>
      <c r="E121" s="40" t="s">
        <v>22</v>
      </c>
      <c r="G121" s="40" t="s">
        <v>24</v>
      </c>
      <c r="H121" s="40" t="s">
        <v>19</v>
      </c>
      <c r="I121" s="40" t="s">
        <v>20</v>
      </c>
      <c r="J121" s="43" t="str">
        <f t="shared" si="6"/>
        <v>MISC</v>
      </c>
      <c r="K121" s="40" t="s">
        <v>10</v>
      </c>
      <c r="L121" s="44">
        <v>500</v>
      </c>
      <c r="M121" s="40" t="s">
        <v>1472</v>
      </c>
      <c r="N121" s="40" t="s">
        <v>11</v>
      </c>
      <c r="O121" s="40">
        <v>0.25180000000000002</v>
      </c>
      <c r="P121" s="45">
        <f t="shared" si="7"/>
        <v>125.9</v>
      </c>
      <c r="Q121" s="46">
        <f t="shared" si="8"/>
        <v>7.3003400000000003</v>
      </c>
      <c r="R121" s="47">
        <f t="shared" si="9"/>
        <v>3.4500000000000003E-2</v>
      </c>
      <c r="S121" s="48">
        <f t="shared" si="10"/>
        <v>17.25</v>
      </c>
      <c r="T121" s="47" t="s">
        <v>349</v>
      </c>
      <c r="U121" s="40" t="s">
        <v>25</v>
      </c>
      <c r="V121" s="38">
        <v>7.1879</v>
      </c>
      <c r="W121" s="49">
        <f t="shared" si="11"/>
        <v>17.515546960864786</v>
      </c>
    </row>
    <row r="122" spans="1:23" x14ac:dyDescent="0.2">
      <c r="A122" s="40" t="s">
        <v>1113</v>
      </c>
      <c r="B122" s="41">
        <v>45663</v>
      </c>
      <c r="C122" s="41">
        <v>45643</v>
      </c>
      <c r="D122" s="40" t="s">
        <v>169</v>
      </c>
      <c r="E122" s="40" t="s">
        <v>170</v>
      </c>
      <c r="G122" s="40" t="s">
        <v>1107</v>
      </c>
      <c r="H122" s="40" t="s">
        <v>1111</v>
      </c>
      <c r="I122" s="40" t="s">
        <v>1112</v>
      </c>
      <c r="J122" s="43" t="str">
        <f t="shared" si="6"/>
        <v>U&amp;C-</v>
      </c>
      <c r="K122" s="40" t="s">
        <v>10</v>
      </c>
      <c r="L122" s="44">
        <v>7100</v>
      </c>
      <c r="M122" s="40" t="s">
        <v>1472</v>
      </c>
      <c r="N122" s="40" t="s">
        <v>11</v>
      </c>
      <c r="O122" s="40">
        <v>0.252</v>
      </c>
      <c r="P122" s="45">
        <f t="shared" si="7"/>
        <v>1789.2</v>
      </c>
      <c r="Q122" s="46">
        <f t="shared" si="8"/>
        <v>7.3003400000000003</v>
      </c>
      <c r="R122" s="47">
        <f t="shared" si="9"/>
        <v>3.4500000000000003E-2</v>
      </c>
      <c r="S122" s="48">
        <f t="shared" si="10"/>
        <v>244.95</v>
      </c>
      <c r="T122" s="47" t="s">
        <v>349</v>
      </c>
      <c r="U122" s="40" t="s">
        <v>177</v>
      </c>
      <c r="V122" s="38">
        <v>7.1879</v>
      </c>
      <c r="W122" s="49">
        <f t="shared" si="11"/>
        <v>248.9183210673493</v>
      </c>
    </row>
    <row r="123" spans="1:23" x14ac:dyDescent="0.2">
      <c r="A123" s="40" t="s">
        <v>1116</v>
      </c>
      <c r="B123" s="41">
        <v>45663</v>
      </c>
      <c r="C123" s="41">
        <v>45643</v>
      </c>
      <c r="D123" s="40" t="s">
        <v>169</v>
      </c>
      <c r="E123" s="40" t="s">
        <v>170</v>
      </c>
      <c r="G123" s="40" t="s">
        <v>1107</v>
      </c>
      <c r="H123" s="40" t="s">
        <v>1114</v>
      </c>
      <c r="I123" s="40" t="s">
        <v>1115</v>
      </c>
      <c r="J123" s="43" t="str">
        <f t="shared" si="6"/>
        <v>U&amp;C-</v>
      </c>
      <c r="K123" s="40" t="s">
        <v>10</v>
      </c>
      <c r="L123" s="44">
        <v>2020</v>
      </c>
      <c r="M123" s="40" t="s">
        <v>1472</v>
      </c>
      <c r="N123" s="40" t="s">
        <v>11</v>
      </c>
      <c r="O123" s="40">
        <v>0.26700000000000002</v>
      </c>
      <c r="P123" s="45">
        <f t="shared" si="7"/>
        <v>539.34</v>
      </c>
      <c r="Q123" s="46">
        <f t="shared" si="8"/>
        <v>7.3003400000000003</v>
      </c>
      <c r="R123" s="47">
        <f t="shared" si="9"/>
        <v>3.6600000000000001E-2</v>
      </c>
      <c r="S123" s="48">
        <f t="shared" si="10"/>
        <v>73.930000000000007</v>
      </c>
      <c r="T123" s="47" t="s">
        <v>349</v>
      </c>
      <c r="U123" s="40" t="s">
        <v>177</v>
      </c>
      <c r="V123" s="38">
        <v>7.1879</v>
      </c>
      <c r="W123" s="49">
        <f t="shared" si="11"/>
        <v>75.034432866344829</v>
      </c>
    </row>
    <row r="124" spans="1:23" x14ac:dyDescent="0.2">
      <c r="A124" s="40" t="s">
        <v>1110</v>
      </c>
      <c r="B124" s="41">
        <v>45663</v>
      </c>
      <c r="C124" s="41">
        <v>45643</v>
      </c>
      <c r="D124" s="40" t="s">
        <v>169</v>
      </c>
      <c r="E124" s="40" t="s">
        <v>170</v>
      </c>
      <c r="G124" s="40" t="s">
        <v>1107</v>
      </c>
      <c r="H124" s="40" t="s">
        <v>1108</v>
      </c>
      <c r="I124" s="40" t="s">
        <v>1109</v>
      </c>
      <c r="J124" s="43" t="str">
        <f t="shared" si="6"/>
        <v>U&amp;C-</v>
      </c>
      <c r="K124" s="40" t="s">
        <v>10</v>
      </c>
      <c r="L124" s="44">
        <v>1010</v>
      </c>
      <c r="M124" s="40" t="s">
        <v>1472</v>
      </c>
      <c r="N124" s="40" t="s">
        <v>11</v>
      </c>
      <c r="O124" s="40">
        <v>0.26700000000000002</v>
      </c>
      <c r="P124" s="45">
        <f t="shared" si="7"/>
        <v>269.67</v>
      </c>
      <c r="Q124" s="46">
        <f t="shared" si="8"/>
        <v>7.3003400000000003</v>
      </c>
      <c r="R124" s="47">
        <f t="shared" si="9"/>
        <v>3.6600000000000001E-2</v>
      </c>
      <c r="S124" s="48">
        <f t="shared" si="10"/>
        <v>36.97</v>
      </c>
      <c r="T124" s="47" t="s">
        <v>349</v>
      </c>
      <c r="U124" s="40" t="s">
        <v>177</v>
      </c>
      <c r="V124" s="38">
        <v>7.1879</v>
      </c>
      <c r="W124" s="49">
        <f t="shared" si="11"/>
        <v>37.517216433172415</v>
      </c>
    </row>
    <row r="125" spans="1:23" x14ac:dyDescent="0.2">
      <c r="A125" s="40" t="s">
        <v>1106</v>
      </c>
      <c r="B125" s="41">
        <v>45663</v>
      </c>
      <c r="C125" s="41">
        <v>45650</v>
      </c>
      <c r="D125" s="40" t="s">
        <v>169</v>
      </c>
      <c r="E125" s="40" t="s">
        <v>170</v>
      </c>
      <c r="G125" s="40" t="s">
        <v>1107</v>
      </c>
      <c r="H125" s="40" t="s">
        <v>1104</v>
      </c>
      <c r="I125" s="40" t="s">
        <v>1105</v>
      </c>
      <c r="J125" s="43" t="str">
        <f t="shared" si="6"/>
        <v>WACD</v>
      </c>
      <c r="K125" s="40" t="s">
        <v>10</v>
      </c>
      <c r="L125" s="44">
        <v>1000</v>
      </c>
      <c r="M125" s="40" t="s">
        <v>1472</v>
      </c>
      <c r="N125" s="40" t="s">
        <v>11</v>
      </c>
      <c r="O125" s="40">
        <v>0.26800000000000002</v>
      </c>
      <c r="P125" s="45">
        <f t="shared" si="7"/>
        <v>268</v>
      </c>
      <c r="Q125" s="46">
        <f t="shared" si="8"/>
        <v>7.3003400000000003</v>
      </c>
      <c r="R125" s="47">
        <f t="shared" si="9"/>
        <v>3.6700000000000003E-2</v>
      </c>
      <c r="S125" s="48">
        <f t="shared" si="10"/>
        <v>36.700000000000003</v>
      </c>
      <c r="T125" s="47" t="s">
        <v>349</v>
      </c>
      <c r="U125" s="40" t="s">
        <v>635</v>
      </c>
      <c r="V125" s="38">
        <v>7.1879</v>
      </c>
      <c r="W125" s="49">
        <f t="shared" si="11"/>
        <v>37.284881537027502</v>
      </c>
    </row>
    <row r="126" spans="1:23" x14ac:dyDescent="0.2">
      <c r="A126" s="40" t="s">
        <v>176</v>
      </c>
      <c r="B126" s="41">
        <v>45674</v>
      </c>
      <c r="C126" s="41">
        <v>45660</v>
      </c>
      <c r="D126" s="40" t="s">
        <v>169</v>
      </c>
      <c r="E126" s="40" t="s">
        <v>170</v>
      </c>
      <c r="G126" s="40" t="s">
        <v>172</v>
      </c>
      <c r="H126" s="40" t="s">
        <v>174</v>
      </c>
      <c r="I126" s="40" t="s">
        <v>175</v>
      </c>
      <c r="J126" s="43" t="str">
        <f t="shared" si="6"/>
        <v>U&amp;C-</v>
      </c>
      <c r="K126" s="40" t="s">
        <v>10</v>
      </c>
      <c r="L126" s="44">
        <v>1000</v>
      </c>
      <c r="M126" s="40" t="s">
        <v>1472</v>
      </c>
      <c r="N126" s="40" t="s">
        <v>11</v>
      </c>
      <c r="O126" s="40">
        <v>0.28000000000000003</v>
      </c>
      <c r="P126" s="45">
        <f t="shared" si="7"/>
        <v>280</v>
      </c>
      <c r="Q126" s="46">
        <f t="shared" si="8"/>
        <v>7.3003400000000003</v>
      </c>
      <c r="R126" s="47">
        <f t="shared" si="9"/>
        <v>3.8399999999999997E-2</v>
      </c>
      <c r="S126" s="48">
        <f t="shared" si="10"/>
        <v>38.4</v>
      </c>
      <c r="T126" s="47" t="s">
        <v>349</v>
      </c>
      <c r="U126" s="40" t="s">
        <v>177</v>
      </c>
      <c r="V126" s="38">
        <v>7.1879</v>
      </c>
      <c r="W126" s="49">
        <f t="shared" si="11"/>
        <v>38.954353844655607</v>
      </c>
    </row>
    <row r="127" spans="1:23" x14ac:dyDescent="0.2">
      <c r="A127" s="40" t="s">
        <v>176</v>
      </c>
      <c r="B127" s="41">
        <v>45670</v>
      </c>
      <c r="C127" s="41">
        <v>45660</v>
      </c>
      <c r="D127" s="40" t="s">
        <v>169</v>
      </c>
      <c r="E127" s="40" t="s">
        <v>170</v>
      </c>
      <c r="G127" s="40" t="s">
        <v>634</v>
      </c>
      <c r="H127" s="40" t="s">
        <v>174</v>
      </c>
      <c r="I127" s="40" t="s">
        <v>175</v>
      </c>
      <c r="J127" s="43" t="str">
        <f t="shared" si="6"/>
        <v>U&amp;C-</v>
      </c>
      <c r="K127" s="40" t="s">
        <v>10</v>
      </c>
      <c r="L127" s="44">
        <v>1000</v>
      </c>
      <c r="M127" s="40" t="s">
        <v>1472</v>
      </c>
      <c r="N127" s="40" t="s">
        <v>11</v>
      </c>
      <c r="O127" s="40">
        <v>0.28000000000000003</v>
      </c>
      <c r="P127" s="45">
        <f t="shared" si="7"/>
        <v>280</v>
      </c>
      <c r="Q127" s="46">
        <f t="shared" si="8"/>
        <v>7.3003400000000003</v>
      </c>
      <c r="R127" s="47">
        <f t="shared" si="9"/>
        <v>3.8399999999999997E-2</v>
      </c>
      <c r="S127" s="48">
        <f t="shared" si="10"/>
        <v>38.4</v>
      </c>
      <c r="T127" s="47" t="s">
        <v>349</v>
      </c>
      <c r="U127" s="40" t="s">
        <v>177</v>
      </c>
      <c r="V127" s="38">
        <v>7.1879</v>
      </c>
      <c r="W127" s="49">
        <f t="shared" si="11"/>
        <v>38.954353844655607</v>
      </c>
    </row>
    <row r="128" spans="1:23" x14ac:dyDescent="0.2">
      <c r="A128" s="40" t="s">
        <v>644</v>
      </c>
      <c r="B128" s="41">
        <v>45670</v>
      </c>
      <c r="C128" s="41">
        <v>45638</v>
      </c>
      <c r="D128" s="40" t="s">
        <v>169</v>
      </c>
      <c r="E128" s="40" t="s">
        <v>170</v>
      </c>
      <c r="G128" s="40" t="s">
        <v>645</v>
      </c>
      <c r="H128" s="40" t="s">
        <v>642</v>
      </c>
      <c r="I128" s="40" t="s">
        <v>643</v>
      </c>
      <c r="J128" s="43" t="str">
        <f t="shared" si="6"/>
        <v>U&amp;C-</v>
      </c>
      <c r="K128" s="40" t="s">
        <v>10</v>
      </c>
      <c r="L128" s="44">
        <v>1000</v>
      </c>
      <c r="M128" s="40" t="s">
        <v>1472</v>
      </c>
      <c r="N128" s="40" t="s">
        <v>11</v>
      </c>
      <c r="O128" s="40">
        <v>1.29</v>
      </c>
      <c r="P128" s="45">
        <f t="shared" si="7"/>
        <v>1290</v>
      </c>
      <c r="Q128" s="46">
        <f t="shared" si="8"/>
        <v>7.3003400000000003</v>
      </c>
      <c r="R128" s="47">
        <f t="shared" si="9"/>
        <v>0.1767</v>
      </c>
      <c r="S128" s="48">
        <f t="shared" si="10"/>
        <v>176.7</v>
      </c>
      <c r="T128" s="47" t="s">
        <v>349</v>
      </c>
      <c r="U128" s="40" t="s">
        <v>177</v>
      </c>
      <c r="V128" s="38">
        <v>7.1879</v>
      </c>
      <c r="W128" s="49">
        <f t="shared" si="11"/>
        <v>179.46827307002044</v>
      </c>
    </row>
    <row r="129" spans="1:23" x14ac:dyDescent="0.2">
      <c r="A129" s="40" t="s">
        <v>1119</v>
      </c>
      <c r="B129" s="41">
        <v>45663</v>
      </c>
      <c r="C129" s="41">
        <v>45643</v>
      </c>
      <c r="D129" s="40" t="s">
        <v>169</v>
      </c>
      <c r="E129" s="40" t="s">
        <v>170</v>
      </c>
      <c r="G129" s="40" t="s">
        <v>1107</v>
      </c>
      <c r="H129" s="40" t="s">
        <v>1117</v>
      </c>
      <c r="I129" s="40" t="s">
        <v>1118</v>
      </c>
      <c r="J129" s="43" t="str">
        <f t="shared" si="6"/>
        <v>U&amp;C-</v>
      </c>
      <c r="K129" s="40" t="s">
        <v>10</v>
      </c>
      <c r="L129" s="44">
        <v>2020</v>
      </c>
      <c r="M129" s="40" t="s">
        <v>1472</v>
      </c>
      <c r="N129" s="40" t="s">
        <v>11</v>
      </c>
      <c r="O129" s="40">
        <v>0.28499999999999998</v>
      </c>
      <c r="P129" s="45">
        <f t="shared" si="7"/>
        <v>575.70000000000005</v>
      </c>
      <c r="Q129" s="46">
        <f t="shared" si="8"/>
        <v>7.3003400000000003</v>
      </c>
      <c r="R129" s="47">
        <f t="shared" si="9"/>
        <v>3.9E-2</v>
      </c>
      <c r="S129" s="48">
        <f t="shared" si="10"/>
        <v>78.78</v>
      </c>
      <c r="T129" s="47" t="s">
        <v>349</v>
      </c>
      <c r="U129" s="40" t="s">
        <v>177</v>
      </c>
      <c r="V129" s="38">
        <v>7.1879</v>
      </c>
      <c r="W129" s="49">
        <f t="shared" si="11"/>
        <v>80.092933958457962</v>
      </c>
    </row>
    <row r="130" spans="1:23" x14ac:dyDescent="0.2">
      <c r="A130" s="40" t="s">
        <v>1373</v>
      </c>
      <c r="B130" s="41">
        <v>45660</v>
      </c>
      <c r="C130" s="41">
        <v>45609</v>
      </c>
      <c r="D130" s="40" t="s">
        <v>235</v>
      </c>
      <c r="E130" s="40" t="s">
        <v>236</v>
      </c>
      <c r="G130" s="40" t="s">
        <v>1369</v>
      </c>
      <c r="H130" s="40" t="s">
        <v>1371</v>
      </c>
      <c r="I130" s="40" t="s">
        <v>1372</v>
      </c>
      <c r="J130" s="43" t="str">
        <f t="shared" ref="J130:J193" si="12">+LEFT(U130,4)</f>
        <v>SCR-</v>
      </c>
      <c r="K130" s="40" t="s">
        <v>10</v>
      </c>
      <c r="L130" s="44">
        <v>250</v>
      </c>
      <c r="M130" s="40" t="s">
        <v>1472</v>
      </c>
      <c r="N130" s="40" t="s">
        <v>11</v>
      </c>
      <c r="O130" s="40">
        <v>0.28810000000000002</v>
      </c>
      <c r="P130" s="45">
        <f t="shared" ref="P130:P193" si="13">ROUND(O130*L130,2)</f>
        <v>72.03</v>
      </c>
      <c r="Q130" s="46">
        <f t="shared" ref="Q130:Q193" si="14">IF(N130="HKD",7.8,IF(N130="CNY",7.30034,1))</f>
        <v>7.3003400000000003</v>
      </c>
      <c r="R130" s="47">
        <f t="shared" ref="R130:R193" si="15">+ROUND(O130/Q130,4)</f>
        <v>3.95E-2</v>
      </c>
      <c r="S130" s="48">
        <f t="shared" ref="S130:S193" si="16">ROUND(R130*L130,2)</f>
        <v>9.8800000000000008</v>
      </c>
      <c r="T130" s="47" t="s">
        <v>349</v>
      </c>
      <c r="U130" s="40" t="s">
        <v>166</v>
      </c>
      <c r="V130" s="38">
        <v>7.1879</v>
      </c>
      <c r="W130" s="49">
        <f t="shared" ref="W130:W193" si="17">IF(N130="CNY",O130/V130*L130,1)</f>
        <v>10.020311913076142</v>
      </c>
    </row>
    <row r="131" spans="1:23" x14ac:dyDescent="0.2">
      <c r="A131" s="40" t="s">
        <v>1097</v>
      </c>
      <c r="B131" s="41">
        <v>45663</v>
      </c>
      <c r="C131" s="41">
        <v>45653</v>
      </c>
      <c r="D131" s="40" t="s">
        <v>169</v>
      </c>
      <c r="E131" s="40" t="s">
        <v>170</v>
      </c>
      <c r="G131" s="40" t="s">
        <v>1093</v>
      </c>
      <c r="H131" s="40" t="s">
        <v>1095</v>
      </c>
      <c r="I131" s="40" t="s">
        <v>1096</v>
      </c>
      <c r="J131" s="43" t="str">
        <f t="shared" si="12"/>
        <v>PAP-</v>
      </c>
      <c r="K131" s="40" t="s">
        <v>10</v>
      </c>
      <c r="L131" s="44">
        <v>10000</v>
      </c>
      <c r="M131" s="40" t="s">
        <v>1472</v>
      </c>
      <c r="N131" s="40" t="s">
        <v>11</v>
      </c>
      <c r="O131" s="40">
        <v>0.28999999999999998</v>
      </c>
      <c r="P131" s="45">
        <f t="shared" si="13"/>
        <v>2900</v>
      </c>
      <c r="Q131" s="46">
        <f t="shared" si="14"/>
        <v>7.3003400000000003</v>
      </c>
      <c r="R131" s="47">
        <f t="shared" si="15"/>
        <v>3.9699999999999999E-2</v>
      </c>
      <c r="S131" s="48">
        <f t="shared" si="16"/>
        <v>397</v>
      </c>
      <c r="T131" s="47" t="s">
        <v>349</v>
      </c>
      <c r="U131" s="40" t="s">
        <v>1094</v>
      </c>
      <c r="V131" s="38">
        <v>7.1879</v>
      </c>
      <c r="W131" s="49">
        <f t="shared" si="17"/>
        <v>403.45580767679019</v>
      </c>
    </row>
    <row r="132" spans="1:23" x14ac:dyDescent="0.2">
      <c r="A132" s="40" t="s">
        <v>927</v>
      </c>
      <c r="B132" s="41">
        <v>45665</v>
      </c>
      <c r="C132" s="41">
        <v>45660</v>
      </c>
      <c r="D132" s="40" t="s">
        <v>925</v>
      </c>
      <c r="E132" s="40" t="s">
        <v>926</v>
      </c>
      <c r="G132" s="40" t="s">
        <v>451</v>
      </c>
      <c r="H132" s="40" t="s">
        <v>923</v>
      </c>
      <c r="I132" s="40" t="s">
        <v>924</v>
      </c>
      <c r="J132" s="43" t="str">
        <f t="shared" si="12"/>
        <v>FG--</v>
      </c>
      <c r="K132" s="40" t="s">
        <v>10</v>
      </c>
      <c r="L132" s="44">
        <v>530</v>
      </c>
      <c r="M132" s="40" t="s">
        <v>1472</v>
      </c>
      <c r="N132" s="40" t="s">
        <v>11</v>
      </c>
      <c r="O132" s="40">
        <v>0.30170000000000002</v>
      </c>
      <c r="P132" s="45">
        <f t="shared" si="13"/>
        <v>159.9</v>
      </c>
      <c r="Q132" s="46">
        <f t="shared" si="14"/>
        <v>7.3003400000000003</v>
      </c>
      <c r="R132" s="47">
        <f t="shared" si="15"/>
        <v>4.1300000000000003E-2</v>
      </c>
      <c r="S132" s="48">
        <f t="shared" si="16"/>
        <v>21.89</v>
      </c>
      <c r="T132" s="47" t="s">
        <v>349</v>
      </c>
      <c r="U132" s="40" t="s">
        <v>64</v>
      </c>
      <c r="V132" s="38">
        <v>7.1879</v>
      </c>
      <c r="W132" s="49">
        <f t="shared" si="17"/>
        <v>22.245857621836699</v>
      </c>
    </row>
    <row r="133" spans="1:23" x14ac:dyDescent="0.2">
      <c r="A133" s="40" t="s">
        <v>539</v>
      </c>
      <c r="B133" s="41">
        <v>45670</v>
      </c>
      <c r="C133" s="41">
        <v>45657</v>
      </c>
      <c r="D133" s="40" t="s">
        <v>530</v>
      </c>
      <c r="E133" s="40" t="s">
        <v>531</v>
      </c>
      <c r="G133" s="40" t="s">
        <v>533</v>
      </c>
      <c r="H133" s="40" t="s">
        <v>537</v>
      </c>
      <c r="I133" s="40" t="s">
        <v>538</v>
      </c>
      <c r="J133" s="43" t="str">
        <f t="shared" si="12"/>
        <v>MISC</v>
      </c>
      <c r="K133" s="40" t="s">
        <v>10</v>
      </c>
      <c r="L133" s="44">
        <v>10000</v>
      </c>
      <c r="M133" s="40" t="s">
        <v>1472</v>
      </c>
      <c r="N133" s="40" t="s">
        <v>11</v>
      </c>
      <c r="O133" s="40">
        <v>0.3085</v>
      </c>
      <c r="P133" s="45">
        <f t="shared" si="13"/>
        <v>3085</v>
      </c>
      <c r="Q133" s="46">
        <f t="shared" si="14"/>
        <v>7.3003400000000003</v>
      </c>
      <c r="R133" s="47">
        <f t="shared" si="15"/>
        <v>4.2299999999999997E-2</v>
      </c>
      <c r="S133" s="48">
        <f t="shared" si="16"/>
        <v>423</v>
      </c>
      <c r="T133" s="47" t="s">
        <v>349</v>
      </c>
      <c r="U133" s="40" t="s">
        <v>25</v>
      </c>
      <c r="V133" s="38">
        <v>7.1879</v>
      </c>
      <c r="W133" s="49">
        <f t="shared" si="17"/>
        <v>429.1935057527233</v>
      </c>
    </row>
    <row r="134" spans="1:23" x14ac:dyDescent="0.2">
      <c r="A134" s="40" t="s">
        <v>539</v>
      </c>
      <c r="B134" s="41">
        <v>45664</v>
      </c>
      <c r="C134" s="41">
        <v>45657</v>
      </c>
      <c r="D134" s="40" t="s">
        <v>530</v>
      </c>
      <c r="E134" s="40" t="s">
        <v>531</v>
      </c>
      <c r="G134" s="40" t="s">
        <v>968</v>
      </c>
      <c r="H134" s="40" t="s">
        <v>537</v>
      </c>
      <c r="I134" s="40" t="s">
        <v>538</v>
      </c>
      <c r="J134" s="43" t="str">
        <f t="shared" si="12"/>
        <v>MISC</v>
      </c>
      <c r="K134" s="40" t="s">
        <v>10</v>
      </c>
      <c r="L134" s="44">
        <v>10000</v>
      </c>
      <c r="M134" s="40" t="s">
        <v>1472</v>
      </c>
      <c r="N134" s="40" t="s">
        <v>11</v>
      </c>
      <c r="O134" s="40">
        <v>0.3085</v>
      </c>
      <c r="P134" s="45">
        <f t="shared" si="13"/>
        <v>3085</v>
      </c>
      <c r="Q134" s="46">
        <f t="shared" si="14"/>
        <v>7.3003400000000003</v>
      </c>
      <c r="R134" s="47">
        <f t="shared" si="15"/>
        <v>4.2299999999999997E-2</v>
      </c>
      <c r="S134" s="48">
        <f t="shared" si="16"/>
        <v>423</v>
      </c>
      <c r="T134" s="47" t="s">
        <v>349</v>
      </c>
      <c r="U134" s="40" t="s">
        <v>25</v>
      </c>
      <c r="V134" s="38">
        <v>7.1879</v>
      </c>
      <c r="W134" s="49">
        <f t="shared" si="17"/>
        <v>429.1935057527233</v>
      </c>
    </row>
    <row r="135" spans="1:23" x14ac:dyDescent="0.2">
      <c r="A135" s="40" t="s">
        <v>638</v>
      </c>
      <c r="B135" s="41">
        <v>45670</v>
      </c>
      <c r="C135" s="41">
        <v>45643</v>
      </c>
      <c r="D135" s="40" t="s">
        <v>169</v>
      </c>
      <c r="E135" s="40" t="s">
        <v>170</v>
      </c>
      <c r="G135" s="40" t="s">
        <v>634</v>
      </c>
      <c r="H135" s="40" t="s">
        <v>636</v>
      </c>
      <c r="I135" s="40" t="s">
        <v>637</v>
      </c>
      <c r="J135" s="43" t="str">
        <f t="shared" si="12"/>
        <v>WACD</v>
      </c>
      <c r="K135" s="40" t="s">
        <v>10</v>
      </c>
      <c r="L135" s="44">
        <v>710</v>
      </c>
      <c r="M135" s="40" t="s">
        <v>1472</v>
      </c>
      <c r="N135" s="40" t="s">
        <v>11</v>
      </c>
      <c r="O135" s="40">
        <v>0.315</v>
      </c>
      <c r="P135" s="45">
        <f t="shared" si="13"/>
        <v>223.65</v>
      </c>
      <c r="Q135" s="46">
        <f t="shared" si="14"/>
        <v>7.3003400000000003</v>
      </c>
      <c r="R135" s="47">
        <f t="shared" si="15"/>
        <v>4.3099999999999999E-2</v>
      </c>
      <c r="S135" s="48">
        <f t="shared" si="16"/>
        <v>30.6</v>
      </c>
      <c r="T135" s="47" t="s">
        <v>349</v>
      </c>
      <c r="U135" s="40" t="s">
        <v>635</v>
      </c>
      <c r="V135" s="38">
        <v>7.1879</v>
      </c>
      <c r="W135" s="49">
        <f t="shared" si="17"/>
        <v>31.114790133418662</v>
      </c>
    </row>
    <row r="136" spans="1:23" x14ac:dyDescent="0.2">
      <c r="A136" s="40" t="s">
        <v>1284</v>
      </c>
      <c r="B136" s="41">
        <v>45660</v>
      </c>
      <c r="C136" s="41">
        <v>45659</v>
      </c>
      <c r="D136" s="40" t="s">
        <v>709</v>
      </c>
      <c r="E136" s="40" t="s">
        <v>710</v>
      </c>
      <c r="G136" s="40" t="s">
        <v>1285</v>
      </c>
      <c r="H136" s="40" t="s">
        <v>1282</v>
      </c>
      <c r="I136" s="40" t="s">
        <v>1283</v>
      </c>
      <c r="J136" s="43" t="str">
        <f t="shared" si="12"/>
        <v>MISC</v>
      </c>
      <c r="K136" s="40" t="s">
        <v>10</v>
      </c>
      <c r="L136" s="44">
        <v>1050</v>
      </c>
      <c r="M136" s="40" t="s">
        <v>1472</v>
      </c>
      <c r="N136" s="40" t="s">
        <v>11</v>
      </c>
      <c r="O136" s="40">
        <v>0.39100000000000001</v>
      </c>
      <c r="P136" s="45">
        <f t="shared" si="13"/>
        <v>410.55</v>
      </c>
      <c r="Q136" s="46">
        <f t="shared" si="14"/>
        <v>7.3003400000000003</v>
      </c>
      <c r="R136" s="47">
        <f t="shared" si="15"/>
        <v>5.3600000000000002E-2</v>
      </c>
      <c r="S136" s="48">
        <f t="shared" si="16"/>
        <v>56.28</v>
      </c>
      <c r="T136" s="47" t="s">
        <v>349</v>
      </c>
      <c r="U136" s="40" t="s">
        <v>25</v>
      </c>
      <c r="V136" s="38">
        <v>7.1879</v>
      </c>
      <c r="W136" s="49">
        <f t="shared" si="17"/>
        <v>57.116821324726281</v>
      </c>
    </row>
    <row r="137" spans="1:23" x14ac:dyDescent="0.2">
      <c r="A137" s="40" t="s">
        <v>737</v>
      </c>
      <c r="B137" s="41">
        <v>45667</v>
      </c>
      <c r="C137" s="41">
        <v>45653</v>
      </c>
      <c r="D137" s="40" t="s">
        <v>709</v>
      </c>
      <c r="E137" s="40" t="s">
        <v>710</v>
      </c>
      <c r="G137" s="40" t="s">
        <v>712</v>
      </c>
      <c r="H137" s="40" t="s">
        <v>735</v>
      </c>
      <c r="I137" s="40" t="s">
        <v>736</v>
      </c>
      <c r="J137" s="43" t="str">
        <f t="shared" si="12"/>
        <v>KNOB</v>
      </c>
      <c r="K137" s="40" t="s">
        <v>10</v>
      </c>
      <c r="L137" s="44">
        <v>750</v>
      </c>
      <c r="M137" s="40" t="s">
        <v>1472</v>
      </c>
      <c r="N137" s="40" t="s">
        <v>11</v>
      </c>
      <c r="O137" s="40">
        <v>0.39329999999999998</v>
      </c>
      <c r="P137" s="45">
        <f t="shared" si="13"/>
        <v>294.98</v>
      </c>
      <c r="Q137" s="46">
        <f t="shared" si="14"/>
        <v>7.3003400000000003</v>
      </c>
      <c r="R137" s="47">
        <f t="shared" si="15"/>
        <v>5.3900000000000003E-2</v>
      </c>
      <c r="S137" s="48">
        <f t="shared" si="16"/>
        <v>40.43</v>
      </c>
      <c r="T137" s="47" t="s">
        <v>349</v>
      </c>
      <c r="U137" s="40" t="s">
        <v>32</v>
      </c>
      <c r="V137" s="38">
        <v>7.1879</v>
      </c>
      <c r="W137" s="49">
        <f t="shared" si="17"/>
        <v>41.037716161883161</v>
      </c>
    </row>
    <row r="138" spans="1:23" x14ac:dyDescent="0.2">
      <c r="A138" s="40" t="s">
        <v>532</v>
      </c>
      <c r="B138" s="41">
        <v>45670</v>
      </c>
      <c r="C138" s="41">
        <v>45657</v>
      </c>
      <c r="D138" s="40" t="s">
        <v>530</v>
      </c>
      <c r="E138" s="40" t="s">
        <v>531</v>
      </c>
      <c r="G138" s="40" t="s">
        <v>533</v>
      </c>
      <c r="H138" s="40" t="s">
        <v>528</v>
      </c>
      <c r="I138" s="40" t="s">
        <v>529</v>
      </c>
      <c r="J138" s="43" t="str">
        <f t="shared" si="12"/>
        <v>MISC</v>
      </c>
      <c r="K138" s="40" t="s">
        <v>10</v>
      </c>
      <c r="L138" s="44">
        <v>2000</v>
      </c>
      <c r="M138" s="40" t="s">
        <v>1472</v>
      </c>
      <c r="N138" s="40" t="s">
        <v>11</v>
      </c>
      <c r="O138" s="40">
        <v>0.39500000000000002</v>
      </c>
      <c r="P138" s="45">
        <f t="shared" si="13"/>
        <v>790</v>
      </c>
      <c r="Q138" s="46">
        <f t="shared" si="14"/>
        <v>7.3003400000000003</v>
      </c>
      <c r="R138" s="47">
        <f t="shared" si="15"/>
        <v>5.4100000000000002E-2</v>
      </c>
      <c r="S138" s="48">
        <f t="shared" si="16"/>
        <v>108.2</v>
      </c>
      <c r="T138" s="47" t="s">
        <v>349</v>
      </c>
      <c r="U138" s="40" t="s">
        <v>25</v>
      </c>
      <c r="V138" s="38">
        <v>7.1879</v>
      </c>
      <c r="W138" s="49">
        <f t="shared" si="17"/>
        <v>109.90692691884973</v>
      </c>
    </row>
    <row r="139" spans="1:23" x14ac:dyDescent="0.2">
      <c r="A139" s="40" t="s">
        <v>532</v>
      </c>
      <c r="B139" s="41">
        <v>45664</v>
      </c>
      <c r="C139" s="41">
        <v>45657</v>
      </c>
      <c r="D139" s="40" t="s">
        <v>530</v>
      </c>
      <c r="E139" s="40" t="s">
        <v>531</v>
      </c>
      <c r="G139" s="40" t="s">
        <v>968</v>
      </c>
      <c r="H139" s="40" t="s">
        <v>528</v>
      </c>
      <c r="I139" s="40" t="s">
        <v>529</v>
      </c>
      <c r="J139" s="43" t="str">
        <f t="shared" si="12"/>
        <v>MISC</v>
      </c>
      <c r="K139" s="40" t="s">
        <v>10</v>
      </c>
      <c r="L139" s="44">
        <v>8000</v>
      </c>
      <c r="M139" s="40" t="s">
        <v>1472</v>
      </c>
      <c r="N139" s="40" t="s">
        <v>11</v>
      </c>
      <c r="O139" s="40">
        <v>0.39500000000000002</v>
      </c>
      <c r="P139" s="45">
        <f t="shared" si="13"/>
        <v>3160</v>
      </c>
      <c r="Q139" s="46">
        <f t="shared" si="14"/>
        <v>7.3003400000000003</v>
      </c>
      <c r="R139" s="47">
        <f t="shared" si="15"/>
        <v>5.4100000000000002E-2</v>
      </c>
      <c r="S139" s="48">
        <f t="shared" si="16"/>
        <v>432.8</v>
      </c>
      <c r="T139" s="47" t="s">
        <v>349</v>
      </c>
      <c r="U139" s="40" t="s">
        <v>25</v>
      </c>
      <c r="V139" s="38">
        <v>7.1879</v>
      </c>
      <c r="W139" s="49">
        <f t="shared" si="17"/>
        <v>439.62770767539894</v>
      </c>
    </row>
    <row r="140" spans="1:23" x14ac:dyDescent="0.2">
      <c r="A140" s="40" t="s">
        <v>774</v>
      </c>
      <c r="B140" s="41">
        <v>45666</v>
      </c>
      <c r="C140" s="41">
        <v>45646</v>
      </c>
      <c r="D140" s="40" t="s">
        <v>569</v>
      </c>
      <c r="E140" s="40" t="s">
        <v>570</v>
      </c>
      <c r="G140" s="40" t="s">
        <v>762</v>
      </c>
      <c r="H140" s="40" t="s">
        <v>772</v>
      </c>
      <c r="I140" s="40" t="s">
        <v>773</v>
      </c>
      <c r="J140" s="43" t="str">
        <f t="shared" si="12"/>
        <v>WHR-</v>
      </c>
      <c r="K140" s="40" t="s">
        <v>10</v>
      </c>
      <c r="L140" s="44">
        <v>9200</v>
      </c>
      <c r="M140" s="40" t="s">
        <v>1472</v>
      </c>
      <c r="N140" s="40" t="s">
        <v>11</v>
      </c>
      <c r="O140" s="40">
        <v>0.4365</v>
      </c>
      <c r="P140" s="45">
        <f t="shared" si="13"/>
        <v>4015.8</v>
      </c>
      <c r="Q140" s="46">
        <f t="shared" si="14"/>
        <v>7.3003400000000003</v>
      </c>
      <c r="R140" s="47">
        <f t="shared" si="15"/>
        <v>5.9799999999999999E-2</v>
      </c>
      <c r="S140" s="48">
        <f t="shared" si="16"/>
        <v>550.16</v>
      </c>
      <c r="T140" s="47" t="s">
        <v>349</v>
      </c>
      <c r="U140" s="40" t="s">
        <v>248</v>
      </c>
      <c r="V140" s="38">
        <v>7.1879</v>
      </c>
      <c r="W140" s="49">
        <f t="shared" si="17"/>
        <v>558.68890774774275</v>
      </c>
    </row>
    <row r="141" spans="1:23" x14ac:dyDescent="0.2">
      <c r="A141" s="40" t="s">
        <v>1402</v>
      </c>
      <c r="B141" s="41">
        <v>45659</v>
      </c>
      <c r="C141" s="41">
        <v>45644</v>
      </c>
      <c r="D141" s="40" t="s">
        <v>569</v>
      </c>
      <c r="E141" s="40" t="s">
        <v>570</v>
      </c>
      <c r="G141" s="40" t="s">
        <v>1403</v>
      </c>
      <c r="H141" s="40" t="s">
        <v>772</v>
      </c>
      <c r="I141" s="40" t="s">
        <v>773</v>
      </c>
      <c r="J141" s="43" t="str">
        <f t="shared" si="12"/>
        <v>WHR-</v>
      </c>
      <c r="K141" s="40" t="s">
        <v>10</v>
      </c>
      <c r="L141" s="44">
        <v>2100</v>
      </c>
      <c r="M141" s="40" t="s">
        <v>1472</v>
      </c>
      <c r="N141" s="40" t="s">
        <v>11</v>
      </c>
      <c r="O141" s="40">
        <v>0.441</v>
      </c>
      <c r="P141" s="45">
        <f t="shared" si="13"/>
        <v>926.1</v>
      </c>
      <c r="Q141" s="46">
        <f t="shared" si="14"/>
        <v>7.3003400000000003</v>
      </c>
      <c r="R141" s="47">
        <f t="shared" si="15"/>
        <v>6.0400000000000002E-2</v>
      </c>
      <c r="S141" s="48">
        <f t="shared" si="16"/>
        <v>126.84</v>
      </c>
      <c r="T141" s="47" t="s">
        <v>349</v>
      </c>
      <c r="U141" s="40" t="s">
        <v>248</v>
      </c>
      <c r="V141" s="38">
        <v>7.1879</v>
      </c>
      <c r="W141" s="49">
        <f t="shared" si="17"/>
        <v>128.84152534119841</v>
      </c>
    </row>
    <row r="142" spans="1:23" x14ac:dyDescent="0.2">
      <c r="A142" s="40" t="s">
        <v>1346</v>
      </c>
      <c r="B142" s="41">
        <v>45660</v>
      </c>
      <c r="C142" s="41">
        <v>45639</v>
      </c>
      <c r="D142" s="40" t="s">
        <v>235</v>
      </c>
      <c r="E142" s="40" t="s">
        <v>236</v>
      </c>
      <c r="G142" s="40" t="s">
        <v>1347</v>
      </c>
      <c r="H142" s="40" t="s">
        <v>1344</v>
      </c>
      <c r="I142" s="40" t="s">
        <v>1345</v>
      </c>
      <c r="J142" s="43" t="str">
        <f t="shared" si="12"/>
        <v>SCR-</v>
      </c>
      <c r="K142" s="40" t="s">
        <v>10</v>
      </c>
      <c r="L142" s="44">
        <v>3000</v>
      </c>
      <c r="M142" s="40" t="s">
        <v>1472</v>
      </c>
      <c r="N142" s="40" t="s">
        <v>11</v>
      </c>
      <c r="O142" s="40">
        <v>0.47449999999999998</v>
      </c>
      <c r="P142" s="45">
        <f t="shared" si="13"/>
        <v>1423.5</v>
      </c>
      <c r="Q142" s="46">
        <f t="shared" si="14"/>
        <v>7.3003400000000003</v>
      </c>
      <c r="R142" s="47">
        <f t="shared" si="15"/>
        <v>6.5000000000000002E-2</v>
      </c>
      <c r="S142" s="48">
        <f t="shared" si="16"/>
        <v>195</v>
      </c>
      <c r="T142" s="47" t="s">
        <v>349</v>
      </c>
      <c r="U142" s="40" t="s">
        <v>166</v>
      </c>
      <c r="V142" s="38">
        <v>7.1879</v>
      </c>
      <c r="W142" s="49">
        <f t="shared" si="17"/>
        <v>198.04115249238302</v>
      </c>
    </row>
    <row r="143" spans="1:23" x14ac:dyDescent="0.2">
      <c r="A143" s="40" t="s">
        <v>1092</v>
      </c>
      <c r="B143" s="41">
        <v>45663</v>
      </c>
      <c r="C143" s="41">
        <v>45653</v>
      </c>
      <c r="D143" s="40" t="s">
        <v>169</v>
      </c>
      <c r="E143" s="40" t="s">
        <v>170</v>
      </c>
      <c r="G143" s="40" t="s">
        <v>1093</v>
      </c>
      <c r="H143" s="40" t="s">
        <v>1090</v>
      </c>
      <c r="I143" s="40" t="s">
        <v>1091</v>
      </c>
      <c r="J143" s="43" t="str">
        <f t="shared" si="12"/>
        <v>PAP-</v>
      </c>
      <c r="K143" s="40" t="s">
        <v>10</v>
      </c>
      <c r="L143" s="44">
        <v>16000</v>
      </c>
      <c r="M143" s="40" t="s">
        <v>1472</v>
      </c>
      <c r="N143" s="40" t="s">
        <v>11</v>
      </c>
      <c r="O143" s="40">
        <v>0.47789999999999999</v>
      </c>
      <c r="P143" s="45">
        <f t="shared" si="13"/>
        <v>7646.4</v>
      </c>
      <c r="Q143" s="46">
        <f t="shared" si="14"/>
        <v>7.3003400000000003</v>
      </c>
      <c r="R143" s="47">
        <f t="shared" si="15"/>
        <v>6.5500000000000003E-2</v>
      </c>
      <c r="S143" s="48">
        <f t="shared" si="16"/>
        <v>1048</v>
      </c>
      <c r="T143" s="47" t="s">
        <v>349</v>
      </c>
      <c r="U143" s="40" t="s">
        <v>1094</v>
      </c>
      <c r="V143" s="38">
        <v>7.1879</v>
      </c>
      <c r="W143" s="49">
        <f t="shared" si="17"/>
        <v>1063.7877544206235</v>
      </c>
    </row>
    <row r="144" spans="1:23" x14ac:dyDescent="0.2">
      <c r="A144" s="40" t="s">
        <v>536</v>
      </c>
      <c r="B144" s="41">
        <v>45670</v>
      </c>
      <c r="C144" s="41">
        <v>45657</v>
      </c>
      <c r="D144" s="40" t="s">
        <v>530</v>
      </c>
      <c r="E144" s="40" t="s">
        <v>531</v>
      </c>
      <c r="G144" s="40" t="s">
        <v>533</v>
      </c>
      <c r="H144" s="40" t="s">
        <v>534</v>
      </c>
      <c r="I144" s="40" t="s">
        <v>535</v>
      </c>
      <c r="J144" s="43" t="str">
        <f t="shared" si="12"/>
        <v>MISC</v>
      </c>
      <c r="K144" s="40" t="s">
        <v>10</v>
      </c>
      <c r="L144" s="44">
        <v>10000</v>
      </c>
      <c r="M144" s="40" t="s">
        <v>1472</v>
      </c>
      <c r="N144" s="40" t="s">
        <v>11</v>
      </c>
      <c r="O144" s="40">
        <v>0.53669999999999995</v>
      </c>
      <c r="P144" s="45">
        <f t="shared" si="13"/>
        <v>5367</v>
      </c>
      <c r="Q144" s="46">
        <f t="shared" si="14"/>
        <v>7.3003400000000003</v>
      </c>
      <c r="R144" s="47">
        <f t="shared" si="15"/>
        <v>7.3499999999999996E-2</v>
      </c>
      <c r="S144" s="48">
        <f t="shared" si="16"/>
        <v>735</v>
      </c>
      <c r="T144" s="47" t="s">
        <v>349</v>
      </c>
      <c r="U144" s="40" t="s">
        <v>25</v>
      </c>
      <c r="V144" s="38">
        <v>7.1879</v>
      </c>
      <c r="W144" s="49">
        <f t="shared" si="17"/>
        <v>746.67148958666644</v>
      </c>
    </row>
    <row r="145" spans="1:23" x14ac:dyDescent="0.2">
      <c r="A145" s="40" t="s">
        <v>441</v>
      </c>
      <c r="B145" s="41">
        <v>45670</v>
      </c>
      <c r="C145" s="41">
        <v>45660</v>
      </c>
      <c r="D145" s="40" t="s">
        <v>128</v>
      </c>
      <c r="E145" s="40" t="s">
        <v>129</v>
      </c>
      <c r="G145" s="40" t="s">
        <v>437</v>
      </c>
      <c r="H145" s="40" t="s">
        <v>439</v>
      </c>
      <c r="I145" s="40" t="s">
        <v>440</v>
      </c>
      <c r="J145" s="43" t="str">
        <f t="shared" si="12"/>
        <v>BRKT</v>
      </c>
      <c r="K145" s="40" t="s">
        <v>10</v>
      </c>
      <c r="L145" s="44">
        <v>520</v>
      </c>
      <c r="M145" s="40" t="s">
        <v>1472</v>
      </c>
      <c r="N145" s="40" t="s">
        <v>11</v>
      </c>
      <c r="O145" s="40">
        <v>0.53990000000000005</v>
      </c>
      <c r="P145" s="45">
        <f t="shared" si="13"/>
        <v>280.75</v>
      </c>
      <c r="Q145" s="46">
        <f t="shared" si="14"/>
        <v>7.3003400000000003</v>
      </c>
      <c r="R145" s="47">
        <f t="shared" si="15"/>
        <v>7.3999999999999996E-2</v>
      </c>
      <c r="S145" s="48">
        <f t="shared" si="16"/>
        <v>38.479999999999997</v>
      </c>
      <c r="T145" s="47" t="s">
        <v>349</v>
      </c>
      <c r="U145" s="40" t="s">
        <v>442</v>
      </c>
      <c r="V145" s="38">
        <v>7.1879</v>
      </c>
      <c r="W145" s="49">
        <f t="shared" si="17"/>
        <v>39.058417618497757</v>
      </c>
    </row>
    <row r="146" spans="1:23" x14ac:dyDescent="0.2">
      <c r="A146" s="40" t="s">
        <v>728</v>
      </c>
      <c r="B146" s="41">
        <v>45667</v>
      </c>
      <c r="C146" s="41">
        <v>45646</v>
      </c>
      <c r="D146" s="40" t="s">
        <v>709</v>
      </c>
      <c r="E146" s="40" t="s">
        <v>710</v>
      </c>
      <c r="G146" s="40" t="s">
        <v>712</v>
      </c>
      <c r="H146" s="40" t="s">
        <v>726</v>
      </c>
      <c r="I146" s="40" t="s">
        <v>727</v>
      </c>
      <c r="J146" s="43" t="str">
        <f t="shared" si="12"/>
        <v>KNOB</v>
      </c>
      <c r="K146" s="40" t="s">
        <v>10</v>
      </c>
      <c r="L146" s="44">
        <v>6750</v>
      </c>
      <c r="M146" s="40" t="s">
        <v>1472</v>
      </c>
      <c r="N146" s="40" t="s">
        <v>11</v>
      </c>
      <c r="O146" s="40">
        <v>0.54969999999999997</v>
      </c>
      <c r="P146" s="45">
        <f t="shared" si="13"/>
        <v>3710.48</v>
      </c>
      <c r="Q146" s="46">
        <f t="shared" si="14"/>
        <v>7.3003400000000003</v>
      </c>
      <c r="R146" s="47">
        <f t="shared" si="15"/>
        <v>7.5300000000000006E-2</v>
      </c>
      <c r="S146" s="48">
        <f t="shared" si="16"/>
        <v>508.28</v>
      </c>
      <c r="T146" s="47" t="s">
        <v>349</v>
      </c>
      <c r="U146" s="40" t="s">
        <v>32</v>
      </c>
      <c r="V146" s="38">
        <v>7.1879</v>
      </c>
      <c r="W146" s="49">
        <f t="shared" si="17"/>
        <v>516.21127172053036</v>
      </c>
    </row>
    <row r="147" spans="1:23" x14ac:dyDescent="0.2">
      <c r="A147" s="40" t="s">
        <v>1440</v>
      </c>
      <c r="B147" s="41">
        <v>45659</v>
      </c>
      <c r="C147" s="41">
        <v>45629</v>
      </c>
      <c r="D147" s="40" t="s">
        <v>21</v>
      </c>
      <c r="E147" s="40" t="s">
        <v>22</v>
      </c>
      <c r="G147" s="40" t="s">
        <v>1431</v>
      </c>
      <c r="H147" s="40" t="s">
        <v>801</v>
      </c>
      <c r="I147" s="40" t="s">
        <v>802</v>
      </c>
      <c r="J147" s="43" t="str">
        <f t="shared" si="12"/>
        <v>BRKT</v>
      </c>
      <c r="K147" s="40" t="s">
        <v>10</v>
      </c>
      <c r="L147" s="44">
        <v>2600</v>
      </c>
      <c r="M147" s="40" t="s">
        <v>1472</v>
      </c>
      <c r="N147" s="40" t="s">
        <v>11</v>
      </c>
      <c r="O147" s="40">
        <v>0.56430000000000002</v>
      </c>
      <c r="P147" s="45">
        <f t="shared" si="13"/>
        <v>1467.18</v>
      </c>
      <c r="Q147" s="46">
        <f t="shared" si="14"/>
        <v>7.3003400000000003</v>
      </c>
      <c r="R147" s="47">
        <f t="shared" si="15"/>
        <v>7.7299999999999994E-2</v>
      </c>
      <c r="S147" s="48">
        <f t="shared" si="16"/>
        <v>200.98</v>
      </c>
      <c r="T147" s="47" t="s">
        <v>349</v>
      </c>
      <c r="U147" s="40" t="s">
        <v>442</v>
      </c>
      <c r="V147" s="38">
        <v>7.1879</v>
      </c>
      <c r="W147" s="49">
        <f t="shared" si="17"/>
        <v>204.11803169214932</v>
      </c>
    </row>
    <row r="148" spans="1:23" x14ac:dyDescent="0.2">
      <c r="A148" s="40" t="s">
        <v>803</v>
      </c>
      <c r="B148" s="41">
        <v>45666</v>
      </c>
      <c r="C148" s="41">
        <v>45653</v>
      </c>
      <c r="D148" s="40" t="s">
        <v>21</v>
      </c>
      <c r="E148" s="40" t="s">
        <v>22</v>
      </c>
      <c r="G148" s="40" t="s">
        <v>796</v>
      </c>
      <c r="H148" s="40" t="s">
        <v>801</v>
      </c>
      <c r="I148" s="40" t="s">
        <v>802</v>
      </c>
      <c r="J148" s="43" t="str">
        <f t="shared" si="12"/>
        <v>BRKT</v>
      </c>
      <c r="K148" s="40" t="s">
        <v>10</v>
      </c>
      <c r="L148" s="44">
        <v>970</v>
      </c>
      <c r="M148" s="40" t="s">
        <v>1472</v>
      </c>
      <c r="N148" s="40" t="s">
        <v>11</v>
      </c>
      <c r="O148" s="40">
        <v>0.57579999999999998</v>
      </c>
      <c r="P148" s="45">
        <f t="shared" si="13"/>
        <v>558.53</v>
      </c>
      <c r="Q148" s="46">
        <f t="shared" si="14"/>
        <v>7.3003400000000003</v>
      </c>
      <c r="R148" s="47">
        <f t="shared" si="15"/>
        <v>7.8899999999999998E-2</v>
      </c>
      <c r="S148" s="48">
        <f t="shared" si="16"/>
        <v>76.53</v>
      </c>
      <c r="T148" s="47" t="s">
        <v>349</v>
      </c>
      <c r="U148" s="40" t="s">
        <v>442</v>
      </c>
      <c r="V148" s="38">
        <v>7.1879</v>
      </c>
      <c r="W148" s="49">
        <f t="shared" si="17"/>
        <v>77.703640840857545</v>
      </c>
    </row>
    <row r="149" spans="1:23" x14ac:dyDescent="0.2">
      <c r="A149" s="40" t="s">
        <v>1151</v>
      </c>
      <c r="B149" s="41">
        <v>45663</v>
      </c>
      <c r="C149" s="41">
        <v>45639</v>
      </c>
      <c r="D149" s="40" t="s">
        <v>28</v>
      </c>
      <c r="E149" s="40" t="s">
        <v>29</v>
      </c>
      <c r="G149" s="40" t="s">
        <v>1144</v>
      </c>
      <c r="H149" s="40" t="s">
        <v>1149</v>
      </c>
      <c r="I149" s="40" t="s">
        <v>1150</v>
      </c>
      <c r="J149" s="43" t="str">
        <f t="shared" si="12"/>
        <v>BRKT</v>
      </c>
      <c r="K149" s="40" t="s">
        <v>10</v>
      </c>
      <c r="L149" s="44">
        <v>3000</v>
      </c>
      <c r="M149" s="40" t="s">
        <v>1472</v>
      </c>
      <c r="N149" s="40" t="s">
        <v>11</v>
      </c>
      <c r="O149" s="40">
        <v>0.57750000000000001</v>
      </c>
      <c r="P149" s="45">
        <f t="shared" si="13"/>
        <v>1732.5</v>
      </c>
      <c r="Q149" s="46">
        <f t="shared" si="14"/>
        <v>7.3003400000000003</v>
      </c>
      <c r="R149" s="47">
        <f t="shared" si="15"/>
        <v>7.9100000000000004E-2</v>
      </c>
      <c r="S149" s="48">
        <f t="shared" si="16"/>
        <v>237.3</v>
      </c>
      <c r="T149" s="47" t="s">
        <v>349</v>
      </c>
      <c r="U149" s="40" t="s">
        <v>442</v>
      </c>
      <c r="V149" s="38">
        <v>7.1879</v>
      </c>
      <c r="W149" s="49">
        <f t="shared" si="17"/>
        <v>241.03006441380654</v>
      </c>
    </row>
    <row r="150" spans="1:23" x14ac:dyDescent="0.2">
      <c r="A150" s="40" t="s">
        <v>1450</v>
      </c>
      <c r="B150" s="41">
        <v>45659</v>
      </c>
      <c r="C150" s="41">
        <v>45609</v>
      </c>
      <c r="D150" s="40" t="s">
        <v>21</v>
      </c>
      <c r="E150" s="40" t="s">
        <v>22</v>
      </c>
      <c r="G150" s="40" t="s">
        <v>1431</v>
      </c>
      <c r="H150" s="40" t="s">
        <v>1448</v>
      </c>
      <c r="I150" s="40" t="s">
        <v>1449</v>
      </c>
      <c r="J150" s="43" t="str">
        <f t="shared" si="12"/>
        <v>BRKT</v>
      </c>
      <c r="K150" s="40" t="s">
        <v>10</v>
      </c>
      <c r="L150" s="44">
        <v>1030</v>
      </c>
      <c r="M150" s="40" t="s">
        <v>1472</v>
      </c>
      <c r="N150" s="40" t="s">
        <v>11</v>
      </c>
      <c r="O150" s="40">
        <v>0.57969999999999999</v>
      </c>
      <c r="P150" s="45">
        <f t="shared" si="13"/>
        <v>597.09</v>
      </c>
      <c r="Q150" s="46">
        <f t="shared" si="14"/>
        <v>7.3003400000000003</v>
      </c>
      <c r="R150" s="47">
        <f t="shared" si="15"/>
        <v>7.9399999999999998E-2</v>
      </c>
      <c r="S150" s="48">
        <f t="shared" si="16"/>
        <v>81.78</v>
      </c>
      <c r="T150" s="47" t="s">
        <v>349</v>
      </c>
      <c r="U150" s="40" t="s">
        <v>442</v>
      </c>
      <c r="V150" s="38">
        <v>7.1879</v>
      </c>
      <c r="W150" s="49">
        <f t="shared" si="17"/>
        <v>83.068907469497347</v>
      </c>
    </row>
    <row r="151" spans="1:23" x14ac:dyDescent="0.2">
      <c r="A151" s="40" t="s">
        <v>1172</v>
      </c>
      <c r="B151" s="41">
        <v>45663</v>
      </c>
      <c r="C151" s="41">
        <v>45615</v>
      </c>
      <c r="D151" s="40" t="s">
        <v>28</v>
      </c>
      <c r="E151" s="40" t="s">
        <v>29</v>
      </c>
      <c r="G151" s="40" t="s">
        <v>1173</v>
      </c>
      <c r="H151" s="40" t="s">
        <v>1170</v>
      </c>
      <c r="I151" s="40" t="s">
        <v>1171</v>
      </c>
      <c r="J151" s="43" t="str">
        <f t="shared" si="12"/>
        <v>BRKT</v>
      </c>
      <c r="K151" s="40" t="s">
        <v>10</v>
      </c>
      <c r="L151" s="44">
        <v>16500</v>
      </c>
      <c r="M151" s="40" t="s">
        <v>1472</v>
      </c>
      <c r="N151" s="40" t="s">
        <v>11</v>
      </c>
      <c r="O151" s="40">
        <v>0.5877</v>
      </c>
      <c r="P151" s="45">
        <f t="shared" si="13"/>
        <v>9697.0499999999993</v>
      </c>
      <c r="Q151" s="46">
        <f t="shared" si="14"/>
        <v>7.3003400000000003</v>
      </c>
      <c r="R151" s="47">
        <f t="shared" si="15"/>
        <v>8.0500000000000002E-2</v>
      </c>
      <c r="S151" s="48">
        <f t="shared" si="16"/>
        <v>1328.25</v>
      </c>
      <c r="T151" s="47" t="s">
        <v>349</v>
      </c>
      <c r="U151" s="40" t="s">
        <v>442</v>
      </c>
      <c r="V151" s="38">
        <v>7.1879</v>
      </c>
      <c r="W151" s="49">
        <f t="shared" si="17"/>
        <v>1349.07970339042</v>
      </c>
    </row>
    <row r="152" spans="1:23" x14ac:dyDescent="0.2">
      <c r="A152" s="40" t="s">
        <v>1174</v>
      </c>
      <c r="B152" s="41">
        <v>45663</v>
      </c>
      <c r="C152" s="41">
        <v>45646</v>
      </c>
      <c r="D152" s="40" t="s">
        <v>28</v>
      </c>
      <c r="E152" s="40" t="s">
        <v>29</v>
      </c>
      <c r="G152" s="40" t="s">
        <v>1173</v>
      </c>
      <c r="H152" s="40" t="s">
        <v>1170</v>
      </c>
      <c r="I152" s="40" t="s">
        <v>1171</v>
      </c>
      <c r="J152" s="43" t="str">
        <f t="shared" si="12"/>
        <v>BRKT</v>
      </c>
      <c r="K152" s="40" t="s">
        <v>10</v>
      </c>
      <c r="L152" s="44">
        <v>3650</v>
      </c>
      <c r="M152" s="40" t="s">
        <v>1472</v>
      </c>
      <c r="N152" s="40" t="s">
        <v>11</v>
      </c>
      <c r="O152" s="40">
        <v>0.59379999999999999</v>
      </c>
      <c r="P152" s="45">
        <f t="shared" si="13"/>
        <v>2167.37</v>
      </c>
      <c r="Q152" s="46">
        <f t="shared" si="14"/>
        <v>7.3003400000000003</v>
      </c>
      <c r="R152" s="47">
        <f t="shared" si="15"/>
        <v>8.1299999999999997E-2</v>
      </c>
      <c r="S152" s="48">
        <f t="shared" si="16"/>
        <v>296.75</v>
      </c>
      <c r="T152" s="47" t="s">
        <v>349</v>
      </c>
      <c r="U152" s="40" t="s">
        <v>442</v>
      </c>
      <c r="V152" s="38">
        <v>7.1879</v>
      </c>
      <c r="W152" s="49">
        <f t="shared" si="17"/>
        <v>301.53034961532575</v>
      </c>
    </row>
    <row r="153" spans="1:23" x14ac:dyDescent="0.2">
      <c r="A153" s="40" t="s">
        <v>1148</v>
      </c>
      <c r="B153" s="41">
        <v>45663</v>
      </c>
      <c r="C153" s="41">
        <v>45639</v>
      </c>
      <c r="D153" s="40" t="s">
        <v>28</v>
      </c>
      <c r="E153" s="40" t="s">
        <v>29</v>
      </c>
      <c r="G153" s="40" t="s">
        <v>1144</v>
      </c>
      <c r="H153" s="40" t="s">
        <v>1145</v>
      </c>
      <c r="I153" s="40" t="s">
        <v>1146</v>
      </c>
      <c r="J153" s="43" t="str">
        <f t="shared" si="12"/>
        <v>BRKT</v>
      </c>
      <c r="K153" s="40" t="s">
        <v>10</v>
      </c>
      <c r="L153" s="44">
        <v>2550</v>
      </c>
      <c r="M153" s="40" t="s">
        <v>1472</v>
      </c>
      <c r="N153" s="40" t="s">
        <v>11</v>
      </c>
      <c r="O153" s="40">
        <v>0.59809999999999997</v>
      </c>
      <c r="P153" s="45">
        <f t="shared" si="13"/>
        <v>1525.16</v>
      </c>
      <c r="Q153" s="46">
        <f t="shared" si="14"/>
        <v>7.3003400000000003</v>
      </c>
      <c r="R153" s="47">
        <f t="shared" si="15"/>
        <v>8.1900000000000001E-2</v>
      </c>
      <c r="S153" s="48">
        <f t="shared" si="16"/>
        <v>208.85</v>
      </c>
      <c r="T153" s="47" t="s">
        <v>349</v>
      </c>
      <c r="U153" s="40" t="s">
        <v>442</v>
      </c>
      <c r="V153" s="38">
        <v>7.1879</v>
      </c>
      <c r="W153" s="49">
        <f t="shared" si="17"/>
        <v>212.18366977837752</v>
      </c>
    </row>
    <row r="154" spans="1:23" x14ac:dyDescent="0.2">
      <c r="A154" s="40" t="s">
        <v>1444</v>
      </c>
      <c r="B154" s="41">
        <v>45659</v>
      </c>
      <c r="C154" s="41">
        <v>45609</v>
      </c>
      <c r="D154" s="40" t="s">
        <v>21</v>
      </c>
      <c r="E154" s="40" t="s">
        <v>22</v>
      </c>
      <c r="G154" s="40" t="s">
        <v>1431</v>
      </c>
      <c r="H154" s="40" t="s">
        <v>1441</v>
      </c>
      <c r="I154" s="40" t="s">
        <v>1442</v>
      </c>
      <c r="J154" s="43" t="str">
        <f t="shared" si="12"/>
        <v>BRKT</v>
      </c>
      <c r="K154" s="40" t="s">
        <v>10</v>
      </c>
      <c r="L154" s="44">
        <v>520</v>
      </c>
      <c r="M154" s="40" t="s">
        <v>1472</v>
      </c>
      <c r="N154" s="40" t="s">
        <v>11</v>
      </c>
      <c r="O154" s="40">
        <v>0.60340000000000005</v>
      </c>
      <c r="P154" s="45">
        <f t="shared" si="13"/>
        <v>313.77</v>
      </c>
      <c r="Q154" s="46">
        <f t="shared" si="14"/>
        <v>7.3003400000000003</v>
      </c>
      <c r="R154" s="47">
        <f t="shared" si="15"/>
        <v>8.2699999999999996E-2</v>
      </c>
      <c r="S154" s="48">
        <f t="shared" si="16"/>
        <v>43</v>
      </c>
      <c r="T154" s="47" t="s">
        <v>349</v>
      </c>
      <c r="U154" s="40" t="s">
        <v>442</v>
      </c>
      <c r="V154" s="38">
        <v>7.1879</v>
      </c>
      <c r="W154" s="49">
        <f t="shared" si="17"/>
        <v>43.652248918321071</v>
      </c>
    </row>
    <row r="155" spans="1:23" x14ac:dyDescent="0.2">
      <c r="A155" s="40" t="s">
        <v>1443</v>
      </c>
      <c r="B155" s="41">
        <v>45659</v>
      </c>
      <c r="C155" s="41">
        <v>45629</v>
      </c>
      <c r="D155" s="40" t="s">
        <v>21</v>
      </c>
      <c r="E155" s="40" t="s">
        <v>22</v>
      </c>
      <c r="G155" s="40" t="s">
        <v>1431</v>
      </c>
      <c r="H155" s="40" t="s">
        <v>1441</v>
      </c>
      <c r="I155" s="40" t="s">
        <v>1442</v>
      </c>
      <c r="J155" s="43" t="str">
        <f t="shared" si="12"/>
        <v>BRKT</v>
      </c>
      <c r="K155" s="40" t="s">
        <v>10</v>
      </c>
      <c r="L155" s="44">
        <v>1030</v>
      </c>
      <c r="M155" s="40" t="s">
        <v>1472</v>
      </c>
      <c r="N155" s="40" t="s">
        <v>11</v>
      </c>
      <c r="O155" s="40">
        <v>0.60340000000000005</v>
      </c>
      <c r="P155" s="45">
        <f t="shared" si="13"/>
        <v>621.5</v>
      </c>
      <c r="Q155" s="46">
        <f t="shared" si="14"/>
        <v>7.3003400000000003</v>
      </c>
      <c r="R155" s="47">
        <f t="shared" si="15"/>
        <v>8.2699999999999996E-2</v>
      </c>
      <c r="S155" s="48">
        <f t="shared" si="16"/>
        <v>85.18</v>
      </c>
      <c r="T155" s="47" t="s">
        <v>349</v>
      </c>
      <c r="U155" s="40" t="s">
        <v>442</v>
      </c>
      <c r="V155" s="38">
        <v>7.1879</v>
      </c>
      <c r="W155" s="49">
        <f t="shared" si="17"/>
        <v>86.465031511289808</v>
      </c>
    </row>
    <row r="156" spans="1:23" x14ac:dyDescent="0.2">
      <c r="A156" s="40" t="s">
        <v>820</v>
      </c>
      <c r="B156" s="41">
        <v>45666</v>
      </c>
      <c r="C156" s="41">
        <v>45609</v>
      </c>
      <c r="D156" s="40" t="s">
        <v>21</v>
      </c>
      <c r="E156" s="40" t="s">
        <v>22</v>
      </c>
      <c r="G156" s="40" t="s">
        <v>796</v>
      </c>
      <c r="H156" s="40" t="s">
        <v>814</v>
      </c>
      <c r="I156" s="40" t="s">
        <v>815</v>
      </c>
      <c r="J156" s="43" t="str">
        <f t="shared" si="12"/>
        <v>BRKT</v>
      </c>
      <c r="K156" s="40" t="s">
        <v>10</v>
      </c>
      <c r="L156" s="44">
        <v>520</v>
      </c>
      <c r="M156" s="40" t="s">
        <v>1472</v>
      </c>
      <c r="N156" s="40" t="s">
        <v>11</v>
      </c>
      <c r="O156" s="40">
        <v>0.60570000000000002</v>
      </c>
      <c r="P156" s="45">
        <f t="shared" si="13"/>
        <v>314.95999999999998</v>
      </c>
      <c r="Q156" s="46">
        <f t="shared" si="14"/>
        <v>7.3003400000000003</v>
      </c>
      <c r="R156" s="47">
        <f t="shared" si="15"/>
        <v>8.3000000000000004E-2</v>
      </c>
      <c r="S156" s="48">
        <f t="shared" si="16"/>
        <v>43.16</v>
      </c>
      <c r="T156" s="47" t="s">
        <v>349</v>
      </c>
      <c r="U156" s="40" t="s">
        <v>442</v>
      </c>
      <c r="V156" s="38">
        <v>7.1879</v>
      </c>
      <c r="W156" s="49">
        <f t="shared" si="17"/>
        <v>43.818639658314666</v>
      </c>
    </row>
    <row r="157" spans="1:23" x14ac:dyDescent="0.2">
      <c r="A157" s="40" t="s">
        <v>816</v>
      </c>
      <c r="B157" s="41">
        <v>45666</v>
      </c>
      <c r="C157" s="41">
        <v>45650</v>
      </c>
      <c r="D157" s="40" t="s">
        <v>21</v>
      </c>
      <c r="E157" s="40" t="s">
        <v>22</v>
      </c>
      <c r="G157" s="40" t="s">
        <v>796</v>
      </c>
      <c r="H157" s="40" t="s">
        <v>814</v>
      </c>
      <c r="I157" s="40" t="s">
        <v>815</v>
      </c>
      <c r="J157" s="43" t="str">
        <f t="shared" si="12"/>
        <v>BRKT</v>
      </c>
      <c r="K157" s="40" t="s">
        <v>10</v>
      </c>
      <c r="L157" s="44">
        <v>510</v>
      </c>
      <c r="M157" s="40" t="s">
        <v>1472</v>
      </c>
      <c r="N157" s="40" t="s">
        <v>11</v>
      </c>
      <c r="O157" s="40">
        <v>0.60570000000000002</v>
      </c>
      <c r="P157" s="45">
        <f t="shared" si="13"/>
        <v>308.91000000000003</v>
      </c>
      <c r="Q157" s="46">
        <f t="shared" si="14"/>
        <v>7.3003400000000003</v>
      </c>
      <c r="R157" s="47">
        <f t="shared" si="15"/>
        <v>8.3000000000000004E-2</v>
      </c>
      <c r="S157" s="48">
        <f t="shared" si="16"/>
        <v>42.33</v>
      </c>
      <c r="T157" s="47" t="s">
        <v>349</v>
      </c>
      <c r="U157" s="40" t="s">
        <v>442</v>
      </c>
      <c r="V157" s="38">
        <v>7.1879</v>
      </c>
      <c r="W157" s="49">
        <f t="shared" si="17"/>
        <v>42.975973511039385</v>
      </c>
    </row>
    <row r="158" spans="1:23" x14ac:dyDescent="0.2">
      <c r="A158" s="40" t="s">
        <v>1147</v>
      </c>
      <c r="B158" s="41">
        <v>45663</v>
      </c>
      <c r="C158" s="41">
        <v>45653</v>
      </c>
      <c r="D158" s="40" t="s">
        <v>28</v>
      </c>
      <c r="E158" s="40" t="s">
        <v>29</v>
      </c>
      <c r="G158" s="40" t="s">
        <v>1144</v>
      </c>
      <c r="H158" s="40" t="s">
        <v>1145</v>
      </c>
      <c r="I158" s="40" t="s">
        <v>1146</v>
      </c>
      <c r="J158" s="43" t="str">
        <f t="shared" si="12"/>
        <v>BRKT</v>
      </c>
      <c r="K158" s="40" t="s">
        <v>10</v>
      </c>
      <c r="L158" s="44">
        <v>100</v>
      </c>
      <c r="M158" s="40" t="s">
        <v>1472</v>
      </c>
      <c r="N158" s="40" t="s">
        <v>11</v>
      </c>
      <c r="O158" s="40">
        <v>0.61029999999999995</v>
      </c>
      <c r="P158" s="45">
        <f t="shared" si="13"/>
        <v>61.03</v>
      </c>
      <c r="Q158" s="46">
        <f t="shared" si="14"/>
        <v>7.3003400000000003</v>
      </c>
      <c r="R158" s="47">
        <f t="shared" si="15"/>
        <v>8.3599999999999994E-2</v>
      </c>
      <c r="S158" s="48">
        <f t="shared" si="16"/>
        <v>8.36</v>
      </c>
      <c r="T158" s="47" t="s">
        <v>349</v>
      </c>
      <c r="U158" s="40" t="s">
        <v>442</v>
      </c>
      <c r="V158" s="38">
        <v>7.1879</v>
      </c>
      <c r="W158" s="49">
        <f t="shared" si="17"/>
        <v>8.4906579112118976</v>
      </c>
    </row>
    <row r="159" spans="1:23" x14ac:dyDescent="0.2">
      <c r="A159" s="40" t="s">
        <v>1447</v>
      </c>
      <c r="B159" s="41">
        <v>45659</v>
      </c>
      <c r="C159" s="41">
        <v>45609</v>
      </c>
      <c r="D159" s="40" t="s">
        <v>21</v>
      </c>
      <c r="E159" s="40" t="s">
        <v>22</v>
      </c>
      <c r="G159" s="40" t="s">
        <v>1431</v>
      </c>
      <c r="H159" s="40" t="s">
        <v>1445</v>
      </c>
      <c r="I159" s="40" t="s">
        <v>1446</v>
      </c>
      <c r="J159" s="43" t="str">
        <f t="shared" si="12"/>
        <v>BRKT</v>
      </c>
      <c r="K159" s="40" t="s">
        <v>10</v>
      </c>
      <c r="L159" s="44">
        <v>520</v>
      </c>
      <c r="M159" s="40" t="s">
        <v>1472</v>
      </c>
      <c r="N159" s="40" t="s">
        <v>11</v>
      </c>
      <c r="O159" s="40">
        <v>0.62309999999999999</v>
      </c>
      <c r="P159" s="45">
        <f t="shared" si="13"/>
        <v>324.01</v>
      </c>
      <c r="Q159" s="46">
        <f t="shared" si="14"/>
        <v>7.3003400000000003</v>
      </c>
      <c r="R159" s="47">
        <f t="shared" si="15"/>
        <v>8.5400000000000004E-2</v>
      </c>
      <c r="S159" s="48">
        <f t="shared" si="16"/>
        <v>44.41</v>
      </c>
      <c r="T159" s="47" t="s">
        <v>349</v>
      </c>
      <c r="U159" s="40" t="s">
        <v>442</v>
      </c>
      <c r="V159" s="38">
        <v>7.1879</v>
      </c>
      <c r="W159" s="49">
        <f t="shared" si="17"/>
        <v>45.077421778266256</v>
      </c>
    </row>
    <row r="160" spans="1:23" x14ac:dyDescent="0.2">
      <c r="A160" s="40" t="s">
        <v>797</v>
      </c>
      <c r="B160" s="41">
        <v>45666</v>
      </c>
      <c r="C160" s="41">
        <v>45609</v>
      </c>
      <c r="D160" s="40" t="s">
        <v>21</v>
      </c>
      <c r="E160" s="40" t="s">
        <v>22</v>
      </c>
      <c r="G160" s="40" t="s">
        <v>796</v>
      </c>
      <c r="H160" s="40" t="s">
        <v>793</v>
      </c>
      <c r="I160" s="40" t="s">
        <v>794</v>
      </c>
      <c r="J160" s="43" t="str">
        <f t="shared" si="12"/>
        <v>FG--</v>
      </c>
      <c r="K160" s="40" t="s">
        <v>10</v>
      </c>
      <c r="L160" s="44">
        <v>500</v>
      </c>
      <c r="M160" s="40" t="s">
        <v>1472</v>
      </c>
      <c r="N160" s="40" t="s">
        <v>11</v>
      </c>
      <c r="O160" s="40">
        <v>0.62919999999999998</v>
      </c>
      <c r="P160" s="45">
        <f t="shared" si="13"/>
        <v>314.60000000000002</v>
      </c>
      <c r="Q160" s="46">
        <f t="shared" si="14"/>
        <v>7.3003400000000003</v>
      </c>
      <c r="R160" s="47">
        <f t="shared" si="15"/>
        <v>8.6199999999999999E-2</v>
      </c>
      <c r="S160" s="48">
        <f t="shared" si="16"/>
        <v>43.1</v>
      </c>
      <c r="T160" s="47" t="s">
        <v>349</v>
      </c>
      <c r="U160" s="40" t="s">
        <v>64</v>
      </c>
      <c r="V160" s="38">
        <v>7.1879</v>
      </c>
      <c r="W160" s="49">
        <f t="shared" si="17"/>
        <v>43.767998998316614</v>
      </c>
    </row>
    <row r="161" spans="1:23" x14ac:dyDescent="0.2">
      <c r="A161" s="40" t="s">
        <v>795</v>
      </c>
      <c r="B161" s="41">
        <v>45666</v>
      </c>
      <c r="C161" s="41">
        <v>45650</v>
      </c>
      <c r="D161" s="40" t="s">
        <v>21</v>
      </c>
      <c r="E161" s="40" t="s">
        <v>22</v>
      </c>
      <c r="G161" s="40" t="s">
        <v>796</v>
      </c>
      <c r="H161" s="40" t="s">
        <v>793</v>
      </c>
      <c r="I161" s="40" t="s">
        <v>794</v>
      </c>
      <c r="J161" s="43" t="str">
        <f t="shared" si="12"/>
        <v>FG--</v>
      </c>
      <c r="K161" s="40" t="s">
        <v>10</v>
      </c>
      <c r="L161" s="44">
        <v>520</v>
      </c>
      <c r="M161" s="40" t="s">
        <v>1472</v>
      </c>
      <c r="N161" s="40" t="s">
        <v>11</v>
      </c>
      <c r="O161" s="40">
        <v>0.62919999999999998</v>
      </c>
      <c r="P161" s="45">
        <f t="shared" si="13"/>
        <v>327.18</v>
      </c>
      <c r="Q161" s="46">
        <f t="shared" si="14"/>
        <v>7.3003400000000003</v>
      </c>
      <c r="R161" s="47">
        <f t="shared" si="15"/>
        <v>8.6199999999999999E-2</v>
      </c>
      <c r="S161" s="48">
        <f t="shared" si="16"/>
        <v>44.82</v>
      </c>
      <c r="T161" s="47" t="s">
        <v>349</v>
      </c>
      <c r="U161" s="40" t="s">
        <v>64</v>
      </c>
      <c r="V161" s="38">
        <v>7.1879</v>
      </c>
      <c r="W161" s="49">
        <f t="shared" si="17"/>
        <v>45.518718958249273</v>
      </c>
    </row>
    <row r="162" spans="1:23" x14ac:dyDescent="0.2">
      <c r="A162" s="40" t="s">
        <v>715</v>
      </c>
      <c r="B162" s="41">
        <v>45667</v>
      </c>
      <c r="C162" s="41">
        <v>45659</v>
      </c>
      <c r="D162" s="40" t="s">
        <v>709</v>
      </c>
      <c r="E162" s="40" t="s">
        <v>710</v>
      </c>
      <c r="G162" s="40" t="s">
        <v>712</v>
      </c>
      <c r="H162" s="40" t="s">
        <v>713</v>
      </c>
      <c r="I162" s="40" t="s">
        <v>714</v>
      </c>
      <c r="J162" s="43" t="str">
        <f t="shared" si="12"/>
        <v>KNOB</v>
      </c>
      <c r="K162" s="40" t="s">
        <v>10</v>
      </c>
      <c r="L162" s="44">
        <v>500</v>
      </c>
      <c r="M162" s="40" t="s">
        <v>1472</v>
      </c>
      <c r="N162" s="40" t="s">
        <v>11</v>
      </c>
      <c r="O162" s="40">
        <v>0.63100000000000001</v>
      </c>
      <c r="P162" s="45">
        <f t="shared" si="13"/>
        <v>315.5</v>
      </c>
      <c r="Q162" s="46">
        <f t="shared" si="14"/>
        <v>7.3003400000000003</v>
      </c>
      <c r="R162" s="47">
        <f t="shared" si="15"/>
        <v>8.6400000000000005E-2</v>
      </c>
      <c r="S162" s="48">
        <f t="shared" si="16"/>
        <v>43.2</v>
      </c>
      <c r="T162" s="47" t="s">
        <v>349</v>
      </c>
      <c r="U162" s="40" t="s">
        <v>32</v>
      </c>
      <c r="V162" s="38">
        <v>7.1879</v>
      </c>
      <c r="W162" s="49">
        <f t="shared" si="17"/>
        <v>43.893209421388725</v>
      </c>
    </row>
    <row r="163" spans="1:23" x14ac:dyDescent="0.2">
      <c r="A163" s="40" t="s">
        <v>1048</v>
      </c>
      <c r="B163" s="41">
        <v>45663</v>
      </c>
      <c r="C163" s="41">
        <v>45629</v>
      </c>
      <c r="D163" s="40" t="s">
        <v>372</v>
      </c>
      <c r="E163" s="40" t="s">
        <v>373</v>
      </c>
      <c r="G163" s="40" t="s">
        <v>1036</v>
      </c>
      <c r="H163" s="40" t="s">
        <v>1046</v>
      </c>
      <c r="I163" s="40" t="s">
        <v>1047</v>
      </c>
      <c r="J163" s="43" t="str">
        <f t="shared" si="12"/>
        <v>KNOB</v>
      </c>
      <c r="K163" s="40" t="s">
        <v>98</v>
      </c>
      <c r="L163" s="44">
        <v>3000</v>
      </c>
      <c r="M163" s="40" t="s">
        <v>1472</v>
      </c>
      <c r="N163" s="40" t="s">
        <v>11</v>
      </c>
      <c r="O163" s="40">
        <v>0.6411</v>
      </c>
      <c r="P163" s="45">
        <f t="shared" si="13"/>
        <v>1923.3</v>
      </c>
      <c r="Q163" s="46">
        <f t="shared" si="14"/>
        <v>7.3003400000000003</v>
      </c>
      <c r="R163" s="47">
        <f t="shared" si="15"/>
        <v>8.7800000000000003E-2</v>
      </c>
      <c r="S163" s="48">
        <f t="shared" si="16"/>
        <v>263.39999999999998</v>
      </c>
      <c r="T163" s="47" t="s">
        <v>349</v>
      </c>
      <c r="U163" s="40" t="s">
        <v>32</v>
      </c>
      <c r="V163" s="38">
        <v>7.1879</v>
      </c>
      <c r="W163" s="49">
        <f t="shared" si="17"/>
        <v>267.57467410509327</v>
      </c>
    </row>
    <row r="164" spans="1:23" x14ac:dyDescent="0.2">
      <c r="A164" s="40" t="s">
        <v>1154</v>
      </c>
      <c r="B164" s="41">
        <v>45663</v>
      </c>
      <c r="C164" s="41">
        <v>45609</v>
      </c>
      <c r="D164" s="40" t="s">
        <v>28</v>
      </c>
      <c r="E164" s="40" t="s">
        <v>29</v>
      </c>
      <c r="G164" s="40" t="s">
        <v>1144</v>
      </c>
      <c r="H164" s="40" t="s">
        <v>1152</v>
      </c>
      <c r="I164" s="40" t="s">
        <v>1153</v>
      </c>
      <c r="J164" s="43" t="str">
        <f t="shared" si="12"/>
        <v>BRKT</v>
      </c>
      <c r="K164" s="40" t="s">
        <v>10</v>
      </c>
      <c r="L164" s="44">
        <v>1040</v>
      </c>
      <c r="M164" s="40" t="s">
        <v>1472</v>
      </c>
      <c r="N164" s="40" t="s">
        <v>11</v>
      </c>
      <c r="O164" s="40">
        <v>0.6522</v>
      </c>
      <c r="P164" s="45">
        <f t="shared" si="13"/>
        <v>678.29</v>
      </c>
      <c r="Q164" s="46">
        <f t="shared" si="14"/>
        <v>7.3003400000000003</v>
      </c>
      <c r="R164" s="47">
        <f t="shared" si="15"/>
        <v>8.9300000000000004E-2</v>
      </c>
      <c r="S164" s="48">
        <f t="shared" si="16"/>
        <v>92.87</v>
      </c>
      <c r="T164" s="47" t="s">
        <v>349</v>
      </c>
      <c r="U164" s="40" t="s">
        <v>442</v>
      </c>
      <c r="V164" s="38">
        <v>7.1879</v>
      </c>
      <c r="W164" s="49">
        <f t="shared" si="17"/>
        <v>94.365252716370563</v>
      </c>
    </row>
    <row r="165" spans="1:23" x14ac:dyDescent="0.2">
      <c r="A165" s="40" t="s">
        <v>1434</v>
      </c>
      <c r="B165" s="41">
        <v>45659</v>
      </c>
      <c r="C165" s="41">
        <v>45609</v>
      </c>
      <c r="D165" s="40" t="s">
        <v>21</v>
      </c>
      <c r="E165" s="40" t="s">
        <v>22</v>
      </c>
      <c r="G165" s="40" t="s">
        <v>1435</v>
      </c>
      <c r="H165" s="40" t="s">
        <v>1432</v>
      </c>
      <c r="I165" s="40" t="s">
        <v>1433</v>
      </c>
      <c r="J165" s="43" t="str">
        <f t="shared" si="12"/>
        <v>FG--</v>
      </c>
      <c r="K165" s="40" t="s">
        <v>10</v>
      </c>
      <c r="L165" s="44">
        <v>1020</v>
      </c>
      <c r="M165" s="40" t="s">
        <v>1472</v>
      </c>
      <c r="N165" s="40" t="s">
        <v>11</v>
      </c>
      <c r="O165" s="40">
        <v>0.65390000000000004</v>
      </c>
      <c r="P165" s="45">
        <f t="shared" si="13"/>
        <v>666.98</v>
      </c>
      <c r="Q165" s="46">
        <f t="shared" si="14"/>
        <v>7.3003400000000003</v>
      </c>
      <c r="R165" s="47">
        <f t="shared" si="15"/>
        <v>8.9599999999999999E-2</v>
      </c>
      <c r="S165" s="48">
        <f t="shared" si="16"/>
        <v>91.39</v>
      </c>
      <c r="T165" s="47" t="s">
        <v>349</v>
      </c>
      <c r="U165" s="40" t="s">
        <v>64</v>
      </c>
      <c r="V165" s="38">
        <v>7.1879</v>
      </c>
      <c r="W165" s="49">
        <f t="shared" si="17"/>
        <v>92.791775066431086</v>
      </c>
    </row>
    <row r="166" spans="1:23" x14ac:dyDescent="0.2">
      <c r="A166" s="40" t="s">
        <v>1049</v>
      </c>
      <c r="B166" s="41">
        <v>45663</v>
      </c>
      <c r="C166" s="41">
        <v>45636</v>
      </c>
      <c r="D166" s="40" t="s">
        <v>372</v>
      </c>
      <c r="E166" s="40" t="s">
        <v>373</v>
      </c>
      <c r="G166" s="40" t="s">
        <v>1036</v>
      </c>
      <c r="H166" s="40" t="s">
        <v>1046</v>
      </c>
      <c r="I166" s="40" t="s">
        <v>1047</v>
      </c>
      <c r="J166" s="43" t="str">
        <f t="shared" si="12"/>
        <v>KNOB</v>
      </c>
      <c r="K166" s="40" t="s">
        <v>98</v>
      </c>
      <c r="L166" s="44">
        <v>1020</v>
      </c>
      <c r="M166" s="40" t="s">
        <v>1472</v>
      </c>
      <c r="N166" s="40" t="s">
        <v>11</v>
      </c>
      <c r="O166" s="40">
        <v>0.6542</v>
      </c>
      <c r="P166" s="45">
        <f t="shared" si="13"/>
        <v>667.28</v>
      </c>
      <c r="Q166" s="46">
        <f t="shared" si="14"/>
        <v>7.3003400000000003</v>
      </c>
      <c r="R166" s="47">
        <f t="shared" si="15"/>
        <v>8.9599999999999999E-2</v>
      </c>
      <c r="S166" s="48">
        <f t="shared" si="16"/>
        <v>91.39</v>
      </c>
      <c r="T166" s="47" t="s">
        <v>349</v>
      </c>
      <c r="U166" s="40" t="s">
        <v>32</v>
      </c>
      <c r="V166" s="38">
        <v>7.1879</v>
      </c>
      <c r="W166" s="49">
        <f t="shared" si="17"/>
        <v>92.834346610275603</v>
      </c>
    </row>
    <row r="167" spans="1:23" x14ac:dyDescent="0.2">
      <c r="A167" s="40" t="s">
        <v>1439</v>
      </c>
      <c r="B167" s="41">
        <v>45659</v>
      </c>
      <c r="C167" s="41">
        <v>45609</v>
      </c>
      <c r="D167" s="40" t="s">
        <v>21</v>
      </c>
      <c r="E167" s="40" t="s">
        <v>22</v>
      </c>
      <c r="G167" s="40" t="s">
        <v>1431</v>
      </c>
      <c r="H167" s="40" t="s">
        <v>1437</v>
      </c>
      <c r="I167" s="40" t="s">
        <v>1438</v>
      </c>
      <c r="J167" s="43" t="str">
        <f t="shared" si="12"/>
        <v>FG--</v>
      </c>
      <c r="K167" s="40" t="s">
        <v>10</v>
      </c>
      <c r="L167" s="44">
        <v>1030</v>
      </c>
      <c r="M167" s="40" t="s">
        <v>1472</v>
      </c>
      <c r="N167" s="40" t="s">
        <v>11</v>
      </c>
      <c r="O167" s="40">
        <v>0.65839999999999999</v>
      </c>
      <c r="P167" s="45">
        <f t="shared" si="13"/>
        <v>678.15</v>
      </c>
      <c r="Q167" s="46">
        <f t="shared" si="14"/>
        <v>7.3003400000000003</v>
      </c>
      <c r="R167" s="47">
        <f t="shared" si="15"/>
        <v>9.0200000000000002E-2</v>
      </c>
      <c r="S167" s="48">
        <f t="shared" si="16"/>
        <v>92.91</v>
      </c>
      <c r="T167" s="47" t="s">
        <v>349</v>
      </c>
      <c r="U167" s="40" t="s">
        <v>64</v>
      </c>
      <c r="V167" s="38">
        <v>7.1879</v>
      </c>
      <c r="W167" s="49">
        <f t="shared" si="17"/>
        <v>94.34633203021744</v>
      </c>
    </row>
    <row r="168" spans="1:23" x14ac:dyDescent="0.2">
      <c r="A168" s="40" t="s">
        <v>800</v>
      </c>
      <c r="B168" s="41">
        <v>45666</v>
      </c>
      <c r="C168" s="41">
        <v>45609</v>
      </c>
      <c r="D168" s="40" t="s">
        <v>21</v>
      </c>
      <c r="E168" s="40" t="s">
        <v>22</v>
      </c>
      <c r="G168" s="40" t="s">
        <v>796</v>
      </c>
      <c r="H168" s="40" t="s">
        <v>798</v>
      </c>
      <c r="I168" s="40" t="s">
        <v>799</v>
      </c>
      <c r="J168" s="43" t="str">
        <f t="shared" si="12"/>
        <v>FG--</v>
      </c>
      <c r="K168" s="40" t="s">
        <v>10</v>
      </c>
      <c r="L168" s="44">
        <v>1040</v>
      </c>
      <c r="M168" s="40" t="s">
        <v>1472</v>
      </c>
      <c r="N168" s="40" t="s">
        <v>11</v>
      </c>
      <c r="O168" s="40">
        <v>0.65839999999999999</v>
      </c>
      <c r="P168" s="45">
        <f t="shared" si="13"/>
        <v>684.74</v>
      </c>
      <c r="Q168" s="46">
        <f t="shared" si="14"/>
        <v>7.3003400000000003</v>
      </c>
      <c r="R168" s="47">
        <f t="shared" si="15"/>
        <v>9.0200000000000002E-2</v>
      </c>
      <c r="S168" s="48">
        <f t="shared" si="16"/>
        <v>93.81</v>
      </c>
      <c r="T168" s="47" t="s">
        <v>349</v>
      </c>
      <c r="U168" s="40" t="s">
        <v>64</v>
      </c>
      <c r="V168" s="38">
        <v>7.1879</v>
      </c>
      <c r="W168" s="49">
        <f t="shared" si="17"/>
        <v>95.262315836336057</v>
      </c>
    </row>
    <row r="169" spans="1:23" x14ac:dyDescent="0.2">
      <c r="A169" s="40" t="s">
        <v>1430</v>
      </c>
      <c r="B169" s="41">
        <v>45659</v>
      </c>
      <c r="C169" s="41">
        <v>45609</v>
      </c>
      <c r="D169" s="40" t="s">
        <v>21</v>
      </c>
      <c r="E169" s="40" t="s">
        <v>22</v>
      </c>
      <c r="G169" s="40" t="s">
        <v>1431</v>
      </c>
      <c r="H169" s="40" t="s">
        <v>1428</v>
      </c>
      <c r="I169" s="40" t="s">
        <v>1429</v>
      </c>
      <c r="J169" s="43" t="str">
        <f t="shared" si="12"/>
        <v>FG--</v>
      </c>
      <c r="K169" s="40" t="s">
        <v>10</v>
      </c>
      <c r="L169" s="44">
        <v>530</v>
      </c>
      <c r="M169" s="40" t="s">
        <v>1472</v>
      </c>
      <c r="N169" s="40" t="s">
        <v>11</v>
      </c>
      <c r="O169" s="40">
        <v>0.65839999999999999</v>
      </c>
      <c r="P169" s="45">
        <f t="shared" si="13"/>
        <v>348.95</v>
      </c>
      <c r="Q169" s="46">
        <f t="shared" si="14"/>
        <v>7.3003400000000003</v>
      </c>
      <c r="R169" s="47">
        <f t="shared" si="15"/>
        <v>9.0200000000000002E-2</v>
      </c>
      <c r="S169" s="48">
        <f t="shared" si="16"/>
        <v>47.81</v>
      </c>
      <c r="T169" s="47" t="s">
        <v>349</v>
      </c>
      <c r="U169" s="40" t="s">
        <v>64</v>
      </c>
      <c r="V169" s="38">
        <v>7.1879</v>
      </c>
      <c r="W169" s="49">
        <f t="shared" si="17"/>
        <v>48.547141724286647</v>
      </c>
    </row>
    <row r="170" spans="1:23" x14ac:dyDescent="0.2">
      <c r="A170" s="40" t="s">
        <v>1436</v>
      </c>
      <c r="B170" s="41">
        <v>45659</v>
      </c>
      <c r="C170" s="41">
        <v>45617</v>
      </c>
      <c r="D170" s="40" t="s">
        <v>21</v>
      </c>
      <c r="E170" s="40" t="s">
        <v>22</v>
      </c>
      <c r="G170" s="40" t="s">
        <v>1435</v>
      </c>
      <c r="H170" s="40" t="s">
        <v>1428</v>
      </c>
      <c r="I170" s="40" t="s">
        <v>1429</v>
      </c>
      <c r="J170" s="43" t="str">
        <f t="shared" si="12"/>
        <v>FG--</v>
      </c>
      <c r="K170" s="40" t="s">
        <v>10</v>
      </c>
      <c r="L170" s="44">
        <v>1020</v>
      </c>
      <c r="M170" s="40" t="s">
        <v>1472</v>
      </c>
      <c r="N170" s="40" t="s">
        <v>11</v>
      </c>
      <c r="O170" s="40">
        <v>0.65839999999999999</v>
      </c>
      <c r="P170" s="45">
        <f t="shared" si="13"/>
        <v>671.57</v>
      </c>
      <c r="Q170" s="46">
        <f t="shared" si="14"/>
        <v>7.3003400000000003</v>
      </c>
      <c r="R170" s="47">
        <f t="shared" si="15"/>
        <v>9.0200000000000002E-2</v>
      </c>
      <c r="S170" s="48">
        <f t="shared" si="16"/>
        <v>92</v>
      </c>
      <c r="T170" s="47" t="s">
        <v>349</v>
      </c>
      <c r="U170" s="40" t="s">
        <v>64</v>
      </c>
      <c r="V170" s="38">
        <v>7.1879</v>
      </c>
      <c r="W170" s="49">
        <f t="shared" si="17"/>
        <v>93.430348224098822</v>
      </c>
    </row>
    <row r="171" spans="1:23" x14ac:dyDescent="0.2">
      <c r="A171" s="40" t="s">
        <v>813</v>
      </c>
      <c r="B171" s="41">
        <v>45666</v>
      </c>
      <c r="C171" s="41">
        <v>45609</v>
      </c>
      <c r="D171" s="40" t="s">
        <v>21</v>
      </c>
      <c r="E171" s="40" t="s">
        <v>22</v>
      </c>
      <c r="G171" s="40" t="s">
        <v>796</v>
      </c>
      <c r="H171" s="40" t="s">
        <v>811</v>
      </c>
      <c r="I171" s="40" t="s">
        <v>812</v>
      </c>
      <c r="J171" s="43" t="str">
        <f t="shared" si="12"/>
        <v>BRKT</v>
      </c>
      <c r="K171" s="40" t="s">
        <v>10</v>
      </c>
      <c r="L171" s="44">
        <v>1030</v>
      </c>
      <c r="M171" s="40" t="s">
        <v>1472</v>
      </c>
      <c r="N171" s="40" t="s">
        <v>11</v>
      </c>
      <c r="O171" s="40">
        <v>0.66110000000000002</v>
      </c>
      <c r="P171" s="45">
        <f t="shared" si="13"/>
        <v>680.93</v>
      </c>
      <c r="Q171" s="46">
        <f t="shared" si="14"/>
        <v>7.3003400000000003</v>
      </c>
      <c r="R171" s="47">
        <f t="shared" si="15"/>
        <v>9.06E-2</v>
      </c>
      <c r="S171" s="48">
        <f t="shared" si="16"/>
        <v>93.32</v>
      </c>
      <c r="T171" s="47" t="s">
        <v>349</v>
      </c>
      <c r="U171" s="40" t="s">
        <v>442</v>
      </c>
      <c r="V171" s="38">
        <v>7.1879</v>
      </c>
      <c r="W171" s="49">
        <f t="shared" si="17"/>
        <v>94.733232237510265</v>
      </c>
    </row>
    <row r="172" spans="1:23" x14ac:dyDescent="0.2">
      <c r="A172" s="40" t="s">
        <v>1350</v>
      </c>
      <c r="B172" s="41">
        <v>45660</v>
      </c>
      <c r="C172" s="41">
        <v>45639</v>
      </c>
      <c r="D172" s="40" t="s">
        <v>235</v>
      </c>
      <c r="E172" s="40" t="s">
        <v>236</v>
      </c>
      <c r="G172" s="40" t="s">
        <v>1347</v>
      </c>
      <c r="H172" s="40" t="s">
        <v>1348</v>
      </c>
      <c r="I172" s="40" t="s">
        <v>1349</v>
      </c>
      <c r="J172" s="43" t="str">
        <f t="shared" si="12"/>
        <v>SCR-</v>
      </c>
      <c r="K172" s="40" t="s">
        <v>10</v>
      </c>
      <c r="L172" s="44">
        <v>2500</v>
      </c>
      <c r="M172" s="40" t="s">
        <v>1472</v>
      </c>
      <c r="N172" s="40" t="s">
        <v>11</v>
      </c>
      <c r="O172" s="40">
        <v>0.67030000000000001</v>
      </c>
      <c r="P172" s="45">
        <f t="shared" si="13"/>
        <v>1675.75</v>
      </c>
      <c r="Q172" s="46">
        <f t="shared" si="14"/>
        <v>7.3003400000000003</v>
      </c>
      <c r="R172" s="47">
        <f t="shared" si="15"/>
        <v>9.1800000000000007E-2</v>
      </c>
      <c r="S172" s="48">
        <f t="shared" si="16"/>
        <v>229.5</v>
      </c>
      <c r="T172" s="47" t="s">
        <v>349</v>
      </c>
      <c r="U172" s="40" t="s">
        <v>166</v>
      </c>
      <c r="V172" s="38">
        <v>7.1879</v>
      </c>
      <c r="W172" s="49">
        <f t="shared" si="17"/>
        <v>233.13485162564865</v>
      </c>
    </row>
    <row r="173" spans="1:23" x14ac:dyDescent="0.2">
      <c r="A173" s="40" t="s">
        <v>1143</v>
      </c>
      <c r="B173" s="41">
        <v>45663</v>
      </c>
      <c r="C173" s="41">
        <v>45646</v>
      </c>
      <c r="D173" s="40" t="s">
        <v>28</v>
      </c>
      <c r="E173" s="40" t="s">
        <v>29</v>
      </c>
      <c r="G173" s="40" t="s">
        <v>1144</v>
      </c>
      <c r="H173" s="40" t="s">
        <v>1141</v>
      </c>
      <c r="I173" s="40" t="s">
        <v>1142</v>
      </c>
      <c r="J173" s="43" t="str">
        <f t="shared" si="12"/>
        <v>FG--</v>
      </c>
      <c r="K173" s="40" t="s">
        <v>10</v>
      </c>
      <c r="L173" s="44">
        <v>530</v>
      </c>
      <c r="M173" s="40" t="s">
        <v>1472</v>
      </c>
      <c r="N173" s="40" t="s">
        <v>11</v>
      </c>
      <c r="O173" s="40">
        <v>0.67430000000000001</v>
      </c>
      <c r="P173" s="45">
        <f t="shared" si="13"/>
        <v>357.38</v>
      </c>
      <c r="Q173" s="46">
        <f t="shared" si="14"/>
        <v>7.3003400000000003</v>
      </c>
      <c r="R173" s="47">
        <f t="shared" si="15"/>
        <v>9.2399999999999996E-2</v>
      </c>
      <c r="S173" s="48">
        <f t="shared" si="16"/>
        <v>48.97</v>
      </c>
      <c r="T173" s="47" t="s">
        <v>349</v>
      </c>
      <c r="U173" s="40" t="s">
        <v>64</v>
      </c>
      <c r="V173" s="38">
        <v>7.1879</v>
      </c>
      <c r="W173" s="49">
        <f t="shared" si="17"/>
        <v>49.719528652318481</v>
      </c>
    </row>
    <row r="174" spans="1:23" x14ac:dyDescent="0.2">
      <c r="A174" s="40" t="s">
        <v>628</v>
      </c>
      <c r="B174" s="41">
        <v>45670</v>
      </c>
      <c r="C174" s="41">
        <v>45638</v>
      </c>
      <c r="D174" s="40" t="s">
        <v>169</v>
      </c>
      <c r="E174" s="40" t="s">
        <v>170</v>
      </c>
      <c r="G174" s="40" t="s">
        <v>629</v>
      </c>
      <c r="H174" s="40" t="s">
        <v>626</v>
      </c>
      <c r="I174" s="40" t="s">
        <v>627</v>
      </c>
      <c r="J174" s="43" t="str">
        <f t="shared" si="12"/>
        <v>LABL</v>
      </c>
      <c r="K174" s="40" t="s">
        <v>10</v>
      </c>
      <c r="L174" s="44">
        <v>1010</v>
      </c>
      <c r="M174" s="40" t="s">
        <v>1472</v>
      </c>
      <c r="N174" s="40" t="s">
        <v>11</v>
      </c>
      <c r="O174" s="40">
        <v>0.68</v>
      </c>
      <c r="P174" s="45">
        <f t="shared" si="13"/>
        <v>686.8</v>
      </c>
      <c r="Q174" s="46">
        <f t="shared" si="14"/>
        <v>7.3003400000000003</v>
      </c>
      <c r="R174" s="47">
        <f t="shared" si="15"/>
        <v>9.3100000000000002E-2</v>
      </c>
      <c r="S174" s="48">
        <f t="shared" si="16"/>
        <v>94.03</v>
      </c>
      <c r="T174" s="47" t="s">
        <v>349</v>
      </c>
      <c r="U174" s="40" t="s">
        <v>630</v>
      </c>
      <c r="V174" s="38">
        <v>7.1879</v>
      </c>
      <c r="W174" s="49">
        <f t="shared" si="17"/>
        <v>95.549465073248115</v>
      </c>
    </row>
    <row r="175" spans="1:23" x14ac:dyDescent="0.2">
      <c r="A175" s="40" t="s">
        <v>1128</v>
      </c>
      <c r="B175" s="41">
        <v>45663</v>
      </c>
      <c r="C175" s="41">
        <v>45622</v>
      </c>
      <c r="D175" s="40" t="s">
        <v>169</v>
      </c>
      <c r="E175" s="40" t="s">
        <v>170</v>
      </c>
      <c r="G175" s="40" t="s">
        <v>1122</v>
      </c>
      <c r="H175" s="40" t="s">
        <v>1127</v>
      </c>
      <c r="I175" s="40" t="s">
        <v>647</v>
      </c>
      <c r="J175" s="43" t="str">
        <f t="shared" si="12"/>
        <v>U&amp;C-</v>
      </c>
      <c r="K175" s="40" t="s">
        <v>10</v>
      </c>
      <c r="L175" s="44">
        <v>3020</v>
      </c>
      <c r="M175" s="40" t="s">
        <v>1472</v>
      </c>
      <c r="N175" s="40" t="s">
        <v>11</v>
      </c>
      <c r="O175" s="40">
        <v>0.7</v>
      </c>
      <c r="P175" s="45">
        <f t="shared" si="13"/>
        <v>2114</v>
      </c>
      <c r="Q175" s="46">
        <f t="shared" si="14"/>
        <v>7.3003400000000003</v>
      </c>
      <c r="R175" s="47">
        <f t="shared" si="15"/>
        <v>9.5899999999999999E-2</v>
      </c>
      <c r="S175" s="48">
        <f t="shared" si="16"/>
        <v>289.62</v>
      </c>
      <c r="T175" s="47" t="s">
        <v>349</v>
      </c>
      <c r="U175" s="40" t="s">
        <v>177</v>
      </c>
      <c r="V175" s="38">
        <v>7.1879</v>
      </c>
      <c r="W175" s="49">
        <f t="shared" si="17"/>
        <v>294.10537152714977</v>
      </c>
    </row>
    <row r="176" spans="1:23" x14ac:dyDescent="0.2">
      <c r="A176" s="40" t="s">
        <v>1139</v>
      </c>
      <c r="B176" s="41">
        <v>45663</v>
      </c>
      <c r="C176" s="41">
        <v>45643</v>
      </c>
      <c r="D176" s="40" t="s">
        <v>169</v>
      </c>
      <c r="E176" s="40" t="s">
        <v>170</v>
      </c>
      <c r="G176" s="40" t="s">
        <v>1140</v>
      </c>
      <c r="H176" s="40" t="s">
        <v>1127</v>
      </c>
      <c r="I176" s="40" t="s">
        <v>647</v>
      </c>
      <c r="J176" s="43" t="str">
        <f t="shared" si="12"/>
        <v>U&amp;C-</v>
      </c>
      <c r="K176" s="40" t="s">
        <v>10</v>
      </c>
      <c r="L176" s="44">
        <v>4000</v>
      </c>
      <c r="M176" s="40" t="s">
        <v>1472</v>
      </c>
      <c r="N176" s="40" t="s">
        <v>11</v>
      </c>
      <c r="O176" s="40">
        <v>0.7</v>
      </c>
      <c r="P176" s="45">
        <f t="shared" si="13"/>
        <v>2800</v>
      </c>
      <c r="Q176" s="46">
        <f t="shared" si="14"/>
        <v>7.3003400000000003</v>
      </c>
      <c r="R176" s="47">
        <f t="shared" si="15"/>
        <v>9.5899999999999999E-2</v>
      </c>
      <c r="S176" s="48">
        <f t="shared" si="16"/>
        <v>383.6</v>
      </c>
      <c r="T176" s="47" t="s">
        <v>349</v>
      </c>
      <c r="U176" s="40" t="s">
        <v>177</v>
      </c>
      <c r="V176" s="38">
        <v>7.1879</v>
      </c>
      <c r="W176" s="49">
        <f t="shared" si="17"/>
        <v>389.543538446556</v>
      </c>
    </row>
    <row r="177" spans="1:23" x14ac:dyDescent="0.2">
      <c r="A177" s="40" t="s">
        <v>1031</v>
      </c>
      <c r="B177" s="41">
        <v>45663</v>
      </c>
      <c r="C177" s="41">
        <v>45639</v>
      </c>
      <c r="D177" s="40" t="s">
        <v>372</v>
      </c>
      <c r="E177" s="40" t="s">
        <v>373</v>
      </c>
      <c r="G177" s="40" t="s">
        <v>1032</v>
      </c>
      <c r="H177" s="40" t="s">
        <v>1029</v>
      </c>
      <c r="I177" s="40" t="s">
        <v>1030</v>
      </c>
      <c r="J177" s="43" t="str">
        <f t="shared" si="12"/>
        <v>LHDL</v>
      </c>
      <c r="K177" s="40" t="s">
        <v>98</v>
      </c>
      <c r="L177" s="44">
        <v>2040</v>
      </c>
      <c r="M177" s="40" t="s">
        <v>1472</v>
      </c>
      <c r="N177" s="40" t="s">
        <v>11</v>
      </c>
      <c r="O177" s="40">
        <v>0.76559999999999995</v>
      </c>
      <c r="P177" s="45">
        <f t="shared" si="13"/>
        <v>1561.82</v>
      </c>
      <c r="Q177" s="46">
        <f t="shared" si="14"/>
        <v>7.3003400000000003</v>
      </c>
      <c r="R177" s="47">
        <f t="shared" si="15"/>
        <v>0.10489999999999999</v>
      </c>
      <c r="S177" s="48">
        <f t="shared" si="16"/>
        <v>214</v>
      </c>
      <c r="T177" s="47" t="s">
        <v>349</v>
      </c>
      <c r="U177" s="40" t="s">
        <v>125</v>
      </c>
      <c r="V177" s="38">
        <v>7.1879</v>
      </c>
      <c r="W177" s="49">
        <f t="shared" si="17"/>
        <v>217.28515978241211</v>
      </c>
    </row>
    <row r="178" spans="1:23" x14ac:dyDescent="0.2">
      <c r="A178" s="40" t="s">
        <v>1050</v>
      </c>
      <c r="B178" s="41">
        <v>45663</v>
      </c>
      <c r="C178" s="41">
        <v>45636</v>
      </c>
      <c r="D178" s="40" t="s">
        <v>372</v>
      </c>
      <c r="E178" s="40" t="s">
        <v>373</v>
      </c>
      <c r="G178" s="40" t="s">
        <v>1036</v>
      </c>
      <c r="H178" s="40" t="s">
        <v>1029</v>
      </c>
      <c r="I178" s="40" t="s">
        <v>1030</v>
      </c>
      <c r="J178" s="43" t="str">
        <f t="shared" si="12"/>
        <v>LHDL</v>
      </c>
      <c r="K178" s="40" t="s">
        <v>98</v>
      </c>
      <c r="L178" s="44">
        <v>1000</v>
      </c>
      <c r="M178" s="40" t="s">
        <v>1472</v>
      </c>
      <c r="N178" s="40" t="s">
        <v>11</v>
      </c>
      <c r="O178" s="40">
        <v>0.78120000000000001</v>
      </c>
      <c r="P178" s="45">
        <f t="shared" si="13"/>
        <v>781.2</v>
      </c>
      <c r="Q178" s="46">
        <f t="shared" si="14"/>
        <v>7.3003400000000003</v>
      </c>
      <c r="R178" s="47">
        <f t="shared" si="15"/>
        <v>0.107</v>
      </c>
      <c r="S178" s="48">
        <f t="shared" si="16"/>
        <v>107</v>
      </c>
      <c r="T178" s="47" t="s">
        <v>349</v>
      </c>
      <c r="U178" s="40" t="s">
        <v>125</v>
      </c>
      <c r="V178" s="38">
        <v>7.1879</v>
      </c>
      <c r="W178" s="49">
        <f t="shared" si="17"/>
        <v>108.68264722658913</v>
      </c>
    </row>
    <row r="179" spans="1:23" x14ac:dyDescent="0.2">
      <c r="A179" s="40" t="s">
        <v>1308</v>
      </c>
      <c r="B179" s="41">
        <v>45660</v>
      </c>
      <c r="C179" s="41">
        <v>45646</v>
      </c>
      <c r="D179" s="40" t="s">
        <v>121</v>
      </c>
      <c r="E179" s="40" t="s">
        <v>122</v>
      </c>
      <c r="G179" s="40" t="s">
        <v>1302</v>
      </c>
      <c r="H179" s="40" t="s">
        <v>1306</v>
      </c>
      <c r="I179" s="40" t="s">
        <v>1307</v>
      </c>
      <c r="J179" s="43" t="str">
        <f t="shared" si="12"/>
        <v>ANYD</v>
      </c>
      <c r="K179" s="40" t="s">
        <v>10</v>
      </c>
      <c r="L179" s="44">
        <v>3000</v>
      </c>
      <c r="M179" s="40" t="s">
        <v>1472</v>
      </c>
      <c r="N179" s="40" t="s">
        <v>11</v>
      </c>
      <c r="O179" s="40">
        <v>0.8</v>
      </c>
      <c r="P179" s="45">
        <f t="shared" si="13"/>
        <v>2400</v>
      </c>
      <c r="Q179" s="46">
        <f t="shared" si="14"/>
        <v>7.3003400000000003</v>
      </c>
      <c r="R179" s="47">
        <f t="shared" si="15"/>
        <v>0.1096</v>
      </c>
      <c r="S179" s="48">
        <f t="shared" si="16"/>
        <v>328.8</v>
      </c>
      <c r="T179" s="47" t="s">
        <v>349</v>
      </c>
      <c r="U179" s="40" t="s">
        <v>36</v>
      </c>
      <c r="V179" s="38">
        <v>7.1879</v>
      </c>
      <c r="W179" s="49">
        <f t="shared" si="17"/>
        <v>333.89446152561948</v>
      </c>
    </row>
    <row r="180" spans="1:23" x14ac:dyDescent="0.2">
      <c r="A180" s="40" t="s">
        <v>1126</v>
      </c>
      <c r="B180" s="41">
        <v>45663</v>
      </c>
      <c r="C180" s="41">
        <v>45622</v>
      </c>
      <c r="D180" s="40" t="s">
        <v>169</v>
      </c>
      <c r="E180" s="40" t="s">
        <v>170</v>
      </c>
      <c r="G180" s="40" t="s">
        <v>1122</v>
      </c>
      <c r="H180" s="40" t="s">
        <v>646</v>
      </c>
      <c r="I180" s="40" t="s">
        <v>647</v>
      </c>
      <c r="J180" s="43" t="str">
        <f t="shared" si="12"/>
        <v>PRIM</v>
      </c>
      <c r="K180" s="40" t="s">
        <v>10</v>
      </c>
      <c r="L180" s="44">
        <v>11600</v>
      </c>
      <c r="M180" s="40" t="s">
        <v>1472</v>
      </c>
      <c r="N180" s="40" t="s">
        <v>11</v>
      </c>
      <c r="O180" s="40">
        <v>0.82</v>
      </c>
      <c r="P180" s="45">
        <f t="shared" si="13"/>
        <v>9512</v>
      </c>
      <c r="Q180" s="46">
        <f t="shared" si="14"/>
        <v>7.3003400000000003</v>
      </c>
      <c r="R180" s="47">
        <f t="shared" si="15"/>
        <v>0.1123</v>
      </c>
      <c r="S180" s="48">
        <f t="shared" si="16"/>
        <v>1302.68</v>
      </c>
      <c r="T180" s="47" t="s">
        <v>349</v>
      </c>
      <c r="U180" s="40" t="s">
        <v>181</v>
      </c>
      <c r="V180" s="38">
        <v>7.1879</v>
      </c>
      <c r="W180" s="49">
        <f t="shared" si="17"/>
        <v>1323.3350491798717</v>
      </c>
    </row>
    <row r="181" spans="1:23" x14ac:dyDescent="0.2">
      <c r="A181" s="40" t="s">
        <v>648</v>
      </c>
      <c r="B181" s="41">
        <v>45670</v>
      </c>
      <c r="C181" s="41">
        <v>45643</v>
      </c>
      <c r="D181" s="40" t="s">
        <v>169</v>
      </c>
      <c r="E181" s="40" t="s">
        <v>170</v>
      </c>
      <c r="G181" s="40" t="s">
        <v>645</v>
      </c>
      <c r="H181" s="40" t="s">
        <v>646</v>
      </c>
      <c r="I181" s="40" t="s">
        <v>647</v>
      </c>
      <c r="J181" s="43" t="str">
        <f t="shared" si="12"/>
        <v>PRIM</v>
      </c>
      <c r="K181" s="40" t="s">
        <v>10</v>
      </c>
      <c r="L181" s="44">
        <v>14000</v>
      </c>
      <c r="M181" s="40" t="s">
        <v>1472</v>
      </c>
      <c r="N181" s="40" t="s">
        <v>11</v>
      </c>
      <c r="O181" s="40">
        <v>0.82</v>
      </c>
      <c r="P181" s="45">
        <f t="shared" si="13"/>
        <v>11480</v>
      </c>
      <c r="Q181" s="46">
        <f t="shared" si="14"/>
        <v>7.3003400000000003</v>
      </c>
      <c r="R181" s="47">
        <f t="shared" si="15"/>
        <v>0.1123</v>
      </c>
      <c r="S181" s="48">
        <f t="shared" si="16"/>
        <v>1572.2</v>
      </c>
      <c r="T181" s="47" t="s">
        <v>349</v>
      </c>
      <c r="U181" s="40" t="s">
        <v>181</v>
      </c>
      <c r="V181" s="38">
        <v>7.1879</v>
      </c>
      <c r="W181" s="49">
        <f t="shared" si="17"/>
        <v>1597.1285076308795</v>
      </c>
    </row>
    <row r="182" spans="1:23" x14ac:dyDescent="0.2">
      <c r="A182" s="40" t="s">
        <v>718</v>
      </c>
      <c r="B182" s="41">
        <v>45667</v>
      </c>
      <c r="C182" s="41">
        <v>45659</v>
      </c>
      <c r="D182" s="40" t="s">
        <v>709</v>
      </c>
      <c r="E182" s="40" t="s">
        <v>710</v>
      </c>
      <c r="G182" s="40" t="s">
        <v>712</v>
      </c>
      <c r="H182" s="40" t="s">
        <v>716</v>
      </c>
      <c r="I182" s="40" t="s">
        <v>717</v>
      </c>
      <c r="J182" s="43" t="str">
        <f t="shared" si="12"/>
        <v>KNOB</v>
      </c>
      <c r="K182" s="40" t="s">
        <v>10</v>
      </c>
      <c r="L182" s="44">
        <v>500</v>
      </c>
      <c r="M182" s="40" t="s">
        <v>1472</v>
      </c>
      <c r="N182" s="40" t="s">
        <v>11</v>
      </c>
      <c r="O182" s="40">
        <v>0.86950000000000005</v>
      </c>
      <c r="P182" s="45">
        <f t="shared" si="13"/>
        <v>434.75</v>
      </c>
      <c r="Q182" s="46">
        <f t="shared" si="14"/>
        <v>7.3003400000000003</v>
      </c>
      <c r="R182" s="47">
        <f t="shared" si="15"/>
        <v>0.1191</v>
      </c>
      <c r="S182" s="48">
        <f t="shared" si="16"/>
        <v>59.55</v>
      </c>
      <c r="T182" s="47" t="s">
        <v>349</v>
      </c>
      <c r="U182" s="40" t="s">
        <v>32</v>
      </c>
      <c r="V182" s="38">
        <v>7.1879</v>
      </c>
      <c r="W182" s="49">
        <f t="shared" si="17"/>
        <v>60.483590478442942</v>
      </c>
    </row>
    <row r="183" spans="1:23" x14ac:dyDescent="0.2">
      <c r="A183" s="40" t="s">
        <v>690</v>
      </c>
      <c r="B183" s="41">
        <v>45667</v>
      </c>
      <c r="C183" s="41">
        <v>45638</v>
      </c>
      <c r="D183" s="40" t="s">
        <v>252</v>
      </c>
      <c r="E183" s="40" t="s">
        <v>253</v>
      </c>
      <c r="G183" s="40" t="s">
        <v>681</v>
      </c>
      <c r="H183" s="40" t="s">
        <v>688</v>
      </c>
      <c r="I183" s="40" t="s">
        <v>689</v>
      </c>
      <c r="J183" s="43" t="str">
        <f t="shared" si="12"/>
        <v>ANYD</v>
      </c>
      <c r="K183" s="40" t="s">
        <v>10</v>
      </c>
      <c r="L183" s="44">
        <v>5400</v>
      </c>
      <c r="M183" s="40" t="s">
        <v>1472</v>
      </c>
      <c r="N183" s="40" t="s">
        <v>11</v>
      </c>
      <c r="O183" s="40">
        <v>0.873</v>
      </c>
      <c r="P183" s="45">
        <f t="shared" si="13"/>
        <v>4714.2</v>
      </c>
      <c r="Q183" s="46">
        <f t="shared" si="14"/>
        <v>7.3003400000000003</v>
      </c>
      <c r="R183" s="47">
        <f t="shared" si="15"/>
        <v>0.1196</v>
      </c>
      <c r="S183" s="48">
        <f t="shared" si="16"/>
        <v>645.84</v>
      </c>
      <c r="T183" s="47" t="s">
        <v>349</v>
      </c>
      <c r="U183" s="40" t="s">
        <v>36</v>
      </c>
      <c r="V183" s="38">
        <v>7.1879</v>
      </c>
      <c r="W183" s="49">
        <f t="shared" si="17"/>
        <v>655.852196051698</v>
      </c>
    </row>
    <row r="184" spans="1:23" x14ac:dyDescent="0.2">
      <c r="A184" s="40" t="s">
        <v>690</v>
      </c>
      <c r="B184" s="41">
        <v>45663</v>
      </c>
      <c r="C184" s="41">
        <v>45638</v>
      </c>
      <c r="D184" s="40" t="s">
        <v>252</v>
      </c>
      <c r="E184" s="40" t="s">
        <v>253</v>
      </c>
      <c r="G184" s="40" t="s">
        <v>1025</v>
      </c>
      <c r="H184" s="40" t="s">
        <v>688</v>
      </c>
      <c r="I184" s="40" t="s">
        <v>689</v>
      </c>
      <c r="J184" s="43" t="str">
        <f t="shared" si="12"/>
        <v>ANYD</v>
      </c>
      <c r="K184" s="40" t="s">
        <v>10</v>
      </c>
      <c r="L184" s="44">
        <v>10800</v>
      </c>
      <c r="M184" s="40" t="s">
        <v>1472</v>
      </c>
      <c r="N184" s="40" t="s">
        <v>11</v>
      </c>
      <c r="O184" s="40">
        <v>0.873</v>
      </c>
      <c r="P184" s="45">
        <f t="shared" si="13"/>
        <v>9428.4</v>
      </c>
      <c r="Q184" s="46">
        <f t="shared" si="14"/>
        <v>7.3003400000000003</v>
      </c>
      <c r="R184" s="47">
        <f t="shared" si="15"/>
        <v>0.1196</v>
      </c>
      <c r="S184" s="48">
        <f t="shared" si="16"/>
        <v>1291.68</v>
      </c>
      <c r="T184" s="47" t="s">
        <v>349</v>
      </c>
      <c r="U184" s="40" t="s">
        <v>36</v>
      </c>
      <c r="V184" s="38">
        <v>7.1879</v>
      </c>
      <c r="W184" s="49">
        <f t="shared" si="17"/>
        <v>1311.704392103396</v>
      </c>
    </row>
    <row r="185" spans="1:23" x14ac:dyDescent="0.2">
      <c r="A185" s="40" t="s">
        <v>1028</v>
      </c>
      <c r="B185" s="41">
        <v>45663</v>
      </c>
      <c r="C185" s="41">
        <v>45638</v>
      </c>
      <c r="D185" s="40" t="s">
        <v>252</v>
      </c>
      <c r="E185" s="40" t="s">
        <v>253</v>
      </c>
      <c r="G185" s="40" t="s">
        <v>1025</v>
      </c>
      <c r="H185" s="40" t="s">
        <v>1026</v>
      </c>
      <c r="I185" s="40" t="s">
        <v>1027</v>
      </c>
      <c r="J185" s="43" t="str">
        <f t="shared" si="12"/>
        <v>ANYD</v>
      </c>
      <c r="K185" s="40" t="s">
        <v>10</v>
      </c>
      <c r="L185" s="44">
        <v>16200</v>
      </c>
      <c r="M185" s="40" t="s">
        <v>1472</v>
      </c>
      <c r="N185" s="40" t="s">
        <v>11</v>
      </c>
      <c r="O185" s="40">
        <v>0.873</v>
      </c>
      <c r="P185" s="45">
        <f t="shared" si="13"/>
        <v>14142.6</v>
      </c>
      <c r="Q185" s="46">
        <f t="shared" si="14"/>
        <v>7.3003400000000003</v>
      </c>
      <c r="R185" s="47">
        <f t="shared" si="15"/>
        <v>0.1196</v>
      </c>
      <c r="S185" s="48">
        <f t="shared" si="16"/>
        <v>1937.52</v>
      </c>
      <c r="T185" s="47" t="s">
        <v>349</v>
      </c>
      <c r="U185" s="40" t="s">
        <v>36</v>
      </c>
      <c r="V185" s="38">
        <v>7.1879</v>
      </c>
      <c r="W185" s="49">
        <f t="shared" si="17"/>
        <v>1967.5565881550938</v>
      </c>
    </row>
    <row r="186" spans="1:23" x14ac:dyDescent="0.2">
      <c r="A186" s="40" t="s">
        <v>755</v>
      </c>
      <c r="B186" s="41">
        <v>45666</v>
      </c>
      <c r="C186" s="41">
        <v>45651</v>
      </c>
      <c r="D186" s="40" t="s">
        <v>746</v>
      </c>
      <c r="E186" s="40" t="s">
        <v>747</v>
      </c>
      <c r="G186" s="40" t="s">
        <v>756</v>
      </c>
      <c r="H186" s="40" t="s">
        <v>753</v>
      </c>
      <c r="I186" s="40" t="s">
        <v>754</v>
      </c>
      <c r="J186" s="43" t="str">
        <f t="shared" si="12"/>
        <v>SSM-</v>
      </c>
      <c r="K186" s="40" t="s">
        <v>10</v>
      </c>
      <c r="L186" s="44">
        <v>1500</v>
      </c>
      <c r="M186" s="40" t="s">
        <v>1472</v>
      </c>
      <c r="N186" s="40" t="s">
        <v>11</v>
      </c>
      <c r="O186" s="40">
        <v>0.94689999999999996</v>
      </c>
      <c r="P186" s="45">
        <f t="shared" si="13"/>
        <v>1420.35</v>
      </c>
      <c r="Q186" s="46">
        <f t="shared" si="14"/>
        <v>7.3003400000000003</v>
      </c>
      <c r="R186" s="47">
        <f t="shared" si="15"/>
        <v>0.12970000000000001</v>
      </c>
      <c r="S186" s="48">
        <f t="shared" si="16"/>
        <v>194.55</v>
      </c>
      <c r="T186" s="47" t="s">
        <v>349</v>
      </c>
      <c r="U186" s="40" t="s">
        <v>33</v>
      </c>
      <c r="V186" s="38">
        <v>7.1879</v>
      </c>
      <c r="W186" s="49">
        <f t="shared" si="17"/>
        <v>197.60291601163064</v>
      </c>
    </row>
    <row r="187" spans="1:23" x14ac:dyDescent="0.2">
      <c r="A187" s="40" t="s">
        <v>1042</v>
      </c>
      <c r="B187" s="41">
        <v>45663</v>
      </c>
      <c r="C187" s="41">
        <v>45617</v>
      </c>
      <c r="D187" s="40" t="s">
        <v>372</v>
      </c>
      <c r="E187" s="40" t="s">
        <v>373</v>
      </c>
      <c r="G187" s="40" t="s">
        <v>1036</v>
      </c>
      <c r="H187" s="40" t="s">
        <v>1040</v>
      </c>
      <c r="I187" s="40" t="s">
        <v>1041</v>
      </c>
      <c r="J187" s="43" t="str">
        <f t="shared" si="12"/>
        <v>FG--</v>
      </c>
      <c r="K187" s="40" t="s">
        <v>98</v>
      </c>
      <c r="L187" s="44">
        <v>5250</v>
      </c>
      <c r="M187" s="40" t="s">
        <v>1472</v>
      </c>
      <c r="N187" s="40" t="s">
        <v>11</v>
      </c>
      <c r="O187" s="40">
        <v>0.96460000000000001</v>
      </c>
      <c r="P187" s="45">
        <f t="shared" si="13"/>
        <v>5064.1499999999996</v>
      </c>
      <c r="Q187" s="46">
        <f t="shared" si="14"/>
        <v>7.3003400000000003</v>
      </c>
      <c r="R187" s="47">
        <f t="shared" si="15"/>
        <v>0.1321</v>
      </c>
      <c r="S187" s="48">
        <f t="shared" si="16"/>
        <v>693.53</v>
      </c>
      <c r="T187" s="47" t="s">
        <v>349</v>
      </c>
      <c r="U187" s="40" t="s">
        <v>64</v>
      </c>
      <c r="V187" s="38">
        <v>7.1879</v>
      </c>
      <c r="W187" s="49">
        <f t="shared" si="17"/>
        <v>704.53818222290238</v>
      </c>
    </row>
    <row r="188" spans="1:23" x14ac:dyDescent="0.2">
      <c r="A188" s="40" t="s">
        <v>1039</v>
      </c>
      <c r="B188" s="41">
        <v>45663</v>
      </c>
      <c r="C188" s="41">
        <v>45639</v>
      </c>
      <c r="D188" s="40" t="s">
        <v>372</v>
      </c>
      <c r="E188" s="40" t="s">
        <v>373</v>
      </c>
      <c r="G188" s="40" t="s">
        <v>1036</v>
      </c>
      <c r="H188" s="40" t="s">
        <v>1037</v>
      </c>
      <c r="I188" s="40" t="s">
        <v>1038</v>
      </c>
      <c r="J188" s="43" t="str">
        <f t="shared" si="12"/>
        <v>FG--</v>
      </c>
      <c r="K188" s="40" t="s">
        <v>98</v>
      </c>
      <c r="L188" s="44">
        <v>3050</v>
      </c>
      <c r="M188" s="40" t="s">
        <v>1472</v>
      </c>
      <c r="N188" s="40" t="s">
        <v>11</v>
      </c>
      <c r="O188" s="40">
        <v>0.97450000000000003</v>
      </c>
      <c r="P188" s="45">
        <f t="shared" si="13"/>
        <v>2972.23</v>
      </c>
      <c r="Q188" s="46">
        <f t="shared" si="14"/>
        <v>7.3003400000000003</v>
      </c>
      <c r="R188" s="47">
        <f t="shared" si="15"/>
        <v>0.13350000000000001</v>
      </c>
      <c r="S188" s="48">
        <f t="shared" si="16"/>
        <v>407.18</v>
      </c>
      <c r="T188" s="47" t="s">
        <v>349</v>
      </c>
      <c r="U188" s="40" t="s">
        <v>64</v>
      </c>
      <c r="V188" s="38">
        <v>7.1879</v>
      </c>
      <c r="W188" s="49">
        <f t="shared" si="17"/>
        <v>413.50394412832679</v>
      </c>
    </row>
    <row r="189" spans="1:23" x14ac:dyDescent="0.2">
      <c r="A189" s="40" t="s">
        <v>1045</v>
      </c>
      <c r="B189" s="41">
        <v>45663</v>
      </c>
      <c r="C189" s="41">
        <v>45609</v>
      </c>
      <c r="D189" s="40" t="s">
        <v>372</v>
      </c>
      <c r="E189" s="40" t="s">
        <v>373</v>
      </c>
      <c r="G189" s="40" t="s">
        <v>1036</v>
      </c>
      <c r="H189" s="40" t="s">
        <v>1043</v>
      </c>
      <c r="I189" s="40" t="s">
        <v>1044</v>
      </c>
      <c r="J189" s="43" t="str">
        <f t="shared" si="12"/>
        <v>FG--</v>
      </c>
      <c r="K189" s="40" t="s">
        <v>98</v>
      </c>
      <c r="L189" s="44">
        <v>530</v>
      </c>
      <c r="M189" s="40" t="s">
        <v>1472</v>
      </c>
      <c r="N189" s="40" t="s">
        <v>11</v>
      </c>
      <c r="O189" s="40">
        <v>0.99439999999999995</v>
      </c>
      <c r="P189" s="45">
        <f t="shared" si="13"/>
        <v>527.03</v>
      </c>
      <c r="Q189" s="46">
        <f t="shared" si="14"/>
        <v>7.3003400000000003</v>
      </c>
      <c r="R189" s="47">
        <f t="shared" si="15"/>
        <v>0.13619999999999999</v>
      </c>
      <c r="S189" s="48">
        <f t="shared" si="16"/>
        <v>72.19</v>
      </c>
      <c r="T189" s="47" t="s">
        <v>349</v>
      </c>
      <c r="U189" s="40" t="s">
        <v>64</v>
      </c>
      <c r="V189" s="38">
        <v>7.1879</v>
      </c>
      <c r="W189" s="49">
        <f t="shared" si="17"/>
        <v>73.322110769487608</v>
      </c>
    </row>
    <row r="190" spans="1:23" x14ac:dyDescent="0.2">
      <c r="A190" s="40" t="s">
        <v>1379</v>
      </c>
      <c r="B190" s="41">
        <v>45659</v>
      </c>
      <c r="C190" s="41">
        <v>45629</v>
      </c>
      <c r="D190" s="40" t="s">
        <v>128</v>
      </c>
      <c r="E190" s="40" t="s">
        <v>129</v>
      </c>
      <c r="G190" s="40" t="s">
        <v>1377</v>
      </c>
      <c r="H190" s="40" t="s">
        <v>443</v>
      </c>
      <c r="I190" s="40" t="s">
        <v>444</v>
      </c>
      <c r="J190" s="43" t="str">
        <f t="shared" si="12"/>
        <v>FG--</v>
      </c>
      <c r="K190" s="40" t="s">
        <v>10</v>
      </c>
      <c r="L190" s="44">
        <v>11000</v>
      </c>
      <c r="M190" s="40" t="s">
        <v>1472</v>
      </c>
      <c r="N190" s="40" t="s">
        <v>11</v>
      </c>
      <c r="O190" s="40">
        <v>1.0021</v>
      </c>
      <c r="P190" s="45">
        <f t="shared" si="13"/>
        <v>11023.1</v>
      </c>
      <c r="Q190" s="46">
        <f t="shared" si="14"/>
        <v>7.3003400000000003</v>
      </c>
      <c r="R190" s="47">
        <f t="shared" si="15"/>
        <v>0.13730000000000001</v>
      </c>
      <c r="S190" s="48">
        <f t="shared" si="16"/>
        <v>1510.3</v>
      </c>
      <c r="T190" s="47" t="s">
        <v>349</v>
      </c>
      <c r="U190" s="40" t="s">
        <v>64</v>
      </c>
      <c r="V190" s="38">
        <v>7.1879</v>
      </c>
      <c r="W190" s="49">
        <f t="shared" si="17"/>
        <v>1533.5633495179397</v>
      </c>
    </row>
    <row r="191" spans="1:23" x14ac:dyDescent="0.2">
      <c r="A191" s="40" t="s">
        <v>445</v>
      </c>
      <c r="B191" s="41">
        <v>45670</v>
      </c>
      <c r="C191" s="41">
        <v>45646</v>
      </c>
      <c r="D191" s="40" t="s">
        <v>128</v>
      </c>
      <c r="E191" s="40" t="s">
        <v>129</v>
      </c>
      <c r="G191" s="40" t="s">
        <v>437</v>
      </c>
      <c r="H191" s="40" t="s">
        <v>443</v>
      </c>
      <c r="I191" s="40" t="s">
        <v>444</v>
      </c>
      <c r="J191" s="43" t="str">
        <f t="shared" si="12"/>
        <v>FG--</v>
      </c>
      <c r="K191" s="40" t="s">
        <v>10</v>
      </c>
      <c r="L191" s="44">
        <v>7100</v>
      </c>
      <c r="M191" s="40" t="s">
        <v>1472</v>
      </c>
      <c r="N191" s="40" t="s">
        <v>11</v>
      </c>
      <c r="O191" s="40">
        <v>1.0021</v>
      </c>
      <c r="P191" s="45">
        <f t="shared" si="13"/>
        <v>7114.91</v>
      </c>
      <c r="Q191" s="46">
        <f t="shared" si="14"/>
        <v>7.3003400000000003</v>
      </c>
      <c r="R191" s="47">
        <f t="shared" si="15"/>
        <v>0.13730000000000001</v>
      </c>
      <c r="S191" s="48">
        <f t="shared" si="16"/>
        <v>974.83</v>
      </c>
      <c r="T191" s="47" t="s">
        <v>349</v>
      </c>
      <c r="U191" s="40" t="s">
        <v>64</v>
      </c>
      <c r="V191" s="38">
        <v>7.1879</v>
      </c>
      <c r="W191" s="49">
        <f t="shared" si="17"/>
        <v>989.84543468885204</v>
      </c>
    </row>
    <row r="192" spans="1:23" x14ac:dyDescent="0.2">
      <c r="A192" s="40" t="s">
        <v>308</v>
      </c>
      <c r="B192" s="41">
        <v>45672</v>
      </c>
      <c r="C192" s="41">
        <v>45670</v>
      </c>
      <c r="D192" s="40" t="s">
        <v>295</v>
      </c>
      <c r="E192" s="40" t="s">
        <v>296</v>
      </c>
      <c r="G192" s="40" t="s">
        <v>305</v>
      </c>
      <c r="H192" s="40" t="s">
        <v>306</v>
      </c>
      <c r="I192" s="40" t="s">
        <v>307</v>
      </c>
      <c r="J192" s="43" t="str">
        <f t="shared" si="12"/>
        <v>LHDL</v>
      </c>
      <c r="K192" s="40" t="s">
        <v>10</v>
      </c>
      <c r="L192" s="44">
        <v>52</v>
      </c>
      <c r="M192" s="40" t="s">
        <v>1472</v>
      </c>
      <c r="N192" s="40" t="s">
        <v>11</v>
      </c>
      <c r="O192" s="40">
        <v>1.0327</v>
      </c>
      <c r="P192" s="45">
        <f t="shared" si="13"/>
        <v>53.7</v>
      </c>
      <c r="Q192" s="46">
        <f t="shared" si="14"/>
        <v>7.3003400000000003</v>
      </c>
      <c r="R192" s="47">
        <f t="shared" si="15"/>
        <v>0.14149999999999999</v>
      </c>
      <c r="S192" s="48">
        <f t="shared" si="16"/>
        <v>7.36</v>
      </c>
      <c r="T192" s="47" t="s">
        <v>349</v>
      </c>
      <c r="U192" s="40" t="s">
        <v>125</v>
      </c>
      <c r="V192" s="38">
        <v>7.1879</v>
      </c>
      <c r="W192" s="49">
        <f t="shared" si="17"/>
        <v>7.470944225712655</v>
      </c>
    </row>
    <row r="193" spans="1:23" x14ac:dyDescent="0.2">
      <c r="A193" s="40" t="s">
        <v>740</v>
      </c>
      <c r="B193" s="41">
        <v>45667</v>
      </c>
      <c r="C193" s="41">
        <v>45650</v>
      </c>
      <c r="D193" s="40" t="s">
        <v>709</v>
      </c>
      <c r="E193" s="40" t="s">
        <v>710</v>
      </c>
      <c r="G193" s="40" t="s">
        <v>712</v>
      </c>
      <c r="H193" s="40" t="s">
        <v>738</v>
      </c>
      <c r="I193" s="40" t="s">
        <v>739</v>
      </c>
      <c r="J193" s="43" t="str">
        <f t="shared" si="12"/>
        <v>KNOB</v>
      </c>
      <c r="K193" s="40" t="s">
        <v>10</v>
      </c>
      <c r="L193" s="44">
        <v>510</v>
      </c>
      <c r="M193" s="40" t="s">
        <v>1472</v>
      </c>
      <c r="N193" s="40" t="s">
        <v>11</v>
      </c>
      <c r="O193" s="40">
        <v>1.0463</v>
      </c>
      <c r="P193" s="45">
        <f t="shared" si="13"/>
        <v>533.61</v>
      </c>
      <c r="Q193" s="46">
        <f t="shared" si="14"/>
        <v>7.3003400000000003</v>
      </c>
      <c r="R193" s="47">
        <f t="shared" si="15"/>
        <v>0.14330000000000001</v>
      </c>
      <c r="S193" s="48">
        <f t="shared" si="16"/>
        <v>73.08</v>
      </c>
      <c r="T193" s="47" t="s">
        <v>349</v>
      </c>
      <c r="U193" s="40" t="s">
        <v>32</v>
      </c>
      <c r="V193" s="38">
        <v>7.1879</v>
      </c>
      <c r="W193" s="49">
        <f t="shared" si="17"/>
        <v>74.237677207529316</v>
      </c>
    </row>
    <row r="194" spans="1:23" x14ac:dyDescent="0.2">
      <c r="A194" s="40" t="s">
        <v>752</v>
      </c>
      <c r="B194" s="41">
        <v>45666</v>
      </c>
      <c r="C194" s="41">
        <v>45664</v>
      </c>
      <c r="D194" s="40" t="s">
        <v>746</v>
      </c>
      <c r="E194" s="40" t="s">
        <v>747</v>
      </c>
      <c r="G194" s="40" t="s">
        <v>749</v>
      </c>
      <c r="H194" s="40" t="s">
        <v>750</v>
      </c>
      <c r="I194" s="40" t="s">
        <v>751</v>
      </c>
      <c r="J194" s="43" t="str">
        <f t="shared" ref="J194:J257" si="18">+LEFT(U194,4)</f>
        <v>SSM-</v>
      </c>
      <c r="K194" s="40" t="s">
        <v>10</v>
      </c>
      <c r="L194" s="44">
        <v>2500</v>
      </c>
      <c r="M194" s="40" t="s">
        <v>1472</v>
      </c>
      <c r="N194" s="40" t="s">
        <v>11</v>
      </c>
      <c r="O194" s="40">
        <v>1.0530999999999999</v>
      </c>
      <c r="P194" s="45">
        <f t="shared" ref="P194:P257" si="19">ROUND(O194*L194,2)</f>
        <v>2632.75</v>
      </c>
      <c r="Q194" s="46">
        <f t="shared" ref="Q194:Q257" si="20">IF(N194="HKD",7.8,IF(N194="CNY",7.30034,1))</f>
        <v>7.3003400000000003</v>
      </c>
      <c r="R194" s="47">
        <f t="shared" ref="R194:R257" si="21">+ROUND(O194/Q194,4)</f>
        <v>0.14430000000000001</v>
      </c>
      <c r="S194" s="48">
        <f t="shared" ref="S194:S257" si="22">ROUND(R194*L194,2)</f>
        <v>360.75</v>
      </c>
      <c r="T194" s="47" t="s">
        <v>349</v>
      </c>
      <c r="U194" s="40" t="s">
        <v>33</v>
      </c>
      <c r="V194" s="38">
        <v>7.1879</v>
      </c>
      <c r="W194" s="49">
        <f t="shared" ref="W194:W257" si="23">IF(N194="CNY",O194/V194*L194,1)</f>
        <v>366.27526815898938</v>
      </c>
    </row>
    <row r="195" spans="1:23" x14ac:dyDescent="0.2">
      <c r="A195" s="40" t="s">
        <v>304</v>
      </c>
      <c r="B195" s="41">
        <v>45672</v>
      </c>
      <c r="C195" s="41">
        <v>45670</v>
      </c>
      <c r="D195" s="40" t="s">
        <v>295</v>
      </c>
      <c r="E195" s="40" t="s">
        <v>296</v>
      </c>
      <c r="G195" s="40" t="s">
        <v>305</v>
      </c>
      <c r="H195" s="40" t="s">
        <v>302</v>
      </c>
      <c r="I195" s="40" t="s">
        <v>303</v>
      </c>
      <c r="J195" s="43" t="str">
        <f t="shared" si="18"/>
        <v>LHDL</v>
      </c>
      <c r="K195" s="40" t="s">
        <v>10</v>
      </c>
      <c r="L195" s="44">
        <v>38</v>
      </c>
      <c r="M195" s="40" t="s">
        <v>1472</v>
      </c>
      <c r="N195" s="40" t="s">
        <v>11</v>
      </c>
      <c r="O195" s="40">
        <v>1.073</v>
      </c>
      <c r="P195" s="45">
        <f t="shared" si="19"/>
        <v>40.770000000000003</v>
      </c>
      <c r="Q195" s="46">
        <f t="shared" si="20"/>
        <v>7.3003400000000003</v>
      </c>
      <c r="R195" s="47">
        <f t="shared" si="21"/>
        <v>0.14699999999999999</v>
      </c>
      <c r="S195" s="48">
        <f t="shared" si="22"/>
        <v>5.59</v>
      </c>
      <c r="T195" s="47" t="s">
        <v>349</v>
      </c>
      <c r="U195" s="40" t="s">
        <v>125</v>
      </c>
      <c r="V195" s="38">
        <v>7.1879</v>
      </c>
      <c r="W195" s="49">
        <f t="shared" si="23"/>
        <v>5.6725886559356695</v>
      </c>
    </row>
    <row r="196" spans="1:23" x14ac:dyDescent="0.2">
      <c r="A196" s="40" t="s">
        <v>301</v>
      </c>
      <c r="B196" s="41">
        <v>45672</v>
      </c>
      <c r="C196" s="41">
        <v>45670</v>
      </c>
      <c r="D196" s="40" t="s">
        <v>295</v>
      </c>
      <c r="E196" s="40" t="s">
        <v>296</v>
      </c>
      <c r="G196" s="40" t="s">
        <v>298</v>
      </c>
      <c r="H196" s="40" t="s">
        <v>299</v>
      </c>
      <c r="I196" s="40" t="s">
        <v>300</v>
      </c>
      <c r="J196" s="43" t="str">
        <f t="shared" si="18"/>
        <v>LHDL</v>
      </c>
      <c r="K196" s="40" t="s">
        <v>10</v>
      </c>
      <c r="L196" s="44">
        <v>75</v>
      </c>
      <c r="M196" s="40" t="s">
        <v>1472</v>
      </c>
      <c r="N196" s="40" t="s">
        <v>11</v>
      </c>
      <c r="O196" s="40">
        <v>1.073</v>
      </c>
      <c r="P196" s="45">
        <f t="shared" si="19"/>
        <v>80.48</v>
      </c>
      <c r="Q196" s="46">
        <f t="shared" si="20"/>
        <v>7.3003400000000003</v>
      </c>
      <c r="R196" s="47">
        <f t="shared" si="21"/>
        <v>0.14699999999999999</v>
      </c>
      <c r="S196" s="48">
        <f t="shared" si="22"/>
        <v>11.03</v>
      </c>
      <c r="T196" s="47" t="s">
        <v>349</v>
      </c>
      <c r="U196" s="40" t="s">
        <v>125</v>
      </c>
      <c r="V196" s="38">
        <v>7.1879</v>
      </c>
      <c r="W196" s="49">
        <f t="shared" si="23"/>
        <v>11.195898663030928</v>
      </c>
    </row>
    <row r="197" spans="1:23" x14ac:dyDescent="0.2">
      <c r="A197" s="40" t="s">
        <v>297</v>
      </c>
      <c r="B197" s="41">
        <v>45672</v>
      </c>
      <c r="C197" s="41">
        <v>45670</v>
      </c>
      <c r="D197" s="40" t="s">
        <v>295</v>
      </c>
      <c r="E197" s="40" t="s">
        <v>296</v>
      </c>
      <c r="G197" s="40" t="s">
        <v>298</v>
      </c>
      <c r="H197" s="40" t="s">
        <v>293</v>
      </c>
      <c r="I197" s="40" t="s">
        <v>294</v>
      </c>
      <c r="J197" s="43" t="str">
        <f t="shared" si="18"/>
        <v>LHDL</v>
      </c>
      <c r="K197" s="40" t="s">
        <v>10</v>
      </c>
      <c r="L197" s="44">
        <v>58</v>
      </c>
      <c r="M197" s="40" t="s">
        <v>1472</v>
      </c>
      <c r="N197" s="40" t="s">
        <v>11</v>
      </c>
      <c r="O197" s="40">
        <v>1.073</v>
      </c>
      <c r="P197" s="45">
        <f t="shared" si="19"/>
        <v>62.23</v>
      </c>
      <c r="Q197" s="46">
        <f t="shared" si="20"/>
        <v>7.3003400000000003</v>
      </c>
      <c r="R197" s="47">
        <f t="shared" si="21"/>
        <v>0.14699999999999999</v>
      </c>
      <c r="S197" s="48">
        <f t="shared" si="22"/>
        <v>8.5299999999999994</v>
      </c>
      <c r="T197" s="47" t="s">
        <v>349</v>
      </c>
      <c r="U197" s="40" t="s">
        <v>125</v>
      </c>
      <c r="V197" s="38">
        <v>7.1879</v>
      </c>
      <c r="W197" s="49">
        <f t="shared" si="23"/>
        <v>8.6581616327439175</v>
      </c>
    </row>
    <row r="198" spans="1:23" x14ac:dyDescent="0.2">
      <c r="A198" s="40" t="s">
        <v>1121</v>
      </c>
      <c r="B198" s="41">
        <v>45663</v>
      </c>
      <c r="C198" s="41">
        <v>45643</v>
      </c>
      <c r="D198" s="40" t="s">
        <v>169</v>
      </c>
      <c r="E198" s="40" t="s">
        <v>170</v>
      </c>
      <c r="G198" s="40" t="s">
        <v>1122</v>
      </c>
      <c r="H198" s="40" t="s">
        <v>1120</v>
      </c>
      <c r="I198" s="40" t="s">
        <v>643</v>
      </c>
      <c r="J198" s="43" t="str">
        <f t="shared" si="18"/>
        <v>U&amp;C-</v>
      </c>
      <c r="K198" s="40" t="s">
        <v>10</v>
      </c>
      <c r="L198" s="44">
        <v>2100</v>
      </c>
      <c r="M198" s="40" t="s">
        <v>1472</v>
      </c>
      <c r="N198" s="40" t="s">
        <v>11</v>
      </c>
      <c r="O198" s="40">
        <v>1.0900000000000001</v>
      </c>
      <c r="P198" s="45">
        <f t="shared" si="19"/>
        <v>2289</v>
      </c>
      <c r="Q198" s="46">
        <f t="shared" si="20"/>
        <v>7.3003400000000003</v>
      </c>
      <c r="R198" s="47">
        <f t="shared" si="21"/>
        <v>0.14929999999999999</v>
      </c>
      <c r="S198" s="48">
        <f t="shared" si="22"/>
        <v>313.52999999999997</v>
      </c>
      <c r="T198" s="47" t="s">
        <v>349</v>
      </c>
      <c r="U198" s="40" t="s">
        <v>177</v>
      </c>
      <c r="V198" s="38">
        <v>7.1879</v>
      </c>
      <c r="W198" s="49">
        <f t="shared" si="23"/>
        <v>318.4518426800596</v>
      </c>
    </row>
    <row r="199" spans="1:23" x14ac:dyDescent="0.2">
      <c r="A199" s="40" t="s">
        <v>748</v>
      </c>
      <c r="B199" s="41">
        <v>45666</v>
      </c>
      <c r="C199" s="41">
        <v>45664</v>
      </c>
      <c r="D199" s="40" t="s">
        <v>746</v>
      </c>
      <c r="E199" s="40" t="s">
        <v>747</v>
      </c>
      <c r="G199" s="40" t="s">
        <v>749</v>
      </c>
      <c r="H199" s="40" t="s">
        <v>744</v>
      </c>
      <c r="I199" s="40" t="s">
        <v>745</v>
      </c>
      <c r="J199" s="43" t="str">
        <f t="shared" si="18"/>
        <v>SSM-</v>
      </c>
      <c r="K199" s="40" t="s">
        <v>10</v>
      </c>
      <c r="L199" s="44">
        <v>600</v>
      </c>
      <c r="M199" s="40" t="s">
        <v>1472</v>
      </c>
      <c r="N199" s="40" t="s">
        <v>11</v>
      </c>
      <c r="O199" s="40">
        <v>1.0972999999999999</v>
      </c>
      <c r="P199" s="45">
        <f t="shared" si="19"/>
        <v>658.38</v>
      </c>
      <c r="Q199" s="46">
        <f t="shared" si="20"/>
        <v>7.3003400000000003</v>
      </c>
      <c r="R199" s="47">
        <f t="shared" si="21"/>
        <v>0.15029999999999999</v>
      </c>
      <c r="S199" s="48">
        <f t="shared" si="22"/>
        <v>90.18</v>
      </c>
      <c r="T199" s="47" t="s">
        <v>349</v>
      </c>
      <c r="U199" s="40" t="s">
        <v>33</v>
      </c>
      <c r="V199" s="38">
        <v>7.1879</v>
      </c>
      <c r="W199" s="49">
        <f t="shared" si="23"/>
        <v>91.595598158015562</v>
      </c>
    </row>
    <row r="200" spans="1:23" x14ac:dyDescent="0.2">
      <c r="A200" s="40" t="s">
        <v>1035</v>
      </c>
      <c r="B200" s="41">
        <v>45663</v>
      </c>
      <c r="C200" s="41">
        <v>45636</v>
      </c>
      <c r="D200" s="40" t="s">
        <v>372</v>
      </c>
      <c r="E200" s="40" t="s">
        <v>373</v>
      </c>
      <c r="G200" s="40" t="s">
        <v>1036</v>
      </c>
      <c r="H200" s="40" t="s">
        <v>1033</v>
      </c>
      <c r="I200" s="40" t="s">
        <v>1034</v>
      </c>
      <c r="J200" s="43" t="str">
        <f t="shared" si="18"/>
        <v>HDL-</v>
      </c>
      <c r="K200" s="40" t="s">
        <v>98</v>
      </c>
      <c r="L200" s="44">
        <v>1000</v>
      </c>
      <c r="M200" s="40" t="s">
        <v>1472</v>
      </c>
      <c r="N200" s="40" t="s">
        <v>11</v>
      </c>
      <c r="O200" s="40">
        <v>1.1168</v>
      </c>
      <c r="P200" s="45">
        <f t="shared" si="19"/>
        <v>1116.8</v>
      </c>
      <c r="Q200" s="46">
        <f t="shared" si="20"/>
        <v>7.3003400000000003</v>
      </c>
      <c r="R200" s="47">
        <f t="shared" si="21"/>
        <v>0.153</v>
      </c>
      <c r="S200" s="48">
        <f t="shared" si="22"/>
        <v>153</v>
      </c>
      <c r="T200" s="47" t="s">
        <v>349</v>
      </c>
      <c r="U200" s="40" t="s">
        <v>228</v>
      </c>
      <c r="V200" s="38">
        <v>7.1879</v>
      </c>
      <c r="W200" s="49">
        <f t="shared" si="23"/>
        <v>155.37222276325491</v>
      </c>
    </row>
    <row r="201" spans="1:23" x14ac:dyDescent="0.2">
      <c r="A201" s="40" t="s">
        <v>1072</v>
      </c>
      <c r="B201" s="41">
        <v>45663</v>
      </c>
      <c r="C201" s="41">
        <v>45618</v>
      </c>
      <c r="D201" s="40" t="s">
        <v>372</v>
      </c>
      <c r="E201" s="40" t="s">
        <v>373</v>
      </c>
      <c r="G201" s="40" t="s">
        <v>1054</v>
      </c>
      <c r="H201" s="40" t="s">
        <v>1070</v>
      </c>
      <c r="I201" s="40" t="s">
        <v>1071</v>
      </c>
      <c r="J201" s="43" t="str">
        <f t="shared" si="18"/>
        <v>HDL-</v>
      </c>
      <c r="K201" s="40" t="s">
        <v>98</v>
      </c>
      <c r="L201" s="44">
        <v>610</v>
      </c>
      <c r="M201" s="40" t="s">
        <v>1472</v>
      </c>
      <c r="N201" s="40" t="s">
        <v>11</v>
      </c>
      <c r="O201" s="40">
        <v>1.1801999999999999</v>
      </c>
      <c r="P201" s="45">
        <f t="shared" si="19"/>
        <v>719.92</v>
      </c>
      <c r="Q201" s="46">
        <f t="shared" si="20"/>
        <v>7.3003400000000003</v>
      </c>
      <c r="R201" s="47">
        <f t="shared" si="21"/>
        <v>0.16170000000000001</v>
      </c>
      <c r="S201" s="48">
        <f t="shared" si="22"/>
        <v>98.64</v>
      </c>
      <c r="T201" s="47" t="s">
        <v>349</v>
      </c>
      <c r="U201" s="40" t="s">
        <v>228</v>
      </c>
      <c r="V201" s="38">
        <v>7.1879</v>
      </c>
      <c r="W201" s="49">
        <f t="shared" si="23"/>
        <v>100.15748688768625</v>
      </c>
    </row>
    <row r="202" spans="1:23" x14ac:dyDescent="0.2">
      <c r="A202" s="40" t="s">
        <v>1069</v>
      </c>
      <c r="B202" s="41">
        <v>45663</v>
      </c>
      <c r="C202" s="41">
        <v>45618</v>
      </c>
      <c r="D202" s="40" t="s">
        <v>372</v>
      </c>
      <c r="E202" s="40" t="s">
        <v>373</v>
      </c>
      <c r="G202" s="40" t="s">
        <v>1054</v>
      </c>
      <c r="H202" s="40" t="s">
        <v>1067</v>
      </c>
      <c r="I202" s="40" t="s">
        <v>1068</v>
      </c>
      <c r="J202" s="43" t="str">
        <f t="shared" si="18"/>
        <v>HDL-</v>
      </c>
      <c r="K202" s="40" t="s">
        <v>98</v>
      </c>
      <c r="L202" s="44">
        <v>620</v>
      </c>
      <c r="M202" s="40" t="s">
        <v>1472</v>
      </c>
      <c r="N202" s="40" t="s">
        <v>11</v>
      </c>
      <c r="O202" s="40">
        <v>1.1801999999999999</v>
      </c>
      <c r="P202" s="45">
        <f t="shared" si="19"/>
        <v>731.72</v>
      </c>
      <c r="Q202" s="46">
        <f t="shared" si="20"/>
        <v>7.3003400000000003</v>
      </c>
      <c r="R202" s="47">
        <f t="shared" si="21"/>
        <v>0.16170000000000001</v>
      </c>
      <c r="S202" s="48">
        <f t="shared" si="22"/>
        <v>100.25</v>
      </c>
      <c r="T202" s="47" t="s">
        <v>349</v>
      </c>
      <c r="U202" s="40" t="s">
        <v>228</v>
      </c>
      <c r="V202" s="38">
        <v>7.1879</v>
      </c>
      <c r="W202" s="49">
        <f t="shared" si="23"/>
        <v>101.79941290223847</v>
      </c>
    </row>
    <row r="203" spans="1:23" x14ac:dyDescent="0.2">
      <c r="A203" s="40" t="s">
        <v>1066</v>
      </c>
      <c r="B203" s="41">
        <v>45663</v>
      </c>
      <c r="C203" s="41">
        <v>45618</v>
      </c>
      <c r="D203" s="40" t="s">
        <v>372</v>
      </c>
      <c r="E203" s="40" t="s">
        <v>373</v>
      </c>
      <c r="G203" s="40" t="s">
        <v>1054</v>
      </c>
      <c r="H203" s="40" t="s">
        <v>1064</v>
      </c>
      <c r="I203" s="40" t="s">
        <v>1065</v>
      </c>
      <c r="J203" s="43" t="str">
        <f t="shared" si="18"/>
        <v>HDL-</v>
      </c>
      <c r="K203" s="40" t="s">
        <v>98</v>
      </c>
      <c r="L203" s="44">
        <v>620</v>
      </c>
      <c r="M203" s="40" t="s">
        <v>1472</v>
      </c>
      <c r="N203" s="40" t="s">
        <v>11</v>
      </c>
      <c r="O203" s="40">
        <v>1.1801999999999999</v>
      </c>
      <c r="P203" s="45">
        <f t="shared" si="19"/>
        <v>731.72</v>
      </c>
      <c r="Q203" s="46">
        <f t="shared" si="20"/>
        <v>7.3003400000000003</v>
      </c>
      <c r="R203" s="47">
        <f t="shared" si="21"/>
        <v>0.16170000000000001</v>
      </c>
      <c r="S203" s="48">
        <f t="shared" si="22"/>
        <v>100.25</v>
      </c>
      <c r="T203" s="47" t="s">
        <v>349</v>
      </c>
      <c r="U203" s="40" t="s">
        <v>228</v>
      </c>
      <c r="V203" s="38">
        <v>7.1879</v>
      </c>
      <c r="W203" s="49">
        <f t="shared" si="23"/>
        <v>101.79941290223847</v>
      </c>
    </row>
    <row r="204" spans="1:23" x14ac:dyDescent="0.2">
      <c r="A204" s="40" t="s">
        <v>1063</v>
      </c>
      <c r="B204" s="41">
        <v>45663</v>
      </c>
      <c r="C204" s="41">
        <v>45618</v>
      </c>
      <c r="D204" s="40" t="s">
        <v>372</v>
      </c>
      <c r="E204" s="40" t="s">
        <v>373</v>
      </c>
      <c r="G204" s="40" t="s">
        <v>1054</v>
      </c>
      <c r="H204" s="40" t="s">
        <v>1061</v>
      </c>
      <c r="I204" s="40" t="s">
        <v>1062</v>
      </c>
      <c r="J204" s="43" t="str">
        <f t="shared" si="18"/>
        <v>HDL-</v>
      </c>
      <c r="K204" s="40" t="s">
        <v>98</v>
      </c>
      <c r="L204" s="44">
        <v>630</v>
      </c>
      <c r="M204" s="40" t="s">
        <v>1472</v>
      </c>
      <c r="N204" s="40" t="s">
        <v>11</v>
      </c>
      <c r="O204" s="40">
        <v>1.1801999999999999</v>
      </c>
      <c r="P204" s="45">
        <f t="shared" si="19"/>
        <v>743.53</v>
      </c>
      <c r="Q204" s="46">
        <f t="shared" si="20"/>
        <v>7.3003400000000003</v>
      </c>
      <c r="R204" s="47">
        <f t="shared" si="21"/>
        <v>0.16170000000000001</v>
      </c>
      <c r="S204" s="48">
        <f t="shared" si="22"/>
        <v>101.87</v>
      </c>
      <c r="T204" s="47" t="s">
        <v>349</v>
      </c>
      <c r="U204" s="40" t="s">
        <v>228</v>
      </c>
      <c r="V204" s="38">
        <v>7.1879</v>
      </c>
      <c r="W204" s="49">
        <f t="shared" si="23"/>
        <v>103.44133891679071</v>
      </c>
    </row>
    <row r="205" spans="1:23" x14ac:dyDescent="0.2">
      <c r="A205" s="40" t="s">
        <v>223</v>
      </c>
      <c r="B205" s="41">
        <v>45674</v>
      </c>
      <c r="C205" s="41">
        <v>45653</v>
      </c>
      <c r="D205" s="40" t="s">
        <v>61</v>
      </c>
      <c r="E205" s="40" t="s">
        <v>61</v>
      </c>
      <c r="G205" s="40" t="s">
        <v>224</v>
      </c>
      <c r="H205" s="40" t="s">
        <v>221</v>
      </c>
      <c r="I205" s="40" t="s">
        <v>222</v>
      </c>
      <c r="J205" s="43" t="str">
        <f t="shared" si="18"/>
        <v>KNOB</v>
      </c>
      <c r="K205" s="40" t="s">
        <v>10</v>
      </c>
      <c r="L205" s="44">
        <v>1350</v>
      </c>
      <c r="M205" s="40" t="s">
        <v>1472</v>
      </c>
      <c r="N205" s="40" t="s">
        <v>11</v>
      </c>
      <c r="O205" s="40">
        <v>1.2455000000000001</v>
      </c>
      <c r="P205" s="45">
        <f t="shared" si="19"/>
        <v>1681.43</v>
      </c>
      <c r="Q205" s="46">
        <f t="shared" si="20"/>
        <v>7.3003400000000003</v>
      </c>
      <c r="R205" s="47">
        <f t="shared" si="21"/>
        <v>0.1706</v>
      </c>
      <c r="S205" s="48">
        <f t="shared" si="22"/>
        <v>230.31</v>
      </c>
      <c r="T205" s="47" t="s">
        <v>349</v>
      </c>
      <c r="U205" s="40" t="s">
        <v>32</v>
      </c>
      <c r="V205" s="38">
        <v>7.1879</v>
      </c>
      <c r="W205" s="49">
        <f t="shared" si="23"/>
        <v>233.92437290446446</v>
      </c>
    </row>
    <row r="206" spans="1:23" x14ac:dyDescent="0.2">
      <c r="A206" s="40" t="s">
        <v>1169</v>
      </c>
      <c r="B206" s="41">
        <v>45663</v>
      </c>
      <c r="C206" s="41">
        <v>45629</v>
      </c>
      <c r="D206" s="40" t="s">
        <v>28</v>
      </c>
      <c r="E206" s="40" t="s">
        <v>29</v>
      </c>
      <c r="G206" s="40" t="s">
        <v>1161</v>
      </c>
      <c r="H206" s="40" t="s">
        <v>1167</v>
      </c>
      <c r="I206" s="40" t="s">
        <v>1168</v>
      </c>
      <c r="J206" s="43" t="str">
        <f t="shared" si="18"/>
        <v>FG--</v>
      </c>
      <c r="K206" s="40" t="s">
        <v>10</v>
      </c>
      <c r="L206" s="44">
        <v>2000</v>
      </c>
      <c r="M206" s="40" t="s">
        <v>1472</v>
      </c>
      <c r="N206" s="40" t="s">
        <v>11</v>
      </c>
      <c r="O206" s="40">
        <v>1.2692000000000001</v>
      </c>
      <c r="P206" s="45">
        <f t="shared" si="19"/>
        <v>2538.4</v>
      </c>
      <c r="Q206" s="46">
        <f t="shared" si="20"/>
        <v>7.3003400000000003</v>
      </c>
      <c r="R206" s="47">
        <f t="shared" si="21"/>
        <v>0.1739</v>
      </c>
      <c r="S206" s="48">
        <f t="shared" si="22"/>
        <v>347.8</v>
      </c>
      <c r="T206" s="47" t="s">
        <v>349</v>
      </c>
      <c r="U206" s="40" t="s">
        <v>64</v>
      </c>
      <c r="V206" s="38">
        <v>7.1879</v>
      </c>
      <c r="W206" s="49">
        <f t="shared" si="23"/>
        <v>353.14904214026353</v>
      </c>
    </row>
    <row r="207" spans="1:23" x14ac:dyDescent="0.2">
      <c r="A207" s="40" t="s">
        <v>1060</v>
      </c>
      <c r="B207" s="41">
        <v>45663</v>
      </c>
      <c r="C207" s="41">
        <v>45618</v>
      </c>
      <c r="D207" s="40" t="s">
        <v>372</v>
      </c>
      <c r="E207" s="40" t="s">
        <v>373</v>
      </c>
      <c r="G207" s="40" t="s">
        <v>1054</v>
      </c>
      <c r="H207" s="40" t="s">
        <v>1058</v>
      </c>
      <c r="I207" s="40" t="s">
        <v>1059</v>
      </c>
      <c r="J207" s="43" t="str">
        <f t="shared" si="18"/>
        <v>HDL-</v>
      </c>
      <c r="K207" s="40" t="s">
        <v>98</v>
      </c>
      <c r="L207" s="44">
        <v>620</v>
      </c>
      <c r="M207" s="40" t="s">
        <v>1472</v>
      </c>
      <c r="N207" s="40" t="s">
        <v>11</v>
      </c>
      <c r="O207" s="40">
        <v>1.2863</v>
      </c>
      <c r="P207" s="45">
        <f t="shared" si="19"/>
        <v>797.51</v>
      </c>
      <c r="Q207" s="46">
        <f t="shared" si="20"/>
        <v>7.3003400000000003</v>
      </c>
      <c r="R207" s="47">
        <f t="shared" si="21"/>
        <v>0.1762</v>
      </c>
      <c r="S207" s="48">
        <f t="shared" si="22"/>
        <v>109.24</v>
      </c>
      <c r="T207" s="47" t="s">
        <v>349</v>
      </c>
      <c r="U207" s="40" t="s">
        <v>228</v>
      </c>
      <c r="V207" s="38">
        <v>7.1879</v>
      </c>
      <c r="W207" s="49">
        <f t="shared" si="23"/>
        <v>110.95118184727112</v>
      </c>
    </row>
    <row r="208" spans="1:23" x14ac:dyDescent="0.2">
      <c r="A208" s="40" t="s">
        <v>1057</v>
      </c>
      <c r="B208" s="41">
        <v>45663</v>
      </c>
      <c r="C208" s="41">
        <v>45618</v>
      </c>
      <c r="D208" s="40" t="s">
        <v>372</v>
      </c>
      <c r="E208" s="40" t="s">
        <v>373</v>
      </c>
      <c r="G208" s="40" t="s">
        <v>1054</v>
      </c>
      <c r="H208" s="40" t="s">
        <v>1055</v>
      </c>
      <c r="I208" s="40" t="s">
        <v>1056</v>
      </c>
      <c r="J208" s="43" t="str">
        <f t="shared" si="18"/>
        <v>HDL-</v>
      </c>
      <c r="K208" s="40" t="s">
        <v>98</v>
      </c>
      <c r="L208" s="44">
        <v>620</v>
      </c>
      <c r="M208" s="40" t="s">
        <v>1472</v>
      </c>
      <c r="N208" s="40" t="s">
        <v>11</v>
      </c>
      <c r="O208" s="40">
        <v>1.2863</v>
      </c>
      <c r="P208" s="45">
        <f t="shared" si="19"/>
        <v>797.51</v>
      </c>
      <c r="Q208" s="46">
        <f t="shared" si="20"/>
        <v>7.3003400000000003</v>
      </c>
      <c r="R208" s="47">
        <f t="shared" si="21"/>
        <v>0.1762</v>
      </c>
      <c r="S208" s="48">
        <f t="shared" si="22"/>
        <v>109.24</v>
      </c>
      <c r="T208" s="47" t="s">
        <v>349</v>
      </c>
      <c r="U208" s="40" t="s">
        <v>228</v>
      </c>
      <c r="V208" s="38">
        <v>7.1879</v>
      </c>
      <c r="W208" s="49">
        <f t="shared" si="23"/>
        <v>110.95118184727112</v>
      </c>
    </row>
    <row r="209" spans="1:23" x14ac:dyDescent="0.2">
      <c r="A209" s="40" t="s">
        <v>1053</v>
      </c>
      <c r="B209" s="41">
        <v>45663</v>
      </c>
      <c r="C209" s="41">
        <v>45618</v>
      </c>
      <c r="D209" s="40" t="s">
        <v>372</v>
      </c>
      <c r="E209" s="40" t="s">
        <v>373</v>
      </c>
      <c r="G209" s="40" t="s">
        <v>1054</v>
      </c>
      <c r="H209" s="40" t="s">
        <v>1051</v>
      </c>
      <c r="I209" s="40" t="s">
        <v>1052</v>
      </c>
      <c r="J209" s="43" t="str">
        <f t="shared" si="18"/>
        <v>HDL-</v>
      </c>
      <c r="K209" s="40" t="s">
        <v>98</v>
      </c>
      <c r="L209" s="44">
        <v>626</v>
      </c>
      <c r="M209" s="40" t="s">
        <v>1472</v>
      </c>
      <c r="N209" s="40" t="s">
        <v>11</v>
      </c>
      <c r="O209" s="40">
        <v>1.2863</v>
      </c>
      <c r="P209" s="45">
        <f t="shared" si="19"/>
        <v>805.22</v>
      </c>
      <c r="Q209" s="46">
        <f t="shared" si="20"/>
        <v>7.3003400000000003</v>
      </c>
      <c r="R209" s="47">
        <f t="shared" si="21"/>
        <v>0.1762</v>
      </c>
      <c r="S209" s="48">
        <f t="shared" si="22"/>
        <v>110.3</v>
      </c>
      <c r="T209" s="47" t="s">
        <v>349</v>
      </c>
      <c r="U209" s="40" t="s">
        <v>228</v>
      </c>
      <c r="V209" s="38">
        <v>7.1879</v>
      </c>
      <c r="W209" s="49">
        <f t="shared" si="23"/>
        <v>112.02490296192212</v>
      </c>
    </row>
    <row r="210" spans="1:23" x14ac:dyDescent="0.2">
      <c r="A210" s="40" t="s">
        <v>1125</v>
      </c>
      <c r="B210" s="41">
        <v>45663</v>
      </c>
      <c r="C210" s="41">
        <v>45643</v>
      </c>
      <c r="D210" s="40" t="s">
        <v>169</v>
      </c>
      <c r="E210" s="40" t="s">
        <v>170</v>
      </c>
      <c r="G210" s="40" t="s">
        <v>1122</v>
      </c>
      <c r="H210" s="40" t="s">
        <v>1124</v>
      </c>
      <c r="I210" s="40" t="s">
        <v>643</v>
      </c>
      <c r="J210" s="43" t="str">
        <f t="shared" si="18"/>
        <v>U&amp;C-</v>
      </c>
      <c r="K210" s="40" t="s">
        <v>10</v>
      </c>
      <c r="L210" s="44">
        <v>2100</v>
      </c>
      <c r="M210" s="40" t="s">
        <v>1472</v>
      </c>
      <c r="N210" s="40" t="s">
        <v>11</v>
      </c>
      <c r="O210" s="40">
        <v>1.29</v>
      </c>
      <c r="P210" s="45">
        <f t="shared" si="19"/>
        <v>2709</v>
      </c>
      <c r="Q210" s="46">
        <f t="shared" si="20"/>
        <v>7.3003400000000003</v>
      </c>
      <c r="R210" s="47">
        <f t="shared" si="21"/>
        <v>0.1767</v>
      </c>
      <c r="S210" s="48">
        <f t="shared" si="22"/>
        <v>371.07</v>
      </c>
      <c r="T210" s="47" t="s">
        <v>349</v>
      </c>
      <c r="U210" s="40" t="s">
        <v>177</v>
      </c>
      <c r="V210" s="38">
        <v>7.1879</v>
      </c>
      <c r="W210" s="49">
        <f t="shared" si="23"/>
        <v>376.88337344704291</v>
      </c>
    </row>
    <row r="211" spans="1:23" x14ac:dyDescent="0.2">
      <c r="A211" s="40" t="s">
        <v>1123</v>
      </c>
      <c r="B211" s="41">
        <v>45663</v>
      </c>
      <c r="C211" s="41">
        <v>45643</v>
      </c>
      <c r="D211" s="40" t="s">
        <v>169</v>
      </c>
      <c r="E211" s="40" t="s">
        <v>170</v>
      </c>
      <c r="G211" s="40" t="s">
        <v>1122</v>
      </c>
      <c r="H211" s="40" t="s">
        <v>642</v>
      </c>
      <c r="I211" s="40" t="s">
        <v>643</v>
      </c>
      <c r="J211" s="43" t="str">
        <f t="shared" si="18"/>
        <v>U&amp;C-</v>
      </c>
      <c r="K211" s="40" t="s">
        <v>10</v>
      </c>
      <c r="L211" s="44">
        <v>2100</v>
      </c>
      <c r="M211" s="40" t="s">
        <v>1472</v>
      </c>
      <c r="N211" s="40" t="s">
        <v>11</v>
      </c>
      <c r="O211" s="40">
        <v>1.29</v>
      </c>
      <c r="P211" s="45">
        <f t="shared" si="19"/>
        <v>2709</v>
      </c>
      <c r="Q211" s="46">
        <f t="shared" si="20"/>
        <v>7.3003400000000003</v>
      </c>
      <c r="R211" s="47">
        <f t="shared" si="21"/>
        <v>0.1767</v>
      </c>
      <c r="S211" s="48">
        <f t="shared" si="22"/>
        <v>371.07</v>
      </c>
      <c r="T211" s="47" t="s">
        <v>349</v>
      </c>
      <c r="U211" s="40" t="s">
        <v>177</v>
      </c>
      <c r="V211" s="38">
        <v>7.1879</v>
      </c>
      <c r="W211" s="49">
        <f t="shared" si="23"/>
        <v>376.88337344704291</v>
      </c>
    </row>
    <row r="212" spans="1:23" x14ac:dyDescent="0.2">
      <c r="A212" s="40" t="s">
        <v>498</v>
      </c>
      <c r="B212" s="41">
        <v>45670</v>
      </c>
      <c r="C212" s="41">
        <v>45653</v>
      </c>
      <c r="D212" s="40" t="s">
        <v>5</v>
      </c>
      <c r="E212" s="40" t="s">
        <v>6</v>
      </c>
      <c r="G212" s="40" t="s">
        <v>492</v>
      </c>
      <c r="H212" s="40" t="s">
        <v>496</v>
      </c>
      <c r="I212" s="40" t="s">
        <v>497</v>
      </c>
      <c r="J212" s="43" t="str">
        <f t="shared" si="18"/>
        <v>SHTS</v>
      </c>
      <c r="K212" s="40" t="s">
        <v>10</v>
      </c>
      <c r="L212" s="44">
        <v>1010</v>
      </c>
      <c r="M212" s="40" t="s">
        <v>1472</v>
      </c>
      <c r="N212" s="40" t="s">
        <v>11</v>
      </c>
      <c r="O212" s="40">
        <v>1.3</v>
      </c>
      <c r="P212" s="45">
        <f t="shared" si="19"/>
        <v>1313</v>
      </c>
      <c r="Q212" s="46">
        <f t="shared" si="20"/>
        <v>7.3003400000000003</v>
      </c>
      <c r="R212" s="47">
        <f t="shared" si="21"/>
        <v>0.17810000000000001</v>
      </c>
      <c r="S212" s="48">
        <f t="shared" si="22"/>
        <v>179.88</v>
      </c>
      <c r="T212" s="47" t="s">
        <v>349</v>
      </c>
      <c r="U212" s="40" t="s">
        <v>9</v>
      </c>
      <c r="V212" s="38">
        <v>7.1879</v>
      </c>
      <c r="W212" s="49">
        <f t="shared" si="23"/>
        <v>182.66809499297432</v>
      </c>
    </row>
    <row r="213" spans="1:23" x14ac:dyDescent="0.2">
      <c r="A213" s="40" t="s">
        <v>62</v>
      </c>
      <c r="B213" s="41">
        <v>45679</v>
      </c>
      <c r="C213" s="41">
        <v>45653</v>
      </c>
      <c r="D213" s="40" t="s">
        <v>61</v>
      </c>
      <c r="E213" s="40" t="s">
        <v>61</v>
      </c>
      <c r="G213" s="40" t="s">
        <v>63</v>
      </c>
      <c r="H213" s="40" t="s">
        <v>59</v>
      </c>
      <c r="I213" s="40" t="s">
        <v>60</v>
      </c>
      <c r="J213" s="43" t="str">
        <f t="shared" si="18"/>
        <v>FG--</v>
      </c>
      <c r="K213" s="40" t="s">
        <v>10</v>
      </c>
      <c r="L213" s="44">
        <v>1600</v>
      </c>
      <c r="M213" s="40" t="s">
        <v>1472</v>
      </c>
      <c r="N213" s="40" t="s">
        <v>11</v>
      </c>
      <c r="O213" s="40">
        <v>1.3002</v>
      </c>
      <c r="P213" s="45">
        <f t="shared" si="19"/>
        <v>2080.3200000000002</v>
      </c>
      <c r="Q213" s="46">
        <f t="shared" si="20"/>
        <v>7.3003400000000003</v>
      </c>
      <c r="R213" s="47">
        <f t="shared" si="21"/>
        <v>0.17810000000000001</v>
      </c>
      <c r="S213" s="48">
        <f t="shared" si="22"/>
        <v>284.95999999999998</v>
      </c>
      <c r="T213" s="47" t="s">
        <v>349</v>
      </c>
      <c r="U213" s="40" t="s">
        <v>64</v>
      </c>
      <c r="V213" s="38">
        <v>7.1879</v>
      </c>
      <c r="W213" s="49">
        <f t="shared" si="23"/>
        <v>289.4197192504069</v>
      </c>
    </row>
    <row r="214" spans="1:23" x14ac:dyDescent="0.2">
      <c r="A214" s="40" t="s">
        <v>1024</v>
      </c>
      <c r="B214" s="41">
        <v>45663</v>
      </c>
      <c r="C214" s="41">
        <v>45646</v>
      </c>
      <c r="D214" s="40" t="s">
        <v>252</v>
      </c>
      <c r="E214" s="40" t="s">
        <v>253</v>
      </c>
      <c r="G214" s="40" t="s">
        <v>1025</v>
      </c>
      <c r="H214" s="40" t="s">
        <v>1022</v>
      </c>
      <c r="I214" s="40" t="s">
        <v>1023</v>
      </c>
      <c r="J214" s="43" t="str">
        <f t="shared" si="18"/>
        <v>ANYD</v>
      </c>
      <c r="K214" s="40" t="s">
        <v>10</v>
      </c>
      <c r="L214" s="44">
        <v>1000</v>
      </c>
      <c r="M214" s="40" t="s">
        <v>1472</v>
      </c>
      <c r="N214" s="40" t="s">
        <v>11</v>
      </c>
      <c r="O214" s="40">
        <v>1.31</v>
      </c>
      <c r="P214" s="45">
        <f t="shared" si="19"/>
        <v>1310</v>
      </c>
      <c r="Q214" s="46">
        <f t="shared" si="20"/>
        <v>7.3003400000000003</v>
      </c>
      <c r="R214" s="47">
        <f t="shared" si="21"/>
        <v>0.1794</v>
      </c>
      <c r="S214" s="48">
        <f t="shared" si="22"/>
        <v>179.4</v>
      </c>
      <c r="T214" s="47" t="s">
        <v>349</v>
      </c>
      <c r="U214" s="40" t="s">
        <v>36</v>
      </c>
      <c r="V214" s="38">
        <v>7.1879</v>
      </c>
      <c r="W214" s="49">
        <f t="shared" si="23"/>
        <v>182.25072691606729</v>
      </c>
    </row>
    <row r="215" spans="1:23" x14ac:dyDescent="0.2">
      <c r="A215" s="40" t="s">
        <v>687</v>
      </c>
      <c r="B215" s="41">
        <v>45667</v>
      </c>
      <c r="C215" s="41">
        <v>45653</v>
      </c>
      <c r="D215" s="40" t="s">
        <v>252</v>
      </c>
      <c r="E215" s="40" t="s">
        <v>253</v>
      </c>
      <c r="G215" s="40" t="s">
        <v>681</v>
      </c>
      <c r="H215" s="40" t="s">
        <v>685</v>
      </c>
      <c r="I215" s="40" t="s">
        <v>686</v>
      </c>
      <c r="J215" s="43" t="str">
        <f t="shared" si="18"/>
        <v>ANYD</v>
      </c>
      <c r="K215" s="40" t="s">
        <v>10</v>
      </c>
      <c r="L215" s="44">
        <v>1000</v>
      </c>
      <c r="M215" s="40" t="s">
        <v>1472</v>
      </c>
      <c r="N215" s="40" t="s">
        <v>11</v>
      </c>
      <c r="O215" s="40">
        <v>1.31</v>
      </c>
      <c r="P215" s="45">
        <f t="shared" si="19"/>
        <v>1310</v>
      </c>
      <c r="Q215" s="46">
        <f t="shared" si="20"/>
        <v>7.3003400000000003</v>
      </c>
      <c r="R215" s="47">
        <f t="shared" si="21"/>
        <v>0.1794</v>
      </c>
      <c r="S215" s="48">
        <f t="shared" si="22"/>
        <v>179.4</v>
      </c>
      <c r="T215" s="47" t="s">
        <v>349</v>
      </c>
      <c r="U215" s="40" t="s">
        <v>36</v>
      </c>
      <c r="V215" s="38">
        <v>7.1879</v>
      </c>
      <c r="W215" s="49">
        <f t="shared" si="23"/>
        <v>182.25072691606729</v>
      </c>
    </row>
    <row r="216" spans="1:23" x14ac:dyDescent="0.2">
      <c r="A216" s="40" t="s">
        <v>684</v>
      </c>
      <c r="B216" s="41">
        <v>45667</v>
      </c>
      <c r="C216" s="41">
        <v>45653</v>
      </c>
      <c r="D216" s="40" t="s">
        <v>252</v>
      </c>
      <c r="E216" s="40" t="s">
        <v>253</v>
      </c>
      <c r="G216" s="40" t="s">
        <v>681</v>
      </c>
      <c r="H216" s="40" t="s">
        <v>682</v>
      </c>
      <c r="I216" s="40" t="s">
        <v>683</v>
      </c>
      <c r="J216" s="43" t="str">
        <f t="shared" si="18"/>
        <v>ANYD</v>
      </c>
      <c r="K216" s="40" t="s">
        <v>10</v>
      </c>
      <c r="L216" s="44">
        <v>1000</v>
      </c>
      <c r="M216" s="40" t="s">
        <v>1472</v>
      </c>
      <c r="N216" s="40" t="s">
        <v>11</v>
      </c>
      <c r="O216" s="40">
        <v>1.38</v>
      </c>
      <c r="P216" s="45">
        <f t="shared" si="19"/>
        <v>1380</v>
      </c>
      <c r="Q216" s="46">
        <f t="shared" si="20"/>
        <v>7.3003400000000003</v>
      </c>
      <c r="R216" s="47">
        <f t="shared" si="21"/>
        <v>0.189</v>
      </c>
      <c r="S216" s="48">
        <f t="shared" si="22"/>
        <v>189</v>
      </c>
      <c r="T216" s="47" t="s">
        <v>349</v>
      </c>
      <c r="U216" s="40" t="s">
        <v>36</v>
      </c>
      <c r="V216" s="38">
        <v>7.1879</v>
      </c>
      <c r="W216" s="49">
        <f t="shared" si="23"/>
        <v>191.98931537723115</v>
      </c>
    </row>
    <row r="217" spans="1:23" x14ac:dyDescent="0.2">
      <c r="A217" s="40" t="s">
        <v>680</v>
      </c>
      <c r="B217" s="41">
        <v>45667</v>
      </c>
      <c r="C217" s="41">
        <v>45653</v>
      </c>
      <c r="D217" s="40" t="s">
        <v>252</v>
      </c>
      <c r="E217" s="40" t="s">
        <v>253</v>
      </c>
      <c r="G217" s="40" t="s">
        <v>681</v>
      </c>
      <c r="H217" s="40" t="s">
        <v>678</v>
      </c>
      <c r="I217" s="40" t="s">
        <v>679</v>
      </c>
      <c r="J217" s="43" t="str">
        <f t="shared" si="18"/>
        <v>ANYD</v>
      </c>
      <c r="K217" s="40" t="s">
        <v>10</v>
      </c>
      <c r="L217" s="44">
        <v>1000</v>
      </c>
      <c r="M217" s="40" t="s">
        <v>1472</v>
      </c>
      <c r="N217" s="40" t="s">
        <v>11</v>
      </c>
      <c r="O217" s="40">
        <v>1.38</v>
      </c>
      <c r="P217" s="45">
        <f t="shared" si="19"/>
        <v>1380</v>
      </c>
      <c r="Q217" s="46">
        <f t="shared" si="20"/>
        <v>7.3003400000000003</v>
      </c>
      <c r="R217" s="47">
        <f t="shared" si="21"/>
        <v>0.189</v>
      </c>
      <c r="S217" s="48">
        <f t="shared" si="22"/>
        <v>189</v>
      </c>
      <c r="T217" s="47" t="s">
        <v>349</v>
      </c>
      <c r="U217" s="40" t="s">
        <v>36</v>
      </c>
      <c r="V217" s="38">
        <v>7.1879</v>
      </c>
      <c r="W217" s="49">
        <f t="shared" si="23"/>
        <v>191.98931537723115</v>
      </c>
    </row>
    <row r="218" spans="1:23" x14ac:dyDescent="0.2">
      <c r="A218" s="40" t="s">
        <v>1166</v>
      </c>
      <c r="B218" s="41">
        <v>45663</v>
      </c>
      <c r="C218" s="41">
        <v>45629</v>
      </c>
      <c r="D218" s="40" t="s">
        <v>28</v>
      </c>
      <c r="E218" s="40" t="s">
        <v>29</v>
      </c>
      <c r="G218" s="40" t="s">
        <v>1161</v>
      </c>
      <c r="H218" s="40" t="s">
        <v>1162</v>
      </c>
      <c r="I218" s="40" t="s">
        <v>1163</v>
      </c>
      <c r="J218" s="43" t="str">
        <f t="shared" si="18"/>
        <v>FG--</v>
      </c>
      <c r="K218" s="40" t="s">
        <v>10</v>
      </c>
      <c r="L218" s="44">
        <v>1000</v>
      </c>
      <c r="M218" s="40" t="s">
        <v>1472</v>
      </c>
      <c r="N218" s="40" t="s">
        <v>11</v>
      </c>
      <c r="O218" s="40">
        <v>1.3815999999999999</v>
      </c>
      <c r="P218" s="45">
        <f t="shared" si="19"/>
        <v>1381.6</v>
      </c>
      <c r="Q218" s="46">
        <f t="shared" si="20"/>
        <v>7.3003400000000003</v>
      </c>
      <c r="R218" s="47">
        <f t="shared" si="21"/>
        <v>0.1893</v>
      </c>
      <c r="S218" s="48">
        <f t="shared" si="22"/>
        <v>189.3</v>
      </c>
      <c r="T218" s="47" t="s">
        <v>349</v>
      </c>
      <c r="U218" s="40" t="s">
        <v>64</v>
      </c>
      <c r="V218" s="38">
        <v>7.1879</v>
      </c>
      <c r="W218" s="49">
        <f t="shared" si="23"/>
        <v>192.21191168491492</v>
      </c>
    </row>
    <row r="219" spans="1:23" x14ac:dyDescent="0.2">
      <c r="A219" s="40" t="s">
        <v>1165</v>
      </c>
      <c r="B219" s="41">
        <v>45663</v>
      </c>
      <c r="C219" s="41">
        <v>45629</v>
      </c>
      <c r="D219" s="40" t="s">
        <v>28</v>
      </c>
      <c r="E219" s="40" t="s">
        <v>29</v>
      </c>
      <c r="G219" s="40" t="s">
        <v>1161</v>
      </c>
      <c r="H219" s="40" t="s">
        <v>1158</v>
      </c>
      <c r="I219" s="40" t="s">
        <v>1159</v>
      </c>
      <c r="J219" s="43" t="str">
        <f t="shared" si="18"/>
        <v>FG--</v>
      </c>
      <c r="K219" s="40" t="s">
        <v>10</v>
      </c>
      <c r="L219" s="44">
        <v>1040</v>
      </c>
      <c r="M219" s="40" t="s">
        <v>1472</v>
      </c>
      <c r="N219" s="40" t="s">
        <v>11</v>
      </c>
      <c r="O219" s="40">
        <v>1.3815999999999999</v>
      </c>
      <c r="P219" s="45">
        <f t="shared" si="19"/>
        <v>1436.86</v>
      </c>
      <c r="Q219" s="46">
        <f t="shared" si="20"/>
        <v>7.3003400000000003</v>
      </c>
      <c r="R219" s="47">
        <f t="shared" si="21"/>
        <v>0.1893</v>
      </c>
      <c r="S219" s="48">
        <f t="shared" si="22"/>
        <v>196.87</v>
      </c>
      <c r="T219" s="47" t="s">
        <v>349</v>
      </c>
      <c r="U219" s="40" t="s">
        <v>64</v>
      </c>
      <c r="V219" s="38">
        <v>7.1879</v>
      </c>
      <c r="W219" s="49">
        <f t="shared" si="23"/>
        <v>199.90038815231151</v>
      </c>
    </row>
    <row r="220" spans="1:23" x14ac:dyDescent="0.2">
      <c r="A220" s="40" t="s">
        <v>1164</v>
      </c>
      <c r="B220" s="41">
        <v>45663</v>
      </c>
      <c r="C220" s="41">
        <v>45646</v>
      </c>
      <c r="D220" s="40" t="s">
        <v>28</v>
      </c>
      <c r="E220" s="40" t="s">
        <v>29</v>
      </c>
      <c r="G220" s="40" t="s">
        <v>1161</v>
      </c>
      <c r="H220" s="40" t="s">
        <v>1162</v>
      </c>
      <c r="I220" s="40" t="s">
        <v>1163</v>
      </c>
      <c r="J220" s="43" t="str">
        <f t="shared" si="18"/>
        <v>FG--</v>
      </c>
      <c r="K220" s="40" t="s">
        <v>10</v>
      </c>
      <c r="L220" s="44">
        <v>1050</v>
      </c>
      <c r="M220" s="40" t="s">
        <v>1472</v>
      </c>
      <c r="N220" s="40" t="s">
        <v>11</v>
      </c>
      <c r="O220" s="40">
        <v>1.3815999999999999</v>
      </c>
      <c r="P220" s="45">
        <f t="shared" si="19"/>
        <v>1450.68</v>
      </c>
      <c r="Q220" s="46">
        <f t="shared" si="20"/>
        <v>7.3003400000000003</v>
      </c>
      <c r="R220" s="47">
        <f t="shared" si="21"/>
        <v>0.1893</v>
      </c>
      <c r="S220" s="48">
        <f t="shared" si="22"/>
        <v>198.77</v>
      </c>
      <c r="T220" s="47" t="s">
        <v>349</v>
      </c>
      <c r="U220" s="40" t="s">
        <v>64</v>
      </c>
      <c r="V220" s="38">
        <v>7.1879</v>
      </c>
      <c r="W220" s="49">
        <f t="shared" si="23"/>
        <v>201.82250726916067</v>
      </c>
    </row>
    <row r="221" spans="1:23" x14ac:dyDescent="0.2">
      <c r="A221" s="40" t="s">
        <v>1160</v>
      </c>
      <c r="B221" s="41">
        <v>45663</v>
      </c>
      <c r="C221" s="41">
        <v>45646</v>
      </c>
      <c r="D221" s="40" t="s">
        <v>28</v>
      </c>
      <c r="E221" s="40" t="s">
        <v>29</v>
      </c>
      <c r="G221" s="40" t="s">
        <v>1161</v>
      </c>
      <c r="H221" s="40" t="s">
        <v>1158</v>
      </c>
      <c r="I221" s="40" t="s">
        <v>1159</v>
      </c>
      <c r="J221" s="43" t="str">
        <f t="shared" si="18"/>
        <v>FG--</v>
      </c>
      <c r="K221" s="40" t="s">
        <v>10</v>
      </c>
      <c r="L221" s="44">
        <v>1050</v>
      </c>
      <c r="M221" s="40" t="s">
        <v>1472</v>
      </c>
      <c r="N221" s="40" t="s">
        <v>11</v>
      </c>
      <c r="O221" s="40">
        <v>1.3815999999999999</v>
      </c>
      <c r="P221" s="45">
        <f t="shared" si="19"/>
        <v>1450.68</v>
      </c>
      <c r="Q221" s="46">
        <f t="shared" si="20"/>
        <v>7.3003400000000003</v>
      </c>
      <c r="R221" s="47">
        <f t="shared" si="21"/>
        <v>0.1893</v>
      </c>
      <c r="S221" s="48">
        <f t="shared" si="22"/>
        <v>198.77</v>
      </c>
      <c r="T221" s="47" t="s">
        <v>349</v>
      </c>
      <c r="U221" s="40" t="s">
        <v>64</v>
      </c>
      <c r="V221" s="38">
        <v>7.1879</v>
      </c>
      <c r="W221" s="49">
        <f t="shared" si="23"/>
        <v>201.82250726916067</v>
      </c>
    </row>
    <row r="222" spans="1:23" x14ac:dyDescent="0.2">
      <c r="A222" s="40" t="s">
        <v>227</v>
      </c>
      <c r="B222" s="41">
        <v>45674</v>
      </c>
      <c r="C222" s="41">
        <v>45653</v>
      </c>
      <c r="D222" s="40" t="s">
        <v>61</v>
      </c>
      <c r="E222" s="40" t="s">
        <v>61</v>
      </c>
      <c r="G222" s="40" t="s">
        <v>224</v>
      </c>
      <c r="H222" s="40" t="s">
        <v>225</v>
      </c>
      <c r="I222" s="40" t="s">
        <v>226</v>
      </c>
      <c r="J222" s="43" t="str">
        <f t="shared" si="18"/>
        <v>HDL-</v>
      </c>
      <c r="K222" s="40" t="s">
        <v>10</v>
      </c>
      <c r="L222" s="44">
        <v>1050</v>
      </c>
      <c r="M222" s="40" t="s">
        <v>1472</v>
      </c>
      <c r="N222" s="40" t="s">
        <v>11</v>
      </c>
      <c r="O222" s="40">
        <v>1.3992</v>
      </c>
      <c r="P222" s="45">
        <f t="shared" si="19"/>
        <v>1469.16</v>
      </c>
      <c r="Q222" s="46">
        <f t="shared" si="20"/>
        <v>7.3003400000000003</v>
      </c>
      <c r="R222" s="47">
        <f t="shared" si="21"/>
        <v>0.19170000000000001</v>
      </c>
      <c r="S222" s="48">
        <f t="shared" si="22"/>
        <v>201.29</v>
      </c>
      <c r="T222" s="47" t="s">
        <v>349</v>
      </c>
      <c r="U222" s="40" t="s">
        <v>228</v>
      </c>
      <c r="V222" s="38">
        <v>7.1879</v>
      </c>
      <c r="W222" s="49">
        <f t="shared" si="23"/>
        <v>204.39349462290792</v>
      </c>
    </row>
    <row r="223" spans="1:23" x14ac:dyDescent="0.2">
      <c r="A223" s="40" t="s">
        <v>374</v>
      </c>
      <c r="B223" s="41">
        <v>45671</v>
      </c>
      <c r="C223" s="41">
        <v>45653</v>
      </c>
      <c r="D223" s="40" t="s">
        <v>372</v>
      </c>
      <c r="E223" s="40" t="s">
        <v>373</v>
      </c>
      <c r="G223" s="40" t="s">
        <v>375</v>
      </c>
      <c r="H223" s="40" t="s">
        <v>370</v>
      </c>
      <c r="I223" s="40" t="s">
        <v>371</v>
      </c>
      <c r="J223" s="43" t="str">
        <f t="shared" si="18"/>
        <v>HDL-</v>
      </c>
      <c r="K223" s="40" t="s">
        <v>98</v>
      </c>
      <c r="L223" s="44">
        <v>1050</v>
      </c>
      <c r="M223" s="40" t="s">
        <v>1472</v>
      </c>
      <c r="N223" s="40" t="s">
        <v>11</v>
      </c>
      <c r="O223" s="40">
        <v>1.4438</v>
      </c>
      <c r="P223" s="45">
        <f t="shared" si="19"/>
        <v>1515.99</v>
      </c>
      <c r="Q223" s="46">
        <f t="shared" si="20"/>
        <v>7.3003400000000003</v>
      </c>
      <c r="R223" s="47">
        <f t="shared" si="21"/>
        <v>0.1978</v>
      </c>
      <c r="S223" s="48">
        <f t="shared" si="22"/>
        <v>207.69</v>
      </c>
      <c r="T223" s="47" t="s">
        <v>349</v>
      </c>
      <c r="U223" s="40" t="s">
        <v>228</v>
      </c>
      <c r="V223" s="38">
        <v>7.1879</v>
      </c>
      <c r="W223" s="49">
        <f t="shared" si="23"/>
        <v>210.9086103034266</v>
      </c>
    </row>
    <row r="224" spans="1:23" x14ac:dyDescent="0.2">
      <c r="A224" s="40" t="s">
        <v>653</v>
      </c>
      <c r="B224" s="41">
        <v>45670</v>
      </c>
      <c r="C224" s="41">
        <v>45650</v>
      </c>
      <c r="D224" s="40" t="s">
        <v>651</v>
      </c>
      <c r="E224" s="40" t="s">
        <v>652</v>
      </c>
      <c r="G224" s="40" t="s">
        <v>654</v>
      </c>
      <c r="H224" s="40" t="s">
        <v>649</v>
      </c>
      <c r="I224" s="40" t="s">
        <v>650</v>
      </c>
      <c r="J224" s="43" t="str">
        <f t="shared" si="18"/>
        <v>HDL-</v>
      </c>
      <c r="K224" s="40" t="s">
        <v>10</v>
      </c>
      <c r="L224" s="44">
        <v>520</v>
      </c>
      <c r="M224" s="40" t="s">
        <v>1472</v>
      </c>
      <c r="N224" s="40" t="s">
        <v>11</v>
      </c>
      <c r="O224" s="40">
        <v>1.5</v>
      </c>
      <c r="P224" s="45">
        <f t="shared" si="19"/>
        <v>780</v>
      </c>
      <c r="Q224" s="46">
        <f t="shared" si="20"/>
        <v>7.3003400000000003</v>
      </c>
      <c r="R224" s="47">
        <f t="shared" si="21"/>
        <v>0.20549999999999999</v>
      </c>
      <c r="S224" s="48">
        <f t="shared" si="22"/>
        <v>106.86</v>
      </c>
      <c r="T224" s="47" t="s">
        <v>349</v>
      </c>
      <c r="U224" s="40" t="s">
        <v>228</v>
      </c>
      <c r="V224" s="38">
        <v>7.1879</v>
      </c>
      <c r="W224" s="49">
        <f t="shared" si="23"/>
        <v>108.51569999582632</v>
      </c>
    </row>
    <row r="225" spans="1:23" x14ac:dyDescent="0.2">
      <c r="A225" s="40" t="s">
        <v>180</v>
      </c>
      <c r="B225" s="41">
        <v>45674</v>
      </c>
      <c r="C225" s="41">
        <v>45663</v>
      </c>
      <c r="D225" s="40" t="s">
        <v>169</v>
      </c>
      <c r="E225" s="40" t="s">
        <v>170</v>
      </c>
      <c r="G225" s="40" t="s">
        <v>172</v>
      </c>
      <c r="H225" s="40" t="s">
        <v>178</v>
      </c>
      <c r="I225" s="40" t="s">
        <v>179</v>
      </c>
      <c r="J225" s="43" t="str">
        <f t="shared" si="18"/>
        <v>PRIM</v>
      </c>
      <c r="K225" s="40" t="s">
        <v>10</v>
      </c>
      <c r="L225" s="44">
        <v>1000</v>
      </c>
      <c r="M225" s="40" t="s">
        <v>1472</v>
      </c>
      <c r="N225" s="40" t="s">
        <v>11</v>
      </c>
      <c r="O225" s="40">
        <v>1.53</v>
      </c>
      <c r="P225" s="45">
        <f t="shared" si="19"/>
        <v>1530</v>
      </c>
      <c r="Q225" s="46">
        <f t="shared" si="20"/>
        <v>7.3003400000000003</v>
      </c>
      <c r="R225" s="47">
        <f t="shared" si="21"/>
        <v>0.20960000000000001</v>
      </c>
      <c r="S225" s="48">
        <f t="shared" si="22"/>
        <v>209.6</v>
      </c>
      <c r="T225" s="47" t="s">
        <v>349</v>
      </c>
      <c r="U225" s="40" t="s">
        <v>181</v>
      </c>
      <c r="V225" s="38">
        <v>7.1879</v>
      </c>
      <c r="W225" s="49">
        <f t="shared" si="23"/>
        <v>212.8577192225824</v>
      </c>
    </row>
    <row r="226" spans="1:23" x14ac:dyDescent="0.2">
      <c r="A226" s="40" t="s">
        <v>731</v>
      </c>
      <c r="B226" s="41">
        <v>45667</v>
      </c>
      <c r="C226" s="41">
        <v>45646</v>
      </c>
      <c r="D226" s="40" t="s">
        <v>709</v>
      </c>
      <c r="E226" s="40" t="s">
        <v>710</v>
      </c>
      <c r="G226" s="40" t="s">
        <v>712</v>
      </c>
      <c r="H226" s="40" t="s">
        <v>729</v>
      </c>
      <c r="I226" s="40" t="s">
        <v>730</v>
      </c>
      <c r="J226" s="43" t="str">
        <f t="shared" si="18"/>
        <v>HDL-</v>
      </c>
      <c r="K226" s="40" t="s">
        <v>10</v>
      </c>
      <c r="L226" s="44">
        <v>2000</v>
      </c>
      <c r="M226" s="40" t="s">
        <v>1472</v>
      </c>
      <c r="N226" s="40" t="s">
        <v>11</v>
      </c>
      <c r="O226" s="40">
        <v>1.5313000000000001</v>
      </c>
      <c r="P226" s="45">
        <f t="shared" si="19"/>
        <v>3062.6</v>
      </c>
      <c r="Q226" s="46">
        <f t="shared" si="20"/>
        <v>7.3003400000000003</v>
      </c>
      <c r="R226" s="47">
        <f t="shared" si="21"/>
        <v>0.20979999999999999</v>
      </c>
      <c r="S226" s="48">
        <f t="shared" si="22"/>
        <v>419.6</v>
      </c>
      <c r="T226" s="47" t="s">
        <v>349</v>
      </c>
      <c r="U226" s="40" t="s">
        <v>228</v>
      </c>
      <c r="V226" s="38">
        <v>7.1879</v>
      </c>
      <c r="W226" s="49">
        <f t="shared" si="23"/>
        <v>426.07715744515087</v>
      </c>
    </row>
    <row r="227" spans="1:23" x14ac:dyDescent="0.2">
      <c r="A227" s="40" t="s">
        <v>725</v>
      </c>
      <c r="B227" s="41">
        <v>45667</v>
      </c>
      <c r="C227" s="41">
        <v>45646</v>
      </c>
      <c r="D227" s="40" t="s">
        <v>709</v>
      </c>
      <c r="E227" s="40" t="s">
        <v>710</v>
      </c>
      <c r="G227" s="40" t="s">
        <v>712</v>
      </c>
      <c r="H227" s="40" t="s">
        <v>723</v>
      </c>
      <c r="I227" s="40" t="s">
        <v>724</v>
      </c>
      <c r="J227" s="43" t="str">
        <f t="shared" si="18"/>
        <v>SHDL</v>
      </c>
      <c r="K227" s="40" t="s">
        <v>10</v>
      </c>
      <c r="L227" s="44">
        <v>2000</v>
      </c>
      <c r="M227" s="40" t="s">
        <v>1472</v>
      </c>
      <c r="N227" s="40" t="s">
        <v>11</v>
      </c>
      <c r="O227" s="40">
        <v>1.6517999999999999</v>
      </c>
      <c r="P227" s="45">
        <f t="shared" si="19"/>
        <v>3303.6</v>
      </c>
      <c r="Q227" s="46">
        <f t="shared" si="20"/>
        <v>7.3003400000000003</v>
      </c>
      <c r="R227" s="47">
        <f t="shared" si="21"/>
        <v>0.2263</v>
      </c>
      <c r="S227" s="48">
        <f t="shared" si="22"/>
        <v>452.6</v>
      </c>
      <c r="T227" s="47" t="s">
        <v>349</v>
      </c>
      <c r="U227" s="40" t="s">
        <v>722</v>
      </c>
      <c r="V227" s="38">
        <v>7.1879</v>
      </c>
      <c r="W227" s="49">
        <f t="shared" si="23"/>
        <v>459.60572629001518</v>
      </c>
    </row>
    <row r="228" spans="1:23" x14ac:dyDescent="0.2">
      <c r="A228" s="40" t="s">
        <v>491</v>
      </c>
      <c r="B228" s="41">
        <v>45670</v>
      </c>
      <c r="C228" s="41">
        <v>45653</v>
      </c>
      <c r="D228" s="40" t="s">
        <v>5</v>
      </c>
      <c r="E228" s="40" t="s">
        <v>6</v>
      </c>
      <c r="G228" s="40" t="s">
        <v>492</v>
      </c>
      <c r="H228" s="40" t="s">
        <v>489</v>
      </c>
      <c r="I228" s="40" t="s">
        <v>490</v>
      </c>
      <c r="J228" s="43" t="str">
        <f t="shared" si="18"/>
        <v>SHTS</v>
      </c>
      <c r="K228" s="40" t="s">
        <v>10</v>
      </c>
      <c r="L228" s="44">
        <v>1010</v>
      </c>
      <c r="M228" s="40" t="s">
        <v>1472</v>
      </c>
      <c r="N228" s="40" t="s">
        <v>11</v>
      </c>
      <c r="O228" s="40">
        <v>1.66</v>
      </c>
      <c r="P228" s="45">
        <f t="shared" si="19"/>
        <v>1676.6</v>
      </c>
      <c r="Q228" s="46">
        <f t="shared" si="20"/>
        <v>7.3003400000000003</v>
      </c>
      <c r="R228" s="47">
        <f t="shared" si="21"/>
        <v>0.22739999999999999</v>
      </c>
      <c r="S228" s="48">
        <f t="shared" si="22"/>
        <v>229.67</v>
      </c>
      <c r="T228" s="47" t="s">
        <v>349</v>
      </c>
      <c r="U228" s="40" t="s">
        <v>9</v>
      </c>
      <c r="V228" s="38">
        <v>7.1879</v>
      </c>
      <c r="W228" s="49">
        <f t="shared" si="23"/>
        <v>233.25310591410565</v>
      </c>
    </row>
    <row r="229" spans="1:23" x14ac:dyDescent="0.2">
      <c r="A229" s="40" t="s">
        <v>1085</v>
      </c>
      <c r="B229" s="41">
        <v>45663</v>
      </c>
      <c r="C229" s="41">
        <v>45653</v>
      </c>
      <c r="D229" s="40" t="s">
        <v>5</v>
      </c>
      <c r="E229" s="40" t="s">
        <v>6</v>
      </c>
      <c r="G229" s="40" t="s">
        <v>1084</v>
      </c>
      <c r="H229" s="40" t="s">
        <v>493</v>
      </c>
      <c r="I229" s="40" t="s">
        <v>494</v>
      </c>
      <c r="J229" s="43" t="str">
        <f t="shared" si="18"/>
        <v>SHTS</v>
      </c>
      <c r="K229" s="40" t="s">
        <v>10</v>
      </c>
      <c r="L229" s="44">
        <v>2020</v>
      </c>
      <c r="M229" s="40" t="s">
        <v>1472</v>
      </c>
      <c r="N229" s="40" t="s">
        <v>11</v>
      </c>
      <c r="O229" s="40">
        <v>1.75</v>
      </c>
      <c r="P229" s="45">
        <f t="shared" si="19"/>
        <v>3535</v>
      </c>
      <c r="Q229" s="46">
        <f t="shared" si="20"/>
        <v>7.3003400000000003</v>
      </c>
      <c r="R229" s="47">
        <f t="shared" si="21"/>
        <v>0.2397</v>
      </c>
      <c r="S229" s="48">
        <f t="shared" si="22"/>
        <v>484.19</v>
      </c>
      <c r="T229" s="47" t="s">
        <v>349</v>
      </c>
      <c r="U229" s="40" t="s">
        <v>9</v>
      </c>
      <c r="V229" s="38">
        <v>7.1879</v>
      </c>
      <c r="W229" s="49">
        <f t="shared" si="23"/>
        <v>491.79871728877697</v>
      </c>
    </row>
    <row r="230" spans="1:23" x14ac:dyDescent="0.2">
      <c r="A230" s="40" t="s">
        <v>495</v>
      </c>
      <c r="B230" s="41">
        <v>45670</v>
      </c>
      <c r="C230" s="41">
        <v>45653</v>
      </c>
      <c r="D230" s="40" t="s">
        <v>5</v>
      </c>
      <c r="E230" s="40" t="s">
        <v>6</v>
      </c>
      <c r="G230" s="40" t="s">
        <v>492</v>
      </c>
      <c r="H230" s="40" t="s">
        <v>493</v>
      </c>
      <c r="I230" s="40" t="s">
        <v>494</v>
      </c>
      <c r="J230" s="43" t="str">
        <f t="shared" si="18"/>
        <v>SHTS</v>
      </c>
      <c r="K230" s="40" t="s">
        <v>10</v>
      </c>
      <c r="L230" s="44">
        <v>1010</v>
      </c>
      <c r="M230" s="40" t="s">
        <v>1472</v>
      </c>
      <c r="N230" s="40" t="s">
        <v>11</v>
      </c>
      <c r="O230" s="40">
        <v>1.75</v>
      </c>
      <c r="P230" s="45">
        <f t="shared" si="19"/>
        <v>1767.5</v>
      </c>
      <c r="Q230" s="46">
        <f t="shared" si="20"/>
        <v>7.3003400000000003</v>
      </c>
      <c r="R230" s="47">
        <f t="shared" si="21"/>
        <v>0.2397</v>
      </c>
      <c r="S230" s="48">
        <f t="shared" si="22"/>
        <v>242.1</v>
      </c>
      <c r="T230" s="47" t="s">
        <v>349</v>
      </c>
      <c r="U230" s="40" t="s">
        <v>9</v>
      </c>
      <c r="V230" s="38">
        <v>7.1879</v>
      </c>
      <c r="W230" s="49">
        <f t="shared" si="23"/>
        <v>245.89935864438849</v>
      </c>
    </row>
    <row r="231" spans="1:23" x14ac:dyDescent="0.2">
      <c r="A231" s="40" t="s">
        <v>734</v>
      </c>
      <c r="B231" s="41">
        <v>45667</v>
      </c>
      <c r="C231" s="41">
        <v>45646</v>
      </c>
      <c r="D231" s="40" t="s">
        <v>709</v>
      </c>
      <c r="E231" s="40" t="s">
        <v>710</v>
      </c>
      <c r="G231" s="40" t="s">
        <v>712</v>
      </c>
      <c r="H231" s="40" t="s">
        <v>732</v>
      </c>
      <c r="I231" s="40" t="s">
        <v>733</v>
      </c>
      <c r="J231" s="43" t="str">
        <f t="shared" si="18"/>
        <v>HDL-</v>
      </c>
      <c r="K231" s="40" t="s">
        <v>10</v>
      </c>
      <c r="L231" s="44">
        <v>5000</v>
      </c>
      <c r="M231" s="40" t="s">
        <v>1472</v>
      </c>
      <c r="N231" s="40" t="s">
        <v>11</v>
      </c>
      <c r="O231" s="40">
        <v>1.849</v>
      </c>
      <c r="P231" s="45">
        <f t="shared" si="19"/>
        <v>9245</v>
      </c>
      <c r="Q231" s="46">
        <f t="shared" si="20"/>
        <v>7.3003400000000003</v>
      </c>
      <c r="R231" s="47">
        <f t="shared" si="21"/>
        <v>0.25330000000000003</v>
      </c>
      <c r="S231" s="48">
        <f t="shared" si="22"/>
        <v>1266.5</v>
      </c>
      <c r="T231" s="47" t="s">
        <v>349</v>
      </c>
      <c r="U231" s="40" t="s">
        <v>228</v>
      </c>
      <c r="V231" s="38">
        <v>7.1879</v>
      </c>
      <c r="W231" s="49">
        <f t="shared" si="23"/>
        <v>1286.1892903351466</v>
      </c>
    </row>
    <row r="232" spans="1:23" x14ac:dyDescent="0.2">
      <c r="A232" s="40" t="s">
        <v>721</v>
      </c>
      <c r="B232" s="41">
        <v>45667</v>
      </c>
      <c r="C232" s="41">
        <v>45646</v>
      </c>
      <c r="D232" s="40" t="s">
        <v>709</v>
      </c>
      <c r="E232" s="40" t="s">
        <v>710</v>
      </c>
      <c r="G232" s="40" t="s">
        <v>712</v>
      </c>
      <c r="H232" s="40" t="s">
        <v>719</v>
      </c>
      <c r="I232" s="40" t="s">
        <v>720</v>
      </c>
      <c r="J232" s="43" t="str">
        <f t="shared" si="18"/>
        <v>SHDL</v>
      </c>
      <c r="K232" s="40" t="s">
        <v>10</v>
      </c>
      <c r="L232" s="44">
        <v>2050</v>
      </c>
      <c r="M232" s="40" t="s">
        <v>1472</v>
      </c>
      <c r="N232" s="40" t="s">
        <v>11</v>
      </c>
      <c r="O232" s="40">
        <v>1.8811</v>
      </c>
      <c r="P232" s="45">
        <f t="shared" si="19"/>
        <v>3856.26</v>
      </c>
      <c r="Q232" s="46">
        <f t="shared" si="20"/>
        <v>7.3003400000000003</v>
      </c>
      <c r="R232" s="47">
        <f t="shared" si="21"/>
        <v>0.25769999999999998</v>
      </c>
      <c r="S232" s="48">
        <f t="shared" si="22"/>
        <v>528.29</v>
      </c>
      <c r="T232" s="47" t="s">
        <v>349</v>
      </c>
      <c r="U232" s="40" t="s">
        <v>722</v>
      </c>
      <c r="V232" s="38">
        <v>7.1879</v>
      </c>
      <c r="W232" s="49">
        <f t="shared" si="23"/>
        <v>536.49257780436562</v>
      </c>
    </row>
    <row r="233" spans="1:23" x14ac:dyDescent="0.2">
      <c r="A233" s="40" t="s">
        <v>420</v>
      </c>
      <c r="B233" s="41">
        <v>45670</v>
      </c>
      <c r="C233" s="41">
        <v>45664</v>
      </c>
      <c r="D233" s="40" t="s">
        <v>5</v>
      </c>
      <c r="E233" s="40" t="s">
        <v>6</v>
      </c>
      <c r="G233" s="40" t="s">
        <v>393</v>
      </c>
      <c r="H233" s="40" t="s">
        <v>418</v>
      </c>
      <c r="I233" s="40" t="s">
        <v>419</v>
      </c>
      <c r="J233" s="43" t="str">
        <f t="shared" si="18"/>
        <v>BOX-</v>
      </c>
      <c r="K233" s="40" t="s">
        <v>10</v>
      </c>
      <c r="L233" s="44">
        <v>2020</v>
      </c>
      <c r="M233" s="40" t="s">
        <v>1472</v>
      </c>
      <c r="N233" s="40" t="s">
        <v>11</v>
      </c>
      <c r="O233" s="40">
        <v>1.94</v>
      </c>
      <c r="P233" s="45">
        <f t="shared" si="19"/>
        <v>3918.8</v>
      </c>
      <c r="Q233" s="46">
        <f t="shared" si="20"/>
        <v>7.3003400000000003</v>
      </c>
      <c r="R233" s="47">
        <f t="shared" si="21"/>
        <v>0.26569999999999999</v>
      </c>
      <c r="S233" s="48">
        <f t="shared" si="22"/>
        <v>536.71</v>
      </c>
      <c r="T233" s="47" t="s">
        <v>349</v>
      </c>
      <c r="U233" s="40" t="s">
        <v>1</v>
      </c>
      <c r="V233" s="38">
        <v>7.1879</v>
      </c>
      <c r="W233" s="49">
        <f t="shared" si="23"/>
        <v>545.19400659441555</v>
      </c>
    </row>
    <row r="234" spans="1:23" x14ac:dyDescent="0.2">
      <c r="A234" s="40" t="s">
        <v>967</v>
      </c>
      <c r="B234" s="41">
        <v>45664</v>
      </c>
      <c r="C234" s="41">
        <v>45610</v>
      </c>
      <c r="D234" s="40" t="s">
        <v>128</v>
      </c>
      <c r="E234" s="40" t="s">
        <v>129</v>
      </c>
      <c r="G234" s="40" t="s">
        <v>953</v>
      </c>
      <c r="H234" s="40" t="s">
        <v>965</v>
      </c>
      <c r="I234" s="40" t="s">
        <v>966</v>
      </c>
      <c r="J234" s="43" t="str">
        <f t="shared" si="18"/>
        <v>LHDL</v>
      </c>
      <c r="K234" s="40" t="s">
        <v>10</v>
      </c>
      <c r="L234" s="44">
        <v>1020</v>
      </c>
      <c r="M234" s="40" t="s">
        <v>1472</v>
      </c>
      <c r="N234" s="40" t="s">
        <v>11</v>
      </c>
      <c r="O234" s="40">
        <v>1.9986999999999999</v>
      </c>
      <c r="P234" s="45">
        <f t="shared" si="19"/>
        <v>2038.67</v>
      </c>
      <c r="Q234" s="46">
        <f t="shared" si="20"/>
        <v>7.3003400000000003</v>
      </c>
      <c r="R234" s="47">
        <f t="shared" si="21"/>
        <v>0.27379999999999999</v>
      </c>
      <c r="S234" s="48">
        <f t="shared" si="22"/>
        <v>279.27999999999997</v>
      </c>
      <c r="T234" s="47" t="s">
        <v>349</v>
      </c>
      <c r="U234" s="40" t="s">
        <v>125</v>
      </c>
      <c r="V234" s="38">
        <v>7.1879</v>
      </c>
      <c r="W234" s="49">
        <f t="shared" si="23"/>
        <v>283.62581560678359</v>
      </c>
    </row>
    <row r="235" spans="1:23" x14ac:dyDescent="0.2">
      <c r="A235" s="40" t="s">
        <v>417</v>
      </c>
      <c r="B235" s="41">
        <v>45670</v>
      </c>
      <c r="C235" s="41">
        <v>45664</v>
      </c>
      <c r="D235" s="40" t="s">
        <v>5</v>
      </c>
      <c r="E235" s="40" t="s">
        <v>6</v>
      </c>
      <c r="G235" s="40" t="s">
        <v>393</v>
      </c>
      <c r="H235" s="40" t="s">
        <v>415</v>
      </c>
      <c r="I235" s="40" t="s">
        <v>416</v>
      </c>
      <c r="J235" s="43" t="str">
        <f t="shared" si="18"/>
        <v>BOX-</v>
      </c>
      <c r="K235" s="40" t="s">
        <v>10</v>
      </c>
      <c r="L235" s="44">
        <v>2020</v>
      </c>
      <c r="M235" s="40" t="s">
        <v>1472</v>
      </c>
      <c r="N235" s="40" t="s">
        <v>11</v>
      </c>
      <c r="O235" s="40">
        <v>2.0299999999999998</v>
      </c>
      <c r="P235" s="45">
        <f t="shared" si="19"/>
        <v>4100.6000000000004</v>
      </c>
      <c r="Q235" s="46">
        <f t="shared" si="20"/>
        <v>7.3003400000000003</v>
      </c>
      <c r="R235" s="47">
        <f t="shared" si="21"/>
        <v>0.27810000000000001</v>
      </c>
      <c r="S235" s="48">
        <f t="shared" si="22"/>
        <v>561.76</v>
      </c>
      <c r="T235" s="47" t="s">
        <v>349</v>
      </c>
      <c r="U235" s="40" t="s">
        <v>1</v>
      </c>
      <c r="V235" s="38">
        <v>7.1879</v>
      </c>
      <c r="W235" s="49">
        <f t="shared" si="23"/>
        <v>570.48651205498129</v>
      </c>
    </row>
    <row r="236" spans="1:23" x14ac:dyDescent="0.2">
      <c r="A236" s="40" t="s">
        <v>517</v>
      </c>
      <c r="B236" s="41">
        <v>45670</v>
      </c>
      <c r="C236" s="41">
        <v>45663</v>
      </c>
      <c r="D236" s="40" t="s">
        <v>5</v>
      </c>
      <c r="E236" s="40" t="s">
        <v>6</v>
      </c>
      <c r="G236" s="40" t="s">
        <v>492</v>
      </c>
      <c r="H236" s="40" t="s">
        <v>515</v>
      </c>
      <c r="I236" s="40" t="s">
        <v>516</v>
      </c>
      <c r="J236" s="43" t="str">
        <f t="shared" si="18"/>
        <v>SHTS</v>
      </c>
      <c r="K236" s="40" t="s">
        <v>10</v>
      </c>
      <c r="L236" s="44">
        <v>1010</v>
      </c>
      <c r="M236" s="40" t="s">
        <v>1472</v>
      </c>
      <c r="N236" s="40" t="s">
        <v>11</v>
      </c>
      <c r="O236" s="40">
        <v>2.09</v>
      </c>
      <c r="P236" s="45">
        <f t="shared" si="19"/>
        <v>2110.9</v>
      </c>
      <c r="Q236" s="46">
        <f t="shared" si="20"/>
        <v>7.3003400000000003</v>
      </c>
      <c r="R236" s="47">
        <f t="shared" si="21"/>
        <v>0.2863</v>
      </c>
      <c r="S236" s="48">
        <f t="shared" si="22"/>
        <v>289.16000000000003</v>
      </c>
      <c r="T236" s="47" t="s">
        <v>349</v>
      </c>
      <c r="U236" s="40" t="s">
        <v>9</v>
      </c>
      <c r="V236" s="38">
        <v>7.1879</v>
      </c>
      <c r="W236" s="49">
        <f t="shared" si="23"/>
        <v>293.6740911810125</v>
      </c>
    </row>
    <row r="237" spans="1:23" x14ac:dyDescent="0.2">
      <c r="A237" s="40" t="s">
        <v>30</v>
      </c>
      <c r="B237" s="41">
        <v>45680</v>
      </c>
      <c r="C237" s="41">
        <v>45646</v>
      </c>
      <c r="D237" s="40" t="s">
        <v>28</v>
      </c>
      <c r="E237" s="40" t="s">
        <v>29</v>
      </c>
      <c r="G237" s="40" t="s">
        <v>31</v>
      </c>
      <c r="H237" s="40" t="s">
        <v>26</v>
      </c>
      <c r="I237" s="40" t="s">
        <v>27</v>
      </c>
      <c r="J237" s="43" t="str">
        <f t="shared" si="18"/>
        <v>KNOB</v>
      </c>
      <c r="K237" s="40" t="s">
        <v>10</v>
      </c>
      <c r="L237" s="44">
        <v>9250</v>
      </c>
      <c r="M237" s="40" t="s">
        <v>1472</v>
      </c>
      <c r="N237" s="40" t="s">
        <v>11</v>
      </c>
      <c r="O237" s="40">
        <v>2.2488000000000001</v>
      </c>
      <c r="P237" s="45">
        <f t="shared" si="19"/>
        <v>20801.400000000001</v>
      </c>
      <c r="Q237" s="46">
        <f t="shared" si="20"/>
        <v>7.3003400000000003</v>
      </c>
      <c r="R237" s="47">
        <f t="shared" si="21"/>
        <v>0.308</v>
      </c>
      <c r="S237" s="48">
        <f t="shared" si="22"/>
        <v>2849</v>
      </c>
      <c r="T237" s="47" t="s">
        <v>349</v>
      </c>
      <c r="U237" s="40" t="s">
        <v>32</v>
      </c>
      <c r="V237" s="38">
        <v>7.1879</v>
      </c>
      <c r="W237" s="49">
        <f t="shared" si="23"/>
        <v>2893.9467716579252</v>
      </c>
    </row>
    <row r="238" spans="1:23" x14ac:dyDescent="0.2">
      <c r="A238" s="40" t="s">
        <v>502</v>
      </c>
      <c r="B238" s="41">
        <v>45670</v>
      </c>
      <c r="C238" s="41">
        <v>45663</v>
      </c>
      <c r="D238" s="40" t="s">
        <v>5</v>
      </c>
      <c r="E238" s="40" t="s">
        <v>6</v>
      </c>
      <c r="G238" s="40" t="s">
        <v>492</v>
      </c>
      <c r="H238" s="40" t="s">
        <v>499</v>
      </c>
      <c r="I238" s="40" t="s">
        <v>500</v>
      </c>
      <c r="J238" s="43" t="str">
        <f t="shared" si="18"/>
        <v>SHTS</v>
      </c>
      <c r="K238" s="40" t="s">
        <v>10</v>
      </c>
      <c r="L238" s="44">
        <v>510</v>
      </c>
      <c r="M238" s="40" t="s">
        <v>1472</v>
      </c>
      <c r="N238" s="40" t="s">
        <v>11</v>
      </c>
      <c r="O238" s="40">
        <v>2.2999999999999998</v>
      </c>
      <c r="P238" s="45">
        <f t="shared" si="19"/>
        <v>1173</v>
      </c>
      <c r="Q238" s="46">
        <f t="shared" si="20"/>
        <v>7.3003400000000003</v>
      </c>
      <c r="R238" s="47">
        <f t="shared" si="21"/>
        <v>0.31509999999999999</v>
      </c>
      <c r="S238" s="48">
        <f t="shared" si="22"/>
        <v>160.69999999999999</v>
      </c>
      <c r="T238" s="47" t="s">
        <v>349</v>
      </c>
      <c r="U238" s="40" t="s">
        <v>9</v>
      </c>
      <c r="V238" s="38">
        <v>7.1879</v>
      </c>
      <c r="W238" s="49">
        <f t="shared" si="23"/>
        <v>163.19091807064649</v>
      </c>
    </row>
    <row r="239" spans="1:23" x14ac:dyDescent="0.2">
      <c r="A239" s="40" t="s">
        <v>501</v>
      </c>
      <c r="B239" s="41">
        <v>45670</v>
      </c>
      <c r="C239" s="41">
        <v>45663</v>
      </c>
      <c r="D239" s="40" t="s">
        <v>5</v>
      </c>
      <c r="E239" s="40" t="s">
        <v>6</v>
      </c>
      <c r="G239" s="40" t="s">
        <v>492</v>
      </c>
      <c r="H239" s="40" t="s">
        <v>499</v>
      </c>
      <c r="I239" s="40" t="s">
        <v>500</v>
      </c>
      <c r="J239" s="43" t="str">
        <f t="shared" si="18"/>
        <v>SHTS</v>
      </c>
      <c r="K239" s="40" t="s">
        <v>10</v>
      </c>
      <c r="L239" s="44">
        <v>1010</v>
      </c>
      <c r="M239" s="40" t="s">
        <v>1472</v>
      </c>
      <c r="N239" s="40" t="s">
        <v>11</v>
      </c>
      <c r="O239" s="40">
        <v>2.2999999999999998</v>
      </c>
      <c r="P239" s="45">
        <f t="shared" si="19"/>
        <v>2323</v>
      </c>
      <c r="Q239" s="46">
        <f t="shared" si="20"/>
        <v>7.3003400000000003</v>
      </c>
      <c r="R239" s="47">
        <f t="shared" si="21"/>
        <v>0.31509999999999999</v>
      </c>
      <c r="S239" s="48">
        <f t="shared" si="22"/>
        <v>318.25</v>
      </c>
      <c r="T239" s="47" t="s">
        <v>349</v>
      </c>
      <c r="U239" s="40" t="s">
        <v>9</v>
      </c>
      <c r="V239" s="38">
        <v>7.1879</v>
      </c>
      <c r="W239" s="49">
        <f t="shared" si="23"/>
        <v>323.18201421833913</v>
      </c>
    </row>
    <row r="240" spans="1:23" x14ac:dyDescent="0.2">
      <c r="A240" s="40" t="s">
        <v>446</v>
      </c>
      <c r="B240" s="41">
        <v>45670</v>
      </c>
      <c r="C240" s="41">
        <v>45639</v>
      </c>
      <c r="D240" s="40" t="s">
        <v>128</v>
      </c>
      <c r="E240" s="40" t="s">
        <v>129</v>
      </c>
      <c r="G240" s="40" t="s">
        <v>437</v>
      </c>
      <c r="H240" s="40" t="s">
        <v>26</v>
      </c>
      <c r="I240" s="40" t="s">
        <v>27</v>
      </c>
      <c r="J240" s="43" t="str">
        <f t="shared" si="18"/>
        <v>KNOB</v>
      </c>
      <c r="K240" s="40" t="s">
        <v>10</v>
      </c>
      <c r="L240" s="44">
        <v>2040</v>
      </c>
      <c r="M240" s="40" t="s">
        <v>1472</v>
      </c>
      <c r="N240" s="40" t="s">
        <v>11</v>
      </c>
      <c r="O240" s="40">
        <v>2.3193999999999999</v>
      </c>
      <c r="P240" s="45">
        <f t="shared" si="19"/>
        <v>4731.58</v>
      </c>
      <c r="Q240" s="46">
        <f t="shared" si="20"/>
        <v>7.3003400000000003</v>
      </c>
      <c r="R240" s="47">
        <f t="shared" si="21"/>
        <v>0.31769999999999998</v>
      </c>
      <c r="S240" s="48">
        <f t="shared" si="22"/>
        <v>648.11</v>
      </c>
      <c r="T240" s="47" t="s">
        <v>349</v>
      </c>
      <c r="U240" s="40" t="s">
        <v>32</v>
      </c>
      <c r="V240" s="38">
        <v>7.1879</v>
      </c>
      <c r="W240" s="49">
        <f t="shared" si="23"/>
        <v>658.2695919531435</v>
      </c>
    </row>
    <row r="241" spans="1:23" x14ac:dyDescent="0.2">
      <c r="A241" s="40" t="s">
        <v>511</v>
      </c>
      <c r="B241" s="41">
        <v>45670</v>
      </c>
      <c r="C241" s="41">
        <v>45663</v>
      </c>
      <c r="D241" s="40" t="s">
        <v>5</v>
      </c>
      <c r="E241" s="40" t="s">
        <v>6</v>
      </c>
      <c r="G241" s="40" t="s">
        <v>492</v>
      </c>
      <c r="H241" s="40" t="s">
        <v>509</v>
      </c>
      <c r="I241" s="40" t="s">
        <v>510</v>
      </c>
      <c r="J241" s="43" t="str">
        <f t="shared" si="18"/>
        <v>SHTS</v>
      </c>
      <c r="K241" s="40" t="s">
        <v>10</v>
      </c>
      <c r="L241" s="44">
        <v>1010</v>
      </c>
      <c r="M241" s="40" t="s">
        <v>1472</v>
      </c>
      <c r="N241" s="40" t="s">
        <v>11</v>
      </c>
      <c r="O241" s="40">
        <v>2.46</v>
      </c>
      <c r="P241" s="45">
        <f t="shared" si="19"/>
        <v>2484.6</v>
      </c>
      <c r="Q241" s="46">
        <f t="shared" si="20"/>
        <v>7.3003400000000003</v>
      </c>
      <c r="R241" s="47">
        <f t="shared" si="21"/>
        <v>0.33700000000000002</v>
      </c>
      <c r="S241" s="48">
        <f t="shared" si="22"/>
        <v>340.37</v>
      </c>
      <c r="T241" s="47" t="s">
        <v>349</v>
      </c>
      <c r="U241" s="40" t="s">
        <v>9</v>
      </c>
      <c r="V241" s="38">
        <v>7.1879</v>
      </c>
      <c r="W241" s="49">
        <f t="shared" si="23"/>
        <v>345.66424129439753</v>
      </c>
    </row>
    <row r="242" spans="1:23" x14ac:dyDescent="0.2">
      <c r="A242" s="40" t="s">
        <v>386</v>
      </c>
      <c r="B242" s="41">
        <v>45670</v>
      </c>
      <c r="C242" s="41">
        <v>45663</v>
      </c>
      <c r="D242" s="40" t="s">
        <v>5</v>
      </c>
      <c r="E242" s="40" t="s">
        <v>6</v>
      </c>
      <c r="G242" s="40" t="s">
        <v>383</v>
      </c>
      <c r="H242" s="40" t="s">
        <v>384</v>
      </c>
      <c r="I242" s="40" t="s">
        <v>385</v>
      </c>
      <c r="J242" s="43" t="str">
        <f t="shared" si="18"/>
        <v>BOX-</v>
      </c>
      <c r="K242" s="40" t="s">
        <v>10</v>
      </c>
      <c r="L242" s="44">
        <v>1010</v>
      </c>
      <c r="M242" s="40" t="s">
        <v>1472</v>
      </c>
      <c r="N242" s="40" t="s">
        <v>11</v>
      </c>
      <c r="O242" s="40">
        <v>2.5</v>
      </c>
      <c r="P242" s="45">
        <f t="shared" si="19"/>
        <v>2525</v>
      </c>
      <c r="Q242" s="46">
        <f t="shared" si="20"/>
        <v>7.3003400000000003</v>
      </c>
      <c r="R242" s="47">
        <f t="shared" si="21"/>
        <v>0.34239999999999998</v>
      </c>
      <c r="S242" s="48">
        <f t="shared" si="22"/>
        <v>345.82</v>
      </c>
      <c r="T242" s="47" t="s">
        <v>349</v>
      </c>
      <c r="U242" s="40" t="s">
        <v>1</v>
      </c>
      <c r="V242" s="38">
        <v>7.1879</v>
      </c>
      <c r="W242" s="49">
        <f t="shared" si="23"/>
        <v>351.28479806341215</v>
      </c>
    </row>
    <row r="243" spans="1:23" x14ac:dyDescent="0.2">
      <c r="A243" s="40" t="s">
        <v>411</v>
      </c>
      <c r="B243" s="41">
        <v>45670</v>
      </c>
      <c r="C243" s="41">
        <v>45664</v>
      </c>
      <c r="D243" s="40" t="s">
        <v>5</v>
      </c>
      <c r="E243" s="40" t="s">
        <v>6</v>
      </c>
      <c r="G243" s="40" t="s">
        <v>393</v>
      </c>
      <c r="H243" s="40" t="s">
        <v>409</v>
      </c>
      <c r="I243" s="40" t="s">
        <v>410</v>
      </c>
      <c r="J243" s="43" t="str">
        <f t="shared" si="18"/>
        <v>BOX-</v>
      </c>
      <c r="K243" s="40" t="s">
        <v>10</v>
      </c>
      <c r="L243" s="44">
        <v>2020</v>
      </c>
      <c r="M243" s="40" t="s">
        <v>1472</v>
      </c>
      <c r="N243" s="40" t="s">
        <v>11</v>
      </c>
      <c r="O243" s="40">
        <v>2.52</v>
      </c>
      <c r="P243" s="45">
        <f t="shared" si="19"/>
        <v>5090.3999999999996</v>
      </c>
      <c r="Q243" s="46">
        <f t="shared" si="20"/>
        <v>7.3003400000000003</v>
      </c>
      <c r="R243" s="47">
        <f t="shared" si="21"/>
        <v>0.34520000000000001</v>
      </c>
      <c r="S243" s="48">
        <f t="shared" si="22"/>
        <v>697.3</v>
      </c>
      <c r="T243" s="47" t="s">
        <v>349</v>
      </c>
      <c r="U243" s="40" t="s">
        <v>1</v>
      </c>
      <c r="V243" s="38">
        <v>7.1879</v>
      </c>
      <c r="W243" s="49">
        <f t="shared" si="23"/>
        <v>708.19015289583888</v>
      </c>
    </row>
    <row r="244" spans="1:23" x14ac:dyDescent="0.2">
      <c r="A244" s="40" t="s">
        <v>1189</v>
      </c>
      <c r="B244" s="41">
        <v>45663</v>
      </c>
      <c r="C244" s="41">
        <v>45643</v>
      </c>
      <c r="D244" s="40" t="s">
        <v>149</v>
      </c>
      <c r="E244" s="40" t="s">
        <v>150</v>
      </c>
      <c r="G244" s="40" t="s">
        <v>1182</v>
      </c>
      <c r="H244" s="40" t="s">
        <v>1187</v>
      </c>
      <c r="I244" s="40" t="s">
        <v>1188</v>
      </c>
      <c r="J244" s="43" t="str">
        <f t="shared" si="18"/>
        <v>GLID</v>
      </c>
      <c r="K244" s="40" t="s">
        <v>10</v>
      </c>
      <c r="L244" s="44">
        <v>1220</v>
      </c>
      <c r="M244" s="40" t="s">
        <v>1472</v>
      </c>
      <c r="N244" s="40" t="s">
        <v>11</v>
      </c>
      <c r="O244" s="40">
        <v>2.5366</v>
      </c>
      <c r="P244" s="45">
        <f t="shared" si="19"/>
        <v>3094.65</v>
      </c>
      <c r="Q244" s="46">
        <f t="shared" si="20"/>
        <v>7.3003400000000003</v>
      </c>
      <c r="R244" s="47">
        <f t="shared" si="21"/>
        <v>0.34749999999999998</v>
      </c>
      <c r="S244" s="48">
        <f t="shared" si="22"/>
        <v>423.95</v>
      </c>
      <c r="T244" s="47" t="s">
        <v>349</v>
      </c>
      <c r="U244" s="40" t="s">
        <v>78</v>
      </c>
      <c r="V244" s="38">
        <v>7.1879</v>
      </c>
      <c r="W244" s="49">
        <f t="shared" si="23"/>
        <v>430.53631797882554</v>
      </c>
    </row>
    <row r="245" spans="1:23" x14ac:dyDescent="0.2">
      <c r="A245" s="40" t="s">
        <v>514</v>
      </c>
      <c r="B245" s="41">
        <v>45670</v>
      </c>
      <c r="C245" s="41">
        <v>45663</v>
      </c>
      <c r="D245" s="40" t="s">
        <v>5</v>
      </c>
      <c r="E245" s="40" t="s">
        <v>6</v>
      </c>
      <c r="G245" s="40" t="s">
        <v>492</v>
      </c>
      <c r="H245" s="40" t="s">
        <v>512</v>
      </c>
      <c r="I245" s="40" t="s">
        <v>513</v>
      </c>
      <c r="J245" s="43" t="str">
        <f t="shared" si="18"/>
        <v>SHTS</v>
      </c>
      <c r="K245" s="40" t="s">
        <v>10</v>
      </c>
      <c r="L245" s="44">
        <v>1010</v>
      </c>
      <c r="M245" s="40" t="s">
        <v>1472</v>
      </c>
      <c r="N245" s="40" t="s">
        <v>11</v>
      </c>
      <c r="O245" s="40">
        <v>2.56</v>
      </c>
      <c r="P245" s="45">
        <f t="shared" si="19"/>
        <v>2585.6</v>
      </c>
      <c r="Q245" s="46">
        <f t="shared" si="20"/>
        <v>7.3003400000000003</v>
      </c>
      <c r="R245" s="47">
        <f t="shared" si="21"/>
        <v>0.35070000000000001</v>
      </c>
      <c r="S245" s="48">
        <f t="shared" si="22"/>
        <v>354.21</v>
      </c>
      <c r="T245" s="47" t="s">
        <v>349</v>
      </c>
      <c r="U245" s="40" t="s">
        <v>9</v>
      </c>
      <c r="V245" s="38">
        <v>7.1879</v>
      </c>
      <c r="W245" s="49">
        <f t="shared" si="23"/>
        <v>359.71563321693401</v>
      </c>
    </row>
    <row r="246" spans="1:23" x14ac:dyDescent="0.2">
      <c r="A246" s="40" t="s">
        <v>414</v>
      </c>
      <c r="B246" s="41">
        <v>45670</v>
      </c>
      <c r="C246" s="41">
        <v>45664</v>
      </c>
      <c r="D246" s="40" t="s">
        <v>5</v>
      </c>
      <c r="E246" s="40" t="s">
        <v>6</v>
      </c>
      <c r="G246" s="40" t="s">
        <v>393</v>
      </c>
      <c r="H246" s="40" t="s">
        <v>412</v>
      </c>
      <c r="I246" s="40" t="s">
        <v>413</v>
      </c>
      <c r="J246" s="43" t="str">
        <f t="shared" si="18"/>
        <v>BOX-</v>
      </c>
      <c r="K246" s="40" t="s">
        <v>10</v>
      </c>
      <c r="L246" s="44">
        <v>2020</v>
      </c>
      <c r="M246" s="40" t="s">
        <v>1472</v>
      </c>
      <c r="N246" s="40" t="s">
        <v>11</v>
      </c>
      <c r="O246" s="40">
        <v>2.6</v>
      </c>
      <c r="P246" s="45">
        <f t="shared" si="19"/>
        <v>5252</v>
      </c>
      <c r="Q246" s="46">
        <f t="shared" si="20"/>
        <v>7.3003400000000003</v>
      </c>
      <c r="R246" s="47">
        <f t="shared" si="21"/>
        <v>0.35610000000000003</v>
      </c>
      <c r="S246" s="48">
        <f t="shared" si="22"/>
        <v>719.32</v>
      </c>
      <c r="T246" s="47" t="s">
        <v>349</v>
      </c>
      <c r="U246" s="40" t="s">
        <v>1</v>
      </c>
      <c r="V246" s="38">
        <v>7.1879</v>
      </c>
      <c r="W246" s="49">
        <f t="shared" si="23"/>
        <v>730.67237997189727</v>
      </c>
    </row>
    <row r="247" spans="1:23" x14ac:dyDescent="0.2">
      <c r="A247" s="40" t="s">
        <v>711</v>
      </c>
      <c r="B247" s="41">
        <v>45667</v>
      </c>
      <c r="C247" s="41">
        <v>45659</v>
      </c>
      <c r="D247" s="40" t="s">
        <v>709</v>
      </c>
      <c r="E247" s="40" t="s">
        <v>710</v>
      </c>
      <c r="G247" s="40" t="s">
        <v>712</v>
      </c>
      <c r="H247" s="40" t="s">
        <v>707</v>
      </c>
      <c r="I247" s="40" t="s">
        <v>708</v>
      </c>
      <c r="J247" s="43" t="str">
        <f t="shared" si="18"/>
        <v>HDL-</v>
      </c>
      <c r="K247" s="40" t="s">
        <v>10</v>
      </c>
      <c r="L247" s="44">
        <v>520</v>
      </c>
      <c r="M247" s="40" t="s">
        <v>1472</v>
      </c>
      <c r="N247" s="40" t="s">
        <v>11</v>
      </c>
      <c r="O247" s="40">
        <v>2.6798000000000002</v>
      </c>
      <c r="P247" s="45">
        <f t="shared" si="19"/>
        <v>1393.5</v>
      </c>
      <c r="Q247" s="46">
        <f t="shared" si="20"/>
        <v>7.3003400000000003</v>
      </c>
      <c r="R247" s="47">
        <f t="shared" si="21"/>
        <v>0.36709999999999998</v>
      </c>
      <c r="S247" s="48">
        <f t="shared" si="22"/>
        <v>190.89</v>
      </c>
      <c r="T247" s="47" t="s">
        <v>349</v>
      </c>
      <c r="U247" s="40" t="s">
        <v>228</v>
      </c>
      <c r="V247" s="38">
        <v>7.1879</v>
      </c>
      <c r="W247" s="49">
        <f t="shared" si="23"/>
        <v>193.86691523254359</v>
      </c>
    </row>
    <row r="248" spans="1:23" x14ac:dyDescent="0.2">
      <c r="A248" s="40" t="s">
        <v>789</v>
      </c>
      <c r="B248" s="41">
        <v>45666</v>
      </c>
      <c r="C248" s="41">
        <v>45643</v>
      </c>
      <c r="D248" s="40" t="s">
        <v>149</v>
      </c>
      <c r="E248" s="40" t="s">
        <v>150</v>
      </c>
      <c r="G248" s="40" t="s">
        <v>784</v>
      </c>
      <c r="H248" s="40" t="s">
        <v>786</v>
      </c>
      <c r="I248" s="40" t="s">
        <v>787</v>
      </c>
      <c r="J248" s="43" t="str">
        <f t="shared" si="18"/>
        <v>GLID</v>
      </c>
      <c r="K248" s="40" t="s">
        <v>10</v>
      </c>
      <c r="L248" s="44">
        <v>1200</v>
      </c>
      <c r="M248" s="40" t="s">
        <v>1472</v>
      </c>
      <c r="N248" s="40" t="s">
        <v>11</v>
      </c>
      <c r="O248" s="40">
        <v>2.7494000000000001</v>
      </c>
      <c r="P248" s="45">
        <f t="shared" si="19"/>
        <v>3299.28</v>
      </c>
      <c r="Q248" s="46">
        <f t="shared" si="20"/>
        <v>7.3003400000000003</v>
      </c>
      <c r="R248" s="47">
        <f t="shared" si="21"/>
        <v>0.37659999999999999</v>
      </c>
      <c r="S248" s="48">
        <f t="shared" si="22"/>
        <v>451.92</v>
      </c>
      <c r="T248" s="47" t="s">
        <v>349</v>
      </c>
      <c r="U248" s="40" t="s">
        <v>78</v>
      </c>
      <c r="V248" s="38">
        <v>7.1879</v>
      </c>
      <c r="W248" s="49">
        <f t="shared" si="23"/>
        <v>459.00471625926906</v>
      </c>
    </row>
    <row r="249" spans="1:23" x14ac:dyDescent="0.2">
      <c r="A249" s="40" t="s">
        <v>788</v>
      </c>
      <c r="B249" s="41">
        <v>45666</v>
      </c>
      <c r="C249" s="41">
        <v>45646</v>
      </c>
      <c r="D249" s="40" t="s">
        <v>149</v>
      </c>
      <c r="E249" s="40" t="s">
        <v>150</v>
      </c>
      <c r="G249" s="40" t="s">
        <v>784</v>
      </c>
      <c r="H249" s="40" t="s">
        <v>786</v>
      </c>
      <c r="I249" s="40" t="s">
        <v>787</v>
      </c>
      <c r="J249" s="43" t="str">
        <f t="shared" si="18"/>
        <v>GLID</v>
      </c>
      <c r="K249" s="40" t="s">
        <v>10</v>
      </c>
      <c r="L249" s="44">
        <v>510</v>
      </c>
      <c r="M249" s="40" t="s">
        <v>1472</v>
      </c>
      <c r="N249" s="40" t="s">
        <v>11</v>
      </c>
      <c r="O249" s="40">
        <v>2.7494000000000001</v>
      </c>
      <c r="P249" s="45">
        <f t="shared" si="19"/>
        <v>1402.19</v>
      </c>
      <c r="Q249" s="46">
        <f t="shared" si="20"/>
        <v>7.3003400000000003</v>
      </c>
      <c r="R249" s="47">
        <f t="shared" si="21"/>
        <v>0.37659999999999999</v>
      </c>
      <c r="S249" s="48">
        <f t="shared" si="22"/>
        <v>192.07</v>
      </c>
      <c r="T249" s="47" t="s">
        <v>349</v>
      </c>
      <c r="U249" s="40" t="s">
        <v>78</v>
      </c>
      <c r="V249" s="38">
        <v>7.1879</v>
      </c>
      <c r="W249" s="49">
        <f t="shared" si="23"/>
        <v>195.07700441018935</v>
      </c>
    </row>
    <row r="250" spans="1:23" x14ac:dyDescent="0.2">
      <c r="A250" s="40" t="s">
        <v>1427</v>
      </c>
      <c r="B250" s="41">
        <v>45659</v>
      </c>
      <c r="C250" s="41">
        <v>45650</v>
      </c>
      <c r="D250" s="40" t="s">
        <v>569</v>
      </c>
      <c r="E250" s="40" t="s">
        <v>570</v>
      </c>
      <c r="G250" s="40" t="s">
        <v>1418</v>
      </c>
      <c r="H250" s="40" t="s">
        <v>1425</v>
      </c>
      <c r="I250" s="40" t="s">
        <v>1426</v>
      </c>
      <c r="J250" s="43" t="str">
        <f t="shared" si="18"/>
        <v>ANYD</v>
      </c>
      <c r="K250" s="40" t="s">
        <v>10</v>
      </c>
      <c r="L250" s="44">
        <v>1000</v>
      </c>
      <c r="M250" s="40" t="s">
        <v>1472</v>
      </c>
      <c r="N250" s="40" t="s">
        <v>11</v>
      </c>
      <c r="O250" s="40">
        <v>2.75</v>
      </c>
      <c r="P250" s="45">
        <f t="shared" si="19"/>
        <v>2750</v>
      </c>
      <c r="Q250" s="46">
        <f t="shared" si="20"/>
        <v>7.3003400000000003</v>
      </c>
      <c r="R250" s="47">
        <f t="shared" si="21"/>
        <v>0.37669999999999998</v>
      </c>
      <c r="S250" s="48">
        <f t="shared" si="22"/>
        <v>376.7</v>
      </c>
      <c r="T250" s="47" t="s">
        <v>349</v>
      </c>
      <c r="U250" s="40" t="s">
        <v>36</v>
      </c>
      <c r="V250" s="38">
        <v>7.1879</v>
      </c>
      <c r="W250" s="49">
        <f t="shared" si="23"/>
        <v>382.58740383143896</v>
      </c>
    </row>
    <row r="251" spans="1:23" x14ac:dyDescent="0.2">
      <c r="A251" s="40" t="s">
        <v>408</v>
      </c>
      <c r="B251" s="41">
        <v>45670</v>
      </c>
      <c r="C251" s="41">
        <v>45664</v>
      </c>
      <c r="D251" s="40" t="s">
        <v>5</v>
      </c>
      <c r="E251" s="40" t="s">
        <v>6</v>
      </c>
      <c r="G251" s="40" t="s">
        <v>393</v>
      </c>
      <c r="H251" s="40" t="s">
        <v>406</v>
      </c>
      <c r="I251" s="40" t="s">
        <v>407</v>
      </c>
      <c r="J251" s="43" t="str">
        <f t="shared" si="18"/>
        <v>BOX-</v>
      </c>
      <c r="K251" s="40" t="s">
        <v>10</v>
      </c>
      <c r="L251" s="44">
        <v>2020</v>
      </c>
      <c r="M251" s="40" t="s">
        <v>1472</v>
      </c>
      <c r="N251" s="40" t="s">
        <v>11</v>
      </c>
      <c r="O251" s="40">
        <v>2.76</v>
      </c>
      <c r="P251" s="45">
        <f t="shared" si="19"/>
        <v>5575.2</v>
      </c>
      <c r="Q251" s="46">
        <f t="shared" si="20"/>
        <v>7.3003400000000003</v>
      </c>
      <c r="R251" s="47">
        <f t="shared" si="21"/>
        <v>0.37809999999999999</v>
      </c>
      <c r="S251" s="48">
        <f t="shared" si="22"/>
        <v>763.76</v>
      </c>
      <c r="T251" s="47" t="s">
        <v>349</v>
      </c>
      <c r="U251" s="40" t="s">
        <v>1</v>
      </c>
      <c r="V251" s="38">
        <v>7.1879</v>
      </c>
      <c r="W251" s="49">
        <f t="shared" si="23"/>
        <v>775.63683412401383</v>
      </c>
    </row>
    <row r="252" spans="1:23" x14ac:dyDescent="0.2">
      <c r="A252" s="40" t="s">
        <v>171</v>
      </c>
      <c r="B252" s="41">
        <v>45674</v>
      </c>
      <c r="C252" s="41">
        <v>45660</v>
      </c>
      <c r="D252" s="40" t="s">
        <v>169</v>
      </c>
      <c r="E252" s="40" t="s">
        <v>170</v>
      </c>
      <c r="G252" s="40" t="s">
        <v>172</v>
      </c>
      <c r="H252" s="40" t="s">
        <v>167</v>
      </c>
      <c r="I252" s="40" t="s">
        <v>168</v>
      </c>
      <c r="J252" s="43" t="str">
        <f t="shared" si="18"/>
        <v>BHRE</v>
      </c>
      <c r="K252" s="40" t="s">
        <v>10</v>
      </c>
      <c r="L252" s="44">
        <v>2850</v>
      </c>
      <c r="M252" s="40" t="s">
        <v>1472</v>
      </c>
      <c r="N252" s="40" t="s">
        <v>11</v>
      </c>
      <c r="O252" s="40">
        <v>2.79</v>
      </c>
      <c r="P252" s="45">
        <f t="shared" si="19"/>
        <v>7951.5</v>
      </c>
      <c r="Q252" s="46">
        <f t="shared" si="20"/>
        <v>7.3003400000000003</v>
      </c>
      <c r="R252" s="47">
        <f t="shared" si="21"/>
        <v>0.38219999999999998</v>
      </c>
      <c r="S252" s="48">
        <f t="shared" si="22"/>
        <v>1089.27</v>
      </c>
      <c r="T252" s="47" t="s">
        <v>349</v>
      </c>
      <c r="U252" s="40" t="s">
        <v>173</v>
      </c>
      <c r="V252" s="38">
        <v>7.1879</v>
      </c>
      <c r="W252" s="49">
        <f t="shared" si="23"/>
        <v>1106.234087842068</v>
      </c>
    </row>
    <row r="253" spans="1:23" x14ac:dyDescent="0.2">
      <c r="A253" s="40" t="s">
        <v>505</v>
      </c>
      <c r="B253" s="41">
        <v>45670</v>
      </c>
      <c r="C253" s="41">
        <v>45663</v>
      </c>
      <c r="D253" s="40" t="s">
        <v>5</v>
      </c>
      <c r="E253" s="40" t="s">
        <v>6</v>
      </c>
      <c r="G253" s="40" t="s">
        <v>492</v>
      </c>
      <c r="H253" s="40" t="s">
        <v>503</v>
      </c>
      <c r="I253" s="40" t="s">
        <v>504</v>
      </c>
      <c r="J253" s="43" t="str">
        <f t="shared" si="18"/>
        <v>SHTS</v>
      </c>
      <c r="K253" s="40" t="s">
        <v>10</v>
      </c>
      <c r="L253" s="44">
        <v>1010</v>
      </c>
      <c r="M253" s="40" t="s">
        <v>1472</v>
      </c>
      <c r="N253" s="40" t="s">
        <v>11</v>
      </c>
      <c r="O253" s="40">
        <v>2.84</v>
      </c>
      <c r="P253" s="45">
        <f t="shared" si="19"/>
        <v>2868.4</v>
      </c>
      <c r="Q253" s="46">
        <f t="shared" si="20"/>
        <v>7.3003400000000003</v>
      </c>
      <c r="R253" s="47">
        <f t="shared" si="21"/>
        <v>0.38900000000000001</v>
      </c>
      <c r="S253" s="48">
        <f t="shared" si="22"/>
        <v>392.89</v>
      </c>
      <c r="T253" s="47" t="s">
        <v>349</v>
      </c>
      <c r="U253" s="40" t="s">
        <v>9</v>
      </c>
      <c r="V253" s="38">
        <v>7.1879</v>
      </c>
      <c r="W253" s="49">
        <f t="shared" si="23"/>
        <v>399.05953060003617</v>
      </c>
    </row>
    <row r="254" spans="1:23" x14ac:dyDescent="0.2">
      <c r="A254" s="40" t="s">
        <v>508</v>
      </c>
      <c r="B254" s="41">
        <v>45670</v>
      </c>
      <c r="C254" s="41">
        <v>45663</v>
      </c>
      <c r="D254" s="40" t="s">
        <v>5</v>
      </c>
      <c r="E254" s="40" t="s">
        <v>6</v>
      </c>
      <c r="G254" s="40" t="s">
        <v>492</v>
      </c>
      <c r="H254" s="40" t="s">
        <v>506</v>
      </c>
      <c r="I254" s="40" t="s">
        <v>507</v>
      </c>
      <c r="J254" s="43" t="str">
        <f t="shared" si="18"/>
        <v>SHTS</v>
      </c>
      <c r="K254" s="40" t="s">
        <v>10</v>
      </c>
      <c r="L254" s="44">
        <v>1010</v>
      </c>
      <c r="M254" s="40" t="s">
        <v>1472</v>
      </c>
      <c r="N254" s="40" t="s">
        <v>11</v>
      </c>
      <c r="O254" s="40">
        <v>2.86</v>
      </c>
      <c r="P254" s="45">
        <f t="shared" si="19"/>
        <v>2888.6</v>
      </c>
      <c r="Q254" s="46">
        <f t="shared" si="20"/>
        <v>7.3003400000000003</v>
      </c>
      <c r="R254" s="47">
        <f t="shared" si="21"/>
        <v>0.39179999999999998</v>
      </c>
      <c r="S254" s="48">
        <f t="shared" si="22"/>
        <v>395.72</v>
      </c>
      <c r="T254" s="47" t="s">
        <v>349</v>
      </c>
      <c r="U254" s="40" t="s">
        <v>9</v>
      </c>
      <c r="V254" s="38">
        <v>7.1879</v>
      </c>
      <c r="W254" s="49">
        <f t="shared" si="23"/>
        <v>401.86980898454345</v>
      </c>
    </row>
    <row r="255" spans="1:23" x14ac:dyDescent="0.2">
      <c r="A255" s="40" t="s">
        <v>1021</v>
      </c>
      <c r="B255" s="41">
        <v>45663</v>
      </c>
      <c r="C255" s="41">
        <v>45657</v>
      </c>
      <c r="D255" s="40" t="s">
        <v>1006</v>
      </c>
      <c r="E255" s="40" t="s">
        <v>1007</v>
      </c>
      <c r="G255" s="40" t="s">
        <v>1009</v>
      </c>
      <c r="H255" s="40" t="s">
        <v>1019</v>
      </c>
      <c r="I255" s="40" t="s">
        <v>1020</v>
      </c>
      <c r="J255" s="43" t="str">
        <f t="shared" si="18"/>
        <v>ALM-</v>
      </c>
      <c r="K255" s="40" t="s">
        <v>98</v>
      </c>
      <c r="L255" s="44">
        <v>1698</v>
      </c>
      <c r="M255" s="40" t="s">
        <v>186</v>
      </c>
      <c r="N255" s="40" t="s">
        <v>11</v>
      </c>
      <c r="O255" s="40">
        <v>2.9203999999999999</v>
      </c>
      <c r="P255" s="45">
        <f t="shared" si="19"/>
        <v>4958.84</v>
      </c>
      <c r="Q255" s="46">
        <f t="shared" si="20"/>
        <v>7.3003400000000003</v>
      </c>
      <c r="R255" s="47">
        <f t="shared" si="21"/>
        <v>0.4</v>
      </c>
      <c r="S255" s="48">
        <f t="shared" si="22"/>
        <v>679.2</v>
      </c>
      <c r="T255" s="47" t="s">
        <v>349</v>
      </c>
      <c r="U255" s="40" t="s">
        <v>191</v>
      </c>
      <c r="V255" s="38">
        <v>7.1879</v>
      </c>
      <c r="W255" s="49">
        <f t="shared" si="23"/>
        <v>689.88706019838889</v>
      </c>
    </row>
    <row r="256" spans="1:23" x14ac:dyDescent="0.2">
      <c r="A256" s="40" t="s">
        <v>1012</v>
      </c>
      <c r="B256" s="41">
        <v>45663</v>
      </c>
      <c r="C256" s="41">
        <v>45657</v>
      </c>
      <c r="D256" s="40" t="s">
        <v>1006</v>
      </c>
      <c r="E256" s="40" t="s">
        <v>1007</v>
      </c>
      <c r="G256" s="40" t="s">
        <v>1009</v>
      </c>
      <c r="H256" s="40" t="s">
        <v>1010</v>
      </c>
      <c r="I256" s="40" t="s">
        <v>1011</v>
      </c>
      <c r="J256" s="43" t="str">
        <f t="shared" si="18"/>
        <v>ALM-</v>
      </c>
      <c r="K256" s="40" t="s">
        <v>98</v>
      </c>
      <c r="L256" s="44">
        <v>562</v>
      </c>
      <c r="M256" s="40" t="s">
        <v>186</v>
      </c>
      <c r="N256" s="40" t="s">
        <v>11</v>
      </c>
      <c r="O256" s="40">
        <v>2.9203999999999999</v>
      </c>
      <c r="P256" s="45">
        <f t="shared" si="19"/>
        <v>1641.26</v>
      </c>
      <c r="Q256" s="46">
        <f t="shared" si="20"/>
        <v>7.3003400000000003</v>
      </c>
      <c r="R256" s="47">
        <f t="shared" si="21"/>
        <v>0.4</v>
      </c>
      <c r="S256" s="48">
        <f t="shared" si="22"/>
        <v>224.8</v>
      </c>
      <c r="T256" s="47" t="s">
        <v>349</v>
      </c>
      <c r="U256" s="40" t="s">
        <v>191</v>
      </c>
      <c r="V256" s="38">
        <v>7.1879</v>
      </c>
      <c r="W256" s="49">
        <f t="shared" si="23"/>
        <v>228.33717775706393</v>
      </c>
    </row>
    <row r="257" spans="1:23" x14ac:dyDescent="0.2">
      <c r="A257" s="40" t="s">
        <v>1008</v>
      </c>
      <c r="B257" s="41">
        <v>45663</v>
      </c>
      <c r="C257" s="41">
        <v>45657</v>
      </c>
      <c r="D257" s="40" t="s">
        <v>1006</v>
      </c>
      <c r="E257" s="40" t="s">
        <v>1007</v>
      </c>
      <c r="G257" s="40" t="s">
        <v>1009</v>
      </c>
      <c r="H257" s="40" t="s">
        <v>1004</v>
      </c>
      <c r="I257" s="40" t="s">
        <v>1005</v>
      </c>
      <c r="J257" s="43" t="str">
        <f t="shared" si="18"/>
        <v>ALM-</v>
      </c>
      <c r="K257" s="40" t="s">
        <v>98</v>
      </c>
      <c r="L257" s="44">
        <v>550</v>
      </c>
      <c r="M257" s="40" t="s">
        <v>186</v>
      </c>
      <c r="N257" s="40" t="s">
        <v>11</v>
      </c>
      <c r="O257" s="40">
        <v>2.9203999999999999</v>
      </c>
      <c r="P257" s="45">
        <f t="shared" si="19"/>
        <v>1606.22</v>
      </c>
      <c r="Q257" s="46">
        <f t="shared" si="20"/>
        <v>7.3003400000000003</v>
      </c>
      <c r="R257" s="47">
        <f t="shared" si="21"/>
        <v>0.4</v>
      </c>
      <c r="S257" s="48">
        <f t="shared" si="22"/>
        <v>220</v>
      </c>
      <c r="T257" s="47" t="s">
        <v>349</v>
      </c>
      <c r="U257" s="40" t="s">
        <v>191</v>
      </c>
      <c r="V257" s="38">
        <v>7.1879</v>
      </c>
      <c r="W257" s="49">
        <f t="shared" si="23"/>
        <v>223.46165082986684</v>
      </c>
    </row>
    <row r="258" spans="1:23" x14ac:dyDescent="0.2">
      <c r="A258" s="40" t="s">
        <v>7</v>
      </c>
      <c r="B258" s="41">
        <v>45681</v>
      </c>
      <c r="C258" s="41">
        <v>45575</v>
      </c>
      <c r="D258" s="40" t="s">
        <v>5</v>
      </c>
      <c r="E258" s="40" t="s">
        <v>6</v>
      </c>
      <c r="G258" s="40" t="s">
        <v>8</v>
      </c>
      <c r="H258" s="40" t="s">
        <v>3</v>
      </c>
      <c r="I258" s="40" t="s">
        <v>4</v>
      </c>
      <c r="J258" s="43" t="str">
        <f t="shared" ref="J258:J321" si="24">+LEFT(U258,4)</f>
        <v>SHTS</v>
      </c>
      <c r="K258" s="40" t="s">
        <v>10</v>
      </c>
      <c r="L258" s="44">
        <v>500</v>
      </c>
      <c r="M258" s="40" t="s">
        <v>1472</v>
      </c>
      <c r="N258" s="40" t="s">
        <v>11</v>
      </c>
      <c r="O258" s="40">
        <v>2.94</v>
      </c>
      <c r="P258" s="45">
        <f t="shared" ref="P258:P321" si="25">ROUND(O258*L258,2)</f>
        <v>1470</v>
      </c>
      <c r="Q258" s="46">
        <f t="shared" ref="Q258:Q321" si="26">IF(N258="HKD",7.8,IF(N258="CNY",7.30034,1))</f>
        <v>7.3003400000000003</v>
      </c>
      <c r="R258" s="47">
        <f t="shared" ref="R258:R321" si="27">+ROUND(O258/Q258,4)</f>
        <v>0.4027</v>
      </c>
      <c r="S258" s="48">
        <f t="shared" ref="S258:S321" si="28">ROUND(R258*L258,2)</f>
        <v>201.35</v>
      </c>
      <c r="T258" s="47" t="s">
        <v>349</v>
      </c>
      <c r="U258" s="40" t="s">
        <v>9</v>
      </c>
      <c r="V258" s="38">
        <v>7.1879</v>
      </c>
      <c r="W258" s="49">
        <f t="shared" ref="W258:W321" si="29">IF(N258="CNY",O258/V258*L258,1)</f>
        <v>204.51035768444189</v>
      </c>
    </row>
    <row r="259" spans="1:23" x14ac:dyDescent="0.2">
      <c r="A259" s="40" t="s">
        <v>378</v>
      </c>
      <c r="B259" s="41">
        <v>45671</v>
      </c>
      <c r="C259" s="41">
        <v>45663</v>
      </c>
      <c r="D259" s="40" t="s">
        <v>5</v>
      </c>
      <c r="E259" s="40" t="s">
        <v>6</v>
      </c>
      <c r="G259" s="40" t="s">
        <v>379</v>
      </c>
      <c r="H259" s="40" t="s">
        <v>376</v>
      </c>
      <c r="I259" s="40" t="s">
        <v>377</v>
      </c>
      <c r="J259" s="43" t="str">
        <f t="shared" si="24"/>
        <v>SHTS</v>
      </c>
      <c r="K259" s="40" t="s">
        <v>10</v>
      </c>
      <c r="L259" s="44">
        <v>1005</v>
      </c>
      <c r="M259" s="40" t="s">
        <v>1472</v>
      </c>
      <c r="N259" s="40" t="s">
        <v>11</v>
      </c>
      <c r="O259" s="40">
        <v>3</v>
      </c>
      <c r="P259" s="45">
        <f t="shared" si="25"/>
        <v>3015</v>
      </c>
      <c r="Q259" s="46">
        <f t="shared" si="26"/>
        <v>7.3003400000000003</v>
      </c>
      <c r="R259" s="47">
        <f t="shared" si="27"/>
        <v>0.41089999999999999</v>
      </c>
      <c r="S259" s="48">
        <f t="shared" si="28"/>
        <v>412.95</v>
      </c>
      <c r="T259" s="47" t="s">
        <v>349</v>
      </c>
      <c r="U259" s="40" t="s">
        <v>9</v>
      </c>
      <c r="V259" s="38">
        <v>7.1879</v>
      </c>
      <c r="W259" s="49">
        <f t="shared" si="29"/>
        <v>419.45491729155947</v>
      </c>
    </row>
    <row r="260" spans="1:23" x14ac:dyDescent="0.2">
      <c r="A260" s="40" t="s">
        <v>155</v>
      </c>
      <c r="B260" s="41">
        <v>45675</v>
      </c>
      <c r="C260" s="41">
        <v>45653</v>
      </c>
      <c r="D260" s="40" t="s">
        <v>149</v>
      </c>
      <c r="E260" s="40" t="s">
        <v>150</v>
      </c>
      <c r="G260" s="40" t="s">
        <v>156</v>
      </c>
      <c r="H260" s="40" t="s">
        <v>153</v>
      </c>
      <c r="I260" s="40" t="s">
        <v>154</v>
      </c>
      <c r="J260" s="43" t="str">
        <f t="shared" si="24"/>
        <v>GLID</v>
      </c>
      <c r="K260" s="40" t="s">
        <v>10</v>
      </c>
      <c r="L260" s="44">
        <v>1000</v>
      </c>
      <c r="M260" s="40" t="s">
        <v>1472</v>
      </c>
      <c r="N260" s="40" t="s">
        <v>11</v>
      </c>
      <c r="O260" s="40">
        <v>3.0440999999999998</v>
      </c>
      <c r="P260" s="45">
        <f t="shared" si="25"/>
        <v>3044.1</v>
      </c>
      <c r="Q260" s="46">
        <f t="shared" si="26"/>
        <v>7.3003400000000003</v>
      </c>
      <c r="R260" s="47">
        <f t="shared" si="27"/>
        <v>0.41699999999999998</v>
      </c>
      <c r="S260" s="48">
        <f t="shared" si="28"/>
        <v>417</v>
      </c>
      <c r="T260" s="47" t="s">
        <v>349</v>
      </c>
      <c r="U260" s="40" t="s">
        <v>78</v>
      </c>
      <c r="V260" s="38">
        <v>7.1879</v>
      </c>
      <c r="W260" s="49">
        <f t="shared" si="29"/>
        <v>423.50338763755752</v>
      </c>
    </row>
    <row r="261" spans="1:23" x14ac:dyDescent="0.2">
      <c r="A261" s="40" t="s">
        <v>461</v>
      </c>
      <c r="B261" s="41">
        <v>45670</v>
      </c>
      <c r="C261" s="41">
        <v>45663</v>
      </c>
      <c r="D261" s="40" t="s">
        <v>5</v>
      </c>
      <c r="E261" s="40" t="s">
        <v>6</v>
      </c>
      <c r="G261" s="40" t="s">
        <v>458</v>
      </c>
      <c r="H261" s="40" t="s">
        <v>459</v>
      </c>
      <c r="I261" s="40" t="s">
        <v>460</v>
      </c>
      <c r="J261" s="43" t="str">
        <f t="shared" si="24"/>
        <v>BOX-</v>
      </c>
      <c r="K261" s="40" t="s">
        <v>10</v>
      </c>
      <c r="L261" s="44">
        <v>2020</v>
      </c>
      <c r="M261" s="40" t="s">
        <v>1472</v>
      </c>
      <c r="N261" s="40" t="s">
        <v>11</v>
      </c>
      <c r="O261" s="40">
        <v>3.05</v>
      </c>
      <c r="P261" s="45">
        <f t="shared" si="25"/>
        <v>6161</v>
      </c>
      <c r="Q261" s="46">
        <f t="shared" si="26"/>
        <v>7.3003400000000003</v>
      </c>
      <c r="R261" s="47">
        <f t="shared" si="27"/>
        <v>0.4178</v>
      </c>
      <c r="S261" s="48">
        <f t="shared" si="28"/>
        <v>843.96</v>
      </c>
      <c r="T261" s="47" t="s">
        <v>349</v>
      </c>
      <c r="U261" s="40" t="s">
        <v>1</v>
      </c>
      <c r="V261" s="38">
        <v>7.1879</v>
      </c>
      <c r="W261" s="49">
        <f t="shared" si="29"/>
        <v>857.13490727472549</v>
      </c>
    </row>
    <row r="262" spans="1:23" x14ac:dyDescent="0.2">
      <c r="A262" s="40" t="s">
        <v>1298</v>
      </c>
      <c r="B262" s="41">
        <v>45660</v>
      </c>
      <c r="C262" s="41">
        <v>45653</v>
      </c>
      <c r="D262" s="40" t="s">
        <v>5</v>
      </c>
      <c r="E262" s="40" t="s">
        <v>6</v>
      </c>
      <c r="G262" s="40" t="s">
        <v>1295</v>
      </c>
      <c r="H262" s="40" t="s">
        <v>1296</v>
      </c>
      <c r="I262" s="40" t="s">
        <v>1297</v>
      </c>
      <c r="J262" s="43" t="str">
        <f t="shared" si="24"/>
        <v>BOX-</v>
      </c>
      <c r="K262" s="40" t="s">
        <v>10</v>
      </c>
      <c r="L262" s="44">
        <v>2000</v>
      </c>
      <c r="M262" s="40" t="s">
        <v>1472</v>
      </c>
      <c r="N262" s="40" t="s">
        <v>11</v>
      </c>
      <c r="O262" s="40">
        <v>3.08</v>
      </c>
      <c r="P262" s="45">
        <f t="shared" si="25"/>
        <v>6160</v>
      </c>
      <c r="Q262" s="46">
        <f t="shared" si="26"/>
        <v>7.3003400000000003</v>
      </c>
      <c r="R262" s="47">
        <f t="shared" si="27"/>
        <v>0.4219</v>
      </c>
      <c r="S262" s="48">
        <f t="shared" si="28"/>
        <v>843.8</v>
      </c>
      <c r="T262" s="47" t="s">
        <v>349</v>
      </c>
      <c r="U262" s="40" t="s">
        <v>1</v>
      </c>
      <c r="V262" s="38">
        <v>7.1879</v>
      </c>
      <c r="W262" s="49">
        <f t="shared" si="29"/>
        <v>856.99578458242331</v>
      </c>
    </row>
    <row r="263" spans="1:23" x14ac:dyDescent="0.2">
      <c r="A263" s="40" t="s">
        <v>382</v>
      </c>
      <c r="B263" s="41">
        <v>45670</v>
      </c>
      <c r="C263" s="41">
        <v>45663</v>
      </c>
      <c r="D263" s="40" t="s">
        <v>5</v>
      </c>
      <c r="E263" s="40" t="s">
        <v>6</v>
      </c>
      <c r="G263" s="40" t="s">
        <v>383</v>
      </c>
      <c r="H263" s="40" t="s">
        <v>380</v>
      </c>
      <c r="I263" s="40" t="s">
        <v>381</v>
      </c>
      <c r="J263" s="43" t="str">
        <f t="shared" si="24"/>
        <v>BOX-</v>
      </c>
      <c r="K263" s="40" t="s">
        <v>10</v>
      </c>
      <c r="L263" s="44">
        <v>1010</v>
      </c>
      <c r="M263" s="40" t="s">
        <v>1472</v>
      </c>
      <c r="N263" s="40" t="s">
        <v>11</v>
      </c>
      <c r="O263" s="40">
        <v>3.08</v>
      </c>
      <c r="P263" s="45">
        <f t="shared" si="25"/>
        <v>3110.8</v>
      </c>
      <c r="Q263" s="46">
        <f t="shared" si="26"/>
        <v>7.3003400000000003</v>
      </c>
      <c r="R263" s="47">
        <f t="shared" si="27"/>
        <v>0.4219</v>
      </c>
      <c r="S263" s="48">
        <f t="shared" si="28"/>
        <v>426.12</v>
      </c>
      <c r="T263" s="47" t="s">
        <v>349</v>
      </c>
      <c r="U263" s="40" t="s">
        <v>1</v>
      </c>
      <c r="V263" s="38">
        <v>7.1879</v>
      </c>
      <c r="W263" s="49">
        <f t="shared" si="29"/>
        <v>432.78287121412376</v>
      </c>
    </row>
    <row r="264" spans="1:23" x14ac:dyDescent="0.2">
      <c r="A264" s="40" t="s">
        <v>1018</v>
      </c>
      <c r="B264" s="41">
        <v>45663</v>
      </c>
      <c r="C264" s="41">
        <v>45657</v>
      </c>
      <c r="D264" s="40" t="s">
        <v>1006</v>
      </c>
      <c r="E264" s="40" t="s">
        <v>1007</v>
      </c>
      <c r="G264" s="40" t="s">
        <v>1009</v>
      </c>
      <c r="H264" s="40" t="s">
        <v>1016</v>
      </c>
      <c r="I264" s="40" t="s">
        <v>1017</v>
      </c>
      <c r="J264" s="43" t="str">
        <f t="shared" si="24"/>
        <v>ALM-</v>
      </c>
      <c r="K264" s="40" t="s">
        <v>98</v>
      </c>
      <c r="L264" s="44">
        <v>902</v>
      </c>
      <c r="M264" s="40" t="s">
        <v>186</v>
      </c>
      <c r="N264" s="40" t="s">
        <v>11</v>
      </c>
      <c r="O264" s="40">
        <v>3.0973000000000002</v>
      </c>
      <c r="P264" s="45">
        <f t="shared" si="25"/>
        <v>2793.76</v>
      </c>
      <c r="Q264" s="46">
        <f t="shared" si="26"/>
        <v>7.3003400000000003</v>
      </c>
      <c r="R264" s="47">
        <f t="shared" si="27"/>
        <v>0.42430000000000001</v>
      </c>
      <c r="S264" s="48">
        <f t="shared" si="28"/>
        <v>382.72</v>
      </c>
      <c r="T264" s="47" t="s">
        <v>349</v>
      </c>
      <c r="U264" s="40" t="s">
        <v>191</v>
      </c>
      <c r="V264" s="38">
        <v>7.1879</v>
      </c>
      <c r="W264" s="49">
        <f t="shared" si="29"/>
        <v>388.67605281097406</v>
      </c>
    </row>
    <row r="265" spans="1:23" x14ac:dyDescent="0.2">
      <c r="A265" s="40" t="s">
        <v>1015</v>
      </c>
      <c r="B265" s="41">
        <v>45663</v>
      </c>
      <c r="C265" s="41">
        <v>45657</v>
      </c>
      <c r="D265" s="40" t="s">
        <v>1006</v>
      </c>
      <c r="E265" s="40" t="s">
        <v>1007</v>
      </c>
      <c r="G265" s="40" t="s">
        <v>1009</v>
      </c>
      <c r="H265" s="40" t="s">
        <v>1013</v>
      </c>
      <c r="I265" s="40" t="s">
        <v>1014</v>
      </c>
      <c r="J265" s="43" t="str">
        <f t="shared" si="24"/>
        <v>ALM-</v>
      </c>
      <c r="K265" s="40" t="s">
        <v>98</v>
      </c>
      <c r="L265" s="44">
        <v>555</v>
      </c>
      <c r="M265" s="40" t="s">
        <v>186</v>
      </c>
      <c r="N265" s="40" t="s">
        <v>11</v>
      </c>
      <c r="O265" s="40">
        <v>3.0973000000000002</v>
      </c>
      <c r="P265" s="45">
        <f t="shared" si="25"/>
        <v>1719</v>
      </c>
      <c r="Q265" s="46">
        <f t="shared" si="26"/>
        <v>7.3003400000000003</v>
      </c>
      <c r="R265" s="47">
        <f t="shared" si="27"/>
        <v>0.42430000000000001</v>
      </c>
      <c r="S265" s="48">
        <f t="shared" si="28"/>
        <v>235.49</v>
      </c>
      <c r="T265" s="47" t="s">
        <v>349</v>
      </c>
      <c r="U265" s="40" t="s">
        <v>191</v>
      </c>
      <c r="V265" s="38">
        <v>7.1879</v>
      </c>
      <c r="W265" s="49">
        <f t="shared" si="29"/>
        <v>239.1521167517634</v>
      </c>
    </row>
    <row r="266" spans="1:23" x14ac:dyDescent="0.2">
      <c r="A266" s="40" t="s">
        <v>1421</v>
      </c>
      <c r="B266" s="41">
        <v>45659</v>
      </c>
      <c r="C266" s="41">
        <v>45652</v>
      </c>
      <c r="D266" s="40" t="s">
        <v>569</v>
      </c>
      <c r="E266" s="40" t="s">
        <v>570</v>
      </c>
      <c r="G266" s="40" t="s">
        <v>1418</v>
      </c>
      <c r="H266" s="40" t="s">
        <v>1419</v>
      </c>
      <c r="I266" s="40" t="s">
        <v>1420</v>
      </c>
      <c r="J266" s="43" t="str">
        <f t="shared" si="24"/>
        <v>ANYD</v>
      </c>
      <c r="K266" s="40" t="s">
        <v>10</v>
      </c>
      <c r="L266" s="44">
        <v>1000</v>
      </c>
      <c r="M266" s="40" t="s">
        <v>1472</v>
      </c>
      <c r="N266" s="40" t="s">
        <v>11</v>
      </c>
      <c r="O266" s="40">
        <v>3.1</v>
      </c>
      <c r="P266" s="45">
        <f t="shared" si="25"/>
        <v>3100</v>
      </c>
      <c r="Q266" s="46">
        <f t="shared" si="26"/>
        <v>7.3003400000000003</v>
      </c>
      <c r="R266" s="47">
        <f t="shared" si="27"/>
        <v>0.42459999999999998</v>
      </c>
      <c r="S266" s="48">
        <f t="shared" si="28"/>
        <v>424.6</v>
      </c>
      <c r="T266" s="47" t="s">
        <v>349</v>
      </c>
      <c r="U266" s="40" t="s">
        <v>36</v>
      </c>
      <c r="V266" s="38">
        <v>7.1879</v>
      </c>
      <c r="W266" s="49">
        <f t="shared" si="29"/>
        <v>431.28034613725845</v>
      </c>
    </row>
    <row r="267" spans="1:23" x14ac:dyDescent="0.2">
      <c r="A267" s="40" t="s">
        <v>785</v>
      </c>
      <c r="B267" s="41">
        <v>45666</v>
      </c>
      <c r="C267" s="41">
        <v>45609</v>
      </c>
      <c r="D267" s="40" t="s">
        <v>149</v>
      </c>
      <c r="E267" s="40" t="s">
        <v>150</v>
      </c>
      <c r="G267" s="40" t="s">
        <v>784</v>
      </c>
      <c r="H267" s="40" t="s">
        <v>781</v>
      </c>
      <c r="I267" s="40" t="s">
        <v>782</v>
      </c>
      <c r="J267" s="43" t="str">
        <f t="shared" si="24"/>
        <v>GLID</v>
      </c>
      <c r="K267" s="40" t="s">
        <v>10</v>
      </c>
      <c r="L267" s="44">
        <v>530</v>
      </c>
      <c r="M267" s="40" t="s">
        <v>1472</v>
      </c>
      <c r="N267" s="40" t="s">
        <v>11</v>
      </c>
      <c r="O267" s="40">
        <v>3.1166</v>
      </c>
      <c r="P267" s="45">
        <f t="shared" si="25"/>
        <v>1651.8</v>
      </c>
      <c r="Q267" s="46">
        <f t="shared" si="26"/>
        <v>7.3003400000000003</v>
      </c>
      <c r="R267" s="47">
        <f t="shared" si="27"/>
        <v>0.4269</v>
      </c>
      <c r="S267" s="48">
        <f t="shared" si="28"/>
        <v>226.26</v>
      </c>
      <c r="T267" s="47" t="s">
        <v>349</v>
      </c>
      <c r="U267" s="40" t="s">
        <v>78</v>
      </c>
      <c r="V267" s="38">
        <v>7.1879</v>
      </c>
      <c r="W267" s="49">
        <f t="shared" si="29"/>
        <v>229.80258489962296</v>
      </c>
    </row>
    <row r="268" spans="1:23" x14ac:dyDescent="0.2">
      <c r="A268" s="40" t="s">
        <v>783</v>
      </c>
      <c r="B268" s="41">
        <v>45666</v>
      </c>
      <c r="C268" s="41">
        <v>45650</v>
      </c>
      <c r="D268" s="40" t="s">
        <v>149</v>
      </c>
      <c r="E268" s="40" t="s">
        <v>150</v>
      </c>
      <c r="G268" s="40" t="s">
        <v>784</v>
      </c>
      <c r="H268" s="40" t="s">
        <v>781</v>
      </c>
      <c r="I268" s="40" t="s">
        <v>782</v>
      </c>
      <c r="J268" s="43" t="str">
        <f t="shared" si="24"/>
        <v>GLID</v>
      </c>
      <c r="K268" s="40" t="s">
        <v>10</v>
      </c>
      <c r="L268" s="44">
        <v>500</v>
      </c>
      <c r="M268" s="40" t="s">
        <v>1472</v>
      </c>
      <c r="N268" s="40" t="s">
        <v>11</v>
      </c>
      <c r="O268" s="40">
        <v>3.1166</v>
      </c>
      <c r="P268" s="45">
        <f t="shared" si="25"/>
        <v>1558.3</v>
      </c>
      <c r="Q268" s="46">
        <f t="shared" si="26"/>
        <v>7.3003400000000003</v>
      </c>
      <c r="R268" s="47">
        <f t="shared" si="27"/>
        <v>0.4269</v>
      </c>
      <c r="S268" s="48">
        <f t="shared" si="28"/>
        <v>213.45</v>
      </c>
      <c r="T268" s="47" t="s">
        <v>349</v>
      </c>
      <c r="U268" s="40" t="s">
        <v>78</v>
      </c>
      <c r="V268" s="38">
        <v>7.1879</v>
      </c>
      <c r="W268" s="49">
        <f t="shared" si="29"/>
        <v>216.79489141473866</v>
      </c>
    </row>
    <row r="269" spans="1:23" x14ac:dyDescent="0.2">
      <c r="A269" s="40" t="s">
        <v>1234</v>
      </c>
      <c r="B269" s="41">
        <v>45663</v>
      </c>
      <c r="C269" s="41">
        <v>45615</v>
      </c>
      <c r="D269" s="40" t="s">
        <v>187</v>
      </c>
      <c r="E269" s="40" t="s">
        <v>188</v>
      </c>
      <c r="G269" s="40" t="s">
        <v>1199</v>
      </c>
      <c r="H269" s="40" t="s">
        <v>211</v>
      </c>
      <c r="I269" s="40" t="s">
        <v>212</v>
      </c>
      <c r="J269" s="43" t="str">
        <f t="shared" si="24"/>
        <v>ALM-</v>
      </c>
      <c r="K269" s="40" t="s">
        <v>98</v>
      </c>
      <c r="L269" s="44">
        <v>800</v>
      </c>
      <c r="M269" s="40" t="s">
        <v>186</v>
      </c>
      <c r="N269" s="40" t="s">
        <v>11</v>
      </c>
      <c r="O269" s="40">
        <v>3.1415999999999999</v>
      </c>
      <c r="P269" s="45">
        <f t="shared" si="25"/>
        <v>2513.2800000000002</v>
      </c>
      <c r="Q269" s="46">
        <f t="shared" si="26"/>
        <v>7.3003400000000003</v>
      </c>
      <c r="R269" s="47">
        <f t="shared" si="27"/>
        <v>0.43030000000000002</v>
      </c>
      <c r="S269" s="48">
        <f t="shared" si="28"/>
        <v>344.24</v>
      </c>
      <c r="T269" s="47" t="s">
        <v>349</v>
      </c>
      <c r="U269" s="40" t="s">
        <v>191</v>
      </c>
      <c r="V269" s="38">
        <v>7.1879</v>
      </c>
      <c r="W269" s="49">
        <f t="shared" si="29"/>
        <v>349.6542801096287</v>
      </c>
    </row>
    <row r="270" spans="1:23" x14ac:dyDescent="0.2">
      <c r="A270" s="40" t="s">
        <v>1233</v>
      </c>
      <c r="B270" s="41">
        <v>45663</v>
      </c>
      <c r="C270" s="41">
        <v>45615</v>
      </c>
      <c r="D270" s="40" t="s">
        <v>187</v>
      </c>
      <c r="E270" s="40" t="s">
        <v>188</v>
      </c>
      <c r="G270" s="40" t="s">
        <v>1199</v>
      </c>
      <c r="H270" s="40" t="s">
        <v>208</v>
      </c>
      <c r="I270" s="40" t="s">
        <v>209</v>
      </c>
      <c r="J270" s="43" t="str">
        <f t="shared" si="24"/>
        <v>ALM-</v>
      </c>
      <c r="K270" s="40" t="s">
        <v>98</v>
      </c>
      <c r="L270" s="44">
        <v>1000</v>
      </c>
      <c r="M270" s="40" t="s">
        <v>186</v>
      </c>
      <c r="N270" s="40" t="s">
        <v>11</v>
      </c>
      <c r="O270" s="40">
        <v>3.1415999999999999</v>
      </c>
      <c r="P270" s="45">
        <f t="shared" si="25"/>
        <v>3141.6</v>
      </c>
      <c r="Q270" s="46">
        <f t="shared" si="26"/>
        <v>7.3003400000000003</v>
      </c>
      <c r="R270" s="47">
        <f t="shared" si="27"/>
        <v>0.43030000000000002</v>
      </c>
      <c r="S270" s="48">
        <f t="shared" si="28"/>
        <v>430.3</v>
      </c>
      <c r="T270" s="47" t="s">
        <v>349</v>
      </c>
      <c r="U270" s="40" t="s">
        <v>191</v>
      </c>
      <c r="V270" s="38">
        <v>7.1879</v>
      </c>
      <c r="W270" s="49">
        <f t="shared" si="29"/>
        <v>437.06785013703586</v>
      </c>
    </row>
    <row r="271" spans="1:23" x14ac:dyDescent="0.2">
      <c r="A271" s="40" t="s">
        <v>1232</v>
      </c>
      <c r="B271" s="41">
        <v>45663</v>
      </c>
      <c r="C271" s="41">
        <v>45615</v>
      </c>
      <c r="D271" s="40" t="s">
        <v>187</v>
      </c>
      <c r="E271" s="40" t="s">
        <v>188</v>
      </c>
      <c r="G271" s="40" t="s">
        <v>1199</v>
      </c>
      <c r="H271" s="40" t="s">
        <v>205</v>
      </c>
      <c r="I271" s="40" t="s">
        <v>206</v>
      </c>
      <c r="J271" s="43" t="str">
        <f t="shared" si="24"/>
        <v>ALM-</v>
      </c>
      <c r="K271" s="40" t="s">
        <v>98</v>
      </c>
      <c r="L271" s="44">
        <v>550</v>
      </c>
      <c r="M271" s="40" t="s">
        <v>186</v>
      </c>
      <c r="N271" s="40" t="s">
        <v>11</v>
      </c>
      <c r="O271" s="40">
        <v>3.1415999999999999</v>
      </c>
      <c r="P271" s="45">
        <f t="shared" si="25"/>
        <v>1727.88</v>
      </c>
      <c r="Q271" s="46">
        <f t="shared" si="26"/>
        <v>7.3003400000000003</v>
      </c>
      <c r="R271" s="47">
        <f t="shared" si="27"/>
        <v>0.43030000000000002</v>
      </c>
      <c r="S271" s="48">
        <f t="shared" si="28"/>
        <v>236.67</v>
      </c>
      <c r="T271" s="47" t="s">
        <v>349</v>
      </c>
      <c r="U271" s="40" t="s">
        <v>191</v>
      </c>
      <c r="V271" s="38">
        <v>7.1879</v>
      </c>
      <c r="W271" s="49">
        <f t="shared" si="29"/>
        <v>240.38731757536974</v>
      </c>
    </row>
    <row r="272" spans="1:23" x14ac:dyDescent="0.2">
      <c r="A272" s="40" t="s">
        <v>1231</v>
      </c>
      <c r="B272" s="41">
        <v>45663</v>
      </c>
      <c r="C272" s="41">
        <v>45615</v>
      </c>
      <c r="D272" s="40" t="s">
        <v>187</v>
      </c>
      <c r="E272" s="40" t="s">
        <v>188</v>
      </c>
      <c r="G272" s="40" t="s">
        <v>1199</v>
      </c>
      <c r="H272" s="40" t="s">
        <v>202</v>
      </c>
      <c r="I272" s="40" t="s">
        <v>203</v>
      </c>
      <c r="J272" s="43" t="str">
        <f t="shared" si="24"/>
        <v>ALM-</v>
      </c>
      <c r="K272" s="40" t="s">
        <v>98</v>
      </c>
      <c r="L272" s="44">
        <v>300</v>
      </c>
      <c r="M272" s="40" t="s">
        <v>186</v>
      </c>
      <c r="N272" s="40" t="s">
        <v>11</v>
      </c>
      <c r="O272" s="40">
        <v>3.1415999999999999</v>
      </c>
      <c r="P272" s="45">
        <f t="shared" si="25"/>
        <v>942.48</v>
      </c>
      <c r="Q272" s="46">
        <f t="shared" si="26"/>
        <v>7.3003400000000003</v>
      </c>
      <c r="R272" s="47">
        <f t="shared" si="27"/>
        <v>0.43030000000000002</v>
      </c>
      <c r="S272" s="48">
        <f t="shared" si="28"/>
        <v>129.09</v>
      </c>
      <c r="T272" s="47" t="s">
        <v>349</v>
      </c>
      <c r="U272" s="40" t="s">
        <v>191</v>
      </c>
      <c r="V272" s="38">
        <v>7.1879</v>
      </c>
      <c r="W272" s="49">
        <f t="shared" si="29"/>
        <v>131.12035504111077</v>
      </c>
    </row>
    <row r="273" spans="1:23" x14ac:dyDescent="0.2">
      <c r="A273" s="40" t="s">
        <v>1230</v>
      </c>
      <c r="B273" s="41">
        <v>45663</v>
      </c>
      <c r="C273" s="41">
        <v>45615</v>
      </c>
      <c r="D273" s="40" t="s">
        <v>187</v>
      </c>
      <c r="E273" s="40" t="s">
        <v>188</v>
      </c>
      <c r="G273" s="40" t="s">
        <v>1199</v>
      </c>
      <c r="H273" s="40" t="s">
        <v>199</v>
      </c>
      <c r="I273" s="40" t="s">
        <v>200</v>
      </c>
      <c r="J273" s="43" t="str">
        <f t="shared" si="24"/>
        <v>ALM-</v>
      </c>
      <c r="K273" s="40" t="s">
        <v>98</v>
      </c>
      <c r="L273" s="44">
        <v>1900</v>
      </c>
      <c r="M273" s="40" t="s">
        <v>186</v>
      </c>
      <c r="N273" s="40" t="s">
        <v>11</v>
      </c>
      <c r="O273" s="40">
        <v>3.1415999999999999</v>
      </c>
      <c r="P273" s="45">
        <f t="shared" si="25"/>
        <v>5969.04</v>
      </c>
      <c r="Q273" s="46">
        <f t="shared" si="26"/>
        <v>7.3003400000000003</v>
      </c>
      <c r="R273" s="47">
        <f t="shared" si="27"/>
        <v>0.43030000000000002</v>
      </c>
      <c r="S273" s="48">
        <f t="shared" si="28"/>
        <v>817.57</v>
      </c>
      <c r="T273" s="47" t="s">
        <v>349</v>
      </c>
      <c r="U273" s="40" t="s">
        <v>191</v>
      </c>
      <c r="V273" s="38">
        <v>7.1879</v>
      </c>
      <c r="W273" s="49">
        <f t="shared" si="29"/>
        <v>830.42891526036817</v>
      </c>
    </row>
    <row r="274" spans="1:23" x14ac:dyDescent="0.2">
      <c r="A274" s="40" t="s">
        <v>1229</v>
      </c>
      <c r="B274" s="41">
        <v>45663</v>
      </c>
      <c r="C274" s="41">
        <v>45615</v>
      </c>
      <c r="D274" s="40" t="s">
        <v>187</v>
      </c>
      <c r="E274" s="40" t="s">
        <v>188</v>
      </c>
      <c r="G274" s="40" t="s">
        <v>1199</v>
      </c>
      <c r="H274" s="40" t="s">
        <v>1206</v>
      </c>
      <c r="I274" s="40" t="s">
        <v>1207</v>
      </c>
      <c r="J274" s="43" t="str">
        <f t="shared" si="24"/>
        <v>ALM-</v>
      </c>
      <c r="K274" s="40" t="s">
        <v>98</v>
      </c>
      <c r="L274" s="44">
        <v>100</v>
      </c>
      <c r="M274" s="40" t="s">
        <v>186</v>
      </c>
      <c r="N274" s="40" t="s">
        <v>11</v>
      </c>
      <c r="O274" s="40">
        <v>3.1415999999999999</v>
      </c>
      <c r="P274" s="45">
        <f t="shared" si="25"/>
        <v>314.16000000000003</v>
      </c>
      <c r="Q274" s="46">
        <f t="shared" si="26"/>
        <v>7.3003400000000003</v>
      </c>
      <c r="R274" s="47">
        <f t="shared" si="27"/>
        <v>0.43030000000000002</v>
      </c>
      <c r="S274" s="48">
        <f t="shared" si="28"/>
        <v>43.03</v>
      </c>
      <c r="T274" s="47" t="s">
        <v>349</v>
      </c>
      <c r="U274" s="40" t="s">
        <v>191</v>
      </c>
      <c r="V274" s="38">
        <v>7.1879</v>
      </c>
      <c r="W274" s="49">
        <f t="shared" si="29"/>
        <v>43.706785013703588</v>
      </c>
    </row>
    <row r="275" spans="1:23" x14ac:dyDescent="0.2">
      <c r="A275" s="40" t="s">
        <v>1205</v>
      </c>
      <c r="B275" s="41">
        <v>45663</v>
      </c>
      <c r="C275" s="41">
        <v>45638</v>
      </c>
      <c r="D275" s="40" t="s">
        <v>187</v>
      </c>
      <c r="E275" s="40" t="s">
        <v>188</v>
      </c>
      <c r="G275" s="40" t="s">
        <v>1199</v>
      </c>
      <c r="H275" s="40" t="s">
        <v>211</v>
      </c>
      <c r="I275" s="40" t="s">
        <v>212</v>
      </c>
      <c r="J275" s="43" t="str">
        <f t="shared" si="24"/>
        <v>ALM-</v>
      </c>
      <c r="K275" s="40" t="s">
        <v>98</v>
      </c>
      <c r="L275" s="44">
        <v>300</v>
      </c>
      <c r="M275" s="40" t="s">
        <v>186</v>
      </c>
      <c r="N275" s="40" t="s">
        <v>11</v>
      </c>
      <c r="O275" s="40">
        <v>3.1415999999999999</v>
      </c>
      <c r="P275" s="45">
        <f t="shared" si="25"/>
        <v>942.48</v>
      </c>
      <c r="Q275" s="46">
        <f t="shared" si="26"/>
        <v>7.3003400000000003</v>
      </c>
      <c r="R275" s="47">
        <f t="shared" si="27"/>
        <v>0.43030000000000002</v>
      </c>
      <c r="S275" s="48">
        <f t="shared" si="28"/>
        <v>129.09</v>
      </c>
      <c r="T275" s="47" t="s">
        <v>349</v>
      </c>
      <c r="U275" s="40" t="s">
        <v>191</v>
      </c>
      <c r="V275" s="38">
        <v>7.1879</v>
      </c>
      <c r="W275" s="49">
        <f t="shared" si="29"/>
        <v>131.12035504111077</v>
      </c>
    </row>
    <row r="276" spans="1:23" x14ac:dyDescent="0.2">
      <c r="A276" s="40" t="s">
        <v>1204</v>
      </c>
      <c r="B276" s="41">
        <v>45663</v>
      </c>
      <c r="C276" s="41">
        <v>45638</v>
      </c>
      <c r="D276" s="40" t="s">
        <v>187</v>
      </c>
      <c r="E276" s="40" t="s">
        <v>188</v>
      </c>
      <c r="G276" s="40" t="s">
        <v>1199</v>
      </c>
      <c r="H276" s="40" t="s">
        <v>208</v>
      </c>
      <c r="I276" s="40" t="s">
        <v>209</v>
      </c>
      <c r="J276" s="43" t="str">
        <f t="shared" si="24"/>
        <v>ALM-</v>
      </c>
      <c r="K276" s="40" t="s">
        <v>98</v>
      </c>
      <c r="L276" s="44">
        <v>300</v>
      </c>
      <c r="M276" s="40" t="s">
        <v>186</v>
      </c>
      <c r="N276" s="40" t="s">
        <v>11</v>
      </c>
      <c r="O276" s="40">
        <v>3.1415999999999999</v>
      </c>
      <c r="P276" s="45">
        <f t="shared" si="25"/>
        <v>942.48</v>
      </c>
      <c r="Q276" s="46">
        <f t="shared" si="26"/>
        <v>7.3003400000000003</v>
      </c>
      <c r="R276" s="47">
        <f t="shared" si="27"/>
        <v>0.43030000000000002</v>
      </c>
      <c r="S276" s="48">
        <f t="shared" si="28"/>
        <v>129.09</v>
      </c>
      <c r="T276" s="47" t="s">
        <v>349</v>
      </c>
      <c r="U276" s="40" t="s">
        <v>191</v>
      </c>
      <c r="V276" s="38">
        <v>7.1879</v>
      </c>
      <c r="W276" s="49">
        <f t="shared" si="29"/>
        <v>131.12035504111077</v>
      </c>
    </row>
    <row r="277" spans="1:23" x14ac:dyDescent="0.2">
      <c r="A277" s="40" t="s">
        <v>1222</v>
      </c>
      <c r="B277" s="41">
        <v>45663</v>
      </c>
      <c r="C277" s="41">
        <v>45643</v>
      </c>
      <c r="D277" s="40" t="s">
        <v>187</v>
      </c>
      <c r="E277" s="40" t="s">
        <v>188</v>
      </c>
      <c r="G277" s="40" t="s">
        <v>1199</v>
      </c>
      <c r="H277" s="40" t="s">
        <v>214</v>
      </c>
      <c r="I277" s="40" t="s">
        <v>215</v>
      </c>
      <c r="J277" s="43" t="str">
        <f t="shared" si="24"/>
        <v>ALM-</v>
      </c>
      <c r="K277" s="40" t="s">
        <v>98</v>
      </c>
      <c r="L277" s="44">
        <v>300</v>
      </c>
      <c r="M277" s="40" t="s">
        <v>186</v>
      </c>
      <c r="N277" s="40" t="s">
        <v>11</v>
      </c>
      <c r="O277" s="40">
        <v>3.1415999999999999</v>
      </c>
      <c r="P277" s="45">
        <f t="shared" si="25"/>
        <v>942.48</v>
      </c>
      <c r="Q277" s="46">
        <f t="shared" si="26"/>
        <v>7.3003400000000003</v>
      </c>
      <c r="R277" s="47">
        <f t="shared" si="27"/>
        <v>0.43030000000000002</v>
      </c>
      <c r="S277" s="48">
        <f t="shared" si="28"/>
        <v>129.09</v>
      </c>
      <c r="T277" s="47" t="s">
        <v>349</v>
      </c>
      <c r="U277" s="40" t="s">
        <v>191</v>
      </c>
      <c r="V277" s="38">
        <v>7.1879</v>
      </c>
      <c r="W277" s="49">
        <f t="shared" si="29"/>
        <v>131.12035504111077</v>
      </c>
    </row>
    <row r="278" spans="1:23" x14ac:dyDescent="0.2">
      <c r="A278" s="40" t="s">
        <v>1221</v>
      </c>
      <c r="B278" s="41">
        <v>45663</v>
      </c>
      <c r="C278" s="41">
        <v>45643</v>
      </c>
      <c r="D278" s="40" t="s">
        <v>187</v>
      </c>
      <c r="E278" s="40" t="s">
        <v>188</v>
      </c>
      <c r="G278" s="40" t="s">
        <v>1199</v>
      </c>
      <c r="H278" s="40" t="s">
        <v>211</v>
      </c>
      <c r="I278" s="40" t="s">
        <v>212</v>
      </c>
      <c r="J278" s="43" t="str">
        <f t="shared" si="24"/>
        <v>ALM-</v>
      </c>
      <c r="K278" s="40" t="s">
        <v>98</v>
      </c>
      <c r="L278" s="44">
        <v>460</v>
      </c>
      <c r="M278" s="40" t="s">
        <v>186</v>
      </c>
      <c r="N278" s="40" t="s">
        <v>11</v>
      </c>
      <c r="O278" s="40">
        <v>3.1415999999999999</v>
      </c>
      <c r="P278" s="45">
        <f t="shared" si="25"/>
        <v>1445.14</v>
      </c>
      <c r="Q278" s="46">
        <f t="shared" si="26"/>
        <v>7.3003400000000003</v>
      </c>
      <c r="R278" s="47">
        <f t="shared" si="27"/>
        <v>0.43030000000000002</v>
      </c>
      <c r="S278" s="48">
        <f t="shared" si="28"/>
        <v>197.94</v>
      </c>
      <c r="T278" s="47" t="s">
        <v>349</v>
      </c>
      <c r="U278" s="40" t="s">
        <v>191</v>
      </c>
      <c r="V278" s="38">
        <v>7.1879</v>
      </c>
      <c r="W278" s="49">
        <f t="shared" si="29"/>
        <v>201.0512110630365</v>
      </c>
    </row>
    <row r="279" spans="1:23" x14ac:dyDescent="0.2">
      <c r="A279" s="40" t="s">
        <v>1220</v>
      </c>
      <c r="B279" s="41">
        <v>45663</v>
      </c>
      <c r="C279" s="41">
        <v>45643</v>
      </c>
      <c r="D279" s="40" t="s">
        <v>187</v>
      </c>
      <c r="E279" s="40" t="s">
        <v>188</v>
      </c>
      <c r="G279" s="40" t="s">
        <v>1199</v>
      </c>
      <c r="H279" s="40" t="s">
        <v>202</v>
      </c>
      <c r="I279" s="40" t="s">
        <v>203</v>
      </c>
      <c r="J279" s="43" t="str">
        <f t="shared" si="24"/>
        <v>ALM-</v>
      </c>
      <c r="K279" s="40" t="s">
        <v>98</v>
      </c>
      <c r="L279" s="44">
        <v>310</v>
      </c>
      <c r="M279" s="40" t="s">
        <v>186</v>
      </c>
      <c r="N279" s="40" t="s">
        <v>11</v>
      </c>
      <c r="O279" s="40">
        <v>3.1415999999999999</v>
      </c>
      <c r="P279" s="45">
        <f t="shared" si="25"/>
        <v>973.9</v>
      </c>
      <c r="Q279" s="46">
        <f t="shared" si="26"/>
        <v>7.3003400000000003</v>
      </c>
      <c r="R279" s="47">
        <f t="shared" si="27"/>
        <v>0.43030000000000002</v>
      </c>
      <c r="S279" s="48">
        <f t="shared" si="28"/>
        <v>133.38999999999999</v>
      </c>
      <c r="T279" s="47" t="s">
        <v>349</v>
      </c>
      <c r="U279" s="40" t="s">
        <v>191</v>
      </c>
      <c r="V279" s="38">
        <v>7.1879</v>
      </c>
      <c r="W279" s="49">
        <f t="shared" si="29"/>
        <v>135.49103354248112</v>
      </c>
    </row>
    <row r="280" spans="1:23" x14ac:dyDescent="0.2">
      <c r="A280" s="40" t="s">
        <v>1219</v>
      </c>
      <c r="B280" s="41">
        <v>45663</v>
      </c>
      <c r="C280" s="41">
        <v>45643</v>
      </c>
      <c r="D280" s="40" t="s">
        <v>187</v>
      </c>
      <c r="E280" s="40" t="s">
        <v>188</v>
      </c>
      <c r="G280" s="40" t="s">
        <v>1199</v>
      </c>
      <c r="H280" s="40" t="s">
        <v>1217</v>
      </c>
      <c r="I280" s="40" t="s">
        <v>1218</v>
      </c>
      <c r="J280" s="43" t="str">
        <f t="shared" si="24"/>
        <v>ALM-</v>
      </c>
      <c r="K280" s="40" t="s">
        <v>98</v>
      </c>
      <c r="L280" s="44">
        <v>780</v>
      </c>
      <c r="M280" s="40" t="s">
        <v>186</v>
      </c>
      <c r="N280" s="40" t="s">
        <v>11</v>
      </c>
      <c r="O280" s="40">
        <v>3.1415999999999999</v>
      </c>
      <c r="P280" s="45">
        <f t="shared" si="25"/>
        <v>2450.4499999999998</v>
      </c>
      <c r="Q280" s="46">
        <f t="shared" si="26"/>
        <v>7.3003400000000003</v>
      </c>
      <c r="R280" s="47">
        <f t="shared" si="27"/>
        <v>0.43030000000000002</v>
      </c>
      <c r="S280" s="48">
        <f t="shared" si="28"/>
        <v>335.63</v>
      </c>
      <c r="T280" s="47" t="s">
        <v>349</v>
      </c>
      <c r="U280" s="40" t="s">
        <v>191</v>
      </c>
      <c r="V280" s="38">
        <v>7.1879</v>
      </c>
      <c r="W280" s="49">
        <f t="shared" si="29"/>
        <v>340.91292310688794</v>
      </c>
    </row>
    <row r="281" spans="1:23" x14ac:dyDescent="0.2">
      <c r="A281" s="40" t="s">
        <v>1216</v>
      </c>
      <c r="B281" s="41">
        <v>45663</v>
      </c>
      <c r="C281" s="41">
        <v>45643</v>
      </c>
      <c r="D281" s="40" t="s">
        <v>187</v>
      </c>
      <c r="E281" s="40" t="s">
        <v>188</v>
      </c>
      <c r="G281" s="40" t="s">
        <v>1199</v>
      </c>
      <c r="H281" s="40" t="s">
        <v>211</v>
      </c>
      <c r="I281" s="40" t="s">
        <v>212</v>
      </c>
      <c r="J281" s="43" t="str">
        <f t="shared" si="24"/>
        <v>ALM-</v>
      </c>
      <c r="K281" s="40" t="s">
        <v>98</v>
      </c>
      <c r="L281" s="44">
        <v>900</v>
      </c>
      <c r="M281" s="40" t="s">
        <v>186</v>
      </c>
      <c r="N281" s="40" t="s">
        <v>11</v>
      </c>
      <c r="O281" s="40">
        <v>3.1415999999999999</v>
      </c>
      <c r="P281" s="45">
        <f t="shared" si="25"/>
        <v>2827.44</v>
      </c>
      <c r="Q281" s="46">
        <f t="shared" si="26"/>
        <v>7.3003400000000003</v>
      </c>
      <c r="R281" s="47">
        <f t="shared" si="27"/>
        <v>0.43030000000000002</v>
      </c>
      <c r="S281" s="48">
        <f t="shared" si="28"/>
        <v>387.27</v>
      </c>
      <c r="T281" s="47" t="s">
        <v>349</v>
      </c>
      <c r="U281" s="40" t="s">
        <v>191</v>
      </c>
      <c r="V281" s="38">
        <v>7.1879</v>
      </c>
      <c r="W281" s="49">
        <f t="shared" si="29"/>
        <v>393.36106512333225</v>
      </c>
    </row>
    <row r="282" spans="1:23" x14ac:dyDescent="0.2">
      <c r="A282" s="40" t="s">
        <v>1215</v>
      </c>
      <c r="B282" s="41">
        <v>45663</v>
      </c>
      <c r="C282" s="41">
        <v>45643</v>
      </c>
      <c r="D282" s="40" t="s">
        <v>187</v>
      </c>
      <c r="E282" s="40" t="s">
        <v>188</v>
      </c>
      <c r="G282" s="40" t="s">
        <v>1199</v>
      </c>
      <c r="H282" s="40" t="s">
        <v>1213</v>
      </c>
      <c r="I282" s="40" t="s">
        <v>1214</v>
      </c>
      <c r="J282" s="43" t="str">
        <f t="shared" si="24"/>
        <v>ALM-</v>
      </c>
      <c r="K282" s="40" t="s">
        <v>98</v>
      </c>
      <c r="L282" s="44">
        <v>120</v>
      </c>
      <c r="M282" s="40" t="s">
        <v>186</v>
      </c>
      <c r="N282" s="40" t="s">
        <v>11</v>
      </c>
      <c r="O282" s="40">
        <v>3.1415999999999999</v>
      </c>
      <c r="P282" s="45">
        <f t="shared" si="25"/>
        <v>376.99</v>
      </c>
      <c r="Q282" s="46">
        <f t="shared" si="26"/>
        <v>7.3003400000000003</v>
      </c>
      <c r="R282" s="47">
        <f t="shared" si="27"/>
        <v>0.43030000000000002</v>
      </c>
      <c r="S282" s="48">
        <f t="shared" si="28"/>
        <v>51.64</v>
      </c>
      <c r="T282" s="47" t="s">
        <v>349</v>
      </c>
      <c r="U282" s="40" t="s">
        <v>191</v>
      </c>
      <c r="V282" s="38">
        <v>7.1879</v>
      </c>
      <c r="W282" s="49">
        <f t="shared" si="29"/>
        <v>52.448142016444301</v>
      </c>
    </row>
    <row r="283" spans="1:23" x14ac:dyDescent="0.2">
      <c r="A283" s="40" t="s">
        <v>1198</v>
      </c>
      <c r="B283" s="41">
        <v>45663</v>
      </c>
      <c r="C283" s="41">
        <v>45650</v>
      </c>
      <c r="D283" s="40" t="s">
        <v>187</v>
      </c>
      <c r="E283" s="40" t="s">
        <v>188</v>
      </c>
      <c r="G283" s="40" t="s">
        <v>1199</v>
      </c>
      <c r="H283" s="40" t="s">
        <v>211</v>
      </c>
      <c r="I283" s="40" t="s">
        <v>212</v>
      </c>
      <c r="J283" s="43" t="str">
        <f t="shared" si="24"/>
        <v>ALM-</v>
      </c>
      <c r="K283" s="40" t="s">
        <v>98</v>
      </c>
      <c r="L283" s="44">
        <v>450</v>
      </c>
      <c r="M283" s="40" t="s">
        <v>186</v>
      </c>
      <c r="N283" s="40" t="s">
        <v>11</v>
      </c>
      <c r="O283" s="40">
        <v>3.1415999999999999</v>
      </c>
      <c r="P283" s="45">
        <f t="shared" si="25"/>
        <v>1413.72</v>
      </c>
      <c r="Q283" s="46">
        <f t="shared" si="26"/>
        <v>7.3003400000000003</v>
      </c>
      <c r="R283" s="47">
        <f t="shared" si="27"/>
        <v>0.43030000000000002</v>
      </c>
      <c r="S283" s="48">
        <f t="shared" si="28"/>
        <v>193.64</v>
      </c>
      <c r="T283" s="47" t="s">
        <v>349</v>
      </c>
      <c r="U283" s="40" t="s">
        <v>191</v>
      </c>
      <c r="V283" s="38">
        <v>7.1879</v>
      </c>
      <c r="W283" s="49">
        <f t="shared" si="29"/>
        <v>196.68053256166613</v>
      </c>
    </row>
    <row r="284" spans="1:23" x14ac:dyDescent="0.2">
      <c r="A284" s="40" t="s">
        <v>1212</v>
      </c>
      <c r="B284" s="41">
        <v>45663</v>
      </c>
      <c r="C284" s="41">
        <v>45656</v>
      </c>
      <c r="D284" s="40" t="s">
        <v>187</v>
      </c>
      <c r="E284" s="40" t="s">
        <v>188</v>
      </c>
      <c r="G284" s="40" t="s">
        <v>1199</v>
      </c>
      <c r="H284" s="40" t="s">
        <v>1210</v>
      </c>
      <c r="I284" s="40" t="s">
        <v>1211</v>
      </c>
      <c r="J284" s="43" t="str">
        <f t="shared" si="24"/>
        <v>ALM-</v>
      </c>
      <c r="K284" s="40" t="s">
        <v>98</v>
      </c>
      <c r="L284" s="44">
        <v>205</v>
      </c>
      <c r="M284" s="40" t="s">
        <v>186</v>
      </c>
      <c r="N284" s="40" t="s">
        <v>11</v>
      </c>
      <c r="O284" s="40">
        <v>3.1415999999999999</v>
      </c>
      <c r="P284" s="45">
        <f t="shared" si="25"/>
        <v>644.03</v>
      </c>
      <c r="Q284" s="46">
        <f t="shared" si="26"/>
        <v>7.3003400000000003</v>
      </c>
      <c r="R284" s="47">
        <f t="shared" si="27"/>
        <v>0.43030000000000002</v>
      </c>
      <c r="S284" s="48">
        <f t="shared" si="28"/>
        <v>88.21</v>
      </c>
      <c r="T284" s="47" t="s">
        <v>349</v>
      </c>
      <c r="U284" s="40" t="s">
        <v>191</v>
      </c>
      <c r="V284" s="38">
        <v>7.1879</v>
      </c>
      <c r="W284" s="49">
        <f t="shared" si="29"/>
        <v>89.59890927809235</v>
      </c>
    </row>
    <row r="285" spans="1:23" x14ac:dyDescent="0.2">
      <c r="A285" s="40" t="s">
        <v>1208</v>
      </c>
      <c r="B285" s="41">
        <v>45663</v>
      </c>
      <c r="C285" s="41">
        <v>45656</v>
      </c>
      <c r="D285" s="40" t="s">
        <v>187</v>
      </c>
      <c r="E285" s="40" t="s">
        <v>188</v>
      </c>
      <c r="G285" s="40" t="s">
        <v>1199</v>
      </c>
      <c r="H285" s="40" t="s">
        <v>1206</v>
      </c>
      <c r="I285" s="40" t="s">
        <v>1207</v>
      </c>
      <c r="J285" s="43" t="str">
        <f t="shared" si="24"/>
        <v>ALM-</v>
      </c>
      <c r="K285" s="40" t="s">
        <v>98</v>
      </c>
      <c r="L285" s="44">
        <v>160</v>
      </c>
      <c r="M285" s="40" t="s">
        <v>186</v>
      </c>
      <c r="N285" s="40" t="s">
        <v>11</v>
      </c>
      <c r="O285" s="40">
        <v>3.1415999999999999</v>
      </c>
      <c r="P285" s="45">
        <f t="shared" si="25"/>
        <v>502.66</v>
      </c>
      <c r="Q285" s="46">
        <f t="shared" si="26"/>
        <v>7.3003400000000003</v>
      </c>
      <c r="R285" s="47">
        <f t="shared" si="27"/>
        <v>0.43030000000000002</v>
      </c>
      <c r="S285" s="48">
        <f t="shared" si="28"/>
        <v>68.849999999999994</v>
      </c>
      <c r="T285" s="47" t="s">
        <v>349</v>
      </c>
      <c r="U285" s="40" t="s">
        <v>191</v>
      </c>
      <c r="V285" s="38">
        <v>7.1879</v>
      </c>
      <c r="W285" s="49">
        <f t="shared" si="29"/>
        <v>69.930856021925734</v>
      </c>
    </row>
    <row r="286" spans="1:23" x14ac:dyDescent="0.2">
      <c r="A286" s="40" t="s">
        <v>220</v>
      </c>
      <c r="B286" s="41">
        <v>45674</v>
      </c>
      <c r="C286" s="41">
        <v>45663</v>
      </c>
      <c r="D286" s="40" t="s">
        <v>187</v>
      </c>
      <c r="E286" s="40" t="s">
        <v>188</v>
      </c>
      <c r="G286" s="40" t="s">
        <v>195</v>
      </c>
      <c r="H286" s="40" t="s">
        <v>211</v>
      </c>
      <c r="I286" s="40" t="s">
        <v>212</v>
      </c>
      <c r="J286" s="43" t="str">
        <f t="shared" si="24"/>
        <v>ALM-</v>
      </c>
      <c r="K286" s="40" t="s">
        <v>98</v>
      </c>
      <c r="L286" s="44">
        <v>400</v>
      </c>
      <c r="M286" s="40" t="s">
        <v>186</v>
      </c>
      <c r="N286" s="40" t="s">
        <v>11</v>
      </c>
      <c r="O286" s="40">
        <v>3.1415999999999999</v>
      </c>
      <c r="P286" s="45">
        <f t="shared" si="25"/>
        <v>1256.6400000000001</v>
      </c>
      <c r="Q286" s="46">
        <f t="shared" si="26"/>
        <v>7.3003400000000003</v>
      </c>
      <c r="R286" s="47">
        <f t="shared" si="27"/>
        <v>0.43030000000000002</v>
      </c>
      <c r="S286" s="48">
        <f t="shared" si="28"/>
        <v>172.12</v>
      </c>
      <c r="T286" s="47" t="s">
        <v>349</v>
      </c>
      <c r="U286" s="40" t="s">
        <v>191</v>
      </c>
      <c r="V286" s="38">
        <v>7.1879</v>
      </c>
      <c r="W286" s="49">
        <f t="shared" si="29"/>
        <v>174.82714005481435</v>
      </c>
    </row>
    <row r="287" spans="1:23" x14ac:dyDescent="0.2">
      <c r="A287" s="40" t="s">
        <v>219</v>
      </c>
      <c r="B287" s="41">
        <v>45674</v>
      </c>
      <c r="C287" s="41">
        <v>45663</v>
      </c>
      <c r="D287" s="40" t="s">
        <v>187</v>
      </c>
      <c r="E287" s="40" t="s">
        <v>188</v>
      </c>
      <c r="G287" s="40" t="s">
        <v>195</v>
      </c>
      <c r="H287" s="40" t="s">
        <v>217</v>
      </c>
      <c r="I287" s="40" t="s">
        <v>218</v>
      </c>
      <c r="J287" s="43" t="str">
        <f t="shared" si="24"/>
        <v>ALM-</v>
      </c>
      <c r="K287" s="40" t="s">
        <v>98</v>
      </c>
      <c r="L287" s="44">
        <v>100</v>
      </c>
      <c r="M287" s="40" t="s">
        <v>186</v>
      </c>
      <c r="N287" s="40" t="s">
        <v>11</v>
      </c>
      <c r="O287" s="40">
        <v>3.1415999999999999</v>
      </c>
      <c r="P287" s="45">
        <f t="shared" si="25"/>
        <v>314.16000000000003</v>
      </c>
      <c r="Q287" s="46">
        <f t="shared" si="26"/>
        <v>7.3003400000000003</v>
      </c>
      <c r="R287" s="47">
        <f t="shared" si="27"/>
        <v>0.43030000000000002</v>
      </c>
      <c r="S287" s="48">
        <f t="shared" si="28"/>
        <v>43.03</v>
      </c>
      <c r="T287" s="47" t="s">
        <v>349</v>
      </c>
      <c r="U287" s="40" t="s">
        <v>191</v>
      </c>
      <c r="V287" s="38">
        <v>7.1879</v>
      </c>
      <c r="W287" s="49">
        <f t="shared" si="29"/>
        <v>43.706785013703588</v>
      </c>
    </row>
    <row r="288" spans="1:23" x14ac:dyDescent="0.2">
      <c r="A288" s="40" t="s">
        <v>216</v>
      </c>
      <c r="B288" s="41">
        <v>45674</v>
      </c>
      <c r="C288" s="41">
        <v>45663</v>
      </c>
      <c r="D288" s="40" t="s">
        <v>187</v>
      </c>
      <c r="E288" s="40" t="s">
        <v>188</v>
      </c>
      <c r="G288" s="40" t="s">
        <v>195</v>
      </c>
      <c r="H288" s="40" t="s">
        <v>214</v>
      </c>
      <c r="I288" s="40" t="s">
        <v>215</v>
      </c>
      <c r="J288" s="43" t="str">
        <f t="shared" si="24"/>
        <v>ALM-</v>
      </c>
      <c r="K288" s="40" t="s">
        <v>98</v>
      </c>
      <c r="L288" s="44">
        <v>350</v>
      </c>
      <c r="M288" s="40" t="s">
        <v>186</v>
      </c>
      <c r="N288" s="40" t="s">
        <v>11</v>
      </c>
      <c r="O288" s="40">
        <v>3.1415999999999999</v>
      </c>
      <c r="P288" s="45">
        <f t="shared" si="25"/>
        <v>1099.56</v>
      </c>
      <c r="Q288" s="46">
        <f t="shared" si="26"/>
        <v>7.3003400000000003</v>
      </c>
      <c r="R288" s="47">
        <f t="shared" si="27"/>
        <v>0.43030000000000002</v>
      </c>
      <c r="S288" s="48">
        <f t="shared" si="28"/>
        <v>150.61000000000001</v>
      </c>
      <c r="T288" s="47" t="s">
        <v>349</v>
      </c>
      <c r="U288" s="40" t="s">
        <v>191</v>
      </c>
      <c r="V288" s="38">
        <v>7.1879</v>
      </c>
      <c r="W288" s="49">
        <f t="shared" si="29"/>
        <v>152.97374754796255</v>
      </c>
    </row>
    <row r="289" spans="1:23" x14ac:dyDescent="0.2">
      <c r="A289" s="40" t="s">
        <v>213</v>
      </c>
      <c r="B289" s="41">
        <v>45674</v>
      </c>
      <c r="C289" s="41">
        <v>45663</v>
      </c>
      <c r="D289" s="40" t="s">
        <v>187</v>
      </c>
      <c r="E289" s="40" t="s">
        <v>188</v>
      </c>
      <c r="G289" s="40" t="s">
        <v>195</v>
      </c>
      <c r="H289" s="40" t="s">
        <v>211</v>
      </c>
      <c r="I289" s="40" t="s">
        <v>212</v>
      </c>
      <c r="J289" s="43" t="str">
        <f t="shared" si="24"/>
        <v>ALM-</v>
      </c>
      <c r="K289" s="40" t="s">
        <v>98</v>
      </c>
      <c r="L289" s="44">
        <v>800</v>
      </c>
      <c r="M289" s="40" t="s">
        <v>186</v>
      </c>
      <c r="N289" s="40" t="s">
        <v>11</v>
      </c>
      <c r="O289" s="40">
        <v>3.1415999999999999</v>
      </c>
      <c r="P289" s="45">
        <f t="shared" si="25"/>
        <v>2513.2800000000002</v>
      </c>
      <c r="Q289" s="46">
        <f t="shared" si="26"/>
        <v>7.3003400000000003</v>
      </c>
      <c r="R289" s="47">
        <f t="shared" si="27"/>
        <v>0.43030000000000002</v>
      </c>
      <c r="S289" s="48">
        <f t="shared" si="28"/>
        <v>344.24</v>
      </c>
      <c r="T289" s="47" t="s">
        <v>349</v>
      </c>
      <c r="U289" s="40" t="s">
        <v>191</v>
      </c>
      <c r="V289" s="38">
        <v>7.1879</v>
      </c>
      <c r="W289" s="49">
        <f t="shared" si="29"/>
        <v>349.6542801096287</v>
      </c>
    </row>
    <row r="290" spans="1:23" x14ac:dyDescent="0.2">
      <c r="A290" s="40" t="s">
        <v>210</v>
      </c>
      <c r="B290" s="41">
        <v>45674</v>
      </c>
      <c r="C290" s="41">
        <v>45663</v>
      </c>
      <c r="D290" s="40" t="s">
        <v>187</v>
      </c>
      <c r="E290" s="40" t="s">
        <v>188</v>
      </c>
      <c r="G290" s="40" t="s">
        <v>195</v>
      </c>
      <c r="H290" s="40" t="s">
        <v>208</v>
      </c>
      <c r="I290" s="40" t="s">
        <v>209</v>
      </c>
      <c r="J290" s="43" t="str">
        <f t="shared" si="24"/>
        <v>ALM-</v>
      </c>
      <c r="K290" s="40" t="s">
        <v>98</v>
      </c>
      <c r="L290" s="44">
        <v>550</v>
      </c>
      <c r="M290" s="40" t="s">
        <v>186</v>
      </c>
      <c r="N290" s="40" t="s">
        <v>11</v>
      </c>
      <c r="O290" s="40">
        <v>3.1415999999999999</v>
      </c>
      <c r="P290" s="45">
        <f t="shared" si="25"/>
        <v>1727.88</v>
      </c>
      <c r="Q290" s="46">
        <f t="shared" si="26"/>
        <v>7.3003400000000003</v>
      </c>
      <c r="R290" s="47">
        <f t="shared" si="27"/>
        <v>0.43030000000000002</v>
      </c>
      <c r="S290" s="48">
        <f t="shared" si="28"/>
        <v>236.67</v>
      </c>
      <c r="T290" s="47" t="s">
        <v>349</v>
      </c>
      <c r="U290" s="40" t="s">
        <v>191</v>
      </c>
      <c r="V290" s="38">
        <v>7.1879</v>
      </c>
      <c r="W290" s="49">
        <f t="shared" si="29"/>
        <v>240.38731757536974</v>
      </c>
    </row>
    <row r="291" spans="1:23" x14ac:dyDescent="0.2">
      <c r="A291" s="40" t="s">
        <v>207</v>
      </c>
      <c r="B291" s="41">
        <v>45674</v>
      </c>
      <c r="C291" s="41">
        <v>45663</v>
      </c>
      <c r="D291" s="40" t="s">
        <v>187</v>
      </c>
      <c r="E291" s="40" t="s">
        <v>188</v>
      </c>
      <c r="G291" s="40" t="s">
        <v>195</v>
      </c>
      <c r="H291" s="40" t="s">
        <v>205</v>
      </c>
      <c r="I291" s="40" t="s">
        <v>206</v>
      </c>
      <c r="J291" s="43" t="str">
        <f t="shared" si="24"/>
        <v>ALM-</v>
      </c>
      <c r="K291" s="40" t="s">
        <v>98</v>
      </c>
      <c r="L291" s="44">
        <v>400</v>
      </c>
      <c r="M291" s="40" t="s">
        <v>186</v>
      </c>
      <c r="N291" s="40" t="s">
        <v>11</v>
      </c>
      <c r="O291" s="40">
        <v>3.1415999999999999</v>
      </c>
      <c r="P291" s="45">
        <f t="shared" si="25"/>
        <v>1256.6400000000001</v>
      </c>
      <c r="Q291" s="46">
        <f t="shared" si="26"/>
        <v>7.3003400000000003</v>
      </c>
      <c r="R291" s="47">
        <f t="shared" si="27"/>
        <v>0.43030000000000002</v>
      </c>
      <c r="S291" s="48">
        <f t="shared" si="28"/>
        <v>172.12</v>
      </c>
      <c r="T291" s="47" t="s">
        <v>349</v>
      </c>
      <c r="U291" s="40" t="s">
        <v>191</v>
      </c>
      <c r="V291" s="38">
        <v>7.1879</v>
      </c>
      <c r="W291" s="49">
        <f t="shared" si="29"/>
        <v>174.82714005481435</v>
      </c>
    </row>
    <row r="292" spans="1:23" x14ac:dyDescent="0.2">
      <c r="A292" s="40" t="s">
        <v>204</v>
      </c>
      <c r="B292" s="41">
        <v>45674</v>
      </c>
      <c r="C292" s="41">
        <v>45663</v>
      </c>
      <c r="D292" s="40" t="s">
        <v>187</v>
      </c>
      <c r="E292" s="40" t="s">
        <v>188</v>
      </c>
      <c r="G292" s="40" t="s">
        <v>195</v>
      </c>
      <c r="H292" s="40" t="s">
        <v>202</v>
      </c>
      <c r="I292" s="40" t="s">
        <v>203</v>
      </c>
      <c r="J292" s="43" t="str">
        <f t="shared" si="24"/>
        <v>ALM-</v>
      </c>
      <c r="K292" s="40" t="s">
        <v>98</v>
      </c>
      <c r="L292" s="44">
        <v>500</v>
      </c>
      <c r="M292" s="40" t="s">
        <v>186</v>
      </c>
      <c r="N292" s="40" t="s">
        <v>11</v>
      </c>
      <c r="O292" s="40">
        <v>3.1415999999999999</v>
      </c>
      <c r="P292" s="45">
        <f t="shared" si="25"/>
        <v>1570.8</v>
      </c>
      <c r="Q292" s="46">
        <f t="shared" si="26"/>
        <v>7.3003400000000003</v>
      </c>
      <c r="R292" s="47">
        <f t="shared" si="27"/>
        <v>0.43030000000000002</v>
      </c>
      <c r="S292" s="48">
        <f t="shared" si="28"/>
        <v>215.15</v>
      </c>
      <c r="T292" s="47" t="s">
        <v>349</v>
      </c>
      <c r="U292" s="40" t="s">
        <v>191</v>
      </c>
      <c r="V292" s="38">
        <v>7.1879</v>
      </c>
      <c r="W292" s="49">
        <f t="shared" si="29"/>
        <v>218.53392506851793</v>
      </c>
    </row>
    <row r="293" spans="1:23" x14ac:dyDescent="0.2">
      <c r="A293" s="40" t="s">
        <v>201</v>
      </c>
      <c r="B293" s="41">
        <v>45674</v>
      </c>
      <c r="C293" s="41">
        <v>45663</v>
      </c>
      <c r="D293" s="40" t="s">
        <v>187</v>
      </c>
      <c r="E293" s="40" t="s">
        <v>188</v>
      </c>
      <c r="G293" s="40" t="s">
        <v>195</v>
      </c>
      <c r="H293" s="40" t="s">
        <v>199</v>
      </c>
      <c r="I293" s="40" t="s">
        <v>200</v>
      </c>
      <c r="J293" s="43" t="str">
        <f t="shared" si="24"/>
        <v>ALM-</v>
      </c>
      <c r="K293" s="40" t="s">
        <v>98</v>
      </c>
      <c r="L293" s="44">
        <v>1200</v>
      </c>
      <c r="M293" s="40" t="s">
        <v>186</v>
      </c>
      <c r="N293" s="40" t="s">
        <v>11</v>
      </c>
      <c r="O293" s="40">
        <v>3.1415999999999999</v>
      </c>
      <c r="P293" s="45">
        <f t="shared" si="25"/>
        <v>3769.92</v>
      </c>
      <c r="Q293" s="46">
        <f t="shared" si="26"/>
        <v>7.3003400000000003</v>
      </c>
      <c r="R293" s="47">
        <f t="shared" si="27"/>
        <v>0.43030000000000002</v>
      </c>
      <c r="S293" s="48">
        <f t="shared" si="28"/>
        <v>516.36</v>
      </c>
      <c r="T293" s="47" t="s">
        <v>349</v>
      </c>
      <c r="U293" s="40" t="s">
        <v>191</v>
      </c>
      <c r="V293" s="38">
        <v>7.1879</v>
      </c>
      <c r="W293" s="49">
        <f t="shared" si="29"/>
        <v>524.48142016444308</v>
      </c>
    </row>
    <row r="294" spans="1:23" x14ac:dyDescent="0.2">
      <c r="A294" s="40" t="s">
        <v>198</v>
      </c>
      <c r="B294" s="41">
        <v>45674</v>
      </c>
      <c r="C294" s="41">
        <v>45664</v>
      </c>
      <c r="D294" s="40" t="s">
        <v>187</v>
      </c>
      <c r="E294" s="40" t="s">
        <v>188</v>
      </c>
      <c r="G294" s="40" t="s">
        <v>195</v>
      </c>
      <c r="H294" s="40" t="s">
        <v>196</v>
      </c>
      <c r="I294" s="40" t="s">
        <v>197</v>
      </c>
      <c r="J294" s="43" t="str">
        <f t="shared" si="24"/>
        <v>ALM-</v>
      </c>
      <c r="K294" s="40" t="s">
        <v>98</v>
      </c>
      <c r="L294" s="44">
        <v>2400</v>
      </c>
      <c r="M294" s="40" t="s">
        <v>186</v>
      </c>
      <c r="N294" s="40" t="s">
        <v>11</v>
      </c>
      <c r="O294" s="40">
        <v>3.1415999999999999</v>
      </c>
      <c r="P294" s="45">
        <f t="shared" si="25"/>
        <v>7539.84</v>
      </c>
      <c r="Q294" s="46">
        <f t="shared" si="26"/>
        <v>7.3003400000000003</v>
      </c>
      <c r="R294" s="47">
        <f t="shared" si="27"/>
        <v>0.43030000000000002</v>
      </c>
      <c r="S294" s="48">
        <f t="shared" si="28"/>
        <v>1032.72</v>
      </c>
      <c r="T294" s="47" t="s">
        <v>349</v>
      </c>
      <c r="U294" s="40" t="s">
        <v>191</v>
      </c>
      <c r="V294" s="38">
        <v>7.1879</v>
      </c>
      <c r="W294" s="49">
        <f t="shared" si="29"/>
        <v>1048.9628403288862</v>
      </c>
    </row>
    <row r="295" spans="1:23" x14ac:dyDescent="0.2">
      <c r="A295" s="40" t="s">
        <v>1185</v>
      </c>
      <c r="B295" s="41">
        <v>45663</v>
      </c>
      <c r="C295" s="41">
        <v>45609</v>
      </c>
      <c r="D295" s="40" t="s">
        <v>149</v>
      </c>
      <c r="E295" s="40" t="s">
        <v>150</v>
      </c>
      <c r="G295" s="40" t="s">
        <v>1182</v>
      </c>
      <c r="H295" s="40" t="s">
        <v>1183</v>
      </c>
      <c r="I295" s="40" t="s">
        <v>1184</v>
      </c>
      <c r="J295" s="43" t="str">
        <f t="shared" si="24"/>
        <v>GLID</v>
      </c>
      <c r="K295" s="40" t="s">
        <v>10</v>
      </c>
      <c r="L295" s="44">
        <v>1000</v>
      </c>
      <c r="M295" s="40" t="s">
        <v>1472</v>
      </c>
      <c r="N295" s="40" t="s">
        <v>11</v>
      </c>
      <c r="O295" s="40">
        <v>3.1461000000000001</v>
      </c>
      <c r="P295" s="45">
        <f t="shared" si="25"/>
        <v>3146.1</v>
      </c>
      <c r="Q295" s="46">
        <f t="shared" si="26"/>
        <v>7.3003400000000003</v>
      </c>
      <c r="R295" s="47">
        <f t="shared" si="27"/>
        <v>0.43099999999999999</v>
      </c>
      <c r="S295" s="48">
        <f t="shared" si="28"/>
        <v>431</v>
      </c>
      <c r="T295" s="47" t="s">
        <v>349</v>
      </c>
      <c r="U295" s="40" t="s">
        <v>78</v>
      </c>
      <c r="V295" s="38">
        <v>7.1879</v>
      </c>
      <c r="W295" s="49">
        <f t="shared" si="29"/>
        <v>437.69390225239641</v>
      </c>
    </row>
    <row r="296" spans="1:23" x14ac:dyDescent="0.2">
      <c r="A296" s="40" t="s">
        <v>1186</v>
      </c>
      <c r="B296" s="41">
        <v>45663</v>
      </c>
      <c r="C296" s="41">
        <v>45643</v>
      </c>
      <c r="D296" s="40" t="s">
        <v>149</v>
      </c>
      <c r="E296" s="40" t="s">
        <v>150</v>
      </c>
      <c r="G296" s="40" t="s">
        <v>1182</v>
      </c>
      <c r="H296" s="40" t="s">
        <v>1183</v>
      </c>
      <c r="I296" s="40" t="s">
        <v>1184</v>
      </c>
      <c r="J296" s="43" t="str">
        <f t="shared" si="24"/>
        <v>GLID</v>
      </c>
      <c r="K296" s="40" t="s">
        <v>10</v>
      </c>
      <c r="L296" s="44">
        <v>1730</v>
      </c>
      <c r="M296" s="40" t="s">
        <v>1472</v>
      </c>
      <c r="N296" s="40" t="s">
        <v>11</v>
      </c>
      <c r="O296" s="40">
        <v>3.1461000000000001</v>
      </c>
      <c r="P296" s="45">
        <f t="shared" si="25"/>
        <v>5442.75</v>
      </c>
      <c r="Q296" s="46">
        <f t="shared" si="26"/>
        <v>7.3003400000000003</v>
      </c>
      <c r="R296" s="47">
        <f t="shared" si="27"/>
        <v>0.43099999999999999</v>
      </c>
      <c r="S296" s="48">
        <f t="shared" si="28"/>
        <v>745.63</v>
      </c>
      <c r="T296" s="47" t="s">
        <v>349</v>
      </c>
      <c r="U296" s="40" t="s">
        <v>78</v>
      </c>
      <c r="V296" s="38">
        <v>7.1879</v>
      </c>
      <c r="W296" s="49">
        <f t="shared" si="29"/>
        <v>757.21045089664574</v>
      </c>
    </row>
    <row r="297" spans="1:23" x14ac:dyDescent="0.2">
      <c r="A297" s="40" t="s">
        <v>286</v>
      </c>
      <c r="B297" s="41">
        <v>45673</v>
      </c>
      <c r="C297" s="41">
        <v>45639</v>
      </c>
      <c r="D297" s="40" t="s">
        <v>280</v>
      </c>
      <c r="E297" s="40" t="s">
        <v>281</v>
      </c>
      <c r="G297" s="40" t="s">
        <v>283</v>
      </c>
      <c r="H297" s="40" t="s">
        <v>284</v>
      </c>
      <c r="I297" s="40" t="s">
        <v>285</v>
      </c>
      <c r="J297" s="43" t="str">
        <f t="shared" si="24"/>
        <v>BOX-</v>
      </c>
      <c r="K297" s="40" t="s">
        <v>10</v>
      </c>
      <c r="L297" s="44">
        <v>3050</v>
      </c>
      <c r="M297" s="40" t="s">
        <v>1472</v>
      </c>
      <c r="N297" s="40" t="s">
        <v>11</v>
      </c>
      <c r="O297" s="40">
        <v>3.18</v>
      </c>
      <c r="P297" s="45">
        <f t="shared" si="25"/>
        <v>9699</v>
      </c>
      <c r="Q297" s="46">
        <f t="shared" si="26"/>
        <v>7.3003400000000003</v>
      </c>
      <c r="R297" s="47">
        <f t="shared" si="27"/>
        <v>0.43559999999999999</v>
      </c>
      <c r="S297" s="48">
        <f t="shared" si="28"/>
        <v>1328.58</v>
      </c>
      <c r="T297" s="47" t="s">
        <v>349</v>
      </c>
      <c r="U297" s="40" t="s">
        <v>1</v>
      </c>
      <c r="V297" s="38">
        <v>7.1879</v>
      </c>
      <c r="W297" s="49">
        <f t="shared" si="29"/>
        <v>1349.3509926404097</v>
      </c>
    </row>
    <row r="298" spans="1:23" x14ac:dyDescent="0.2">
      <c r="A298" s="40" t="s">
        <v>90</v>
      </c>
      <c r="B298" s="41">
        <v>45678</v>
      </c>
      <c r="C298" s="41">
        <v>45677</v>
      </c>
      <c r="D298" s="40" t="s">
        <v>5</v>
      </c>
      <c r="E298" s="40" t="s">
        <v>6</v>
      </c>
      <c r="G298" s="40" t="s">
        <v>91</v>
      </c>
      <c r="H298" s="40" t="s">
        <v>88</v>
      </c>
      <c r="I298" s="40" t="s">
        <v>89</v>
      </c>
      <c r="J298" s="43" t="str">
        <f t="shared" si="24"/>
        <v>SHTS</v>
      </c>
      <c r="K298" s="40" t="s">
        <v>10</v>
      </c>
      <c r="L298" s="44">
        <v>1010</v>
      </c>
      <c r="M298" s="40" t="s">
        <v>1472</v>
      </c>
      <c r="N298" s="40" t="s">
        <v>11</v>
      </c>
      <c r="O298" s="40">
        <v>3.22</v>
      </c>
      <c r="P298" s="45">
        <f t="shared" si="25"/>
        <v>3252.2</v>
      </c>
      <c r="Q298" s="46">
        <f t="shared" si="26"/>
        <v>7.3003400000000003</v>
      </c>
      <c r="R298" s="47">
        <f t="shared" si="27"/>
        <v>0.44109999999999999</v>
      </c>
      <c r="S298" s="48">
        <f t="shared" si="28"/>
        <v>445.51</v>
      </c>
      <c r="T298" s="47" t="s">
        <v>349</v>
      </c>
      <c r="U298" s="40" t="s">
        <v>9</v>
      </c>
      <c r="V298" s="38">
        <v>7.1879</v>
      </c>
      <c r="W298" s="49">
        <f t="shared" si="29"/>
        <v>452.45481990567487</v>
      </c>
    </row>
    <row r="299" spans="1:23" x14ac:dyDescent="0.2">
      <c r="A299" s="40" t="s">
        <v>405</v>
      </c>
      <c r="B299" s="41">
        <v>45670</v>
      </c>
      <c r="C299" s="41">
        <v>45664</v>
      </c>
      <c r="D299" s="40" t="s">
        <v>5</v>
      </c>
      <c r="E299" s="40" t="s">
        <v>6</v>
      </c>
      <c r="G299" s="40" t="s">
        <v>393</v>
      </c>
      <c r="H299" s="40" t="s">
        <v>403</v>
      </c>
      <c r="I299" s="40" t="s">
        <v>404</v>
      </c>
      <c r="J299" s="43" t="str">
        <f t="shared" si="24"/>
        <v>BOX-</v>
      </c>
      <c r="K299" s="40" t="s">
        <v>10</v>
      </c>
      <c r="L299" s="44">
        <v>2020</v>
      </c>
      <c r="M299" s="40" t="s">
        <v>1472</v>
      </c>
      <c r="N299" s="40" t="s">
        <v>11</v>
      </c>
      <c r="O299" s="40">
        <v>3.23</v>
      </c>
      <c r="P299" s="45">
        <f t="shared" si="25"/>
        <v>6524.6</v>
      </c>
      <c r="Q299" s="46">
        <f t="shared" si="26"/>
        <v>7.3003400000000003</v>
      </c>
      <c r="R299" s="47">
        <f t="shared" si="27"/>
        <v>0.44240000000000002</v>
      </c>
      <c r="S299" s="48">
        <f t="shared" si="28"/>
        <v>893.65</v>
      </c>
      <c r="T299" s="47" t="s">
        <v>349</v>
      </c>
      <c r="U299" s="40" t="s">
        <v>1</v>
      </c>
      <c r="V299" s="38">
        <v>7.1879</v>
      </c>
      <c r="W299" s="49">
        <f t="shared" si="29"/>
        <v>907.71991819585685</v>
      </c>
    </row>
    <row r="300" spans="1:23" x14ac:dyDescent="0.2">
      <c r="A300" s="40" t="s">
        <v>971</v>
      </c>
      <c r="B300" s="41">
        <v>45664</v>
      </c>
      <c r="C300" s="41">
        <v>45622</v>
      </c>
      <c r="D300" s="40" t="s">
        <v>121</v>
      </c>
      <c r="E300" s="40" t="s">
        <v>122</v>
      </c>
      <c r="G300" s="40" t="s">
        <v>972</v>
      </c>
      <c r="H300" s="40" t="s">
        <v>969</v>
      </c>
      <c r="I300" s="40" t="s">
        <v>970</v>
      </c>
      <c r="J300" s="43" t="str">
        <f t="shared" si="24"/>
        <v>LHDL</v>
      </c>
      <c r="K300" s="40" t="s">
        <v>10</v>
      </c>
      <c r="L300" s="44">
        <v>1020</v>
      </c>
      <c r="M300" s="40" t="s">
        <v>1472</v>
      </c>
      <c r="N300" s="40" t="s">
        <v>11</v>
      </c>
      <c r="O300" s="40">
        <v>3.2938000000000001</v>
      </c>
      <c r="P300" s="45">
        <f t="shared" si="25"/>
        <v>3359.68</v>
      </c>
      <c r="Q300" s="46">
        <f t="shared" si="26"/>
        <v>7.3003400000000003</v>
      </c>
      <c r="R300" s="47">
        <f t="shared" si="27"/>
        <v>0.45119999999999999</v>
      </c>
      <c r="S300" s="48">
        <f t="shared" si="28"/>
        <v>460.22</v>
      </c>
      <c r="T300" s="47" t="s">
        <v>349</v>
      </c>
      <c r="U300" s="40" t="s">
        <v>125</v>
      </c>
      <c r="V300" s="38">
        <v>7.1879</v>
      </c>
      <c r="W300" s="49">
        <f t="shared" si="29"/>
        <v>467.40717038356127</v>
      </c>
    </row>
    <row r="301" spans="1:23" x14ac:dyDescent="0.2">
      <c r="A301" s="40" t="s">
        <v>1301</v>
      </c>
      <c r="B301" s="41">
        <v>45660</v>
      </c>
      <c r="C301" s="41">
        <v>45629</v>
      </c>
      <c r="D301" s="40" t="s">
        <v>121</v>
      </c>
      <c r="E301" s="40" t="s">
        <v>122</v>
      </c>
      <c r="G301" s="40" t="s">
        <v>1302</v>
      </c>
      <c r="H301" s="40" t="s">
        <v>1299</v>
      </c>
      <c r="I301" s="40" t="s">
        <v>1300</v>
      </c>
      <c r="J301" s="43" t="str">
        <f t="shared" si="24"/>
        <v>LHDL</v>
      </c>
      <c r="K301" s="40" t="s">
        <v>10</v>
      </c>
      <c r="L301" s="44">
        <v>1020</v>
      </c>
      <c r="M301" s="40" t="s">
        <v>1472</v>
      </c>
      <c r="N301" s="40" t="s">
        <v>11</v>
      </c>
      <c r="O301" s="40">
        <v>3.2938000000000001</v>
      </c>
      <c r="P301" s="45">
        <f t="shared" si="25"/>
        <v>3359.68</v>
      </c>
      <c r="Q301" s="46">
        <f t="shared" si="26"/>
        <v>7.3003400000000003</v>
      </c>
      <c r="R301" s="47">
        <f t="shared" si="27"/>
        <v>0.45119999999999999</v>
      </c>
      <c r="S301" s="48">
        <f t="shared" si="28"/>
        <v>460.22</v>
      </c>
      <c r="T301" s="47" t="s">
        <v>349</v>
      </c>
      <c r="U301" s="40" t="s">
        <v>125</v>
      </c>
      <c r="V301" s="38">
        <v>7.1879</v>
      </c>
      <c r="W301" s="49">
        <f t="shared" si="29"/>
        <v>467.40717038356127</v>
      </c>
    </row>
    <row r="302" spans="1:23" x14ac:dyDescent="0.2">
      <c r="A302" s="40" t="s">
        <v>366</v>
      </c>
      <c r="B302" s="41">
        <v>45671</v>
      </c>
      <c r="C302" s="41">
        <v>45638</v>
      </c>
      <c r="D302" s="40" t="s">
        <v>94</v>
      </c>
      <c r="E302" s="40" t="s">
        <v>95</v>
      </c>
      <c r="G302" s="40" t="s">
        <v>367</v>
      </c>
      <c r="H302" s="40" t="s">
        <v>364</v>
      </c>
      <c r="I302" s="40" t="s">
        <v>365</v>
      </c>
      <c r="J302" s="43" t="str">
        <f t="shared" si="24"/>
        <v>LID-</v>
      </c>
      <c r="K302" s="40" t="s">
        <v>369</v>
      </c>
      <c r="L302" s="44">
        <v>1030</v>
      </c>
      <c r="M302" s="40" t="s">
        <v>1472</v>
      </c>
      <c r="N302" s="40" t="s">
        <v>11</v>
      </c>
      <c r="O302" s="40">
        <v>3.32</v>
      </c>
      <c r="P302" s="45">
        <f t="shared" si="25"/>
        <v>3419.6</v>
      </c>
      <c r="Q302" s="46">
        <f t="shared" si="26"/>
        <v>7.3003400000000003</v>
      </c>
      <c r="R302" s="47">
        <f t="shared" si="27"/>
        <v>0.45479999999999998</v>
      </c>
      <c r="S302" s="48">
        <f t="shared" si="28"/>
        <v>468.44</v>
      </c>
      <c r="T302" s="47" t="s">
        <v>349</v>
      </c>
      <c r="U302" s="40" t="s">
        <v>368</v>
      </c>
      <c r="V302" s="38">
        <v>7.1879</v>
      </c>
      <c r="W302" s="49">
        <f t="shared" si="29"/>
        <v>475.74395859708676</v>
      </c>
    </row>
    <row r="303" spans="1:23" x14ac:dyDescent="0.2">
      <c r="A303" s="40" t="s">
        <v>432</v>
      </c>
      <c r="B303" s="41">
        <v>45670</v>
      </c>
      <c r="C303" s="41">
        <v>45663</v>
      </c>
      <c r="D303" s="40" t="s">
        <v>5</v>
      </c>
      <c r="E303" s="40" t="s">
        <v>6</v>
      </c>
      <c r="G303" s="40" t="s">
        <v>433</v>
      </c>
      <c r="H303" s="40" t="s">
        <v>430</v>
      </c>
      <c r="I303" s="40" t="s">
        <v>431</v>
      </c>
      <c r="J303" s="43" t="str">
        <f t="shared" si="24"/>
        <v>SHTS</v>
      </c>
      <c r="K303" s="40" t="s">
        <v>10</v>
      </c>
      <c r="L303" s="44">
        <v>1010</v>
      </c>
      <c r="M303" s="40" t="s">
        <v>1472</v>
      </c>
      <c r="N303" s="40" t="s">
        <v>11</v>
      </c>
      <c r="O303" s="40">
        <v>3.33</v>
      </c>
      <c r="P303" s="45">
        <f t="shared" si="25"/>
        <v>3363.3</v>
      </c>
      <c r="Q303" s="46">
        <f t="shared" si="26"/>
        <v>7.3003400000000003</v>
      </c>
      <c r="R303" s="47">
        <f t="shared" si="27"/>
        <v>0.45610000000000001</v>
      </c>
      <c r="S303" s="48">
        <f t="shared" si="28"/>
        <v>460.66</v>
      </c>
      <c r="T303" s="47" t="s">
        <v>349</v>
      </c>
      <c r="U303" s="40" t="s">
        <v>9</v>
      </c>
      <c r="V303" s="38">
        <v>7.1879</v>
      </c>
      <c r="W303" s="49">
        <f t="shared" si="29"/>
        <v>467.91135102046496</v>
      </c>
    </row>
    <row r="304" spans="1:23" x14ac:dyDescent="0.2">
      <c r="A304" s="40" t="s">
        <v>159</v>
      </c>
      <c r="B304" s="41">
        <v>45675</v>
      </c>
      <c r="C304" s="41">
        <v>45646</v>
      </c>
      <c r="D304" s="40" t="s">
        <v>149</v>
      </c>
      <c r="E304" s="40" t="s">
        <v>150</v>
      </c>
      <c r="G304" s="40" t="s">
        <v>156</v>
      </c>
      <c r="H304" s="40" t="s">
        <v>157</v>
      </c>
      <c r="I304" s="40" t="s">
        <v>158</v>
      </c>
      <c r="J304" s="43" t="str">
        <f t="shared" si="24"/>
        <v>GLID</v>
      </c>
      <c r="K304" s="40" t="s">
        <v>10</v>
      </c>
      <c r="L304" s="44">
        <v>7100</v>
      </c>
      <c r="M304" s="40" t="s">
        <v>1472</v>
      </c>
      <c r="N304" s="40" t="s">
        <v>11</v>
      </c>
      <c r="O304" s="40">
        <v>3.3437000000000001</v>
      </c>
      <c r="P304" s="45">
        <f t="shared" si="25"/>
        <v>23740.27</v>
      </c>
      <c r="Q304" s="46">
        <f t="shared" si="26"/>
        <v>7.3003400000000003</v>
      </c>
      <c r="R304" s="47">
        <f t="shared" si="27"/>
        <v>0.45800000000000002</v>
      </c>
      <c r="S304" s="48">
        <f t="shared" si="28"/>
        <v>3251.8</v>
      </c>
      <c r="T304" s="47" t="s">
        <v>349</v>
      </c>
      <c r="U304" s="40" t="s">
        <v>78</v>
      </c>
      <c r="V304" s="38">
        <v>7.1879</v>
      </c>
      <c r="W304" s="49">
        <f t="shared" si="29"/>
        <v>3302.8102783845075</v>
      </c>
    </row>
    <row r="305" spans="1:23" x14ac:dyDescent="0.2">
      <c r="A305" s="40" t="s">
        <v>1157</v>
      </c>
      <c r="B305" s="41">
        <v>45663</v>
      </c>
      <c r="C305" s="41">
        <v>45609</v>
      </c>
      <c r="D305" s="40" t="s">
        <v>28</v>
      </c>
      <c r="E305" s="40" t="s">
        <v>29</v>
      </c>
      <c r="G305" s="40" t="s">
        <v>1144</v>
      </c>
      <c r="H305" s="40" t="s">
        <v>1155</v>
      </c>
      <c r="I305" s="40" t="s">
        <v>1156</v>
      </c>
      <c r="J305" s="43" t="str">
        <f t="shared" si="24"/>
        <v>KNOB</v>
      </c>
      <c r="K305" s="40" t="s">
        <v>10</v>
      </c>
      <c r="L305" s="44">
        <v>520</v>
      </c>
      <c r="M305" s="40" t="s">
        <v>1472</v>
      </c>
      <c r="N305" s="40" t="s">
        <v>11</v>
      </c>
      <c r="O305" s="40">
        <v>3.3721999999999999</v>
      </c>
      <c r="P305" s="45">
        <f t="shared" si="25"/>
        <v>1753.54</v>
      </c>
      <c r="Q305" s="46">
        <f t="shared" si="26"/>
        <v>7.3003400000000003</v>
      </c>
      <c r="R305" s="47">
        <f t="shared" si="27"/>
        <v>0.46189999999999998</v>
      </c>
      <c r="S305" s="48">
        <f t="shared" si="28"/>
        <v>240.19</v>
      </c>
      <c r="T305" s="47" t="s">
        <v>349</v>
      </c>
      <c r="U305" s="40" t="s">
        <v>32</v>
      </c>
      <c r="V305" s="38">
        <v>7.1879</v>
      </c>
      <c r="W305" s="49">
        <f t="shared" si="29"/>
        <v>243.957762350617</v>
      </c>
    </row>
    <row r="306" spans="1:23" x14ac:dyDescent="0.2">
      <c r="A306" s="40" t="s">
        <v>1003</v>
      </c>
      <c r="B306" s="41">
        <v>45664</v>
      </c>
      <c r="C306" s="41">
        <v>45609</v>
      </c>
      <c r="D306" s="40" t="s">
        <v>94</v>
      </c>
      <c r="E306" s="40" t="s">
        <v>95</v>
      </c>
      <c r="G306" s="40" t="s">
        <v>1000</v>
      </c>
      <c r="H306" s="40" t="s">
        <v>1001</v>
      </c>
      <c r="I306" s="40" t="s">
        <v>1002</v>
      </c>
      <c r="J306" s="43" t="str">
        <f t="shared" si="24"/>
        <v>LID-</v>
      </c>
      <c r="K306" s="40" t="s">
        <v>98</v>
      </c>
      <c r="L306" s="44">
        <v>1030</v>
      </c>
      <c r="M306" s="40" t="s">
        <v>1472</v>
      </c>
      <c r="N306" s="40" t="s">
        <v>11</v>
      </c>
      <c r="O306" s="40">
        <v>3.42</v>
      </c>
      <c r="P306" s="45">
        <f t="shared" si="25"/>
        <v>3522.6</v>
      </c>
      <c r="Q306" s="46">
        <f t="shared" si="26"/>
        <v>7.3003400000000003</v>
      </c>
      <c r="R306" s="47">
        <f t="shared" si="27"/>
        <v>0.46850000000000003</v>
      </c>
      <c r="S306" s="48">
        <f t="shared" si="28"/>
        <v>482.56</v>
      </c>
      <c r="T306" s="47" t="s">
        <v>349</v>
      </c>
      <c r="U306" s="40" t="s">
        <v>368</v>
      </c>
      <c r="V306" s="38">
        <v>7.1879</v>
      </c>
      <c r="W306" s="49">
        <f t="shared" si="29"/>
        <v>490.07359590422794</v>
      </c>
    </row>
    <row r="307" spans="1:23" x14ac:dyDescent="0.2">
      <c r="A307" s="40" t="s">
        <v>523</v>
      </c>
      <c r="B307" s="41">
        <v>45670</v>
      </c>
      <c r="C307" s="41">
        <v>45663</v>
      </c>
      <c r="D307" s="40" t="s">
        <v>5</v>
      </c>
      <c r="E307" s="40" t="s">
        <v>6</v>
      </c>
      <c r="G307" s="40" t="s">
        <v>492</v>
      </c>
      <c r="H307" s="40" t="s">
        <v>521</v>
      </c>
      <c r="I307" s="40" t="s">
        <v>522</v>
      </c>
      <c r="J307" s="43" t="str">
        <f t="shared" si="24"/>
        <v>SHTS</v>
      </c>
      <c r="K307" s="40" t="s">
        <v>10</v>
      </c>
      <c r="L307" s="44">
        <v>1010</v>
      </c>
      <c r="M307" s="40" t="s">
        <v>1472</v>
      </c>
      <c r="N307" s="40" t="s">
        <v>11</v>
      </c>
      <c r="O307" s="40">
        <v>3.45</v>
      </c>
      <c r="P307" s="45">
        <f t="shared" si="25"/>
        <v>3484.5</v>
      </c>
      <c r="Q307" s="46">
        <f t="shared" si="26"/>
        <v>7.3003400000000003</v>
      </c>
      <c r="R307" s="47">
        <f t="shared" si="27"/>
        <v>0.47260000000000002</v>
      </c>
      <c r="S307" s="48">
        <f t="shared" si="28"/>
        <v>477.33</v>
      </c>
      <c r="T307" s="47" t="s">
        <v>349</v>
      </c>
      <c r="U307" s="40" t="s">
        <v>9</v>
      </c>
      <c r="V307" s="38">
        <v>7.1879</v>
      </c>
      <c r="W307" s="49">
        <f t="shared" si="29"/>
        <v>484.77302132750873</v>
      </c>
    </row>
    <row r="308" spans="1:23" x14ac:dyDescent="0.2">
      <c r="A308" s="40" t="s">
        <v>526</v>
      </c>
      <c r="B308" s="41">
        <v>45670</v>
      </c>
      <c r="C308" s="41">
        <v>45663</v>
      </c>
      <c r="D308" s="40" t="s">
        <v>5</v>
      </c>
      <c r="E308" s="40" t="s">
        <v>6</v>
      </c>
      <c r="G308" s="40" t="s">
        <v>527</v>
      </c>
      <c r="H308" s="40" t="s">
        <v>524</v>
      </c>
      <c r="I308" s="40" t="s">
        <v>525</v>
      </c>
      <c r="J308" s="43" t="str">
        <f t="shared" si="24"/>
        <v>BOX-</v>
      </c>
      <c r="K308" s="40" t="s">
        <v>10</v>
      </c>
      <c r="L308" s="44">
        <v>505</v>
      </c>
      <c r="M308" s="40" t="s">
        <v>1472</v>
      </c>
      <c r="N308" s="40" t="s">
        <v>11</v>
      </c>
      <c r="O308" s="40">
        <v>3.49</v>
      </c>
      <c r="P308" s="45">
        <f t="shared" si="25"/>
        <v>1762.45</v>
      </c>
      <c r="Q308" s="46">
        <f t="shared" si="26"/>
        <v>7.3003400000000003</v>
      </c>
      <c r="R308" s="47">
        <f t="shared" si="27"/>
        <v>0.47810000000000002</v>
      </c>
      <c r="S308" s="48">
        <f t="shared" si="28"/>
        <v>241.44</v>
      </c>
      <c r="T308" s="47" t="s">
        <v>349</v>
      </c>
      <c r="U308" s="40" t="s">
        <v>1</v>
      </c>
      <c r="V308" s="38">
        <v>7.1879</v>
      </c>
      <c r="W308" s="49">
        <f t="shared" si="29"/>
        <v>245.19678904826168</v>
      </c>
    </row>
    <row r="309" spans="1:23" x14ac:dyDescent="0.2">
      <c r="A309" s="40" t="s">
        <v>761</v>
      </c>
      <c r="B309" s="41">
        <v>45666</v>
      </c>
      <c r="C309" s="41">
        <v>45664</v>
      </c>
      <c r="D309" s="40" t="s">
        <v>569</v>
      </c>
      <c r="E309" s="40" t="s">
        <v>570</v>
      </c>
      <c r="G309" s="40" t="s">
        <v>762</v>
      </c>
      <c r="H309" s="40" t="s">
        <v>759</v>
      </c>
      <c r="I309" s="40" t="s">
        <v>760</v>
      </c>
      <c r="J309" s="43" t="str">
        <f t="shared" si="24"/>
        <v>ANYD</v>
      </c>
      <c r="K309" s="40" t="s">
        <v>10</v>
      </c>
      <c r="L309" s="44">
        <v>300</v>
      </c>
      <c r="M309" s="40" t="s">
        <v>1472</v>
      </c>
      <c r="N309" s="40" t="s">
        <v>11</v>
      </c>
      <c r="O309" s="40">
        <v>3.5</v>
      </c>
      <c r="P309" s="45">
        <f t="shared" si="25"/>
        <v>1050</v>
      </c>
      <c r="Q309" s="46">
        <f t="shared" si="26"/>
        <v>7.3003400000000003</v>
      </c>
      <c r="R309" s="47">
        <f t="shared" si="27"/>
        <v>0.47939999999999999</v>
      </c>
      <c r="S309" s="48">
        <f t="shared" si="28"/>
        <v>143.82</v>
      </c>
      <c r="T309" s="47" t="s">
        <v>349</v>
      </c>
      <c r="U309" s="40" t="s">
        <v>36</v>
      </c>
      <c r="V309" s="38">
        <v>7.1879</v>
      </c>
      <c r="W309" s="49">
        <f t="shared" si="29"/>
        <v>146.07882691745851</v>
      </c>
    </row>
    <row r="310" spans="1:23" x14ac:dyDescent="0.2">
      <c r="A310" s="40" t="s">
        <v>907</v>
      </c>
      <c r="B310" s="41">
        <v>45666</v>
      </c>
      <c r="C310" s="41">
        <v>45614</v>
      </c>
      <c r="D310" s="40" t="s">
        <v>898</v>
      </c>
      <c r="E310" s="40" t="s">
        <v>899</v>
      </c>
      <c r="G310" s="40" t="s">
        <v>901</v>
      </c>
      <c r="H310" s="40" t="s">
        <v>905</v>
      </c>
      <c r="I310" s="40" t="s">
        <v>906</v>
      </c>
      <c r="J310" s="43" t="str">
        <f t="shared" si="24"/>
        <v>GLID</v>
      </c>
      <c r="K310" s="40" t="s">
        <v>10</v>
      </c>
      <c r="L310" s="44">
        <v>1020</v>
      </c>
      <c r="M310" s="40" t="s">
        <v>1472</v>
      </c>
      <c r="N310" s="40" t="s">
        <v>11</v>
      </c>
      <c r="O310" s="40">
        <v>3.5017</v>
      </c>
      <c r="P310" s="45">
        <f t="shared" si="25"/>
        <v>3571.73</v>
      </c>
      <c r="Q310" s="46">
        <f t="shared" si="26"/>
        <v>7.3003400000000003</v>
      </c>
      <c r="R310" s="47">
        <f t="shared" si="27"/>
        <v>0.47970000000000002</v>
      </c>
      <c r="S310" s="48">
        <f t="shared" si="28"/>
        <v>489.29</v>
      </c>
      <c r="T310" s="47" t="s">
        <v>349</v>
      </c>
      <c r="U310" s="40" t="s">
        <v>78</v>
      </c>
      <c r="V310" s="38">
        <v>7.1879</v>
      </c>
      <c r="W310" s="49">
        <f t="shared" si="29"/>
        <v>496.90925026781122</v>
      </c>
    </row>
    <row r="311" spans="1:23" x14ac:dyDescent="0.2">
      <c r="A311" s="40" t="s">
        <v>359</v>
      </c>
      <c r="B311" s="41">
        <v>45671</v>
      </c>
      <c r="C311" s="41">
        <v>45639</v>
      </c>
      <c r="D311" s="40" t="s">
        <v>121</v>
      </c>
      <c r="E311" s="40" t="s">
        <v>122</v>
      </c>
      <c r="G311" s="40" t="s">
        <v>353</v>
      </c>
      <c r="H311" s="40" t="s">
        <v>357</v>
      </c>
      <c r="I311" s="40" t="s">
        <v>358</v>
      </c>
      <c r="J311" s="43" t="str">
        <f t="shared" si="24"/>
        <v>HDL-</v>
      </c>
      <c r="K311" s="40" t="s">
        <v>10</v>
      </c>
      <c r="L311" s="44">
        <v>302</v>
      </c>
      <c r="M311" s="40" t="s">
        <v>1472</v>
      </c>
      <c r="N311" s="40" t="s">
        <v>11</v>
      </c>
      <c r="O311" s="40">
        <v>3.5398000000000001</v>
      </c>
      <c r="P311" s="45">
        <f t="shared" si="25"/>
        <v>1069.02</v>
      </c>
      <c r="Q311" s="46">
        <f t="shared" si="26"/>
        <v>7.3003400000000003</v>
      </c>
      <c r="R311" s="47">
        <f t="shared" si="27"/>
        <v>0.4849</v>
      </c>
      <c r="S311" s="48">
        <f t="shared" si="28"/>
        <v>146.44</v>
      </c>
      <c r="T311" s="47" t="s">
        <v>349</v>
      </c>
      <c r="U311" s="40" t="s">
        <v>228</v>
      </c>
      <c r="V311" s="38">
        <v>7.1879</v>
      </c>
      <c r="W311" s="49">
        <f t="shared" si="29"/>
        <v>148.72488487597212</v>
      </c>
    </row>
    <row r="312" spans="1:23" x14ac:dyDescent="0.2">
      <c r="A312" s="40" t="s">
        <v>359</v>
      </c>
      <c r="B312" s="41">
        <v>45667</v>
      </c>
      <c r="C312" s="41">
        <v>45639</v>
      </c>
      <c r="D312" s="40" t="s">
        <v>121</v>
      </c>
      <c r="E312" s="40" t="s">
        <v>122</v>
      </c>
      <c r="G312" s="40" t="s">
        <v>693</v>
      </c>
      <c r="H312" s="40" t="s">
        <v>357</v>
      </c>
      <c r="I312" s="40" t="s">
        <v>358</v>
      </c>
      <c r="J312" s="43" t="str">
        <f t="shared" si="24"/>
        <v>HDL-</v>
      </c>
      <c r="K312" s="40" t="s">
        <v>10</v>
      </c>
      <c r="L312" s="44">
        <v>1738</v>
      </c>
      <c r="M312" s="40" t="s">
        <v>1472</v>
      </c>
      <c r="N312" s="40" t="s">
        <v>11</v>
      </c>
      <c r="O312" s="40">
        <v>3.5398000000000001</v>
      </c>
      <c r="P312" s="45">
        <f t="shared" si="25"/>
        <v>6152.17</v>
      </c>
      <c r="Q312" s="46">
        <f t="shared" si="26"/>
        <v>7.3003400000000003</v>
      </c>
      <c r="R312" s="47">
        <f t="shared" si="27"/>
        <v>0.4849</v>
      </c>
      <c r="S312" s="48">
        <f t="shared" si="28"/>
        <v>842.76</v>
      </c>
      <c r="T312" s="47" t="s">
        <v>349</v>
      </c>
      <c r="U312" s="40" t="s">
        <v>228</v>
      </c>
      <c r="V312" s="38">
        <v>7.1879</v>
      </c>
      <c r="W312" s="49">
        <f t="shared" si="29"/>
        <v>855.90678779615746</v>
      </c>
    </row>
    <row r="313" spans="1:23" x14ac:dyDescent="0.2">
      <c r="A313" s="40" t="s">
        <v>743</v>
      </c>
      <c r="B313" s="41">
        <v>45667</v>
      </c>
      <c r="C313" s="41">
        <v>45615</v>
      </c>
      <c r="D313" s="40" t="s">
        <v>709</v>
      </c>
      <c r="E313" s="40" t="s">
        <v>710</v>
      </c>
      <c r="G313" s="40" t="s">
        <v>712</v>
      </c>
      <c r="H313" s="40" t="s">
        <v>741</v>
      </c>
      <c r="I313" s="40" t="s">
        <v>742</v>
      </c>
      <c r="J313" s="43" t="str">
        <f t="shared" si="24"/>
        <v>SHDL</v>
      </c>
      <c r="K313" s="40" t="s">
        <v>10</v>
      </c>
      <c r="L313" s="44">
        <v>3030</v>
      </c>
      <c r="M313" s="40" t="s">
        <v>1472</v>
      </c>
      <c r="N313" s="40" t="s">
        <v>11</v>
      </c>
      <c r="O313" s="40">
        <v>3.5945999999999998</v>
      </c>
      <c r="P313" s="45">
        <f t="shared" si="25"/>
        <v>10891.64</v>
      </c>
      <c r="Q313" s="46">
        <f t="shared" si="26"/>
        <v>7.3003400000000003</v>
      </c>
      <c r="R313" s="47">
        <f t="shared" si="27"/>
        <v>0.4924</v>
      </c>
      <c r="S313" s="48">
        <f t="shared" si="28"/>
        <v>1491.97</v>
      </c>
      <c r="T313" s="47" t="s">
        <v>349</v>
      </c>
      <c r="U313" s="40" t="s">
        <v>722</v>
      </c>
      <c r="V313" s="38">
        <v>7.1879</v>
      </c>
      <c r="W313" s="49">
        <f t="shared" si="29"/>
        <v>1515.2740021424895</v>
      </c>
    </row>
    <row r="314" spans="1:23" x14ac:dyDescent="0.2">
      <c r="A314" s="40" t="s">
        <v>1225</v>
      </c>
      <c r="B314" s="41">
        <v>45663</v>
      </c>
      <c r="C314" s="41">
        <v>45643</v>
      </c>
      <c r="D314" s="40" t="s">
        <v>187</v>
      </c>
      <c r="E314" s="40" t="s">
        <v>188</v>
      </c>
      <c r="G314" s="40" t="s">
        <v>1199</v>
      </c>
      <c r="H314" s="40" t="s">
        <v>1223</v>
      </c>
      <c r="I314" s="40" t="s">
        <v>1224</v>
      </c>
      <c r="J314" s="43" t="str">
        <f t="shared" si="24"/>
        <v>ALM-</v>
      </c>
      <c r="K314" s="40" t="s">
        <v>98</v>
      </c>
      <c r="L314" s="44">
        <v>50</v>
      </c>
      <c r="M314" s="40" t="s">
        <v>186</v>
      </c>
      <c r="N314" s="40" t="s">
        <v>11</v>
      </c>
      <c r="O314" s="40">
        <v>3.6282999999999999</v>
      </c>
      <c r="P314" s="45">
        <f t="shared" si="25"/>
        <v>181.42</v>
      </c>
      <c r="Q314" s="46">
        <f t="shared" si="26"/>
        <v>7.3003400000000003</v>
      </c>
      <c r="R314" s="47">
        <f t="shared" si="27"/>
        <v>0.497</v>
      </c>
      <c r="S314" s="48">
        <f t="shared" si="28"/>
        <v>24.85</v>
      </c>
      <c r="T314" s="47" t="s">
        <v>349</v>
      </c>
      <c r="U314" s="40" t="s">
        <v>191</v>
      </c>
      <c r="V314" s="38">
        <v>7.1879</v>
      </c>
      <c r="W314" s="49">
        <f t="shared" si="29"/>
        <v>25.238943224029271</v>
      </c>
    </row>
    <row r="315" spans="1:23" x14ac:dyDescent="0.2">
      <c r="A315" s="40" t="s">
        <v>1228</v>
      </c>
      <c r="B315" s="41">
        <v>45663</v>
      </c>
      <c r="C315" s="41">
        <v>45643</v>
      </c>
      <c r="D315" s="40" t="s">
        <v>187</v>
      </c>
      <c r="E315" s="40" t="s">
        <v>188</v>
      </c>
      <c r="G315" s="40" t="s">
        <v>1199</v>
      </c>
      <c r="H315" s="40" t="s">
        <v>1226</v>
      </c>
      <c r="I315" s="40" t="s">
        <v>1227</v>
      </c>
      <c r="J315" s="43" t="str">
        <f t="shared" si="24"/>
        <v>ALM-</v>
      </c>
      <c r="K315" s="40" t="s">
        <v>98</v>
      </c>
      <c r="L315" s="44">
        <v>220</v>
      </c>
      <c r="M315" s="40" t="s">
        <v>186</v>
      </c>
      <c r="N315" s="40" t="s">
        <v>11</v>
      </c>
      <c r="O315" s="40">
        <v>3.6282999999999999</v>
      </c>
      <c r="P315" s="45">
        <f t="shared" si="25"/>
        <v>798.23</v>
      </c>
      <c r="Q315" s="46">
        <f t="shared" si="26"/>
        <v>7.3003400000000003</v>
      </c>
      <c r="R315" s="47">
        <f t="shared" si="27"/>
        <v>0.497</v>
      </c>
      <c r="S315" s="48">
        <f t="shared" si="28"/>
        <v>109.34</v>
      </c>
      <c r="T315" s="47" t="s">
        <v>349</v>
      </c>
      <c r="U315" s="40" t="s">
        <v>191</v>
      </c>
      <c r="V315" s="38">
        <v>7.1879</v>
      </c>
      <c r="W315" s="49">
        <f t="shared" si="29"/>
        <v>111.05135018572879</v>
      </c>
    </row>
    <row r="316" spans="1:23" x14ac:dyDescent="0.2">
      <c r="A316" s="40" t="s">
        <v>1203</v>
      </c>
      <c r="B316" s="41">
        <v>45663</v>
      </c>
      <c r="C316" s="41">
        <v>45650</v>
      </c>
      <c r="D316" s="40" t="s">
        <v>187</v>
      </c>
      <c r="E316" s="40" t="s">
        <v>188</v>
      </c>
      <c r="G316" s="40" t="s">
        <v>1199</v>
      </c>
      <c r="H316" s="40" t="s">
        <v>192</v>
      </c>
      <c r="I316" s="40" t="s">
        <v>193</v>
      </c>
      <c r="J316" s="43" t="str">
        <f t="shared" si="24"/>
        <v>ALM-</v>
      </c>
      <c r="K316" s="40" t="s">
        <v>98</v>
      </c>
      <c r="L316" s="44">
        <v>85</v>
      </c>
      <c r="M316" s="40" t="s">
        <v>186</v>
      </c>
      <c r="N316" s="40" t="s">
        <v>11</v>
      </c>
      <c r="O316" s="40">
        <v>3.6282999999999999</v>
      </c>
      <c r="P316" s="45">
        <f t="shared" si="25"/>
        <v>308.41000000000003</v>
      </c>
      <c r="Q316" s="46">
        <f t="shared" si="26"/>
        <v>7.3003400000000003</v>
      </c>
      <c r="R316" s="47">
        <f t="shared" si="27"/>
        <v>0.497</v>
      </c>
      <c r="S316" s="48">
        <f t="shared" si="28"/>
        <v>42.25</v>
      </c>
      <c r="T316" s="47" t="s">
        <v>349</v>
      </c>
      <c r="U316" s="40" t="s">
        <v>191</v>
      </c>
      <c r="V316" s="38">
        <v>7.1879</v>
      </c>
      <c r="W316" s="49">
        <f t="shared" si="29"/>
        <v>42.906203480849761</v>
      </c>
    </row>
    <row r="317" spans="1:23" x14ac:dyDescent="0.2">
      <c r="A317" s="40" t="s">
        <v>1202</v>
      </c>
      <c r="B317" s="41">
        <v>45663</v>
      </c>
      <c r="C317" s="41">
        <v>45650</v>
      </c>
      <c r="D317" s="40" t="s">
        <v>187</v>
      </c>
      <c r="E317" s="40" t="s">
        <v>188</v>
      </c>
      <c r="G317" s="40" t="s">
        <v>1199</v>
      </c>
      <c r="H317" s="40" t="s">
        <v>1200</v>
      </c>
      <c r="I317" s="40" t="s">
        <v>1201</v>
      </c>
      <c r="J317" s="43" t="str">
        <f t="shared" si="24"/>
        <v>ALM-</v>
      </c>
      <c r="K317" s="40" t="s">
        <v>98</v>
      </c>
      <c r="L317" s="44">
        <v>70</v>
      </c>
      <c r="M317" s="40" t="s">
        <v>186</v>
      </c>
      <c r="N317" s="40" t="s">
        <v>11</v>
      </c>
      <c r="O317" s="40">
        <v>3.6282999999999999</v>
      </c>
      <c r="P317" s="45">
        <f t="shared" si="25"/>
        <v>253.98</v>
      </c>
      <c r="Q317" s="46">
        <f t="shared" si="26"/>
        <v>7.3003400000000003</v>
      </c>
      <c r="R317" s="47">
        <f t="shared" si="27"/>
        <v>0.497</v>
      </c>
      <c r="S317" s="48">
        <f t="shared" si="28"/>
        <v>34.79</v>
      </c>
      <c r="T317" s="47" t="s">
        <v>349</v>
      </c>
      <c r="U317" s="40" t="s">
        <v>191</v>
      </c>
      <c r="V317" s="38">
        <v>7.1879</v>
      </c>
      <c r="W317" s="49">
        <f t="shared" si="29"/>
        <v>35.334520513640975</v>
      </c>
    </row>
    <row r="318" spans="1:23" x14ac:dyDescent="0.2">
      <c r="A318" s="40" t="s">
        <v>189</v>
      </c>
      <c r="B318" s="41">
        <v>45674</v>
      </c>
      <c r="C318" s="41">
        <v>45650</v>
      </c>
      <c r="D318" s="40" t="s">
        <v>187</v>
      </c>
      <c r="E318" s="40" t="s">
        <v>188</v>
      </c>
      <c r="G318" s="40" t="s">
        <v>190</v>
      </c>
      <c r="H318" s="40" t="s">
        <v>184</v>
      </c>
      <c r="I318" s="40" t="s">
        <v>185</v>
      </c>
      <c r="J318" s="43" t="str">
        <f t="shared" si="24"/>
        <v>ALM-</v>
      </c>
      <c r="K318" s="40" t="s">
        <v>98</v>
      </c>
      <c r="L318" s="44">
        <v>100</v>
      </c>
      <c r="M318" s="40" t="s">
        <v>186</v>
      </c>
      <c r="N318" s="40" t="s">
        <v>11</v>
      </c>
      <c r="O318" s="40">
        <v>3.6282999999999999</v>
      </c>
      <c r="P318" s="45">
        <f t="shared" si="25"/>
        <v>362.83</v>
      </c>
      <c r="Q318" s="46">
        <f t="shared" si="26"/>
        <v>7.3003400000000003</v>
      </c>
      <c r="R318" s="47">
        <f t="shared" si="27"/>
        <v>0.497</v>
      </c>
      <c r="S318" s="48">
        <f t="shared" si="28"/>
        <v>49.7</v>
      </c>
      <c r="T318" s="47" t="s">
        <v>349</v>
      </c>
      <c r="U318" s="40" t="s">
        <v>191</v>
      </c>
      <c r="V318" s="38">
        <v>7.1879</v>
      </c>
      <c r="W318" s="49">
        <f t="shared" si="29"/>
        <v>50.477886448058541</v>
      </c>
    </row>
    <row r="319" spans="1:23" x14ac:dyDescent="0.2">
      <c r="A319" s="40" t="s">
        <v>1209</v>
      </c>
      <c r="B319" s="41">
        <v>45663</v>
      </c>
      <c r="C319" s="41">
        <v>45656</v>
      </c>
      <c r="D319" s="40" t="s">
        <v>187</v>
      </c>
      <c r="E319" s="40" t="s">
        <v>188</v>
      </c>
      <c r="G319" s="40" t="s">
        <v>1199</v>
      </c>
      <c r="H319" s="40" t="s">
        <v>192</v>
      </c>
      <c r="I319" s="40" t="s">
        <v>193</v>
      </c>
      <c r="J319" s="43" t="str">
        <f t="shared" si="24"/>
        <v>ALM-</v>
      </c>
      <c r="K319" s="40" t="s">
        <v>98</v>
      </c>
      <c r="L319" s="44">
        <v>50</v>
      </c>
      <c r="M319" s="40" t="s">
        <v>186</v>
      </c>
      <c r="N319" s="40" t="s">
        <v>11</v>
      </c>
      <c r="O319" s="40">
        <v>3.6282999999999999</v>
      </c>
      <c r="P319" s="45">
        <f t="shared" si="25"/>
        <v>181.42</v>
      </c>
      <c r="Q319" s="46">
        <f t="shared" si="26"/>
        <v>7.3003400000000003</v>
      </c>
      <c r="R319" s="47">
        <f t="shared" si="27"/>
        <v>0.497</v>
      </c>
      <c r="S319" s="48">
        <f t="shared" si="28"/>
        <v>24.85</v>
      </c>
      <c r="T319" s="47" t="s">
        <v>349</v>
      </c>
      <c r="U319" s="40" t="s">
        <v>191</v>
      </c>
      <c r="V319" s="38">
        <v>7.1879</v>
      </c>
      <c r="W319" s="49">
        <f t="shared" si="29"/>
        <v>25.238943224029271</v>
      </c>
    </row>
    <row r="320" spans="1:23" x14ac:dyDescent="0.2">
      <c r="A320" s="40" t="s">
        <v>194</v>
      </c>
      <c r="B320" s="41">
        <v>45674</v>
      </c>
      <c r="C320" s="41">
        <v>45667</v>
      </c>
      <c r="D320" s="40" t="s">
        <v>187</v>
      </c>
      <c r="E320" s="40" t="s">
        <v>188</v>
      </c>
      <c r="G320" s="40" t="s">
        <v>195</v>
      </c>
      <c r="H320" s="40" t="s">
        <v>192</v>
      </c>
      <c r="I320" s="40" t="s">
        <v>193</v>
      </c>
      <c r="J320" s="43" t="str">
        <f t="shared" si="24"/>
        <v>ALM-</v>
      </c>
      <c r="K320" s="40" t="s">
        <v>98</v>
      </c>
      <c r="L320" s="44">
        <v>50</v>
      </c>
      <c r="M320" s="40" t="s">
        <v>186</v>
      </c>
      <c r="N320" s="40" t="s">
        <v>11</v>
      </c>
      <c r="O320" s="40">
        <v>3.6282999999999999</v>
      </c>
      <c r="P320" s="45">
        <f t="shared" si="25"/>
        <v>181.42</v>
      </c>
      <c r="Q320" s="46">
        <f t="shared" si="26"/>
        <v>7.3003400000000003</v>
      </c>
      <c r="R320" s="47">
        <f t="shared" si="27"/>
        <v>0.497</v>
      </c>
      <c r="S320" s="48">
        <f t="shared" si="28"/>
        <v>24.85</v>
      </c>
      <c r="T320" s="47" t="s">
        <v>349</v>
      </c>
      <c r="U320" s="40" t="s">
        <v>191</v>
      </c>
      <c r="V320" s="38">
        <v>7.1879</v>
      </c>
      <c r="W320" s="49">
        <f t="shared" si="29"/>
        <v>25.238943224029271</v>
      </c>
    </row>
    <row r="321" spans="1:23" x14ac:dyDescent="0.2">
      <c r="A321" s="40" t="s">
        <v>999</v>
      </c>
      <c r="B321" s="41">
        <v>45664</v>
      </c>
      <c r="C321" s="41">
        <v>45609</v>
      </c>
      <c r="D321" s="40" t="s">
        <v>94</v>
      </c>
      <c r="E321" s="40" t="s">
        <v>95</v>
      </c>
      <c r="G321" s="40" t="s">
        <v>1000</v>
      </c>
      <c r="H321" s="40" t="s">
        <v>997</v>
      </c>
      <c r="I321" s="40" t="s">
        <v>998</v>
      </c>
      <c r="J321" s="43" t="str">
        <f t="shared" si="24"/>
        <v>LID-</v>
      </c>
      <c r="K321" s="40" t="s">
        <v>98</v>
      </c>
      <c r="L321" s="44">
        <v>1030</v>
      </c>
      <c r="M321" s="40" t="s">
        <v>1472</v>
      </c>
      <c r="N321" s="40" t="s">
        <v>11</v>
      </c>
      <c r="O321" s="40">
        <v>3.64</v>
      </c>
      <c r="P321" s="45">
        <f t="shared" si="25"/>
        <v>3749.2</v>
      </c>
      <c r="Q321" s="46">
        <f t="shared" si="26"/>
        <v>7.3003400000000003</v>
      </c>
      <c r="R321" s="47">
        <f t="shared" si="27"/>
        <v>0.49859999999999999</v>
      </c>
      <c r="S321" s="48">
        <f t="shared" si="28"/>
        <v>513.55999999999995</v>
      </c>
      <c r="T321" s="47" t="s">
        <v>349</v>
      </c>
      <c r="U321" s="40" t="s">
        <v>368</v>
      </c>
      <c r="V321" s="38">
        <v>7.1879</v>
      </c>
      <c r="W321" s="49">
        <f t="shared" si="29"/>
        <v>521.59879797993858</v>
      </c>
    </row>
    <row r="322" spans="1:23" x14ac:dyDescent="0.2">
      <c r="A322" s="40" t="s">
        <v>1181</v>
      </c>
      <c r="B322" s="41">
        <v>45663</v>
      </c>
      <c r="C322" s="41">
        <v>45643</v>
      </c>
      <c r="D322" s="40" t="s">
        <v>149</v>
      </c>
      <c r="E322" s="40" t="s">
        <v>150</v>
      </c>
      <c r="G322" s="40" t="s">
        <v>1182</v>
      </c>
      <c r="H322" s="40" t="s">
        <v>1179</v>
      </c>
      <c r="I322" s="40" t="s">
        <v>1180</v>
      </c>
      <c r="J322" s="43" t="str">
        <f t="shared" ref="J322:J385" si="30">+LEFT(U322,4)</f>
        <v>GLID</v>
      </c>
      <c r="K322" s="40" t="s">
        <v>10</v>
      </c>
      <c r="L322" s="44">
        <v>1200</v>
      </c>
      <c r="M322" s="40" t="s">
        <v>1472</v>
      </c>
      <c r="N322" s="40" t="s">
        <v>11</v>
      </c>
      <c r="O322" s="40">
        <v>3.6753999999999998</v>
      </c>
      <c r="P322" s="45">
        <f t="shared" ref="P322:P385" si="31">ROUND(O322*L322,2)</f>
        <v>4410.4799999999996</v>
      </c>
      <c r="Q322" s="46">
        <f t="shared" ref="Q322:Q385" si="32">IF(N322="HKD",7.8,IF(N322="CNY",7.30034,1))</f>
        <v>7.3003400000000003</v>
      </c>
      <c r="R322" s="47">
        <f t="shared" ref="R322:R385" si="33">+ROUND(O322/Q322,4)</f>
        <v>0.50349999999999995</v>
      </c>
      <c r="S322" s="48">
        <f t="shared" ref="S322:S385" si="34">ROUND(R322*L322,2)</f>
        <v>604.20000000000005</v>
      </c>
      <c r="T322" s="47" t="s">
        <v>349</v>
      </c>
      <c r="U322" s="40" t="s">
        <v>78</v>
      </c>
      <c r="V322" s="38">
        <v>7.1879</v>
      </c>
      <c r="W322" s="49">
        <f t="shared" ref="W322:W385" si="35">IF(N322="CNY",O322/V322*L322,1)</f>
        <v>613.59785194563074</v>
      </c>
    </row>
    <row r="323" spans="1:23" x14ac:dyDescent="0.2">
      <c r="A323" s="40" t="s">
        <v>58</v>
      </c>
      <c r="B323" s="41">
        <v>45679</v>
      </c>
      <c r="C323" s="41">
        <v>45677</v>
      </c>
      <c r="D323" s="40" t="s">
        <v>5</v>
      </c>
      <c r="E323" s="40" t="s">
        <v>6</v>
      </c>
      <c r="G323" s="40" t="s">
        <v>40</v>
      </c>
      <c r="H323" s="40" t="s">
        <v>56</v>
      </c>
      <c r="I323" s="40" t="s">
        <v>57</v>
      </c>
      <c r="J323" s="43" t="str">
        <f t="shared" si="30"/>
        <v>BOX-</v>
      </c>
      <c r="K323" s="40" t="s">
        <v>10</v>
      </c>
      <c r="L323" s="44">
        <v>505</v>
      </c>
      <c r="M323" s="40" t="s">
        <v>1472</v>
      </c>
      <c r="N323" s="40" t="s">
        <v>11</v>
      </c>
      <c r="O323" s="40">
        <v>3.81</v>
      </c>
      <c r="P323" s="45">
        <f t="shared" si="31"/>
        <v>1924.05</v>
      </c>
      <c r="Q323" s="46">
        <f t="shared" si="32"/>
        <v>7.3003400000000003</v>
      </c>
      <c r="R323" s="47">
        <f t="shared" si="33"/>
        <v>0.52190000000000003</v>
      </c>
      <c r="S323" s="48">
        <f t="shared" si="34"/>
        <v>263.56</v>
      </c>
      <c r="T323" s="47" t="s">
        <v>349</v>
      </c>
      <c r="U323" s="40" t="s">
        <v>1</v>
      </c>
      <c r="V323" s="38">
        <v>7.1879</v>
      </c>
      <c r="W323" s="49">
        <f t="shared" si="35"/>
        <v>267.67901612432007</v>
      </c>
    </row>
    <row r="324" spans="1:23" x14ac:dyDescent="0.2">
      <c r="A324" s="40" t="s">
        <v>571</v>
      </c>
      <c r="B324" s="41">
        <v>45670</v>
      </c>
      <c r="C324" s="41">
        <v>45667</v>
      </c>
      <c r="D324" s="40" t="s">
        <v>569</v>
      </c>
      <c r="E324" s="40" t="s">
        <v>570</v>
      </c>
      <c r="G324" s="40" t="s">
        <v>572</v>
      </c>
      <c r="H324" s="40" t="s">
        <v>567</v>
      </c>
      <c r="I324" s="40" t="s">
        <v>568</v>
      </c>
      <c r="J324" s="43" t="str">
        <f t="shared" si="30"/>
        <v>ANYD</v>
      </c>
      <c r="K324" s="40" t="s">
        <v>10</v>
      </c>
      <c r="L324" s="44">
        <v>100</v>
      </c>
      <c r="M324" s="40" t="s">
        <v>1472</v>
      </c>
      <c r="N324" s="40" t="s">
        <v>11</v>
      </c>
      <c r="O324" s="40">
        <v>3.85</v>
      </c>
      <c r="P324" s="45">
        <f t="shared" si="31"/>
        <v>385</v>
      </c>
      <c r="Q324" s="46">
        <f t="shared" si="32"/>
        <v>7.3003400000000003</v>
      </c>
      <c r="R324" s="47">
        <f t="shared" si="33"/>
        <v>0.52739999999999998</v>
      </c>
      <c r="S324" s="48">
        <f t="shared" si="34"/>
        <v>52.74</v>
      </c>
      <c r="T324" s="47" t="s">
        <v>349</v>
      </c>
      <c r="U324" s="40" t="s">
        <v>36</v>
      </c>
      <c r="V324" s="38">
        <v>7.1879</v>
      </c>
      <c r="W324" s="49">
        <f t="shared" si="35"/>
        <v>53.56223653640145</v>
      </c>
    </row>
    <row r="325" spans="1:23" x14ac:dyDescent="0.2">
      <c r="A325" s="40" t="s">
        <v>402</v>
      </c>
      <c r="B325" s="41">
        <v>45670</v>
      </c>
      <c r="C325" s="41">
        <v>45664</v>
      </c>
      <c r="D325" s="40" t="s">
        <v>5</v>
      </c>
      <c r="E325" s="40" t="s">
        <v>6</v>
      </c>
      <c r="G325" s="40" t="s">
        <v>393</v>
      </c>
      <c r="H325" s="40" t="s">
        <v>400</v>
      </c>
      <c r="I325" s="40" t="s">
        <v>401</v>
      </c>
      <c r="J325" s="43" t="str">
        <f t="shared" si="30"/>
        <v>BOX-</v>
      </c>
      <c r="K325" s="40" t="s">
        <v>10</v>
      </c>
      <c r="L325" s="44">
        <v>2020</v>
      </c>
      <c r="M325" s="40" t="s">
        <v>1472</v>
      </c>
      <c r="N325" s="40" t="s">
        <v>11</v>
      </c>
      <c r="O325" s="40">
        <v>3.94</v>
      </c>
      <c r="P325" s="45">
        <f t="shared" si="31"/>
        <v>7958.8</v>
      </c>
      <c r="Q325" s="46">
        <f t="shared" si="32"/>
        <v>7.3003400000000003</v>
      </c>
      <c r="R325" s="47">
        <f t="shared" si="33"/>
        <v>0.53969999999999996</v>
      </c>
      <c r="S325" s="48">
        <f t="shared" si="34"/>
        <v>1090.19</v>
      </c>
      <c r="T325" s="47" t="s">
        <v>349</v>
      </c>
      <c r="U325" s="40" t="s">
        <v>1</v>
      </c>
      <c r="V325" s="38">
        <v>7.1879</v>
      </c>
      <c r="W325" s="49">
        <f t="shared" si="35"/>
        <v>1107.2496834958749</v>
      </c>
    </row>
    <row r="326" spans="1:23" x14ac:dyDescent="0.2">
      <c r="A326" s="40" t="s">
        <v>964</v>
      </c>
      <c r="B326" s="41">
        <v>45664</v>
      </c>
      <c r="C326" s="41">
        <v>45610</v>
      </c>
      <c r="D326" s="40" t="s">
        <v>128</v>
      </c>
      <c r="E326" s="40" t="s">
        <v>129</v>
      </c>
      <c r="G326" s="40" t="s">
        <v>953</v>
      </c>
      <c r="H326" s="40" t="s">
        <v>962</v>
      </c>
      <c r="I326" s="40" t="s">
        <v>963</v>
      </c>
      <c r="J326" s="43" t="str">
        <f t="shared" si="30"/>
        <v>SHDL</v>
      </c>
      <c r="K326" s="40" t="s">
        <v>10</v>
      </c>
      <c r="L326" s="44">
        <v>1810</v>
      </c>
      <c r="M326" s="40" t="s">
        <v>1472</v>
      </c>
      <c r="N326" s="40" t="s">
        <v>11</v>
      </c>
      <c r="O326" s="40">
        <v>3.9451000000000001</v>
      </c>
      <c r="P326" s="45">
        <f t="shared" si="31"/>
        <v>7140.63</v>
      </c>
      <c r="Q326" s="46">
        <f t="shared" si="32"/>
        <v>7.3003400000000003</v>
      </c>
      <c r="R326" s="47">
        <f t="shared" si="33"/>
        <v>0.54039999999999999</v>
      </c>
      <c r="S326" s="48">
        <f t="shared" si="34"/>
        <v>978.12</v>
      </c>
      <c r="T326" s="47" t="s">
        <v>349</v>
      </c>
      <c r="U326" s="40" t="s">
        <v>722</v>
      </c>
      <c r="V326" s="38">
        <v>7.1879</v>
      </c>
      <c r="W326" s="49">
        <f t="shared" si="35"/>
        <v>993.42380945756054</v>
      </c>
    </row>
    <row r="327" spans="1:23" x14ac:dyDescent="0.2">
      <c r="A327" s="40" t="s">
        <v>356</v>
      </c>
      <c r="B327" s="41">
        <v>45671</v>
      </c>
      <c r="C327" s="41">
        <v>45636</v>
      </c>
      <c r="D327" s="40" t="s">
        <v>121</v>
      </c>
      <c r="E327" s="40" t="s">
        <v>122</v>
      </c>
      <c r="G327" s="40" t="s">
        <v>353</v>
      </c>
      <c r="H327" s="40" t="s">
        <v>354</v>
      </c>
      <c r="I327" s="40" t="s">
        <v>355</v>
      </c>
      <c r="J327" s="43" t="str">
        <f t="shared" si="30"/>
        <v>HDL-</v>
      </c>
      <c r="K327" s="40" t="s">
        <v>10</v>
      </c>
      <c r="L327" s="44">
        <v>1020</v>
      </c>
      <c r="M327" s="40" t="s">
        <v>1472</v>
      </c>
      <c r="N327" s="40" t="s">
        <v>11</v>
      </c>
      <c r="O327" s="40">
        <v>3.9580000000000002</v>
      </c>
      <c r="P327" s="45">
        <f t="shared" si="31"/>
        <v>4037.16</v>
      </c>
      <c r="Q327" s="46">
        <f t="shared" si="32"/>
        <v>7.3003400000000003</v>
      </c>
      <c r="R327" s="47">
        <f t="shared" si="33"/>
        <v>0.54220000000000002</v>
      </c>
      <c r="S327" s="48">
        <f t="shared" si="34"/>
        <v>553.04</v>
      </c>
      <c r="T327" s="47" t="s">
        <v>349</v>
      </c>
      <c r="U327" s="40" t="s">
        <v>228</v>
      </c>
      <c r="V327" s="38">
        <v>7.1879</v>
      </c>
      <c r="W327" s="49">
        <f t="shared" si="35"/>
        <v>561.6605684553208</v>
      </c>
    </row>
    <row r="328" spans="1:23" x14ac:dyDescent="0.2">
      <c r="A328" s="40" t="s">
        <v>352</v>
      </c>
      <c r="B328" s="41">
        <v>45671</v>
      </c>
      <c r="C328" s="41">
        <v>45636</v>
      </c>
      <c r="D328" s="40" t="s">
        <v>121</v>
      </c>
      <c r="E328" s="40" t="s">
        <v>122</v>
      </c>
      <c r="G328" s="40" t="s">
        <v>353</v>
      </c>
      <c r="H328" s="40" t="s">
        <v>350</v>
      </c>
      <c r="I328" s="40" t="s">
        <v>351</v>
      </c>
      <c r="J328" s="43" t="str">
        <f t="shared" si="30"/>
        <v>HDL-</v>
      </c>
      <c r="K328" s="40" t="s">
        <v>10</v>
      </c>
      <c r="L328" s="44">
        <v>1030</v>
      </c>
      <c r="M328" s="40" t="s">
        <v>1472</v>
      </c>
      <c r="N328" s="40" t="s">
        <v>11</v>
      </c>
      <c r="O328" s="40">
        <v>3.9580000000000002</v>
      </c>
      <c r="P328" s="45">
        <f t="shared" si="31"/>
        <v>4076.74</v>
      </c>
      <c r="Q328" s="46">
        <f t="shared" si="32"/>
        <v>7.3003400000000003</v>
      </c>
      <c r="R328" s="47">
        <f t="shared" si="33"/>
        <v>0.54220000000000002</v>
      </c>
      <c r="S328" s="48">
        <f t="shared" si="34"/>
        <v>558.47</v>
      </c>
      <c r="T328" s="47" t="s">
        <v>349</v>
      </c>
      <c r="U328" s="40" t="s">
        <v>228</v>
      </c>
      <c r="V328" s="38">
        <v>7.1879</v>
      </c>
      <c r="W328" s="49">
        <f t="shared" si="35"/>
        <v>567.16704461664744</v>
      </c>
    </row>
    <row r="329" spans="1:23" x14ac:dyDescent="0.2">
      <c r="A329" s="40" t="s">
        <v>1424</v>
      </c>
      <c r="B329" s="41">
        <v>45659</v>
      </c>
      <c r="C329" s="41">
        <v>45650</v>
      </c>
      <c r="D329" s="40" t="s">
        <v>569</v>
      </c>
      <c r="E329" s="40" t="s">
        <v>570</v>
      </c>
      <c r="G329" s="40" t="s">
        <v>1418</v>
      </c>
      <c r="H329" s="40" t="s">
        <v>1422</v>
      </c>
      <c r="I329" s="40" t="s">
        <v>1423</v>
      </c>
      <c r="J329" s="43" t="str">
        <f t="shared" si="30"/>
        <v>ANYD</v>
      </c>
      <c r="K329" s="40" t="s">
        <v>10</v>
      </c>
      <c r="L329" s="44">
        <v>1200</v>
      </c>
      <c r="M329" s="40" t="s">
        <v>1472</v>
      </c>
      <c r="N329" s="40" t="s">
        <v>11</v>
      </c>
      <c r="O329" s="40">
        <v>4.2</v>
      </c>
      <c r="P329" s="45">
        <f t="shared" si="31"/>
        <v>5040</v>
      </c>
      <c r="Q329" s="46">
        <f t="shared" si="32"/>
        <v>7.3003400000000003</v>
      </c>
      <c r="R329" s="47">
        <f t="shared" si="33"/>
        <v>0.57530000000000003</v>
      </c>
      <c r="S329" s="48">
        <f t="shared" si="34"/>
        <v>690.36</v>
      </c>
      <c r="T329" s="47" t="s">
        <v>349</v>
      </c>
      <c r="U329" s="40" t="s">
        <v>36</v>
      </c>
      <c r="V329" s="38">
        <v>7.1879</v>
      </c>
      <c r="W329" s="49">
        <f t="shared" si="35"/>
        <v>701.17836920380091</v>
      </c>
    </row>
    <row r="330" spans="1:23" x14ac:dyDescent="0.2">
      <c r="A330" s="40" t="s">
        <v>1192</v>
      </c>
      <c r="B330" s="41">
        <v>45663</v>
      </c>
      <c r="C330" s="41">
        <v>45639</v>
      </c>
      <c r="D330" s="40" t="s">
        <v>149</v>
      </c>
      <c r="E330" s="40" t="s">
        <v>150</v>
      </c>
      <c r="G330" s="40" t="s">
        <v>1182</v>
      </c>
      <c r="H330" s="40" t="s">
        <v>1190</v>
      </c>
      <c r="I330" s="40" t="s">
        <v>1191</v>
      </c>
      <c r="J330" s="43" t="str">
        <f t="shared" si="30"/>
        <v>GLID</v>
      </c>
      <c r="K330" s="40" t="s">
        <v>10</v>
      </c>
      <c r="L330" s="44">
        <v>2530</v>
      </c>
      <c r="M330" s="40" t="s">
        <v>1472</v>
      </c>
      <c r="N330" s="40" t="s">
        <v>11</v>
      </c>
      <c r="O330" s="40">
        <v>4.3726000000000003</v>
      </c>
      <c r="P330" s="45">
        <f t="shared" si="31"/>
        <v>11062.68</v>
      </c>
      <c r="Q330" s="46">
        <f t="shared" si="32"/>
        <v>7.3003400000000003</v>
      </c>
      <c r="R330" s="47">
        <f t="shared" si="33"/>
        <v>0.59899999999999998</v>
      </c>
      <c r="S330" s="48">
        <f t="shared" si="34"/>
        <v>1515.47</v>
      </c>
      <c r="T330" s="47" t="s">
        <v>349</v>
      </c>
      <c r="U330" s="40" t="s">
        <v>78</v>
      </c>
      <c r="V330" s="38">
        <v>7.1879</v>
      </c>
      <c r="W330" s="49">
        <f t="shared" si="35"/>
        <v>1539.069547433882</v>
      </c>
    </row>
    <row r="331" spans="1:23" x14ac:dyDescent="0.2">
      <c r="A331" s="40" t="s">
        <v>1195</v>
      </c>
      <c r="B331" s="41">
        <v>45663</v>
      </c>
      <c r="C331" s="41">
        <v>45629</v>
      </c>
      <c r="D331" s="40" t="s">
        <v>149</v>
      </c>
      <c r="E331" s="40" t="s">
        <v>150</v>
      </c>
      <c r="G331" s="40" t="s">
        <v>1182</v>
      </c>
      <c r="H331" s="40" t="s">
        <v>1193</v>
      </c>
      <c r="I331" s="40" t="s">
        <v>1194</v>
      </c>
      <c r="J331" s="43" t="str">
        <f t="shared" si="30"/>
        <v>GLID</v>
      </c>
      <c r="K331" s="40" t="s">
        <v>10</v>
      </c>
      <c r="L331" s="44">
        <v>1040</v>
      </c>
      <c r="M331" s="40" t="s">
        <v>1472</v>
      </c>
      <c r="N331" s="40" t="s">
        <v>11</v>
      </c>
      <c r="O331" s="40">
        <v>4.4463999999999997</v>
      </c>
      <c r="P331" s="45">
        <f t="shared" si="31"/>
        <v>4624.26</v>
      </c>
      <c r="Q331" s="46">
        <f t="shared" si="32"/>
        <v>7.3003400000000003</v>
      </c>
      <c r="R331" s="47">
        <f t="shared" si="33"/>
        <v>0.60909999999999997</v>
      </c>
      <c r="S331" s="48">
        <f t="shared" si="34"/>
        <v>633.46</v>
      </c>
      <c r="T331" s="47" t="s">
        <v>349</v>
      </c>
      <c r="U331" s="40" t="s">
        <v>78</v>
      </c>
      <c r="V331" s="38">
        <v>7.1879</v>
      </c>
      <c r="W331" s="49">
        <f t="shared" si="35"/>
        <v>643.3389446152562</v>
      </c>
    </row>
    <row r="332" spans="1:23" x14ac:dyDescent="0.2">
      <c r="A332" s="40" t="s">
        <v>423</v>
      </c>
      <c r="B332" s="41">
        <v>45670</v>
      </c>
      <c r="C332" s="41">
        <v>45664</v>
      </c>
      <c r="D332" s="40" t="s">
        <v>5</v>
      </c>
      <c r="E332" s="40" t="s">
        <v>6</v>
      </c>
      <c r="G332" s="40" t="s">
        <v>393</v>
      </c>
      <c r="H332" s="40" t="s">
        <v>421</v>
      </c>
      <c r="I332" s="40" t="s">
        <v>422</v>
      </c>
      <c r="J332" s="43" t="str">
        <f t="shared" si="30"/>
        <v>BOX-</v>
      </c>
      <c r="K332" s="40" t="s">
        <v>10</v>
      </c>
      <c r="L332" s="44">
        <v>2200</v>
      </c>
      <c r="M332" s="40" t="s">
        <v>1472</v>
      </c>
      <c r="N332" s="40" t="s">
        <v>11</v>
      </c>
      <c r="O332" s="40">
        <v>4.45</v>
      </c>
      <c r="P332" s="45">
        <f t="shared" si="31"/>
        <v>9790</v>
      </c>
      <c r="Q332" s="46">
        <f t="shared" si="32"/>
        <v>7.3003400000000003</v>
      </c>
      <c r="R332" s="47">
        <f t="shared" si="33"/>
        <v>0.60960000000000003</v>
      </c>
      <c r="S332" s="48">
        <f t="shared" si="34"/>
        <v>1341.12</v>
      </c>
      <c r="T332" s="47" t="s">
        <v>349</v>
      </c>
      <c r="U332" s="40" t="s">
        <v>1</v>
      </c>
      <c r="V332" s="38">
        <v>7.1879</v>
      </c>
      <c r="W332" s="49">
        <f t="shared" si="35"/>
        <v>1362.0111576399227</v>
      </c>
    </row>
    <row r="333" spans="1:23" x14ac:dyDescent="0.2">
      <c r="A333" s="40" t="s">
        <v>52</v>
      </c>
      <c r="B333" s="41">
        <v>45679</v>
      </c>
      <c r="C333" s="41">
        <v>45677</v>
      </c>
      <c r="D333" s="40" t="s">
        <v>5</v>
      </c>
      <c r="E333" s="40" t="s">
        <v>6</v>
      </c>
      <c r="G333" s="40" t="s">
        <v>40</v>
      </c>
      <c r="H333" s="40" t="s">
        <v>50</v>
      </c>
      <c r="I333" s="40" t="s">
        <v>51</v>
      </c>
      <c r="J333" s="43" t="str">
        <f t="shared" si="30"/>
        <v>BOX-</v>
      </c>
      <c r="K333" s="40" t="s">
        <v>10</v>
      </c>
      <c r="L333" s="44">
        <v>505</v>
      </c>
      <c r="M333" s="40" t="s">
        <v>1472</v>
      </c>
      <c r="N333" s="40" t="s">
        <v>11</v>
      </c>
      <c r="O333" s="40">
        <v>4.49</v>
      </c>
      <c r="P333" s="45">
        <f t="shared" si="31"/>
        <v>2267.4499999999998</v>
      </c>
      <c r="Q333" s="46">
        <f t="shared" si="32"/>
        <v>7.3003400000000003</v>
      </c>
      <c r="R333" s="47">
        <f t="shared" si="33"/>
        <v>0.61499999999999999</v>
      </c>
      <c r="S333" s="48">
        <f t="shared" si="34"/>
        <v>310.58</v>
      </c>
      <c r="T333" s="47" t="s">
        <v>349</v>
      </c>
      <c r="U333" s="40" t="s">
        <v>1</v>
      </c>
      <c r="V333" s="38">
        <v>7.1879</v>
      </c>
      <c r="W333" s="49">
        <f t="shared" si="35"/>
        <v>315.45374866094414</v>
      </c>
    </row>
    <row r="334" spans="1:23" x14ac:dyDescent="0.2">
      <c r="A334" s="40" t="s">
        <v>43</v>
      </c>
      <c r="B334" s="41">
        <v>45679</v>
      </c>
      <c r="C334" s="41">
        <v>45677</v>
      </c>
      <c r="D334" s="40" t="s">
        <v>5</v>
      </c>
      <c r="E334" s="40" t="s">
        <v>6</v>
      </c>
      <c r="G334" s="40" t="s">
        <v>40</v>
      </c>
      <c r="H334" s="40" t="s">
        <v>41</v>
      </c>
      <c r="I334" s="40" t="s">
        <v>42</v>
      </c>
      <c r="J334" s="43" t="str">
        <f t="shared" si="30"/>
        <v>BOX-</v>
      </c>
      <c r="K334" s="40" t="s">
        <v>10</v>
      </c>
      <c r="L334" s="44">
        <v>500</v>
      </c>
      <c r="M334" s="40" t="s">
        <v>1472</v>
      </c>
      <c r="N334" s="40" t="s">
        <v>11</v>
      </c>
      <c r="O334" s="40">
        <v>4.49</v>
      </c>
      <c r="P334" s="45">
        <f t="shared" si="31"/>
        <v>2245</v>
      </c>
      <c r="Q334" s="46">
        <f t="shared" si="32"/>
        <v>7.3003400000000003</v>
      </c>
      <c r="R334" s="47">
        <f t="shared" si="33"/>
        <v>0.61499999999999999</v>
      </c>
      <c r="S334" s="48">
        <f t="shared" si="34"/>
        <v>307.5</v>
      </c>
      <c r="T334" s="47" t="s">
        <v>349</v>
      </c>
      <c r="U334" s="40" t="s">
        <v>1</v>
      </c>
      <c r="V334" s="38">
        <v>7.1879</v>
      </c>
      <c r="W334" s="49">
        <f t="shared" si="35"/>
        <v>312.33044421875655</v>
      </c>
    </row>
    <row r="335" spans="1:23" x14ac:dyDescent="0.2">
      <c r="A335" s="40" t="s">
        <v>39</v>
      </c>
      <c r="B335" s="41">
        <v>45679</v>
      </c>
      <c r="C335" s="41">
        <v>45677</v>
      </c>
      <c r="D335" s="40" t="s">
        <v>5</v>
      </c>
      <c r="E335" s="40" t="s">
        <v>6</v>
      </c>
      <c r="G335" s="40" t="s">
        <v>40</v>
      </c>
      <c r="H335" s="40" t="s">
        <v>37</v>
      </c>
      <c r="I335" s="40" t="s">
        <v>38</v>
      </c>
      <c r="J335" s="43" t="str">
        <f t="shared" si="30"/>
        <v>BOX-</v>
      </c>
      <c r="K335" s="40" t="s">
        <v>10</v>
      </c>
      <c r="L335" s="44">
        <v>500</v>
      </c>
      <c r="M335" s="40" t="s">
        <v>1472</v>
      </c>
      <c r="N335" s="40" t="s">
        <v>11</v>
      </c>
      <c r="O335" s="40">
        <v>4.49</v>
      </c>
      <c r="P335" s="45">
        <f t="shared" si="31"/>
        <v>2245</v>
      </c>
      <c r="Q335" s="46">
        <f t="shared" si="32"/>
        <v>7.3003400000000003</v>
      </c>
      <c r="R335" s="47">
        <f t="shared" si="33"/>
        <v>0.61499999999999999</v>
      </c>
      <c r="S335" s="48">
        <f t="shared" si="34"/>
        <v>307.5</v>
      </c>
      <c r="T335" s="47" t="s">
        <v>349</v>
      </c>
      <c r="U335" s="40" t="s">
        <v>1</v>
      </c>
      <c r="V335" s="38">
        <v>7.1879</v>
      </c>
      <c r="W335" s="49">
        <f t="shared" si="35"/>
        <v>312.33044421875655</v>
      </c>
    </row>
    <row r="336" spans="1:23" x14ac:dyDescent="0.2">
      <c r="A336" s="40" t="s">
        <v>1083</v>
      </c>
      <c r="B336" s="41">
        <v>45663</v>
      </c>
      <c r="C336" s="41">
        <v>45653</v>
      </c>
      <c r="D336" s="40" t="s">
        <v>5</v>
      </c>
      <c r="E336" s="40" t="s">
        <v>6</v>
      </c>
      <c r="G336" s="40" t="s">
        <v>1084</v>
      </c>
      <c r="H336" s="40" t="s">
        <v>1081</v>
      </c>
      <c r="I336" s="40" t="s">
        <v>1082</v>
      </c>
      <c r="J336" s="43" t="str">
        <f t="shared" si="30"/>
        <v>SHTS</v>
      </c>
      <c r="K336" s="40" t="s">
        <v>10</v>
      </c>
      <c r="L336" s="44">
        <v>1010</v>
      </c>
      <c r="M336" s="40" t="s">
        <v>1472</v>
      </c>
      <c r="N336" s="40" t="s">
        <v>11</v>
      </c>
      <c r="O336" s="40">
        <v>4.5199999999999996</v>
      </c>
      <c r="P336" s="45">
        <f t="shared" si="31"/>
        <v>4565.2</v>
      </c>
      <c r="Q336" s="46">
        <f t="shared" si="32"/>
        <v>7.3003400000000003</v>
      </c>
      <c r="R336" s="47">
        <f t="shared" si="33"/>
        <v>0.61909999999999998</v>
      </c>
      <c r="S336" s="48">
        <f t="shared" si="34"/>
        <v>625.29</v>
      </c>
      <c r="T336" s="47" t="s">
        <v>349</v>
      </c>
      <c r="U336" s="40" t="s">
        <v>9</v>
      </c>
      <c r="V336" s="38">
        <v>7.1879</v>
      </c>
      <c r="W336" s="49">
        <f t="shared" si="35"/>
        <v>635.12291489864901</v>
      </c>
    </row>
    <row r="337" spans="1:23" x14ac:dyDescent="0.2">
      <c r="A337" s="40" t="s">
        <v>457</v>
      </c>
      <c r="B337" s="41">
        <v>45670</v>
      </c>
      <c r="C337" s="41">
        <v>45663</v>
      </c>
      <c r="D337" s="40" t="s">
        <v>5</v>
      </c>
      <c r="E337" s="40" t="s">
        <v>6</v>
      </c>
      <c r="G337" s="40" t="s">
        <v>458</v>
      </c>
      <c r="H337" s="40" t="s">
        <v>455</v>
      </c>
      <c r="I337" s="40" t="s">
        <v>456</v>
      </c>
      <c r="J337" s="43" t="str">
        <f t="shared" si="30"/>
        <v>SHTS</v>
      </c>
      <c r="K337" s="40" t="s">
        <v>10</v>
      </c>
      <c r="L337" s="44">
        <v>1010</v>
      </c>
      <c r="M337" s="40" t="s">
        <v>1472</v>
      </c>
      <c r="N337" s="40" t="s">
        <v>11</v>
      </c>
      <c r="O337" s="40">
        <v>4.63</v>
      </c>
      <c r="P337" s="45">
        <f t="shared" si="31"/>
        <v>4676.3</v>
      </c>
      <c r="Q337" s="46">
        <f t="shared" si="32"/>
        <v>7.3003400000000003</v>
      </c>
      <c r="R337" s="47">
        <f t="shared" si="33"/>
        <v>0.63419999999999999</v>
      </c>
      <c r="S337" s="48">
        <f t="shared" si="34"/>
        <v>640.54</v>
      </c>
      <c r="T337" s="47" t="s">
        <v>349</v>
      </c>
      <c r="U337" s="40" t="s">
        <v>9</v>
      </c>
      <c r="V337" s="38">
        <v>7.1879</v>
      </c>
      <c r="W337" s="49">
        <f t="shared" si="35"/>
        <v>650.57944601343922</v>
      </c>
    </row>
    <row r="338" spans="1:23" x14ac:dyDescent="0.2">
      <c r="A338" s="40" t="s">
        <v>429</v>
      </c>
      <c r="B338" s="41">
        <v>45670</v>
      </c>
      <c r="C338" s="41">
        <v>45664</v>
      </c>
      <c r="D338" s="40" t="s">
        <v>5</v>
      </c>
      <c r="E338" s="40" t="s">
        <v>6</v>
      </c>
      <c r="G338" s="40" t="s">
        <v>393</v>
      </c>
      <c r="H338" s="40" t="s">
        <v>427</v>
      </c>
      <c r="I338" s="40" t="s">
        <v>428</v>
      </c>
      <c r="J338" s="43" t="str">
        <f t="shared" si="30"/>
        <v>BOX-</v>
      </c>
      <c r="K338" s="40" t="s">
        <v>10</v>
      </c>
      <c r="L338" s="44">
        <v>1150</v>
      </c>
      <c r="M338" s="40" t="s">
        <v>1472</v>
      </c>
      <c r="N338" s="40" t="s">
        <v>11</v>
      </c>
      <c r="O338" s="40">
        <v>4.7699999999999996</v>
      </c>
      <c r="P338" s="45">
        <f t="shared" si="31"/>
        <v>5485.5</v>
      </c>
      <c r="Q338" s="46">
        <f t="shared" si="32"/>
        <v>7.3003400000000003</v>
      </c>
      <c r="R338" s="47">
        <f t="shared" si="33"/>
        <v>0.65339999999999998</v>
      </c>
      <c r="S338" s="48">
        <f t="shared" si="34"/>
        <v>751.41</v>
      </c>
      <c r="T338" s="47" t="s">
        <v>349</v>
      </c>
      <c r="U338" s="40" t="s">
        <v>1</v>
      </c>
      <c r="V338" s="38">
        <v>7.1879</v>
      </c>
      <c r="W338" s="49">
        <f t="shared" si="35"/>
        <v>763.15752862449392</v>
      </c>
    </row>
    <row r="339" spans="1:23" x14ac:dyDescent="0.2">
      <c r="A339" s="40" t="s">
        <v>1294</v>
      </c>
      <c r="B339" s="41">
        <v>45660</v>
      </c>
      <c r="C339" s="41">
        <v>45653</v>
      </c>
      <c r="D339" s="40" t="s">
        <v>5</v>
      </c>
      <c r="E339" s="40" t="s">
        <v>6</v>
      </c>
      <c r="G339" s="40" t="s">
        <v>1295</v>
      </c>
      <c r="H339" s="40" t="s">
        <v>84</v>
      </c>
      <c r="I339" s="40" t="s">
        <v>85</v>
      </c>
      <c r="J339" s="43" t="str">
        <f t="shared" si="30"/>
        <v>BOX-</v>
      </c>
      <c r="K339" s="40" t="s">
        <v>10</v>
      </c>
      <c r="L339" s="44">
        <v>1090</v>
      </c>
      <c r="M339" s="40" t="s">
        <v>1472</v>
      </c>
      <c r="N339" s="40" t="s">
        <v>11</v>
      </c>
      <c r="O339" s="40">
        <v>4.8499999999999996</v>
      </c>
      <c r="P339" s="45">
        <f t="shared" si="31"/>
        <v>5286.5</v>
      </c>
      <c r="Q339" s="46">
        <f t="shared" si="32"/>
        <v>7.3003400000000003</v>
      </c>
      <c r="R339" s="47">
        <f t="shared" si="33"/>
        <v>0.66439999999999999</v>
      </c>
      <c r="S339" s="48">
        <f t="shared" si="34"/>
        <v>724.2</v>
      </c>
      <c r="T339" s="47" t="s">
        <v>349</v>
      </c>
      <c r="U339" s="40" t="s">
        <v>1</v>
      </c>
      <c r="V339" s="38">
        <v>7.1879</v>
      </c>
      <c r="W339" s="49">
        <f t="shared" si="35"/>
        <v>735.47211285632795</v>
      </c>
    </row>
    <row r="340" spans="1:23" x14ac:dyDescent="0.2">
      <c r="A340" s="40" t="s">
        <v>1411</v>
      </c>
      <c r="B340" s="41">
        <v>45659</v>
      </c>
      <c r="C340" s="41">
        <v>45639</v>
      </c>
      <c r="D340" s="40" t="s">
        <v>569</v>
      </c>
      <c r="E340" s="40" t="s">
        <v>570</v>
      </c>
      <c r="G340" s="40" t="s">
        <v>1403</v>
      </c>
      <c r="H340" s="40" t="s">
        <v>763</v>
      </c>
      <c r="I340" s="40" t="s">
        <v>764</v>
      </c>
      <c r="J340" s="43" t="str">
        <f t="shared" si="30"/>
        <v>ANYD</v>
      </c>
      <c r="K340" s="40" t="s">
        <v>10</v>
      </c>
      <c r="L340" s="44">
        <v>520</v>
      </c>
      <c r="M340" s="40" t="s">
        <v>1472</v>
      </c>
      <c r="N340" s="40" t="s">
        <v>11</v>
      </c>
      <c r="O340" s="40">
        <v>4.9000000000000004</v>
      </c>
      <c r="P340" s="45">
        <f t="shared" si="31"/>
        <v>2548</v>
      </c>
      <c r="Q340" s="46">
        <f t="shared" si="32"/>
        <v>7.3003400000000003</v>
      </c>
      <c r="R340" s="47">
        <f t="shared" si="33"/>
        <v>0.67120000000000002</v>
      </c>
      <c r="S340" s="48">
        <f t="shared" si="34"/>
        <v>349.02</v>
      </c>
      <c r="T340" s="47" t="s">
        <v>349</v>
      </c>
      <c r="U340" s="40" t="s">
        <v>36</v>
      </c>
      <c r="V340" s="38">
        <v>7.1879</v>
      </c>
      <c r="W340" s="49">
        <f t="shared" si="35"/>
        <v>354.484619986366</v>
      </c>
    </row>
    <row r="341" spans="1:23" x14ac:dyDescent="0.2">
      <c r="A341" s="40" t="s">
        <v>1410</v>
      </c>
      <c r="B341" s="41">
        <v>45659</v>
      </c>
      <c r="C341" s="41">
        <v>45639</v>
      </c>
      <c r="D341" s="40" t="s">
        <v>569</v>
      </c>
      <c r="E341" s="40" t="s">
        <v>570</v>
      </c>
      <c r="G341" s="40" t="s">
        <v>1403</v>
      </c>
      <c r="H341" s="40" t="s">
        <v>1408</v>
      </c>
      <c r="I341" s="40" t="s">
        <v>1409</v>
      </c>
      <c r="J341" s="43" t="str">
        <f t="shared" si="30"/>
        <v>ANYD</v>
      </c>
      <c r="K341" s="40" t="s">
        <v>10</v>
      </c>
      <c r="L341" s="44">
        <v>620</v>
      </c>
      <c r="M341" s="40" t="s">
        <v>1472</v>
      </c>
      <c r="N341" s="40" t="s">
        <v>11</v>
      </c>
      <c r="O341" s="40">
        <v>4.9000000000000004</v>
      </c>
      <c r="P341" s="45">
        <f t="shared" si="31"/>
        <v>3038</v>
      </c>
      <c r="Q341" s="46">
        <f t="shared" si="32"/>
        <v>7.3003400000000003</v>
      </c>
      <c r="R341" s="47">
        <f t="shared" si="33"/>
        <v>0.67120000000000002</v>
      </c>
      <c r="S341" s="48">
        <f t="shared" si="34"/>
        <v>416.14</v>
      </c>
      <c r="T341" s="47" t="s">
        <v>349</v>
      </c>
      <c r="U341" s="40" t="s">
        <v>36</v>
      </c>
      <c r="V341" s="38">
        <v>7.1879</v>
      </c>
      <c r="W341" s="49">
        <f t="shared" si="35"/>
        <v>422.65473921451331</v>
      </c>
    </row>
    <row r="342" spans="1:23" x14ac:dyDescent="0.2">
      <c r="A342" s="40" t="s">
        <v>771</v>
      </c>
      <c r="B342" s="41">
        <v>45666</v>
      </c>
      <c r="C342" s="41">
        <v>45650</v>
      </c>
      <c r="D342" s="40" t="s">
        <v>569</v>
      </c>
      <c r="E342" s="40" t="s">
        <v>570</v>
      </c>
      <c r="G342" s="40" t="s">
        <v>762</v>
      </c>
      <c r="H342" s="40" t="s">
        <v>769</v>
      </c>
      <c r="I342" s="40" t="s">
        <v>770</v>
      </c>
      <c r="J342" s="43" t="str">
        <f t="shared" si="30"/>
        <v>ANYD</v>
      </c>
      <c r="K342" s="40" t="s">
        <v>10</v>
      </c>
      <c r="L342" s="44">
        <v>100</v>
      </c>
      <c r="M342" s="40" t="s">
        <v>1472</v>
      </c>
      <c r="N342" s="40" t="s">
        <v>11</v>
      </c>
      <c r="O342" s="40">
        <v>4.9000000000000004</v>
      </c>
      <c r="P342" s="45">
        <f t="shared" si="31"/>
        <v>490</v>
      </c>
      <c r="Q342" s="46">
        <f t="shared" si="32"/>
        <v>7.3003400000000003</v>
      </c>
      <c r="R342" s="47">
        <f t="shared" si="33"/>
        <v>0.67120000000000002</v>
      </c>
      <c r="S342" s="48">
        <f t="shared" si="34"/>
        <v>67.12</v>
      </c>
      <c r="T342" s="47" t="s">
        <v>349</v>
      </c>
      <c r="U342" s="40" t="s">
        <v>36</v>
      </c>
      <c r="V342" s="38">
        <v>7.1879</v>
      </c>
      <c r="W342" s="49">
        <f t="shared" si="35"/>
        <v>68.170119228147314</v>
      </c>
    </row>
    <row r="343" spans="1:23" x14ac:dyDescent="0.2">
      <c r="A343" s="40" t="s">
        <v>771</v>
      </c>
      <c r="B343" s="41">
        <v>45659</v>
      </c>
      <c r="C343" s="41">
        <v>45650</v>
      </c>
      <c r="D343" s="40" t="s">
        <v>569</v>
      </c>
      <c r="E343" s="40" t="s">
        <v>570</v>
      </c>
      <c r="G343" s="40" t="s">
        <v>1418</v>
      </c>
      <c r="H343" s="40" t="s">
        <v>769</v>
      </c>
      <c r="I343" s="40" t="s">
        <v>770</v>
      </c>
      <c r="J343" s="43" t="str">
        <f t="shared" si="30"/>
        <v>ANYD</v>
      </c>
      <c r="K343" s="40" t="s">
        <v>10</v>
      </c>
      <c r="L343" s="44">
        <v>900</v>
      </c>
      <c r="M343" s="40" t="s">
        <v>1472</v>
      </c>
      <c r="N343" s="40" t="s">
        <v>11</v>
      </c>
      <c r="O343" s="40">
        <v>4.9000000000000004</v>
      </c>
      <c r="P343" s="45">
        <f t="shared" si="31"/>
        <v>4410</v>
      </c>
      <c r="Q343" s="46">
        <f t="shared" si="32"/>
        <v>7.3003400000000003</v>
      </c>
      <c r="R343" s="47">
        <f t="shared" si="33"/>
        <v>0.67120000000000002</v>
      </c>
      <c r="S343" s="48">
        <f t="shared" si="34"/>
        <v>604.08000000000004</v>
      </c>
      <c r="T343" s="47" t="s">
        <v>349</v>
      </c>
      <c r="U343" s="40" t="s">
        <v>36</v>
      </c>
      <c r="V343" s="38">
        <v>7.1879</v>
      </c>
      <c r="W343" s="49">
        <f t="shared" si="35"/>
        <v>613.53107305332583</v>
      </c>
    </row>
    <row r="344" spans="1:23" x14ac:dyDescent="0.2">
      <c r="A344" s="40" t="s">
        <v>765</v>
      </c>
      <c r="B344" s="41">
        <v>45666</v>
      </c>
      <c r="C344" s="41">
        <v>45664</v>
      </c>
      <c r="D344" s="40" t="s">
        <v>569</v>
      </c>
      <c r="E344" s="40" t="s">
        <v>570</v>
      </c>
      <c r="G344" s="40" t="s">
        <v>762</v>
      </c>
      <c r="H344" s="40" t="s">
        <v>763</v>
      </c>
      <c r="I344" s="40" t="s">
        <v>764</v>
      </c>
      <c r="J344" s="43" t="str">
        <f t="shared" si="30"/>
        <v>ANYD</v>
      </c>
      <c r="K344" s="40" t="s">
        <v>10</v>
      </c>
      <c r="L344" s="44">
        <v>300</v>
      </c>
      <c r="M344" s="40" t="s">
        <v>1472</v>
      </c>
      <c r="N344" s="40" t="s">
        <v>11</v>
      </c>
      <c r="O344" s="40">
        <v>4.9000000000000004</v>
      </c>
      <c r="P344" s="45">
        <f t="shared" si="31"/>
        <v>1470</v>
      </c>
      <c r="Q344" s="46">
        <f t="shared" si="32"/>
        <v>7.3003400000000003</v>
      </c>
      <c r="R344" s="47">
        <f t="shared" si="33"/>
        <v>0.67120000000000002</v>
      </c>
      <c r="S344" s="48">
        <f t="shared" si="34"/>
        <v>201.36</v>
      </c>
      <c r="T344" s="47" t="s">
        <v>349</v>
      </c>
      <c r="U344" s="40" t="s">
        <v>36</v>
      </c>
      <c r="V344" s="38">
        <v>7.1879</v>
      </c>
      <c r="W344" s="49">
        <f t="shared" si="35"/>
        <v>204.51035768444191</v>
      </c>
    </row>
    <row r="345" spans="1:23" x14ac:dyDescent="0.2">
      <c r="A345" s="40" t="s">
        <v>1274</v>
      </c>
      <c r="B345" s="41">
        <v>45663</v>
      </c>
      <c r="C345" s="41">
        <v>45576</v>
      </c>
      <c r="D345" s="40" t="s">
        <v>94</v>
      </c>
      <c r="E345" s="40" t="s">
        <v>95</v>
      </c>
      <c r="G345" s="40" t="s">
        <v>1271</v>
      </c>
      <c r="H345" s="40" t="s">
        <v>1272</v>
      </c>
      <c r="I345" s="40" t="s">
        <v>1273</v>
      </c>
      <c r="J345" s="43" t="str">
        <f t="shared" si="30"/>
        <v>SKU-</v>
      </c>
      <c r="K345" s="40" t="s">
        <v>98</v>
      </c>
      <c r="L345" s="44">
        <v>800</v>
      </c>
      <c r="M345" s="40" t="s">
        <v>1472</v>
      </c>
      <c r="N345" s="40" t="s">
        <v>11</v>
      </c>
      <c r="O345" s="40">
        <v>4.91</v>
      </c>
      <c r="P345" s="45">
        <f t="shared" si="31"/>
        <v>3928</v>
      </c>
      <c r="Q345" s="46">
        <f t="shared" si="32"/>
        <v>7.3003400000000003</v>
      </c>
      <c r="R345" s="47">
        <f t="shared" si="33"/>
        <v>0.67259999999999998</v>
      </c>
      <c r="S345" s="48">
        <f t="shared" si="34"/>
        <v>538.08000000000004</v>
      </c>
      <c r="T345" s="47" t="s">
        <v>349</v>
      </c>
      <c r="U345" s="40" t="s">
        <v>2</v>
      </c>
      <c r="V345" s="38">
        <v>7.1879</v>
      </c>
      <c r="W345" s="49">
        <f t="shared" si="35"/>
        <v>546.47393536359721</v>
      </c>
    </row>
    <row r="346" spans="1:23" x14ac:dyDescent="0.2">
      <c r="A346" s="40" t="s">
        <v>1274</v>
      </c>
      <c r="B346" s="41">
        <v>45660</v>
      </c>
      <c r="C346" s="41">
        <v>45576</v>
      </c>
      <c r="D346" s="40" t="s">
        <v>94</v>
      </c>
      <c r="E346" s="40" t="s">
        <v>95</v>
      </c>
      <c r="G346" s="40" t="s">
        <v>1333</v>
      </c>
      <c r="H346" s="40" t="s">
        <v>1272</v>
      </c>
      <c r="I346" s="40" t="s">
        <v>1273</v>
      </c>
      <c r="J346" s="43" t="str">
        <f t="shared" si="30"/>
        <v>SKU-</v>
      </c>
      <c r="K346" s="40" t="s">
        <v>98</v>
      </c>
      <c r="L346" s="44">
        <v>-800</v>
      </c>
      <c r="M346" s="40" t="s">
        <v>1472</v>
      </c>
      <c r="N346" s="40" t="s">
        <v>11</v>
      </c>
      <c r="O346" s="40">
        <v>4.91</v>
      </c>
      <c r="P346" s="45">
        <f t="shared" si="31"/>
        <v>-3928</v>
      </c>
      <c r="Q346" s="46">
        <f t="shared" si="32"/>
        <v>7.3003400000000003</v>
      </c>
      <c r="R346" s="47">
        <f t="shared" si="33"/>
        <v>0.67259999999999998</v>
      </c>
      <c r="S346" s="48">
        <f t="shared" si="34"/>
        <v>-538.08000000000004</v>
      </c>
      <c r="T346" s="47" t="s">
        <v>349</v>
      </c>
      <c r="U346" s="40" t="s">
        <v>2</v>
      </c>
      <c r="V346" s="38">
        <v>7.1879</v>
      </c>
      <c r="W346" s="49">
        <f t="shared" si="35"/>
        <v>-546.47393536359721</v>
      </c>
    </row>
    <row r="347" spans="1:23" x14ac:dyDescent="0.2">
      <c r="A347" s="40" t="s">
        <v>1274</v>
      </c>
      <c r="B347" s="41">
        <v>45659</v>
      </c>
      <c r="C347" s="41">
        <v>45576</v>
      </c>
      <c r="D347" s="40" t="s">
        <v>94</v>
      </c>
      <c r="E347" s="40" t="s">
        <v>95</v>
      </c>
      <c r="G347" s="40" t="s">
        <v>1451</v>
      </c>
      <c r="H347" s="40" t="s">
        <v>1272</v>
      </c>
      <c r="I347" s="40" t="s">
        <v>1273</v>
      </c>
      <c r="J347" s="43" t="str">
        <f t="shared" si="30"/>
        <v>SKU-</v>
      </c>
      <c r="K347" s="40" t="s">
        <v>98</v>
      </c>
      <c r="L347" s="44">
        <v>800</v>
      </c>
      <c r="M347" s="40" t="s">
        <v>1472</v>
      </c>
      <c r="N347" s="40" t="s">
        <v>11</v>
      </c>
      <c r="O347" s="40">
        <v>4.91</v>
      </c>
      <c r="P347" s="45">
        <f t="shared" si="31"/>
        <v>3928</v>
      </c>
      <c r="Q347" s="46">
        <f t="shared" si="32"/>
        <v>7.3003400000000003</v>
      </c>
      <c r="R347" s="47">
        <f t="shared" si="33"/>
        <v>0.67259999999999998</v>
      </c>
      <c r="S347" s="48">
        <f t="shared" si="34"/>
        <v>538.08000000000004</v>
      </c>
      <c r="T347" s="47" t="s">
        <v>349</v>
      </c>
      <c r="U347" s="40" t="s">
        <v>2</v>
      </c>
      <c r="V347" s="38">
        <v>7.1879</v>
      </c>
      <c r="W347" s="49">
        <f t="shared" si="35"/>
        <v>546.47393536359721</v>
      </c>
    </row>
    <row r="348" spans="1:23" x14ac:dyDescent="0.2">
      <c r="A348" s="40" t="s">
        <v>836</v>
      </c>
      <c r="B348" s="41">
        <v>45666</v>
      </c>
      <c r="C348" s="41">
        <v>45615</v>
      </c>
      <c r="D348" s="40" t="s">
        <v>830</v>
      </c>
      <c r="E348" s="40" t="s">
        <v>831</v>
      </c>
      <c r="G348" s="40" t="s">
        <v>833</v>
      </c>
      <c r="H348" s="40" t="s">
        <v>834</v>
      </c>
      <c r="I348" s="40" t="s">
        <v>835</v>
      </c>
      <c r="J348" s="43" t="str">
        <f t="shared" si="30"/>
        <v>SKU-</v>
      </c>
      <c r="K348" s="40" t="s">
        <v>98</v>
      </c>
      <c r="L348" s="44">
        <v>1000</v>
      </c>
      <c r="M348" s="40" t="s">
        <v>1472</v>
      </c>
      <c r="N348" s="40" t="s">
        <v>11</v>
      </c>
      <c r="O348" s="40">
        <v>4.9154</v>
      </c>
      <c r="P348" s="45">
        <f t="shared" si="31"/>
        <v>4915.3999999999996</v>
      </c>
      <c r="Q348" s="46">
        <f t="shared" si="32"/>
        <v>7.3003400000000003</v>
      </c>
      <c r="R348" s="47">
        <f t="shared" si="33"/>
        <v>0.67330000000000001</v>
      </c>
      <c r="S348" s="48">
        <f t="shared" si="34"/>
        <v>673.3</v>
      </c>
      <c r="T348" s="47" t="s">
        <v>349</v>
      </c>
      <c r="U348" s="40" t="s">
        <v>2</v>
      </c>
      <c r="V348" s="38">
        <v>7.1879</v>
      </c>
      <c r="W348" s="49">
        <f t="shared" si="35"/>
        <v>683.84368174292911</v>
      </c>
    </row>
    <row r="349" spans="1:23" x14ac:dyDescent="0.2">
      <c r="A349" s="40" t="s">
        <v>436</v>
      </c>
      <c r="B349" s="41">
        <v>45670</v>
      </c>
      <c r="C349" s="41">
        <v>45639</v>
      </c>
      <c r="D349" s="40" t="s">
        <v>128</v>
      </c>
      <c r="E349" s="40" t="s">
        <v>129</v>
      </c>
      <c r="G349" s="40" t="s">
        <v>437</v>
      </c>
      <c r="H349" s="40" t="s">
        <v>434</v>
      </c>
      <c r="I349" s="40" t="s">
        <v>435</v>
      </c>
      <c r="J349" s="43" t="str">
        <f t="shared" si="30"/>
        <v>HDL-</v>
      </c>
      <c r="K349" s="40" t="s">
        <v>10</v>
      </c>
      <c r="L349" s="44">
        <v>1000</v>
      </c>
      <c r="M349" s="40" t="s">
        <v>1472</v>
      </c>
      <c r="N349" s="40" t="s">
        <v>11</v>
      </c>
      <c r="O349" s="40">
        <v>4.9203000000000001</v>
      </c>
      <c r="P349" s="45">
        <f t="shared" si="31"/>
        <v>4920.3</v>
      </c>
      <c r="Q349" s="46">
        <f t="shared" si="32"/>
        <v>7.3003400000000003</v>
      </c>
      <c r="R349" s="47">
        <f t="shared" si="33"/>
        <v>0.67400000000000004</v>
      </c>
      <c r="S349" s="48">
        <f t="shared" si="34"/>
        <v>674</v>
      </c>
      <c r="T349" s="47" t="s">
        <v>349</v>
      </c>
      <c r="U349" s="40" t="s">
        <v>228</v>
      </c>
      <c r="V349" s="38">
        <v>7.1879</v>
      </c>
      <c r="W349" s="49">
        <f t="shared" si="35"/>
        <v>684.52538293521059</v>
      </c>
    </row>
    <row r="350" spans="1:23" x14ac:dyDescent="0.2">
      <c r="A350" s="40" t="s">
        <v>436</v>
      </c>
      <c r="B350" s="41">
        <v>45670</v>
      </c>
      <c r="C350" s="41">
        <v>45639</v>
      </c>
      <c r="D350" s="40" t="s">
        <v>128</v>
      </c>
      <c r="E350" s="40" t="s">
        <v>129</v>
      </c>
      <c r="G350" s="40" t="s">
        <v>438</v>
      </c>
      <c r="H350" s="40" t="s">
        <v>434</v>
      </c>
      <c r="I350" s="40" t="s">
        <v>435</v>
      </c>
      <c r="J350" s="43" t="str">
        <f t="shared" si="30"/>
        <v>HDL-</v>
      </c>
      <c r="K350" s="40" t="s">
        <v>10</v>
      </c>
      <c r="L350" s="44">
        <v>-1000</v>
      </c>
      <c r="M350" s="40" t="s">
        <v>1472</v>
      </c>
      <c r="N350" s="40" t="s">
        <v>11</v>
      </c>
      <c r="O350" s="40">
        <v>4.9203000000000001</v>
      </c>
      <c r="P350" s="45">
        <f t="shared" si="31"/>
        <v>-4920.3</v>
      </c>
      <c r="Q350" s="46">
        <f t="shared" si="32"/>
        <v>7.3003400000000003</v>
      </c>
      <c r="R350" s="47">
        <f t="shared" si="33"/>
        <v>0.67400000000000004</v>
      </c>
      <c r="S350" s="48">
        <f t="shared" si="34"/>
        <v>-674</v>
      </c>
      <c r="T350" s="47" t="s">
        <v>349</v>
      </c>
      <c r="U350" s="40" t="s">
        <v>228</v>
      </c>
      <c r="V350" s="38">
        <v>7.1879</v>
      </c>
      <c r="W350" s="49">
        <f t="shared" si="35"/>
        <v>-684.52538293521059</v>
      </c>
    </row>
    <row r="351" spans="1:23" x14ac:dyDescent="0.2">
      <c r="A351" s="40" t="s">
        <v>436</v>
      </c>
      <c r="B351" s="41">
        <v>45670</v>
      </c>
      <c r="C351" s="41">
        <v>45639</v>
      </c>
      <c r="D351" s="40" t="s">
        <v>128</v>
      </c>
      <c r="E351" s="40" t="s">
        <v>129</v>
      </c>
      <c r="G351" s="40" t="s">
        <v>451</v>
      </c>
      <c r="H351" s="40" t="s">
        <v>434</v>
      </c>
      <c r="I351" s="40" t="s">
        <v>435</v>
      </c>
      <c r="J351" s="43" t="str">
        <f t="shared" si="30"/>
        <v>HDL-</v>
      </c>
      <c r="K351" s="40" t="s">
        <v>10</v>
      </c>
      <c r="L351" s="44">
        <v>1000</v>
      </c>
      <c r="M351" s="40" t="s">
        <v>1472</v>
      </c>
      <c r="N351" s="40" t="s">
        <v>11</v>
      </c>
      <c r="O351" s="40">
        <v>4.9203000000000001</v>
      </c>
      <c r="P351" s="45">
        <f t="shared" si="31"/>
        <v>4920.3</v>
      </c>
      <c r="Q351" s="46">
        <f t="shared" si="32"/>
        <v>7.3003400000000003</v>
      </c>
      <c r="R351" s="47">
        <f t="shared" si="33"/>
        <v>0.67400000000000004</v>
      </c>
      <c r="S351" s="48">
        <f t="shared" si="34"/>
        <v>674</v>
      </c>
      <c r="T351" s="47" t="s">
        <v>349</v>
      </c>
      <c r="U351" s="40" t="s">
        <v>228</v>
      </c>
      <c r="V351" s="38">
        <v>7.1879</v>
      </c>
      <c r="W351" s="49">
        <f t="shared" si="35"/>
        <v>684.52538293521059</v>
      </c>
    </row>
    <row r="352" spans="1:23" x14ac:dyDescent="0.2">
      <c r="A352" s="40" t="s">
        <v>520</v>
      </c>
      <c r="B352" s="41">
        <v>45670</v>
      </c>
      <c r="C352" s="41">
        <v>45663</v>
      </c>
      <c r="D352" s="40" t="s">
        <v>5</v>
      </c>
      <c r="E352" s="40" t="s">
        <v>6</v>
      </c>
      <c r="G352" s="40" t="s">
        <v>492</v>
      </c>
      <c r="H352" s="40" t="s">
        <v>518</v>
      </c>
      <c r="I352" s="40" t="s">
        <v>519</v>
      </c>
      <c r="J352" s="43" t="str">
        <f t="shared" si="30"/>
        <v>SHTS</v>
      </c>
      <c r="K352" s="40" t="s">
        <v>10</v>
      </c>
      <c r="L352" s="44">
        <v>505</v>
      </c>
      <c r="M352" s="40" t="s">
        <v>1472</v>
      </c>
      <c r="N352" s="40" t="s">
        <v>11</v>
      </c>
      <c r="O352" s="40">
        <v>4.95</v>
      </c>
      <c r="P352" s="45">
        <f t="shared" si="31"/>
        <v>2499.75</v>
      </c>
      <c r="Q352" s="46">
        <f t="shared" si="32"/>
        <v>7.3003400000000003</v>
      </c>
      <c r="R352" s="47">
        <f t="shared" si="33"/>
        <v>0.67810000000000004</v>
      </c>
      <c r="S352" s="48">
        <f t="shared" si="34"/>
        <v>342.44</v>
      </c>
      <c r="T352" s="47" t="s">
        <v>349</v>
      </c>
      <c r="U352" s="40" t="s">
        <v>9</v>
      </c>
      <c r="V352" s="38">
        <v>7.1879</v>
      </c>
      <c r="W352" s="49">
        <f t="shared" si="35"/>
        <v>347.77195008277801</v>
      </c>
    </row>
    <row r="353" spans="1:23" x14ac:dyDescent="0.2">
      <c r="A353" s="40" t="s">
        <v>476</v>
      </c>
      <c r="B353" s="41">
        <v>45670</v>
      </c>
      <c r="C353" s="41">
        <v>45663</v>
      </c>
      <c r="D353" s="40" t="s">
        <v>5</v>
      </c>
      <c r="E353" s="40" t="s">
        <v>6</v>
      </c>
      <c r="G353" s="40" t="s">
        <v>458</v>
      </c>
      <c r="H353" s="40" t="s">
        <v>474</v>
      </c>
      <c r="I353" s="40" t="s">
        <v>475</v>
      </c>
      <c r="J353" s="43" t="str">
        <f t="shared" si="30"/>
        <v>BOX-</v>
      </c>
      <c r="K353" s="40" t="s">
        <v>10</v>
      </c>
      <c r="L353" s="44">
        <v>1010</v>
      </c>
      <c r="M353" s="40" t="s">
        <v>1472</v>
      </c>
      <c r="N353" s="40" t="s">
        <v>11</v>
      </c>
      <c r="O353" s="40">
        <v>4.9800000000000004</v>
      </c>
      <c r="P353" s="45">
        <f t="shared" si="31"/>
        <v>5029.8</v>
      </c>
      <c r="Q353" s="46">
        <f t="shared" si="32"/>
        <v>7.3003400000000003</v>
      </c>
      <c r="R353" s="47">
        <f t="shared" si="33"/>
        <v>0.68220000000000003</v>
      </c>
      <c r="S353" s="48">
        <f t="shared" si="34"/>
        <v>689.02</v>
      </c>
      <c r="T353" s="47" t="s">
        <v>349</v>
      </c>
      <c r="U353" s="40" t="s">
        <v>1</v>
      </c>
      <c r="V353" s="38">
        <v>7.1879</v>
      </c>
      <c r="W353" s="49">
        <f t="shared" si="35"/>
        <v>699.75931774231697</v>
      </c>
    </row>
    <row r="354" spans="1:23" x14ac:dyDescent="0.2">
      <c r="A354" s="40" t="s">
        <v>282</v>
      </c>
      <c r="B354" s="41">
        <v>45673</v>
      </c>
      <c r="C354" s="41">
        <v>45639</v>
      </c>
      <c r="D354" s="40" t="s">
        <v>280</v>
      </c>
      <c r="E354" s="40" t="s">
        <v>281</v>
      </c>
      <c r="G354" s="40" t="s">
        <v>283</v>
      </c>
      <c r="H354" s="40" t="s">
        <v>278</v>
      </c>
      <c r="I354" s="40" t="s">
        <v>279</v>
      </c>
      <c r="J354" s="43" t="str">
        <f t="shared" si="30"/>
        <v>BOX-</v>
      </c>
      <c r="K354" s="40" t="s">
        <v>10</v>
      </c>
      <c r="L354" s="44">
        <v>3000</v>
      </c>
      <c r="M354" s="40" t="s">
        <v>1472</v>
      </c>
      <c r="N354" s="40" t="s">
        <v>11</v>
      </c>
      <c r="O354" s="40">
        <v>5</v>
      </c>
      <c r="P354" s="45">
        <f t="shared" si="31"/>
        <v>15000</v>
      </c>
      <c r="Q354" s="46">
        <f t="shared" si="32"/>
        <v>7.3003400000000003</v>
      </c>
      <c r="R354" s="47">
        <f t="shared" si="33"/>
        <v>0.68489999999999995</v>
      </c>
      <c r="S354" s="48">
        <f t="shared" si="34"/>
        <v>2054.6999999999998</v>
      </c>
      <c r="T354" s="47" t="s">
        <v>349</v>
      </c>
      <c r="U354" s="40" t="s">
        <v>1</v>
      </c>
      <c r="V354" s="38">
        <v>7.1879</v>
      </c>
      <c r="W354" s="49">
        <f t="shared" si="35"/>
        <v>2086.8403845351218</v>
      </c>
    </row>
    <row r="355" spans="1:23" x14ac:dyDescent="0.2">
      <c r="A355" s="40" t="s">
        <v>892</v>
      </c>
      <c r="B355" s="41">
        <v>45666</v>
      </c>
      <c r="C355" s="41">
        <v>45650</v>
      </c>
      <c r="D355" s="40" t="s">
        <v>696</v>
      </c>
      <c r="E355" s="40" t="s">
        <v>697</v>
      </c>
      <c r="G355" s="40" t="s">
        <v>893</v>
      </c>
      <c r="H355" s="40" t="s">
        <v>890</v>
      </c>
      <c r="I355" s="40" t="s">
        <v>891</v>
      </c>
      <c r="J355" s="43" t="str">
        <f t="shared" si="30"/>
        <v>ANYD</v>
      </c>
      <c r="K355" s="40" t="s">
        <v>10</v>
      </c>
      <c r="L355" s="44">
        <v>1000</v>
      </c>
      <c r="M355" s="40" t="s">
        <v>1472</v>
      </c>
      <c r="N355" s="40" t="s">
        <v>11</v>
      </c>
      <c r="O355" s="40">
        <v>5</v>
      </c>
      <c r="P355" s="45">
        <f t="shared" si="31"/>
        <v>5000</v>
      </c>
      <c r="Q355" s="46">
        <f t="shared" si="32"/>
        <v>7.3003400000000003</v>
      </c>
      <c r="R355" s="47">
        <f t="shared" si="33"/>
        <v>0.68489999999999995</v>
      </c>
      <c r="S355" s="48">
        <f t="shared" si="34"/>
        <v>684.9</v>
      </c>
      <c r="T355" s="47" t="s">
        <v>349</v>
      </c>
      <c r="U355" s="40" t="s">
        <v>36</v>
      </c>
      <c r="V355" s="38">
        <v>7.1879</v>
      </c>
      <c r="W355" s="49">
        <f t="shared" si="35"/>
        <v>695.61346151170721</v>
      </c>
    </row>
    <row r="356" spans="1:23" x14ac:dyDescent="0.2">
      <c r="A356" s="40" t="s">
        <v>832</v>
      </c>
      <c r="B356" s="41">
        <v>45666</v>
      </c>
      <c r="C356" s="41">
        <v>45615</v>
      </c>
      <c r="D356" s="40" t="s">
        <v>830</v>
      </c>
      <c r="E356" s="40" t="s">
        <v>831</v>
      </c>
      <c r="G356" s="40" t="s">
        <v>833</v>
      </c>
      <c r="H356" s="40" t="s">
        <v>828</v>
      </c>
      <c r="I356" s="40" t="s">
        <v>829</v>
      </c>
      <c r="J356" s="43" t="str">
        <f t="shared" si="30"/>
        <v>SKU-</v>
      </c>
      <c r="K356" s="40" t="s">
        <v>98</v>
      </c>
      <c r="L356" s="44">
        <v>1000</v>
      </c>
      <c r="M356" s="40" t="s">
        <v>1472</v>
      </c>
      <c r="N356" s="40" t="s">
        <v>11</v>
      </c>
      <c r="O356" s="40">
        <v>5.0862999999999996</v>
      </c>
      <c r="P356" s="45">
        <f t="shared" si="31"/>
        <v>5086.3</v>
      </c>
      <c r="Q356" s="46">
        <f t="shared" si="32"/>
        <v>7.3003400000000003</v>
      </c>
      <c r="R356" s="47">
        <f t="shared" si="33"/>
        <v>0.69669999999999999</v>
      </c>
      <c r="S356" s="48">
        <f t="shared" si="34"/>
        <v>696.7</v>
      </c>
      <c r="T356" s="47" t="s">
        <v>349</v>
      </c>
      <c r="U356" s="40" t="s">
        <v>2</v>
      </c>
      <c r="V356" s="38">
        <v>7.1879</v>
      </c>
      <c r="W356" s="49">
        <f t="shared" si="35"/>
        <v>707.61974985739914</v>
      </c>
    </row>
    <row r="357" spans="1:23" x14ac:dyDescent="0.2">
      <c r="A357" s="40" t="s">
        <v>249</v>
      </c>
      <c r="B357" s="41">
        <v>45674</v>
      </c>
      <c r="C357" s="41">
        <v>45639</v>
      </c>
      <c r="D357" s="40" t="s">
        <v>143</v>
      </c>
      <c r="E357" s="40" t="s">
        <v>144</v>
      </c>
      <c r="G357" s="40" t="s">
        <v>182</v>
      </c>
      <c r="H357" s="40" t="s">
        <v>141</v>
      </c>
      <c r="I357" s="40" t="s">
        <v>142</v>
      </c>
      <c r="J357" s="43" t="str">
        <f t="shared" si="30"/>
        <v>KNOB</v>
      </c>
      <c r="K357" s="40" t="s">
        <v>10</v>
      </c>
      <c r="L357" s="44">
        <v>5100</v>
      </c>
      <c r="M357" s="40" t="s">
        <v>1472</v>
      </c>
      <c r="N357" s="40" t="s">
        <v>11</v>
      </c>
      <c r="O357" s="40">
        <v>5.0999999999999996</v>
      </c>
      <c r="P357" s="45">
        <f t="shared" si="31"/>
        <v>26010</v>
      </c>
      <c r="Q357" s="46">
        <f t="shared" si="32"/>
        <v>7.3003400000000003</v>
      </c>
      <c r="R357" s="47">
        <f t="shared" si="33"/>
        <v>0.6986</v>
      </c>
      <c r="S357" s="48">
        <f t="shared" si="34"/>
        <v>3562.86</v>
      </c>
      <c r="T357" s="47" t="s">
        <v>349</v>
      </c>
      <c r="U357" s="40" t="s">
        <v>32</v>
      </c>
      <c r="V357" s="38">
        <v>7.1879</v>
      </c>
      <c r="W357" s="49">
        <f t="shared" si="35"/>
        <v>3618.5812267839005</v>
      </c>
    </row>
    <row r="358" spans="1:23" x14ac:dyDescent="0.2">
      <c r="A358" s="40" t="s">
        <v>249</v>
      </c>
      <c r="B358" s="41">
        <v>45667</v>
      </c>
      <c r="C358" s="41">
        <v>45639</v>
      </c>
      <c r="D358" s="40" t="s">
        <v>143</v>
      </c>
      <c r="E358" s="40" t="s">
        <v>144</v>
      </c>
      <c r="G358" s="40" t="s">
        <v>691</v>
      </c>
      <c r="H358" s="40" t="s">
        <v>141</v>
      </c>
      <c r="I358" s="40" t="s">
        <v>142</v>
      </c>
      <c r="J358" s="43" t="str">
        <f t="shared" si="30"/>
        <v>KNOB</v>
      </c>
      <c r="K358" s="40" t="s">
        <v>10</v>
      </c>
      <c r="L358" s="44">
        <v>7840</v>
      </c>
      <c r="M358" s="40" t="s">
        <v>1472</v>
      </c>
      <c r="N358" s="40" t="s">
        <v>11</v>
      </c>
      <c r="O358" s="40">
        <v>5.0999999999999996</v>
      </c>
      <c r="P358" s="45">
        <f t="shared" si="31"/>
        <v>39984</v>
      </c>
      <c r="Q358" s="46">
        <f t="shared" si="32"/>
        <v>7.3003400000000003</v>
      </c>
      <c r="R358" s="47">
        <f t="shared" si="33"/>
        <v>0.6986</v>
      </c>
      <c r="S358" s="48">
        <f t="shared" si="34"/>
        <v>5477.02</v>
      </c>
      <c r="T358" s="47" t="s">
        <v>349</v>
      </c>
      <c r="U358" s="40" t="s">
        <v>32</v>
      </c>
      <c r="V358" s="38">
        <v>7.1879</v>
      </c>
      <c r="W358" s="49">
        <f t="shared" si="35"/>
        <v>5562.6817290168192</v>
      </c>
    </row>
    <row r="359" spans="1:23" x14ac:dyDescent="0.2">
      <c r="A359" s="40" t="s">
        <v>249</v>
      </c>
      <c r="B359" s="41">
        <v>45660</v>
      </c>
      <c r="C359" s="41">
        <v>45639</v>
      </c>
      <c r="D359" s="40" t="s">
        <v>143</v>
      </c>
      <c r="E359" s="40" t="s">
        <v>144</v>
      </c>
      <c r="G359" s="40" t="s">
        <v>1287</v>
      </c>
      <c r="H359" s="40" t="s">
        <v>141</v>
      </c>
      <c r="I359" s="40" t="s">
        <v>142</v>
      </c>
      <c r="J359" s="43" t="str">
        <f t="shared" si="30"/>
        <v>KNOB</v>
      </c>
      <c r="K359" s="40" t="s">
        <v>10</v>
      </c>
      <c r="L359" s="44">
        <v>60</v>
      </c>
      <c r="M359" s="40" t="s">
        <v>1472</v>
      </c>
      <c r="N359" s="40" t="s">
        <v>11</v>
      </c>
      <c r="O359" s="40">
        <v>5.0999999999999996</v>
      </c>
      <c r="P359" s="45">
        <f t="shared" si="31"/>
        <v>306</v>
      </c>
      <c r="Q359" s="46">
        <f t="shared" si="32"/>
        <v>7.3003400000000003</v>
      </c>
      <c r="R359" s="47">
        <f t="shared" si="33"/>
        <v>0.6986</v>
      </c>
      <c r="S359" s="48">
        <f t="shared" si="34"/>
        <v>41.92</v>
      </c>
      <c r="T359" s="47" t="s">
        <v>349</v>
      </c>
      <c r="U359" s="40" t="s">
        <v>32</v>
      </c>
      <c r="V359" s="38">
        <v>7.1879</v>
      </c>
      <c r="W359" s="49">
        <f t="shared" si="35"/>
        <v>42.571543844516476</v>
      </c>
    </row>
    <row r="360" spans="1:23" x14ac:dyDescent="0.2">
      <c r="A360" s="40" t="s">
        <v>1288</v>
      </c>
      <c r="B360" s="41">
        <v>45660</v>
      </c>
      <c r="C360" s="41">
        <v>45644</v>
      </c>
      <c r="D360" s="40" t="s">
        <v>143</v>
      </c>
      <c r="E360" s="40" t="s">
        <v>144</v>
      </c>
      <c r="G360" s="40" t="s">
        <v>1287</v>
      </c>
      <c r="H360" s="40" t="s">
        <v>141</v>
      </c>
      <c r="I360" s="40" t="s">
        <v>142</v>
      </c>
      <c r="J360" s="43" t="str">
        <f t="shared" si="30"/>
        <v>KNOB</v>
      </c>
      <c r="K360" s="40" t="s">
        <v>10</v>
      </c>
      <c r="L360" s="44">
        <v>9740</v>
      </c>
      <c r="M360" s="40" t="s">
        <v>1472</v>
      </c>
      <c r="N360" s="40" t="s">
        <v>11</v>
      </c>
      <c r="O360" s="40">
        <v>5.0999999999999996</v>
      </c>
      <c r="P360" s="45">
        <f t="shared" si="31"/>
        <v>49674</v>
      </c>
      <c r="Q360" s="46">
        <f t="shared" si="32"/>
        <v>7.3003400000000003</v>
      </c>
      <c r="R360" s="47">
        <f t="shared" si="33"/>
        <v>0.6986</v>
      </c>
      <c r="S360" s="48">
        <f t="shared" si="34"/>
        <v>6804.36</v>
      </c>
      <c r="T360" s="47" t="s">
        <v>349</v>
      </c>
      <c r="U360" s="40" t="s">
        <v>32</v>
      </c>
      <c r="V360" s="38">
        <v>7.1879</v>
      </c>
      <c r="W360" s="49">
        <f t="shared" si="35"/>
        <v>6910.7806174265079</v>
      </c>
    </row>
    <row r="361" spans="1:23" x14ac:dyDescent="0.2">
      <c r="A361" s="40" t="s">
        <v>145</v>
      </c>
      <c r="B361" s="41">
        <v>45675</v>
      </c>
      <c r="C361" s="41">
        <v>45646</v>
      </c>
      <c r="D361" s="40" t="s">
        <v>143</v>
      </c>
      <c r="E361" s="40" t="s">
        <v>144</v>
      </c>
      <c r="G361" s="40" t="s">
        <v>146</v>
      </c>
      <c r="H361" s="40" t="s">
        <v>141</v>
      </c>
      <c r="I361" s="40" t="s">
        <v>142</v>
      </c>
      <c r="J361" s="43" t="str">
        <f t="shared" si="30"/>
        <v>KNOB</v>
      </c>
      <c r="K361" s="40" t="s">
        <v>10</v>
      </c>
      <c r="L361" s="44">
        <v>9500</v>
      </c>
      <c r="M361" s="40" t="s">
        <v>1472</v>
      </c>
      <c r="N361" s="40" t="s">
        <v>11</v>
      </c>
      <c r="O361" s="40">
        <v>5.0999999999999996</v>
      </c>
      <c r="P361" s="45">
        <f t="shared" si="31"/>
        <v>48450</v>
      </c>
      <c r="Q361" s="46">
        <f t="shared" si="32"/>
        <v>7.3003400000000003</v>
      </c>
      <c r="R361" s="47">
        <f t="shared" si="33"/>
        <v>0.6986</v>
      </c>
      <c r="S361" s="48">
        <f t="shared" si="34"/>
        <v>6636.7</v>
      </c>
      <c r="T361" s="47" t="s">
        <v>349</v>
      </c>
      <c r="U361" s="40" t="s">
        <v>32</v>
      </c>
      <c r="V361" s="38">
        <v>7.1879</v>
      </c>
      <c r="W361" s="49">
        <f t="shared" si="35"/>
        <v>6740.4944420484417</v>
      </c>
    </row>
    <row r="362" spans="1:23" x14ac:dyDescent="0.2">
      <c r="A362" s="40" t="s">
        <v>145</v>
      </c>
      <c r="B362" s="41">
        <v>45674</v>
      </c>
      <c r="C362" s="41">
        <v>45646</v>
      </c>
      <c r="D362" s="40" t="s">
        <v>143</v>
      </c>
      <c r="E362" s="40" t="s">
        <v>144</v>
      </c>
      <c r="G362" s="40" t="s">
        <v>182</v>
      </c>
      <c r="H362" s="40" t="s">
        <v>141</v>
      </c>
      <c r="I362" s="40" t="s">
        <v>142</v>
      </c>
      <c r="J362" s="43" t="str">
        <f t="shared" si="30"/>
        <v>KNOB</v>
      </c>
      <c r="K362" s="40" t="s">
        <v>10</v>
      </c>
      <c r="L362" s="44">
        <v>4000</v>
      </c>
      <c r="M362" s="40" t="s">
        <v>1472</v>
      </c>
      <c r="N362" s="40" t="s">
        <v>11</v>
      </c>
      <c r="O362" s="40">
        <v>5.0999999999999996</v>
      </c>
      <c r="P362" s="45">
        <f t="shared" si="31"/>
        <v>20400</v>
      </c>
      <c r="Q362" s="46">
        <f t="shared" si="32"/>
        <v>7.3003400000000003</v>
      </c>
      <c r="R362" s="47">
        <f t="shared" si="33"/>
        <v>0.6986</v>
      </c>
      <c r="S362" s="48">
        <f t="shared" si="34"/>
        <v>2794.4</v>
      </c>
      <c r="T362" s="47" t="s">
        <v>349</v>
      </c>
      <c r="U362" s="40" t="s">
        <v>32</v>
      </c>
      <c r="V362" s="38">
        <v>7.1879</v>
      </c>
      <c r="W362" s="49">
        <f t="shared" si="35"/>
        <v>2838.1029229677652</v>
      </c>
    </row>
    <row r="363" spans="1:23" x14ac:dyDescent="0.2">
      <c r="A363" s="40" t="s">
        <v>145</v>
      </c>
      <c r="B363" s="41">
        <v>45674</v>
      </c>
      <c r="C363" s="41">
        <v>45646</v>
      </c>
      <c r="D363" s="40" t="s">
        <v>143</v>
      </c>
      <c r="E363" s="40" t="s">
        <v>144</v>
      </c>
      <c r="G363" s="40" t="s">
        <v>183</v>
      </c>
      <c r="H363" s="40" t="s">
        <v>141</v>
      </c>
      <c r="I363" s="40" t="s">
        <v>142</v>
      </c>
      <c r="J363" s="43" t="str">
        <f t="shared" si="30"/>
        <v>KNOB</v>
      </c>
      <c r="K363" s="40" t="s">
        <v>10</v>
      </c>
      <c r="L363" s="44">
        <v>-400</v>
      </c>
      <c r="M363" s="40" t="s">
        <v>1472</v>
      </c>
      <c r="N363" s="40" t="s">
        <v>11</v>
      </c>
      <c r="O363" s="40">
        <v>5.0999999999999996</v>
      </c>
      <c r="P363" s="45">
        <f t="shared" si="31"/>
        <v>-2040</v>
      </c>
      <c r="Q363" s="46">
        <f t="shared" si="32"/>
        <v>7.3003400000000003</v>
      </c>
      <c r="R363" s="47">
        <f t="shared" si="33"/>
        <v>0.6986</v>
      </c>
      <c r="S363" s="48">
        <f t="shared" si="34"/>
        <v>-279.44</v>
      </c>
      <c r="T363" s="47" t="s">
        <v>349</v>
      </c>
      <c r="U363" s="40" t="s">
        <v>32</v>
      </c>
      <c r="V363" s="38">
        <v>7.1879</v>
      </c>
      <c r="W363" s="49">
        <f t="shared" si="35"/>
        <v>-283.81029229677648</v>
      </c>
    </row>
    <row r="364" spans="1:23" x14ac:dyDescent="0.2">
      <c r="A364" s="40" t="s">
        <v>145</v>
      </c>
      <c r="B364" s="41">
        <v>45674</v>
      </c>
      <c r="C364" s="41">
        <v>45646</v>
      </c>
      <c r="D364" s="40" t="s">
        <v>143</v>
      </c>
      <c r="E364" s="40" t="s">
        <v>144</v>
      </c>
      <c r="G364" s="40" t="s">
        <v>182</v>
      </c>
      <c r="H364" s="40" t="s">
        <v>141</v>
      </c>
      <c r="I364" s="40" t="s">
        <v>142</v>
      </c>
      <c r="J364" s="43" t="str">
        <f t="shared" si="30"/>
        <v>KNOB</v>
      </c>
      <c r="K364" s="40" t="s">
        <v>10</v>
      </c>
      <c r="L364" s="44">
        <v>400</v>
      </c>
      <c r="M364" s="40" t="s">
        <v>1472</v>
      </c>
      <c r="N364" s="40" t="s">
        <v>11</v>
      </c>
      <c r="O364" s="40">
        <v>5.0999999999999996</v>
      </c>
      <c r="P364" s="45">
        <f t="shared" si="31"/>
        <v>2040</v>
      </c>
      <c r="Q364" s="46">
        <f t="shared" si="32"/>
        <v>7.3003400000000003</v>
      </c>
      <c r="R364" s="47">
        <f t="shared" si="33"/>
        <v>0.6986</v>
      </c>
      <c r="S364" s="48">
        <f t="shared" si="34"/>
        <v>279.44</v>
      </c>
      <c r="T364" s="47" t="s">
        <v>349</v>
      </c>
      <c r="U364" s="40" t="s">
        <v>32</v>
      </c>
      <c r="V364" s="38">
        <v>7.1879</v>
      </c>
      <c r="W364" s="49">
        <f t="shared" si="35"/>
        <v>283.81029229677648</v>
      </c>
    </row>
    <row r="365" spans="1:23" x14ac:dyDescent="0.2">
      <c r="A365" s="40" t="s">
        <v>792</v>
      </c>
      <c r="B365" s="41">
        <v>45666</v>
      </c>
      <c r="C365" s="41">
        <v>45629</v>
      </c>
      <c r="D365" s="40" t="s">
        <v>149</v>
      </c>
      <c r="E365" s="40" t="s">
        <v>150</v>
      </c>
      <c r="G365" s="40" t="s">
        <v>784</v>
      </c>
      <c r="H365" s="40" t="s">
        <v>790</v>
      </c>
      <c r="I365" s="40" t="s">
        <v>791</v>
      </c>
      <c r="J365" s="43" t="str">
        <f t="shared" si="30"/>
        <v>GLID</v>
      </c>
      <c r="K365" s="40" t="s">
        <v>10</v>
      </c>
      <c r="L365" s="44">
        <v>20</v>
      </c>
      <c r="M365" s="40" t="s">
        <v>1472</v>
      </c>
      <c r="N365" s="40" t="s">
        <v>11</v>
      </c>
      <c r="O365" s="40">
        <v>5.1580000000000004</v>
      </c>
      <c r="P365" s="45">
        <f t="shared" si="31"/>
        <v>103.16</v>
      </c>
      <c r="Q365" s="46">
        <f t="shared" si="32"/>
        <v>7.3003400000000003</v>
      </c>
      <c r="R365" s="47">
        <f t="shared" si="33"/>
        <v>0.70650000000000002</v>
      </c>
      <c r="S365" s="48">
        <f t="shared" si="34"/>
        <v>14.13</v>
      </c>
      <c r="T365" s="47" t="s">
        <v>349</v>
      </c>
      <c r="U365" s="40" t="s">
        <v>78</v>
      </c>
      <c r="V365" s="38">
        <v>7.1879</v>
      </c>
      <c r="W365" s="49">
        <f t="shared" si="35"/>
        <v>14.351896937909544</v>
      </c>
    </row>
    <row r="366" spans="1:23" x14ac:dyDescent="0.2">
      <c r="A366" s="40" t="s">
        <v>792</v>
      </c>
      <c r="B366" s="41">
        <v>45663</v>
      </c>
      <c r="C366" s="41">
        <v>45629</v>
      </c>
      <c r="D366" s="40" t="s">
        <v>149</v>
      </c>
      <c r="E366" s="40" t="s">
        <v>150</v>
      </c>
      <c r="G366" s="40" t="s">
        <v>1182</v>
      </c>
      <c r="H366" s="40" t="s">
        <v>790</v>
      </c>
      <c r="I366" s="40" t="s">
        <v>791</v>
      </c>
      <c r="J366" s="43" t="str">
        <f t="shared" si="30"/>
        <v>GLID</v>
      </c>
      <c r="K366" s="40" t="s">
        <v>10</v>
      </c>
      <c r="L366" s="44">
        <v>980</v>
      </c>
      <c r="M366" s="40" t="s">
        <v>1472</v>
      </c>
      <c r="N366" s="40" t="s">
        <v>11</v>
      </c>
      <c r="O366" s="40">
        <v>5.1580000000000004</v>
      </c>
      <c r="P366" s="45">
        <f t="shared" si="31"/>
        <v>5054.84</v>
      </c>
      <c r="Q366" s="46">
        <f t="shared" si="32"/>
        <v>7.3003400000000003</v>
      </c>
      <c r="R366" s="47">
        <f t="shared" si="33"/>
        <v>0.70650000000000002</v>
      </c>
      <c r="S366" s="48">
        <f t="shared" si="34"/>
        <v>692.37</v>
      </c>
      <c r="T366" s="47" t="s">
        <v>349</v>
      </c>
      <c r="U366" s="40" t="s">
        <v>78</v>
      </c>
      <c r="V366" s="38">
        <v>7.1879</v>
      </c>
      <c r="W366" s="49">
        <f t="shared" si="35"/>
        <v>703.24294995756759</v>
      </c>
    </row>
    <row r="367" spans="1:23" x14ac:dyDescent="0.2">
      <c r="A367" s="40" t="s">
        <v>46</v>
      </c>
      <c r="B367" s="41">
        <v>45679</v>
      </c>
      <c r="C367" s="41">
        <v>45677</v>
      </c>
      <c r="D367" s="40" t="s">
        <v>5</v>
      </c>
      <c r="E367" s="40" t="s">
        <v>6</v>
      </c>
      <c r="G367" s="40" t="s">
        <v>40</v>
      </c>
      <c r="H367" s="40" t="s">
        <v>44</v>
      </c>
      <c r="I367" s="40" t="s">
        <v>45</v>
      </c>
      <c r="J367" s="43" t="str">
        <f t="shared" si="30"/>
        <v>BOX-</v>
      </c>
      <c r="K367" s="40" t="s">
        <v>10</v>
      </c>
      <c r="L367" s="44">
        <v>505</v>
      </c>
      <c r="M367" s="40" t="s">
        <v>1472</v>
      </c>
      <c r="N367" s="40" t="s">
        <v>11</v>
      </c>
      <c r="O367" s="40">
        <v>5.17</v>
      </c>
      <c r="P367" s="45">
        <f t="shared" si="31"/>
        <v>2610.85</v>
      </c>
      <c r="Q367" s="46">
        <f t="shared" si="32"/>
        <v>7.3003400000000003</v>
      </c>
      <c r="R367" s="47">
        <f t="shared" si="33"/>
        <v>0.70820000000000005</v>
      </c>
      <c r="S367" s="48">
        <f t="shared" si="34"/>
        <v>357.64</v>
      </c>
      <c r="T367" s="47" t="s">
        <v>349</v>
      </c>
      <c r="U367" s="40" t="s">
        <v>1</v>
      </c>
      <c r="V367" s="38">
        <v>7.1879</v>
      </c>
      <c r="W367" s="49">
        <f t="shared" si="35"/>
        <v>363.2284811975681</v>
      </c>
    </row>
    <row r="368" spans="1:23" x14ac:dyDescent="0.2">
      <c r="A368" s="40" t="s">
        <v>1079</v>
      </c>
      <c r="B368" s="41">
        <v>45663</v>
      </c>
      <c r="C368" s="41">
        <v>45646</v>
      </c>
      <c r="D368" s="40" t="s">
        <v>268</v>
      </c>
      <c r="E368" s="40" t="s">
        <v>269</v>
      </c>
      <c r="G368" s="40" t="s">
        <v>1076</v>
      </c>
      <c r="H368" s="40" t="s">
        <v>1077</v>
      </c>
      <c r="I368" s="40" t="s">
        <v>1078</v>
      </c>
      <c r="J368" s="43" t="str">
        <f t="shared" si="30"/>
        <v>MISC</v>
      </c>
      <c r="K368" s="40" t="s">
        <v>10</v>
      </c>
      <c r="L368" s="44">
        <v>40</v>
      </c>
      <c r="M368" s="40" t="s">
        <v>136</v>
      </c>
      <c r="N368" s="40" t="s">
        <v>11</v>
      </c>
      <c r="O368" s="40">
        <v>5.18</v>
      </c>
      <c r="P368" s="45">
        <f t="shared" si="31"/>
        <v>207.2</v>
      </c>
      <c r="Q368" s="46">
        <f t="shared" si="32"/>
        <v>7.3003400000000003</v>
      </c>
      <c r="R368" s="47">
        <f t="shared" si="33"/>
        <v>0.70960000000000001</v>
      </c>
      <c r="S368" s="48">
        <f t="shared" si="34"/>
        <v>28.38</v>
      </c>
      <c r="T368" s="47" t="s">
        <v>349</v>
      </c>
      <c r="U368" s="40" t="s">
        <v>25</v>
      </c>
      <c r="V368" s="38">
        <v>7.1879</v>
      </c>
      <c r="W368" s="49">
        <f t="shared" si="35"/>
        <v>28.826221845045144</v>
      </c>
    </row>
    <row r="369" spans="1:23" x14ac:dyDescent="0.2">
      <c r="A369" s="40" t="s">
        <v>1079</v>
      </c>
      <c r="B369" s="41">
        <v>45663</v>
      </c>
      <c r="C369" s="41">
        <v>45646</v>
      </c>
      <c r="D369" s="40" t="s">
        <v>268</v>
      </c>
      <c r="E369" s="40" t="s">
        <v>269</v>
      </c>
      <c r="G369" s="40" t="s">
        <v>1080</v>
      </c>
      <c r="H369" s="40" t="s">
        <v>1077</v>
      </c>
      <c r="I369" s="40" t="s">
        <v>1078</v>
      </c>
      <c r="J369" s="43" t="str">
        <f t="shared" si="30"/>
        <v>MISC</v>
      </c>
      <c r="K369" s="40" t="s">
        <v>10</v>
      </c>
      <c r="L369" s="44">
        <v>-50</v>
      </c>
      <c r="M369" s="40" t="s">
        <v>136</v>
      </c>
      <c r="N369" s="40" t="s">
        <v>11</v>
      </c>
      <c r="O369" s="40">
        <v>5.18</v>
      </c>
      <c r="P369" s="45">
        <f t="shared" si="31"/>
        <v>-259</v>
      </c>
      <c r="Q369" s="46">
        <f t="shared" si="32"/>
        <v>7.3003400000000003</v>
      </c>
      <c r="R369" s="47">
        <f t="shared" si="33"/>
        <v>0.70960000000000001</v>
      </c>
      <c r="S369" s="48">
        <f t="shared" si="34"/>
        <v>-35.479999999999997</v>
      </c>
      <c r="T369" s="47" t="s">
        <v>349</v>
      </c>
      <c r="U369" s="40" t="s">
        <v>25</v>
      </c>
      <c r="V369" s="38">
        <v>7.1879</v>
      </c>
      <c r="W369" s="49">
        <f t="shared" si="35"/>
        <v>-36.032777306306428</v>
      </c>
    </row>
    <row r="370" spans="1:23" x14ac:dyDescent="0.2">
      <c r="A370" s="40" t="s">
        <v>1079</v>
      </c>
      <c r="B370" s="41">
        <v>45663</v>
      </c>
      <c r="C370" s="41">
        <v>45646</v>
      </c>
      <c r="D370" s="40" t="s">
        <v>268</v>
      </c>
      <c r="E370" s="40" t="s">
        <v>269</v>
      </c>
      <c r="G370" s="40" t="s">
        <v>1076</v>
      </c>
      <c r="H370" s="40" t="s">
        <v>1077</v>
      </c>
      <c r="I370" s="40" t="s">
        <v>1078</v>
      </c>
      <c r="J370" s="43" t="str">
        <f t="shared" si="30"/>
        <v>MISC</v>
      </c>
      <c r="K370" s="40" t="s">
        <v>10</v>
      </c>
      <c r="L370" s="44">
        <v>50</v>
      </c>
      <c r="M370" s="40" t="s">
        <v>136</v>
      </c>
      <c r="N370" s="40" t="s">
        <v>11</v>
      </c>
      <c r="O370" s="40">
        <v>5.18</v>
      </c>
      <c r="P370" s="45">
        <f t="shared" si="31"/>
        <v>259</v>
      </c>
      <c r="Q370" s="46">
        <f t="shared" si="32"/>
        <v>7.3003400000000003</v>
      </c>
      <c r="R370" s="47">
        <f t="shared" si="33"/>
        <v>0.70960000000000001</v>
      </c>
      <c r="S370" s="48">
        <f t="shared" si="34"/>
        <v>35.479999999999997</v>
      </c>
      <c r="T370" s="47" t="s">
        <v>349</v>
      </c>
      <c r="U370" s="40" t="s">
        <v>25</v>
      </c>
      <c r="V370" s="38">
        <v>7.1879</v>
      </c>
      <c r="W370" s="49">
        <f t="shared" si="35"/>
        <v>36.032777306306428</v>
      </c>
    </row>
    <row r="371" spans="1:23" x14ac:dyDescent="0.2">
      <c r="A371" s="40" t="s">
        <v>86</v>
      </c>
      <c r="B371" s="41">
        <v>45678</v>
      </c>
      <c r="C371" s="41">
        <v>45677</v>
      </c>
      <c r="D371" s="40" t="s">
        <v>5</v>
      </c>
      <c r="E371" s="40" t="s">
        <v>6</v>
      </c>
      <c r="G371" s="40" t="s">
        <v>87</v>
      </c>
      <c r="H371" s="40" t="s">
        <v>84</v>
      </c>
      <c r="I371" s="40" t="s">
        <v>85</v>
      </c>
      <c r="J371" s="43" t="str">
        <f t="shared" si="30"/>
        <v>BOX-</v>
      </c>
      <c r="K371" s="40" t="s">
        <v>10</v>
      </c>
      <c r="L371" s="44">
        <v>910</v>
      </c>
      <c r="M371" s="40" t="s">
        <v>1472</v>
      </c>
      <c r="N371" s="40" t="s">
        <v>11</v>
      </c>
      <c r="O371" s="40">
        <v>5.2</v>
      </c>
      <c r="P371" s="45">
        <f t="shared" si="31"/>
        <v>4732</v>
      </c>
      <c r="Q371" s="46">
        <f t="shared" si="32"/>
        <v>7.3003400000000003</v>
      </c>
      <c r="R371" s="47">
        <f t="shared" si="33"/>
        <v>0.71230000000000004</v>
      </c>
      <c r="S371" s="48">
        <f t="shared" si="34"/>
        <v>648.19000000000005</v>
      </c>
      <c r="T371" s="47" t="s">
        <v>349</v>
      </c>
      <c r="U371" s="40" t="s">
        <v>1</v>
      </c>
      <c r="V371" s="38">
        <v>7.1879</v>
      </c>
      <c r="W371" s="49">
        <f t="shared" si="35"/>
        <v>658.32857997467966</v>
      </c>
    </row>
    <row r="372" spans="1:23" x14ac:dyDescent="0.2">
      <c r="A372" s="40" t="s">
        <v>922</v>
      </c>
      <c r="B372" s="41">
        <v>45665</v>
      </c>
      <c r="C372" s="41">
        <v>45646</v>
      </c>
      <c r="D372" s="40" t="s">
        <v>866</v>
      </c>
      <c r="E372" s="40" t="s">
        <v>867</v>
      </c>
      <c r="G372" s="40" t="s">
        <v>919</v>
      </c>
      <c r="H372" s="40" t="s">
        <v>920</v>
      </c>
      <c r="I372" s="40" t="s">
        <v>921</v>
      </c>
      <c r="J372" s="43" t="str">
        <f t="shared" si="30"/>
        <v>ANYD</v>
      </c>
      <c r="K372" s="40" t="s">
        <v>10</v>
      </c>
      <c r="L372" s="44">
        <v>15000</v>
      </c>
      <c r="M372" s="40" t="s">
        <v>1472</v>
      </c>
      <c r="N372" s="40" t="s">
        <v>11</v>
      </c>
      <c r="O372" s="40">
        <v>5.2389000000000001</v>
      </c>
      <c r="P372" s="45">
        <f t="shared" si="31"/>
        <v>78583.5</v>
      </c>
      <c r="Q372" s="46">
        <f t="shared" si="32"/>
        <v>7.3003400000000003</v>
      </c>
      <c r="R372" s="47">
        <f t="shared" si="33"/>
        <v>0.71760000000000002</v>
      </c>
      <c r="S372" s="48">
        <f t="shared" si="34"/>
        <v>10764</v>
      </c>
      <c r="T372" s="47" t="s">
        <v>349</v>
      </c>
      <c r="U372" s="40" t="s">
        <v>36</v>
      </c>
      <c r="V372" s="38">
        <v>7.1879</v>
      </c>
      <c r="W372" s="49">
        <f t="shared" si="35"/>
        <v>10932.748090541048</v>
      </c>
    </row>
    <row r="373" spans="1:23" x14ac:dyDescent="0.2">
      <c r="A373" s="40" t="s">
        <v>910</v>
      </c>
      <c r="B373" s="41">
        <v>45665</v>
      </c>
      <c r="C373" s="41">
        <v>45287</v>
      </c>
      <c r="D373" s="40" t="s">
        <v>866</v>
      </c>
      <c r="E373" s="40" t="s">
        <v>867</v>
      </c>
      <c r="G373" s="40" t="s">
        <v>911</v>
      </c>
      <c r="H373" s="40" t="s">
        <v>908</v>
      </c>
      <c r="I373" s="40" t="s">
        <v>909</v>
      </c>
      <c r="J373" s="43" t="str">
        <f t="shared" si="30"/>
        <v>ANYD</v>
      </c>
      <c r="K373" s="40" t="s">
        <v>10</v>
      </c>
      <c r="L373" s="44">
        <v>4008</v>
      </c>
      <c r="M373" s="40" t="s">
        <v>1472</v>
      </c>
      <c r="N373" s="40" t="s">
        <v>11</v>
      </c>
      <c r="O373" s="40">
        <v>5.3804999999999996</v>
      </c>
      <c r="P373" s="45">
        <f t="shared" si="31"/>
        <v>21565.040000000001</v>
      </c>
      <c r="Q373" s="46">
        <f t="shared" si="32"/>
        <v>7.3003400000000003</v>
      </c>
      <c r="R373" s="47">
        <f t="shared" si="33"/>
        <v>0.73699999999999999</v>
      </c>
      <c r="S373" s="48">
        <f t="shared" si="34"/>
        <v>2953.9</v>
      </c>
      <c r="T373" s="47" t="s">
        <v>349</v>
      </c>
      <c r="U373" s="40" t="s">
        <v>36</v>
      </c>
      <c r="V373" s="38">
        <v>7.1879</v>
      </c>
      <c r="W373" s="49">
        <f t="shared" si="35"/>
        <v>3000.1869808984543</v>
      </c>
    </row>
    <row r="374" spans="1:23" x14ac:dyDescent="0.2">
      <c r="A374" s="40" t="s">
        <v>49</v>
      </c>
      <c r="B374" s="41">
        <v>45679</v>
      </c>
      <c r="C374" s="41">
        <v>45677</v>
      </c>
      <c r="D374" s="40" t="s">
        <v>5</v>
      </c>
      <c r="E374" s="40" t="s">
        <v>6</v>
      </c>
      <c r="G374" s="40" t="s">
        <v>40</v>
      </c>
      <c r="H374" s="40" t="s">
        <v>47</v>
      </c>
      <c r="I374" s="40" t="s">
        <v>48</v>
      </c>
      <c r="J374" s="43" t="str">
        <f t="shared" si="30"/>
        <v>BOX-</v>
      </c>
      <c r="K374" s="40" t="s">
        <v>10</v>
      </c>
      <c r="L374" s="44">
        <v>505</v>
      </c>
      <c r="M374" s="40" t="s">
        <v>1472</v>
      </c>
      <c r="N374" s="40" t="s">
        <v>11</v>
      </c>
      <c r="O374" s="40">
        <v>5.41</v>
      </c>
      <c r="P374" s="45">
        <f t="shared" si="31"/>
        <v>2732.05</v>
      </c>
      <c r="Q374" s="46">
        <f t="shared" si="32"/>
        <v>7.3003400000000003</v>
      </c>
      <c r="R374" s="47">
        <f t="shared" si="33"/>
        <v>0.74109999999999998</v>
      </c>
      <c r="S374" s="48">
        <f t="shared" si="34"/>
        <v>374.26</v>
      </c>
      <c r="T374" s="47" t="s">
        <v>349</v>
      </c>
      <c r="U374" s="40" t="s">
        <v>1</v>
      </c>
      <c r="V374" s="38">
        <v>7.1879</v>
      </c>
      <c r="W374" s="49">
        <f t="shared" si="35"/>
        <v>380.09015150461192</v>
      </c>
    </row>
    <row r="375" spans="1:23" x14ac:dyDescent="0.2">
      <c r="A375" s="40" t="s">
        <v>55</v>
      </c>
      <c r="B375" s="41">
        <v>45679</v>
      </c>
      <c r="C375" s="41">
        <v>45677</v>
      </c>
      <c r="D375" s="40" t="s">
        <v>5</v>
      </c>
      <c r="E375" s="40" t="s">
        <v>6</v>
      </c>
      <c r="G375" s="40" t="s">
        <v>40</v>
      </c>
      <c r="H375" s="40" t="s">
        <v>53</v>
      </c>
      <c r="I375" s="40" t="s">
        <v>54</v>
      </c>
      <c r="J375" s="43" t="str">
        <f t="shared" si="30"/>
        <v>BOX-</v>
      </c>
      <c r="K375" s="40" t="s">
        <v>10</v>
      </c>
      <c r="L375" s="44">
        <v>505</v>
      </c>
      <c r="M375" s="40" t="s">
        <v>1472</v>
      </c>
      <c r="N375" s="40" t="s">
        <v>11</v>
      </c>
      <c r="O375" s="40">
        <v>5.45</v>
      </c>
      <c r="P375" s="45">
        <f t="shared" si="31"/>
        <v>2752.25</v>
      </c>
      <c r="Q375" s="46">
        <f t="shared" si="32"/>
        <v>7.3003400000000003</v>
      </c>
      <c r="R375" s="47">
        <f t="shared" si="33"/>
        <v>0.74650000000000005</v>
      </c>
      <c r="S375" s="48">
        <f t="shared" si="34"/>
        <v>376.98</v>
      </c>
      <c r="T375" s="47" t="s">
        <v>349</v>
      </c>
      <c r="U375" s="40" t="s">
        <v>1</v>
      </c>
      <c r="V375" s="38">
        <v>7.1879</v>
      </c>
      <c r="W375" s="49">
        <f t="shared" si="35"/>
        <v>382.90042988911921</v>
      </c>
    </row>
    <row r="376" spans="1:23" x14ac:dyDescent="0.2">
      <c r="A376" s="40" t="s">
        <v>473</v>
      </c>
      <c r="B376" s="41">
        <v>45670</v>
      </c>
      <c r="C376" s="41">
        <v>45663</v>
      </c>
      <c r="D376" s="40" t="s">
        <v>5</v>
      </c>
      <c r="E376" s="40" t="s">
        <v>6</v>
      </c>
      <c r="G376" s="40" t="s">
        <v>458</v>
      </c>
      <c r="H376" s="40" t="s">
        <v>471</v>
      </c>
      <c r="I376" s="40" t="s">
        <v>472</v>
      </c>
      <c r="J376" s="43" t="str">
        <f t="shared" si="30"/>
        <v>BOX-</v>
      </c>
      <c r="K376" s="40" t="s">
        <v>10</v>
      </c>
      <c r="L376" s="44">
        <v>1010</v>
      </c>
      <c r="M376" s="40" t="s">
        <v>1472</v>
      </c>
      <c r="N376" s="40" t="s">
        <v>11</v>
      </c>
      <c r="O376" s="40">
        <v>5.46</v>
      </c>
      <c r="P376" s="45">
        <f t="shared" si="31"/>
        <v>5514.6</v>
      </c>
      <c r="Q376" s="46">
        <f t="shared" si="32"/>
        <v>7.3003400000000003</v>
      </c>
      <c r="R376" s="47">
        <f t="shared" si="33"/>
        <v>0.74790000000000001</v>
      </c>
      <c r="S376" s="48">
        <f t="shared" si="34"/>
        <v>755.38</v>
      </c>
      <c r="T376" s="47" t="s">
        <v>349</v>
      </c>
      <c r="U376" s="40" t="s">
        <v>1</v>
      </c>
      <c r="V376" s="38">
        <v>7.1879</v>
      </c>
      <c r="W376" s="49">
        <f t="shared" si="35"/>
        <v>767.20599897049203</v>
      </c>
    </row>
    <row r="377" spans="1:23" x14ac:dyDescent="0.2">
      <c r="A377" s="40" t="s">
        <v>698</v>
      </c>
      <c r="B377" s="41">
        <v>45667</v>
      </c>
      <c r="C377" s="41">
        <v>45595</v>
      </c>
      <c r="D377" s="40" t="s">
        <v>696</v>
      </c>
      <c r="E377" s="40" t="s">
        <v>697</v>
      </c>
      <c r="G377" s="40" t="s">
        <v>699</v>
      </c>
      <c r="H377" s="40" t="s">
        <v>694</v>
      </c>
      <c r="I377" s="40" t="s">
        <v>695</v>
      </c>
      <c r="J377" s="43" t="str">
        <f t="shared" si="30"/>
        <v>ANYD</v>
      </c>
      <c r="K377" s="40" t="s">
        <v>10</v>
      </c>
      <c r="L377" s="44">
        <v>200</v>
      </c>
      <c r="M377" s="40" t="s">
        <v>1472</v>
      </c>
      <c r="N377" s="40" t="s">
        <v>11</v>
      </c>
      <c r="O377" s="40">
        <v>5.49</v>
      </c>
      <c r="P377" s="45">
        <f t="shared" si="31"/>
        <v>1098</v>
      </c>
      <c r="Q377" s="46">
        <f t="shared" si="32"/>
        <v>7.3003400000000003</v>
      </c>
      <c r="R377" s="47">
        <f t="shared" si="33"/>
        <v>0.752</v>
      </c>
      <c r="S377" s="48">
        <f t="shared" si="34"/>
        <v>150.4</v>
      </c>
      <c r="T377" s="47" t="s">
        <v>349</v>
      </c>
      <c r="U377" s="40" t="s">
        <v>36</v>
      </c>
      <c r="V377" s="38">
        <v>7.1879</v>
      </c>
      <c r="W377" s="49">
        <f t="shared" si="35"/>
        <v>152.75671614797091</v>
      </c>
    </row>
    <row r="378" spans="1:23" x14ac:dyDescent="0.2">
      <c r="A378" s="40" t="s">
        <v>698</v>
      </c>
      <c r="B378" s="41">
        <v>45666</v>
      </c>
      <c r="C378" s="41">
        <v>45595</v>
      </c>
      <c r="D378" s="40" t="s">
        <v>696</v>
      </c>
      <c r="E378" s="40" t="s">
        <v>697</v>
      </c>
      <c r="G378" s="40" t="s">
        <v>758</v>
      </c>
      <c r="H378" s="40" t="s">
        <v>694</v>
      </c>
      <c r="I378" s="40" t="s">
        <v>695</v>
      </c>
      <c r="J378" s="43" t="str">
        <f t="shared" si="30"/>
        <v>ANYD</v>
      </c>
      <c r="K378" s="40" t="s">
        <v>10</v>
      </c>
      <c r="L378" s="44">
        <v>-200</v>
      </c>
      <c r="M378" s="40" t="s">
        <v>1472</v>
      </c>
      <c r="N378" s="40" t="s">
        <v>11</v>
      </c>
      <c r="O378" s="40">
        <v>5.49</v>
      </c>
      <c r="P378" s="45">
        <f t="shared" si="31"/>
        <v>-1098</v>
      </c>
      <c r="Q378" s="46">
        <f t="shared" si="32"/>
        <v>7.3003400000000003</v>
      </c>
      <c r="R378" s="47">
        <f t="shared" si="33"/>
        <v>0.752</v>
      </c>
      <c r="S378" s="48">
        <f t="shared" si="34"/>
        <v>-150.4</v>
      </c>
      <c r="T378" s="47" t="s">
        <v>349</v>
      </c>
      <c r="U378" s="40" t="s">
        <v>36</v>
      </c>
      <c r="V378" s="38">
        <v>7.1879</v>
      </c>
      <c r="W378" s="49">
        <f t="shared" si="35"/>
        <v>-152.75671614797091</v>
      </c>
    </row>
    <row r="379" spans="1:23" x14ac:dyDescent="0.2">
      <c r="A379" s="40" t="s">
        <v>1088</v>
      </c>
      <c r="B379" s="41">
        <v>45663</v>
      </c>
      <c r="C379" s="41">
        <v>45650</v>
      </c>
      <c r="D379" s="40" t="s">
        <v>169</v>
      </c>
      <c r="E379" s="40" t="s">
        <v>170</v>
      </c>
      <c r="G379" s="40" t="s">
        <v>1089</v>
      </c>
      <c r="H379" s="40" t="s">
        <v>1086</v>
      </c>
      <c r="I379" s="40" t="s">
        <v>1087</v>
      </c>
      <c r="J379" s="43" t="str">
        <f t="shared" si="30"/>
        <v>U&amp;C-</v>
      </c>
      <c r="K379" s="40" t="s">
        <v>10</v>
      </c>
      <c r="L379" s="44">
        <v>1000</v>
      </c>
      <c r="M379" s="40" t="s">
        <v>1472</v>
      </c>
      <c r="N379" s="40" t="s">
        <v>11</v>
      </c>
      <c r="O379" s="40">
        <v>0.92900000000000005</v>
      </c>
      <c r="P379" s="45">
        <f t="shared" si="31"/>
        <v>929</v>
      </c>
      <c r="Q379" s="46">
        <f t="shared" si="32"/>
        <v>7.3003400000000003</v>
      </c>
      <c r="R379" s="47">
        <f t="shared" si="33"/>
        <v>0.1273</v>
      </c>
      <c r="S379" s="48">
        <f t="shared" si="34"/>
        <v>127.3</v>
      </c>
      <c r="T379" s="47" t="s">
        <v>349</v>
      </c>
      <c r="U379" s="40" t="s">
        <v>177</v>
      </c>
      <c r="V379" s="38">
        <v>7.1879</v>
      </c>
      <c r="W379" s="49">
        <f t="shared" si="35"/>
        <v>129.24498114887521</v>
      </c>
    </row>
    <row r="380" spans="1:23" x14ac:dyDescent="0.2">
      <c r="A380" s="40" t="s">
        <v>895</v>
      </c>
      <c r="B380" s="41">
        <v>45666</v>
      </c>
      <c r="C380" s="41">
        <v>45650</v>
      </c>
      <c r="D380" s="40" t="s">
        <v>696</v>
      </c>
      <c r="E380" s="40" t="s">
        <v>697</v>
      </c>
      <c r="G380" s="40" t="s">
        <v>699</v>
      </c>
      <c r="H380" s="40" t="s">
        <v>694</v>
      </c>
      <c r="I380" s="40" t="s">
        <v>695</v>
      </c>
      <c r="J380" s="43" t="str">
        <f t="shared" si="30"/>
        <v>ANYD</v>
      </c>
      <c r="K380" s="40" t="s">
        <v>10</v>
      </c>
      <c r="L380" s="44">
        <v>1000</v>
      </c>
      <c r="M380" s="40" t="s">
        <v>1472</v>
      </c>
      <c r="N380" s="40" t="s">
        <v>11</v>
      </c>
      <c r="O380" s="40">
        <v>5.49</v>
      </c>
      <c r="P380" s="45">
        <f t="shared" si="31"/>
        <v>5490</v>
      </c>
      <c r="Q380" s="46">
        <f t="shared" si="32"/>
        <v>7.3003400000000003</v>
      </c>
      <c r="R380" s="47">
        <f t="shared" si="33"/>
        <v>0.752</v>
      </c>
      <c r="S380" s="48">
        <f t="shared" si="34"/>
        <v>752</v>
      </c>
      <c r="T380" s="47" t="s">
        <v>349</v>
      </c>
      <c r="U380" s="40" t="s">
        <v>36</v>
      </c>
      <c r="V380" s="38">
        <v>7.1879</v>
      </c>
      <c r="W380" s="49">
        <f t="shared" si="35"/>
        <v>763.78358073985453</v>
      </c>
    </row>
    <row r="381" spans="1:23" x14ac:dyDescent="0.2">
      <c r="A381" s="40" t="s">
        <v>399</v>
      </c>
      <c r="B381" s="41">
        <v>45670</v>
      </c>
      <c r="C381" s="41">
        <v>45664</v>
      </c>
      <c r="D381" s="40" t="s">
        <v>5</v>
      </c>
      <c r="E381" s="40" t="s">
        <v>6</v>
      </c>
      <c r="G381" s="40" t="s">
        <v>393</v>
      </c>
      <c r="H381" s="40" t="s">
        <v>397</v>
      </c>
      <c r="I381" s="40" t="s">
        <v>398</v>
      </c>
      <c r="J381" s="43" t="str">
        <f t="shared" si="30"/>
        <v>BOX-</v>
      </c>
      <c r="K381" s="40" t="s">
        <v>10</v>
      </c>
      <c r="L381" s="44">
        <v>2020</v>
      </c>
      <c r="M381" s="40" t="s">
        <v>1472</v>
      </c>
      <c r="N381" s="40" t="s">
        <v>11</v>
      </c>
      <c r="O381" s="40">
        <v>5.64</v>
      </c>
      <c r="P381" s="45">
        <f t="shared" si="31"/>
        <v>11392.8</v>
      </c>
      <c r="Q381" s="46">
        <f t="shared" si="32"/>
        <v>7.3003400000000003</v>
      </c>
      <c r="R381" s="47">
        <f t="shared" si="33"/>
        <v>0.77259999999999995</v>
      </c>
      <c r="S381" s="48">
        <f t="shared" si="34"/>
        <v>1560.65</v>
      </c>
      <c r="T381" s="47" t="s">
        <v>349</v>
      </c>
      <c r="U381" s="40" t="s">
        <v>1</v>
      </c>
      <c r="V381" s="38">
        <v>7.1879</v>
      </c>
      <c r="W381" s="49">
        <f t="shared" si="35"/>
        <v>1584.9970088621155</v>
      </c>
    </row>
    <row r="382" spans="1:23" x14ac:dyDescent="0.2">
      <c r="A382" s="40" t="s">
        <v>396</v>
      </c>
      <c r="B382" s="41">
        <v>45670</v>
      </c>
      <c r="C382" s="41">
        <v>45664</v>
      </c>
      <c r="D382" s="40" t="s">
        <v>5</v>
      </c>
      <c r="E382" s="40" t="s">
        <v>6</v>
      </c>
      <c r="G382" s="40" t="s">
        <v>393</v>
      </c>
      <c r="H382" s="40" t="s">
        <v>394</v>
      </c>
      <c r="I382" s="40" t="s">
        <v>395</v>
      </c>
      <c r="J382" s="43" t="str">
        <f t="shared" si="30"/>
        <v>BOX-</v>
      </c>
      <c r="K382" s="40" t="s">
        <v>10</v>
      </c>
      <c r="L382" s="44">
        <v>2020</v>
      </c>
      <c r="M382" s="40" t="s">
        <v>1472</v>
      </c>
      <c r="N382" s="40" t="s">
        <v>11</v>
      </c>
      <c r="O382" s="40">
        <v>5.64</v>
      </c>
      <c r="P382" s="45">
        <f t="shared" si="31"/>
        <v>11392.8</v>
      </c>
      <c r="Q382" s="46">
        <f t="shared" si="32"/>
        <v>7.3003400000000003</v>
      </c>
      <c r="R382" s="47">
        <f t="shared" si="33"/>
        <v>0.77259999999999995</v>
      </c>
      <c r="S382" s="48">
        <f t="shared" si="34"/>
        <v>1560.65</v>
      </c>
      <c r="T382" s="47" t="s">
        <v>349</v>
      </c>
      <c r="U382" s="40" t="s">
        <v>1</v>
      </c>
      <c r="V382" s="38">
        <v>7.1879</v>
      </c>
      <c r="W382" s="49">
        <f t="shared" si="35"/>
        <v>1584.9970088621155</v>
      </c>
    </row>
    <row r="383" spans="1:23" x14ac:dyDescent="0.2">
      <c r="A383" s="40" t="s">
        <v>1407</v>
      </c>
      <c r="B383" s="41">
        <v>45659</v>
      </c>
      <c r="C383" s="41">
        <v>45639</v>
      </c>
      <c r="D383" s="40" t="s">
        <v>569</v>
      </c>
      <c r="E383" s="40" t="s">
        <v>570</v>
      </c>
      <c r="G383" s="40" t="s">
        <v>1403</v>
      </c>
      <c r="H383" s="40" t="s">
        <v>1405</v>
      </c>
      <c r="I383" s="40" t="s">
        <v>1406</v>
      </c>
      <c r="J383" s="43" t="str">
        <f t="shared" si="30"/>
        <v>ANYD</v>
      </c>
      <c r="K383" s="40" t="s">
        <v>10</v>
      </c>
      <c r="L383" s="44">
        <v>520</v>
      </c>
      <c r="M383" s="40" t="s">
        <v>1472</v>
      </c>
      <c r="N383" s="40" t="s">
        <v>11</v>
      </c>
      <c r="O383" s="40">
        <v>5.7</v>
      </c>
      <c r="P383" s="45">
        <f t="shared" si="31"/>
        <v>2964</v>
      </c>
      <c r="Q383" s="46">
        <f t="shared" si="32"/>
        <v>7.3003400000000003</v>
      </c>
      <c r="R383" s="47">
        <f t="shared" si="33"/>
        <v>0.78080000000000005</v>
      </c>
      <c r="S383" s="48">
        <f t="shared" si="34"/>
        <v>406.02</v>
      </c>
      <c r="T383" s="47" t="s">
        <v>349</v>
      </c>
      <c r="U383" s="40" t="s">
        <v>36</v>
      </c>
      <c r="V383" s="38">
        <v>7.1879</v>
      </c>
      <c r="W383" s="49">
        <f t="shared" si="35"/>
        <v>412.35965998414002</v>
      </c>
    </row>
    <row r="384" spans="1:23" x14ac:dyDescent="0.2">
      <c r="A384" s="40" t="s">
        <v>768</v>
      </c>
      <c r="B384" s="41">
        <v>45666</v>
      </c>
      <c r="C384" s="41">
        <v>45650</v>
      </c>
      <c r="D384" s="40" t="s">
        <v>569</v>
      </c>
      <c r="E384" s="40" t="s">
        <v>570</v>
      </c>
      <c r="G384" s="40" t="s">
        <v>762</v>
      </c>
      <c r="H384" s="40" t="s">
        <v>766</v>
      </c>
      <c r="I384" s="40" t="s">
        <v>767</v>
      </c>
      <c r="J384" s="43" t="str">
        <f t="shared" si="30"/>
        <v>ANYD</v>
      </c>
      <c r="K384" s="40" t="s">
        <v>10</v>
      </c>
      <c r="L384" s="44">
        <v>700</v>
      </c>
      <c r="M384" s="40" t="s">
        <v>1472</v>
      </c>
      <c r="N384" s="40" t="s">
        <v>11</v>
      </c>
      <c r="O384" s="40">
        <v>5.7</v>
      </c>
      <c r="P384" s="45">
        <f t="shared" si="31"/>
        <v>3990</v>
      </c>
      <c r="Q384" s="46">
        <f t="shared" si="32"/>
        <v>7.3003400000000003</v>
      </c>
      <c r="R384" s="47">
        <f t="shared" si="33"/>
        <v>0.78080000000000005</v>
      </c>
      <c r="S384" s="48">
        <f t="shared" si="34"/>
        <v>546.55999999999995</v>
      </c>
      <c r="T384" s="47" t="s">
        <v>349</v>
      </c>
      <c r="U384" s="40" t="s">
        <v>36</v>
      </c>
      <c r="V384" s="38">
        <v>7.1879</v>
      </c>
      <c r="W384" s="49">
        <f t="shared" si="35"/>
        <v>555.0995422863424</v>
      </c>
    </row>
    <row r="385" spans="1:23" x14ac:dyDescent="0.2">
      <c r="A385" s="40" t="s">
        <v>768</v>
      </c>
      <c r="B385" s="41">
        <v>45659</v>
      </c>
      <c r="C385" s="41">
        <v>45650</v>
      </c>
      <c r="D385" s="40" t="s">
        <v>569</v>
      </c>
      <c r="E385" s="40" t="s">
        <v>570</v>
      </c>
      <c r="G385" s="40" t="s">
        <v>1418</v>
      </c>
      <c r="H385" s="40" t="s">
        <v>766</v>
      </c>
      <c r="I385" s="40" t="s">
        <v>767</v>
      </c>
      <c r="J385" s="43" t="str">
        <f t="shared" si="30"/>
        <v>ANYD</v>
      </c>
      <c r="K385" s="40" t="s">
        <v>10</v>
      </c>
      <c r="L385" s="44">
        <v>300</v>
      </c>
      <c r="M385" s="40" t="s">
        <v>1472</v>
      </c>
      <c r="N385" s="40" t="s">
        <v>11</v>
      </c>
      <c r="O385" s="40">
        <v>5.7</v>
      </c>
      <c r="P385" s="45">
        <f t="shared" si="31"/>
        <v>1710</v>
      </c>
      <c r="Q385" s="46">
        <f t="shared" si="32"/>
        <v>7.3003400000000003</v>
      </c>
      <c r="R385" s="47">
        <f t="shared" si="33"/>
        <v>0.78080000000000005</v>
      </c>
      <c r="S385" s="48">
        <f t="shared" si="34"/>
        <v>234.24</v>
      </c>
      <c r="T385" s="47" t="s">
        <v>349</v>
      </c>
      <c r="U385" s="40" t="s">
        <v>36</v>
      </c>
      <c r="V385" s="38">
        <v>7.1879</v>
      </c>
      <c r="W385" s="49">
        <f t="shared" si="35"/>
        <v>237.89980383700387</v>
      </c>
    </row>
    <row r="386" spans="1:23" x14ac:dyDescent="0.2">
      <c r="A386" s="40" t="s">
        <v>1417</v>
      </c>
      <c r="B386" s="41">
        <v>45659</v>
      </c>
      <c r="C386" s="41">
        <v>45652</v>
      </c>
      <c r="D386" s="40" t="s">
        <v>569</v>
      </c>
      <c r="E386" s="40" t="s">
        <v>570</v>
      </c>
      <c r="G386" s="40" t="s">
        <v>1418</v>
      </c>
      <c r="H386" s="40" t="s">
        <v>1415</v>
      </c>
      <c r="I386" s="40" t="s">
        <v>1416</v>
      </c>
      <c r="J386" s="43" t="str">
        <f t="shared" ref="J386:J449" si="36">+LEFT(U386,4)</f>
        <v>ANYD</v>
      </c>
      <c r="K386" s="40" t="s">
        <v>10</v>
      </c>
      <c r="L386" s="44">
        <v>1000</v>
      </c>
      <c r="M386" s="40" t="s">
        <v>1472</v>
      </c>
      <c r="N386" s="40" t="s">
        <v>11</v>
      </c>
      <c r="O386" s="40">
        <v>5.7</v>
      </c>
      <c r="P386" s="45">
        <f t="shared" ref="P386:P449" si="37">ROUND(O386*L386,2)</f>
        <v>5700</v>
      </c>
      <c r="Q386" s="46">
        <f t="shared" ref="Q386:Q449" si="38">IF(N386="HKD",7.8,IF(N386="CNY",7.30034,1))</f>
        <v>7.3003400000000003</v>
      </c>
      <c r="R386" s="47">
        <f t="shared" ref="R386:R449" si="39">+ROUND(O386/Q386,4)</f>
        <v>0.78080000000000005</v>
      </c>
      <c r="S386" s="48">
        <f t="shared" ref="S386:S449" si="40">ROUND(R386*L386,2)</f>
        <v>780.8</v>
      </c>
      <c r="T386" s="47" t="s">
        <v>349</v>
      </c>
      <c r="U386" s="40" t="s">
        <v>36</v>
      </c>
      <c r="V386" s="38">
        <v>7.1879</v>
      </c>
      <c r="W386" s="49">
        <f t="shared" ref="W386:W449" si="41">IF(N386="CNY",O386/V386*L386,1)</f>
        <v>792.99934612334619</v>
      </c>
    </row>
    <row r="387" spans="1:23" x14ac:dyDescent="0.2">
      <c r="A387" s="40" t="s">
        <v>277</v>
      </c>
      <c r="B387" s="41">
        <v>45673</v>
      </c>
      <c r="C387" s="41">
        <v>45615</v>
      </c>
      <c r="D387" s="40" t="s">
        <v>149</v>
      </c>
      <c r="E387" s="40" t="s">
        <v>150</v>
      </c>
      <c r="G387" s="40" t="s">
        <v>273</v>
      </c>
      <c r="H387" s="40" t="s">
        <v>274</v>
      </c>
      <c r="I387" s="40" t="s">
        <v>275</v>
      </c>
      <c r="J387" s="43" t="str">
        <f t="shared" si="36"/>
        <v>SKU-</v>
      </c>
      <c r="K387" s="40" t="s">
        <v>98</v>
      </c>
      <c r="L387" s="44">
        <v>500</v>
      </c>
      <c r="M387" s="40" t="s">
        <v>1472</v>
      </c>
      <c r="N387" s="40" t="s">
        <v>11</v>
      </c>
      <c r="O387" s="40">
        <v>5.7253999999999996</v>
      </c>
      <c r="P387" s="45">
        <f t="shared" si="37"/>
        <v>2862.7</v>
      </c>
      <c r="Q387" s="46">
        <f t="shared" si="38"/>
        <v>7.3003400000000003</v>
      </c>
      <c r="R387" s="47">
        <f t="shared" si="39"/>
        <v>0.7843</v>
      </c>
      <c r="S387" s="48">
        <f t="shared" si="40"/>
        <v>392.15</v>
      </c>
      <c r="T387" s="47" t="s">
        <v>349</v>
      </c>
      <c r="U387" s="40" t="s">
        <v>2</v>
      </c>
      <c r="V387" s="38">
        <v>7.1879</v>
      </c>
      <c r="W387" s="49">
        <f t="shared" si="41"/>
        <v>398.26653125391283</v>
      </c>
    </row>
    <row r="388" spans="1:23" x14ac:dyDescent="0.2">
      <c r="A388" s="40" t="s">
        <v>277</v>
      </c>
      <c r="B388" s="41">
        <v>45672</v>
      </c>
      <c r="C388" s="41">
        <v>45615</v>
      </c>
      <c r="D388" s="40" t="s">
        <v>149</v>
      </c>
      <c r="E388" s="40" t="s">
        <v>150</v>
      </c>
      <c r="G388" s="40" t="s">
        <v>348</v>
      </c>
      <c r="H388" s="40" t="s">
        <v>274</v>
      </c>
      <c r="I388" s="40" t="s">
        <v>275</v>
      </c>
      <c r="J388" s="43" t="str">
        <f t="shared" si="36"/>
        <v>SKU-</v>
      </c>
      <c r="K388" s="40" t="s">
        <v>98</v>
      </c>
      <c r="L388" s="44">
        <v>4000</v>
      </c>
      <c r="M388" s="40" t="s">
        <v>1472</v>
      </c>
      <c r="N388" s="40" t="s">
        <v>11</v>
      </c>
      <c r="O388" s="40">
        <v>5.7253999999999996</v>
      </c>
      <c r="P388" s="45">
        <f t="shared" si="37"/>
        <v>22901.599999999999</v>
      </c>
      <c r="Q388" s="46">
        <f t="shared" si="38"/>
        <v>7.3003400000000003</v>
      </c>
      <c r="R388" s="47">
        <f t="shared" si="39"/>
        <v>0.7843</v>
      </c>
      <c r="S388" s="48">
        <f t="shared" si="40"/>
        <v>3137.2</v>
      </c>
      <c r="T388" s="47" t="s">
        <v>349</v>
      </c>
      <c r="U388" s="40" t="s">
        <v>2</v>
      </c>
      <c r="V388" s="38">
        <v>7.1879</v>
      </c>
      <c r="W388" s="49">
        <f t="shared" si="41"/>
        <v>3186.1322500313026</v>
      </c>
    </row>
    <row r="389" spans="1:23" x14ac:dyDescent="0.2">
      <c r="A389" s="40" t="s">
        <v>276</v>
      </c>
      <c r="B389" s="41">
        <v>45673</v>
      </c>
      <c r="C389" s="41">
        <v>45639</v>
      </c>
      <c r="D389" s="40" t="s">
        <v>149</v>
      </c>
      <c r="E389" s="40" t="s">
        <v>150</v>
      </c>
      <c r="G389" s="40" t="s">
        <v>273</v>
      </c>
      <c r="H389" s="40" t="s">
        <v>274</v>
      </c>
      <c r="I389" s="40" t="s">
        <v>275</v>
      </c>
      <c r="J389" s="43" t="str">
        <f t="shared" si="36"/>
        <v>SKU-</v>
      </c>
      <c r="K389" s="40" t="s">
        <v>98</v>
      </c>
      <c r="L389" s="44">
        <v>4500</v>
      </c>
      <c r="M389" s="40" t="s">
        <v>1472</v>
      </c>
      <c r="N389" s="40" t="s">
        <v>11</v>
      </c>
      <c r="O389" s="40">
        <v>5.7253999999999996</v>
      </c>
      <c r="P389" s="45">
        <f t="shared" si="37"/>
        <v>25764.3</v>
      </c>
      <c r="Q389" s="46">
        <f t="shared" si="38"/>
        <v>7.3003400000000003</v>
      </c>
      <c r="R389" s="47">
        <f t="shared" si="39"/>
        <v>0.7843</v>
      </c>
      <c r="S389" s="48">
        <f t="shared" si="40"/>
        <v>3529.35</v>
      </c>
      <c r="T389" s="47" t="s">
        <v>349</v>
      </c>
      <c r="U389" s="40" t="s">
        <v>2</v>
      </c>
      <c r="V389" s="38">
        <v>7.1879</v>
      </c>
      <c r="W389" s="49">
        <f t="shared" si="41"/>
        <v>3584.3987812852151</v>
      </c>
    </row>
    <row r="390" spans="1:23" x14ac:dyDescent="0.2">
      <c r="A390" s="40" t="s">
        <v>362</v>
      </c>
      <c r="B390" s="41">
        <v>45671</v>
      </c>
      <c r="C390" s="41">
        <v>45615</v>
      </c>
      <c r="D390" s="40" t="s">
        <v>94</v>
      </c>
      <c r="E390" s="40" t="s">
        <v>95</v>
      </c>
      <c r="G390" s="40" t="s">
        <v>363</v>
      </c>
      <c r="H390" s="40" t="s">
        <v>360</v>
      </c>
      <c r="I390" s="40" t="s">
        <v>361</v>
      </c>
      <c r="J390" s="43" t="str">
        <f t="shared" si="36"/>
        <v>SKU-</v>
      </c>
      <c r="K390" s="40" t="s">
        <v>98</v>
      </c>
      <c r="L390" s="44">
        <v>2860</v>
      </c>
      <c r="M390" s="40" t="s">
        <v>1472</v>
      </c>
      <c r="N390" s="40" t="s">
        <v>11</v>
      </c>
      <c r="O390" s="40">
        <v>5.8230000000000004</v>
      </c>
      <c r="P390" s="45">
        <f t="shared" si="37"/>
        <v>16653.78</v>
      </c>
      <c r="Q390" s="46">
        <f t="shared" si="38"/>
        <v>7.3003400000000003</v>
      </c>
      <c r="R390" s="47">
        <f t="shared" si="39"/>
        <v>0.79759999999999998</v>
      </c>
      <c r="S390" s="48">
        <f t="shared" si="40"/>
        <v>2281.14</v>
      </c>
      <c r="T390" s="47" t="s">
        <v>349</v>
      </c>
      <c r="U390" s="40" t="s">
        <v>2</v>
      </c>
      <c r="V390" s="38">
        <v>7.1879</v>
      </c>
      <c r="W390" s="49">
        <f t="shared" si="41"/>
        <v>2316.918710610888</v>
      </c>
    </row>
    <row r="391" spans="1:23" x14ac:dyDescent="0.2">
      <c r="A391" s="40" t="s">
        <v>362</v>
      </c>
      <c r="B391" s="41">
        <v>45670</v>
      </c>
      <c r="C391" s="41">
        <v>45615</v>
      </c>
      <c r="D391" s="40" t="s">
        <v>94</v>
      </c>
      <c r="E391" s="40" t="s">
        <v>95</v>
      </c>
      <c r="G391" s="40" t="s">
        <v>610</v>
      </c>
      <c r="H391" s="40" t="s">
        <v>360</v>
      </c>
      <c r="I391" s="40" t="s">
        <v>361</v>
      </c>
      <c r="J391" s="43" t="str">
        <f t="shared" si="36"/>
        <v>SKU-</v>
      </c>
      <c r="K391" s="40" t="s">
        <v>98</v>
      </c>
      <c r="L391" s="44">
        <v>2640</v>
      </c>
      <c r="M391" s="40" t="s">
        <v>1472</v>
      </c>
      <c r="N391" s="40" t="s">
        <v>11</v>
      </c>
      <c r="O391" s="40">
        <v>5.8230000000000004</v>
      </c>
      <c r="P391" s="45">
        <f t="shared" si="37"/>
        <v>15372.72</v>
      </c>
      <c r="Q391" s="46">
        <f t="shared" si="38"/>
        <v>7.3003400000000003</v>
      </c>
      <c r="R391" s="47">
        <f t="shared" si="39"/>
        <v>0.79759999999999998</v>
      </c>
      <c r="S391" s="48">
        <f t="shared" si="40"/>
        <v>2105.66</v>
      </c>
      <c r="T391" s="47" t="s">
        <v>349</v>
      </c>
      <c r="U391" s="40" t="s">
        <v>2</v>
      </c>
      <c r="V391" s="38">
        <v>7.1879</v>
      </c>
      <c r="W391" s="49">
        <f t="shared" si="41"/>
        <v>2138.6941944100504</v>
      </c>
    </row>
    <row r="392" spans="1:23" x14ac:dyDescent="0.2">
      <c r="A392" s="40" t="s">
        <v>918</v>
      </c>
      <c r="B392" s="41">
        <v>45665</v>
      </c>
      <c r="C392" s="41">
        <v>45646</v>
      </c>
      <c r="D392" s="40" t="s">
        <v>866</v>
      </c>
      <c r="E392" s="40" t="s">
        <v>867</v>
      </c>
      <c r="G392" s="40" t="s">
        <v>919</v>
      </c>
      <c r="H392" s="40" t="s">
        <v>916</v>
      </c>
      <c r="I392" s="40" t="s">
        <v>917</v>
      </c>
      <c r="J392" s="43" t="str">
        <f t="shared" si="36"/>
        <v>ANYD</v>
      </c>
      <c r="K392" s="40" t="s">
        <v>10</v>
      </c>
      <c r="L392" s="44">
        <v>19992</v>
      </c>
      <c r="M392" s="40" t="s">
        <v>1472</v>
      </c>
      <c r="N392" s="40" t="s">
        <v>11</v>
      </c>
      <c r="O392" s="40">
        <v>5.9381000000000004</v>
      </c>
      <c r="P392" s="45">
        <f t="shared" si="37"/>
        <v>118714.5</v>
      </c>
      <c r="Q392" s="46">
        <f t="shared" si="38"/>
        <v>7.3003400000000003</v>
      </c>
      <c r="R392" s="47">
        <f t="shared" si="39"/>
        <v>0.81340000000000001</v>
      </c>
      <c r="S392" s="48">
        <f t="shared" si="40"/>
        <v>16261.49</v>
      </c>
      <c r="T392" s="47" t="s">
        <v>349</v>
      </c>
      <c r="U392" s="40" t="s">
        <v>36</v>
      </c>
      <c r="V392" s="38">
        <v>7.1879</v>
      </c>
      <c r="W392" s="49">
        <f t="shared" si="41"/>
        <v>16515.88018753739</v>
      </c>
    </row>
    <row r="393" spans="1:23" x14ac:dyDescent="0.2">
      <c r="A393" s="40" t="s">
        <v>702</v>
      </c>
      <c r="B393" s="41">
        <v>45667</v>
      </c>
      <c r="C393" s="41">
        <v>45610</v>
      </c>
      <c r="D393" s="40" t="s">
        <v>696</v>
      </c>
      <c r="E393" s="40" t="s">
        <v>697</v>
      </c>
      <c r="G393" s="40" t="s">
        <v>699</v>
      </c>
      <c r="H393" s="40" t="s">
        <v>700</v>
      </c>
      <c r="I393" s="40" t="s">
        <v>701</v>
      </c>
      <c r="J393" s="43" t="str">
        <f t="shared" si="36"/>
        <v>ANYD</v>
      </c>
      <c r="K393" s="40" t="s">
        <v>10</v>
      </c>
      <c r="L393" s="44">
        <v>470</v>
      </c>
      <c r="M393" s="40" t="s">
        <v>1472</v>
      </c>
      <c r="N393" s="40" t="s">
        <v>11</v>
      </c>
      <c r="O393" s="40">
        <v>6.01</v>
      </c>
      <c r="P393" s="45">
        <f t="shared" si="37"/>
        <v>2824.7</v>
      </c>
      <c r="Q393" s="46">
        <f t="shared" si="38"/>
        <v>7.3003400000000003</v>
      </c>
      <c r="R393" s="47">
        <f t="shared" si="39"/>
        <v>0.82320000000000004</v>
      </c>
      <c r="S393" s="48">
        <f t="shared" si="40"/>
        <v>386.9</v>
      </c>
      <c r="T393" s="47" t="s">
        <v>349</v>
      </c>
      <c r="U393" s="40" t="s">
        <v>36</v>
      </c>
      <c r="V393" s="38">
        <v>7.1879</v>
      </c>
      <c r="W393" s="49">
        <f t="shared" si="41"/>
        <v>392.97986894642384</v>
      </c>
    </row>
    <row r="394" spans="1:23" x14ac:dyDescent="0.2">
      <c r="A394" s="40" t="s">
        <v>702</v>
      </c>
      <c r="B394" s="41">
        <v>45666</v>
      </c>
      <c r="C394" s="41">
        <v>45610</v>
      </c>
      <c r="D394" s="40" t="s">
        <v>696</v>
      </c>
      <c r="E394" s="40" t="s">
        <v>697</v>
      </c>
      <c r="G394" s="40" t="s">
        <v>758</v>
      </c>
      <c r="H394" s="40" t="s">
        <v>700</v>
      </c>
      <c r="I394" s="40" t="s">
        <v>701</v>
      </c>
      <c r="J394" s="43" t="str">
        <f t="shared" si="36"/>
        <v>ANYD</v>
      </c>
      <c r="K394" s="40" t="s">
        <v>10</v>
      </c>
      <c r="L394" s="44">
        <v>-470</v>
      </c>
      <c r="M394" s="40" t="s">
        <v>1472</v>
      </c>
      <c r="N394" s="40" t="s">
        <v>11</v>
      </c>
      <c r="O394" s="40">
        <v>6.01</v>
      </c>
      <c r="P394" s="45">
        <f t="shared" si="37"/>
        <v>-2824.7</v>
      </c>
      <c r="Q394" s="46">
        <f t="shared" si="38"/>
        <v>7.3003400000000003</v>
      </c>
      <c r="R394" s="47">
        <f t="shared" si="39"/>
        <v>0.82320000000000004</v>
      </c>
      <c r="S394" s="48">
        <f t="shared" si="40"/>
        <v>-386.9</v>
      </c>
      <c r="T394" s="47" t="s">
        <v>349</v>
      </c>
      <c r="U394" s="40" t="s">
        <v>36</v>
      </c>
      <c r="V394" s="38">
        <v>7.1879</v>
      </c>
      <c r="W394" s="49">
        <f t="shared" si="41"/>
        <v>-392.97986894642384</v>
      </c>
    </row>
    <row r="395" spans="1:23" x14ac:dyDescent="0.2">
      <c r="A395" s="40" t="s">
        <v>894</v>
      </c>
      <c r="B395" s="41">
        <v>45666</v>
      </c>
      <c r="C395" s="41">
        <v>45653</v>
      </c>
      <c r="D395" s="40" t="s">
        <v>696</v>
      </c>
      <c r="E395" s="40" t="s">
        <v>697</v>
      </c>
      <c r="G395" s="40" t="s">
        <v>699</v>
      </c>
      <c r="H395" s="40" t="s">
        <v>700</v>
      </c>
      <c r="I395" s="40" t="s">
        <v>701</v>
      </c>
      <c r="J395" s="43" t="str">
        <f t="shared" si="36"/>
        <v>ANYD</v>
      </c>
      <c r="K395" s="40" t="s">
        <v>10</v>
      </c>
      <c r="L395" s="44">
        <v>1000</v>
      </c>
      <c r="M395" s="40" t="s">
        <v>1472</v>
      </c>
      <c r="N395" s="40" t="s">
        <v>11</v>
      </c>
      <c r="O395" s="40">
        <v>6.01</v>
      </c>
      <c r="P395" s="45">
        <f t="shared" si="37"/>
        <v>6010</v>
      </c>
      <c r="Q395" s="46">
        <f t="shared" si="38"/>
        <v>7.3003400000000003</v>
      </c>
      <c r="R395" s="47">
        <f t="shared" si="39"/>
        <v>0.82320000000000004</v>
      </c>
      <c r="S395" s="48">
        <f t="shared" si="40"/>
        <v>823.2</v>
      </c>
      <c r="T395" s="47" t="s">
        <v>349</v>
      </c>
      <c r="U395" s="40" t="s">
        <v>36</v>
      </c>
      <c r="V395" s="38">
        <v>7.1879</v>
      </c>
      <c r="W395" s="49">
        <f t="shared" si="41"/>
        <v>836.12738073707203</v>
      </c>
    </row>
    <row r="396" spans="1:23" x14ac:dyDescent="0.2">
      <c r="A396" s="40" t="s">
        <v>868</v>
      </c>
      <c r="B396" s="41">
        <v>45666</v>
      </c>
      <c r="C396" s="41">
        <v>45309</v>
      </c>
      <c r="D396" s="40" t="s">
        <v>866</v>
      </c>
      <c r="E396" s="40" t="s">
        <v>867</v>
      </c>
      <c r="G396" s="40" t="s">
        <v>869</v>
      </c>
      <c r="H396" s="40" t="s">
        <v>864</v>
      </c>
      <c r="I396" s="40" t="s">
        <v>865</v>
      </c>
      <c r="J396" s="43" t="str">
        <f t="shared" si="36"/>
        <v>ANYD</v>
      </c>
      <c r="K396" s="40" t="s">
        <v>10</v>
      </c>
      <c r="L396" s="44">
        <v>3120</v>
      </c>
      <c r="M396" s="40" t="s">
        <v>1472</v>
      </c>
      <c r="N396" s="40" t="s">
        <v>11</v>
      </c>
      <c r="O396" s="40">
        <v>6.0212000000000003</v>
      </c>
      <c r="P396" s="45">
        <f t="shared" si="37"/>
        <v>18786.14</v>
      </c>
      <c r="Q396" s="46">
        <f t="shared" si="38"/>
        <v>7.3003400000000003</v>
      </c>
      <c r="R396" s="47">
        <f t="shared" si="39"/>
        <v>0.82479999999999998</v>
      </c>
      <c r="S396" s="48">
        <f t="shared" si="40"/>
        <v>2573.38</v>
      </c>
      <c r="T396" s="47" t="s">
        <v>349</v>
      </c>
      <c r="U396" s="40" t="s">
        <v>36</v>
      </c>
      <c r="V396" s="38">
        <v>7.1879</v>
      </c>
      <c r="W396" s="49">
        <f t="shared" si="41"/>
        <v>2613.5789312594779</v>
      </c>
    </row>
    <row r="397" spans="1:23" x14ac:dyDescent="0.2">
      <c r="A397" s="40" t="s">
        <v>1311</v>
      </c>
      <c r="B397" s="41">
        <v>45660</v>
      </c>
      <c r="C397" s="41">
        <v>45629</v>
      </c>
      <c r="D397" s="40" t="s">
        <v>149</v>
      </c>
      <c r="E397" s="40" t="s">
        <v>150</v>
      </c>
      <c r="G397" s="40" t="s">
        <v>1312</v>
      </c>
      <c r="H397" s="40" t="s">
        <v>1309</v>
      </c>
      <c r="I397" s="40" t="s">
        <v>1310</v>
      </c>
      <c r="J397" s="43" t="str">
        <f t="shared" si="36"/>
        <v>GLID</v>
      </c>
      <c r="K397" s="40" t="s">
        <v>10</v>
      </c>
      <c r="L397" s="44">
        <v>1020</v>
      </c>
      <c r="M397" s="40" t="s">
        <v>1472</v>
      </c>
      <c r="N397" s="40" t="s">
        <v>11</v>
      </c>
      <c r="O397" s="40">
        <v>6.1177000000000001</v>
      </c>
      <c r="P397" s="45">
        <f t="shared" si="37"/>
        <v>6240.05</v>
      </c>
      <c r="Q397" s="46">
        <f t="shared" si="38"/>
        <v>7.3003400000000003</v>
      </c>
      <c r="R397" s="47">
        <f t="shared" si="39"/>
        <v>0.83799999999999997</v>
      </c>
      <c r="S397" s="48">
        <f t="shared" si="40"/>
        <v>854.76</v>
      </c>
      <c r="T397" s="47" t="s">
        <v>349</v>
      </c>
      <c r="U397" s="40" t="s">
        <v>78</v>
      </c>
      <c r="V397" s="38">
        <v>7.1879</v>
      </c>
      <c r="W397" s="49">
        <f t="shared" si="41"/>
        <v>868.13311259199497</v>
      </c>
    </row>
    <row r="398" spans="1:23" x14ac:dyDescent="0.2">
      <c r="A398" s="40" t="s">
        <v>488</v>
      </c>
      <c r="B398" s="41">
        <v>45670</v>
      </c>
      <c r="C398" s="41">
        <v>45663</v>
      </c>
      <c r="D398" s="40" t="s">
        <v>5</v>
      </c>
      <c r="E398" s="40" t="s">
        <v>6</v>
      </c>
      <c r="G398" s="40" t="s">
        <v>458</v>
      </c>
      <c r="H398" s="40" t="s">
        <v>486</v>
      </c>
      <c r="I398" s="40" t="s">
        <v>487</v>
      </c>
      <c r="J398" s="43" t="str">
        <f t="shared" si="36"/>
        <v>BOX-</v>
      </c>
      <c r="K398" s="40" t="s">
        <v>10</v>
      </c>
      <c r="L398" s="44">
        <v>1010</v>
      </c>
      <c r="M398" s="40" t="s">
        <v>1472</v>
      </c>
      <c r="N398" s="40" t="s">
        <v>11</v>
      </c>
      <c r="O398" s="40">
        <v>6.27</v>
      </c>
      <c r="P398" s="45">
        <f t="shared" si="37"/>
        <v>6332.7</v>
      </c>
      <c r="Q398" s="46">
        <f t="shared" si="38"/>
        <v>7.3003400000000003</v>
      </c>
      <c r="R398" s="47">
        <f t="shared" si="39"/>
        <v>0.8589</v>
      </c>
      <c r="S398" s="48">
        <f t="shared" si="40"/>
        <v>867.49</v>
      </c>
      <c r="T398" s="47" t="s">
        <v>349</v>
      </c>
      <c r="U398" s="40" t="s">
        <v>1</v>
      </c>
      <c r="V398" s="38">
        <v>7.1879</v>
      </c>
      <c r="W398" s="49">
        <f t="shared" si="41"/>
        <v>881.0222735430375</v>
      </c>
    </row>
    <row r="399" spans="1:23" x14ac:dyDescent="0.2">
      <c r="A399" s="40" t="s">
        <v>96</v>
      </c>
      <c r="B399" s="41">
        <v>45678</v>
      </c>
      <c r="C399" s="41">
        <v>45615</v>
      </c>
      <c r="D399" s="40" t="s">
        <v>94</v>
      </c>
      <c r="E399" s="40" t="s">
        <v>95</v>
      </c>
      <c r="G399" s="40" t="s">
        <v>97</v>
      </c>
      <c r="H399" s="40" t="s">
        <v>92</v>
      </c>
      <c r="I399" s="40" t="s">
        <v>93</v>
      </c>
      <c r="J399" s="43" t="str">
        <f t="shared" si="36"/>
        <v>SKU-</v>
      </c>
      <c r="K399" s="40" t="s">
        <v>98</v>
      </c>
      <c r="L399" s="44">
        <v>600</v>
      </c>
      <c r="M399" s="40" t="s">
        <v>1472</v>
      </c>
      <c r="N399" s="40" t="s">
        <v>11</v>
      </c>
      <c r="O399" s="40">
        <v>6.298</v>
      </c>
      <c r="P399" s="45">
        <f t="shared" si="37"/>
        <v>3778.8</v>
      </c>
      <c r="Q399" s="46">
        <f t="shared" si="38"/>
        <v>7.3003400000000003</v>
      </c>
      <c r="R399" s="47">
        <f t="shared" si="39"/>
        <v>0.86270000000000002</v>
      </c>
      <c r="S399" s="48">
        <f t="shared" si="40"/>
        <v>517.62</v>
      </c>
      <c r="T399" s="47" t="s">
        <v>349</v>
      </c>
      <c r="U399" s="40" t="s">
        <v>2</v>
      </c>
      <c r="V399" s="38">
        <v>7.1879</v>
      </c>
      <c r="W399" s="49">
        <f t="shared" si="41"/>
        <v>525.71682967208778</v>
      </c>
    </row>
    <row r="400" spans="1:23" x14ac:dyDescent="0.2">
      <c r="A400" s="40" t="s">
        <v>96</v>
      </c>
      <c r="B400" s="41">
        <v>45677</v>
      </c>
      <c r="C400" s="41">
        <v>45615</v>
      </c>
      <c r="D400" s="40" t="s">
        <v>94</v>
      </c>
      <c r="E400" s="40" t="s">
        <v>95</v>
      </c>
      <c r="G400" s="40" t="s">
        <v>118</v>
      </c>
      <c r="H400" s="40" t="s">
        <v>92</v>
      </c>
      <c r="I400" s="40" t="s">
        <v>93</v>
      </c>
      <c r="J400" s="43" t="str">
        <f t="shared" si="36"/>
        <v>SKU-</v>
      </c>
      <c r="K400" s="40" t="s">
        <v>98</v>
      </c>
      <c r="L400" s="44">
        <v>600</v>
      </c>
      <c r="M400" s="40" t="s">
        <v>1472</v>
      </c>
      <c r="N400" s="40" t="s">
        <v>11</v>
      </c>
      <c r="O400" s="40">
        <v>6.298</v>
      </c>
      <c r="P400" s="45">
        <f t="shared" si="37"/>
        <v>3778.8</v>
      </c>
      <c r="Q400" s="46">
        <f t="shared" si="38"/>
        <v>7.3003400000000003</v>
      </c>
      <c r="R400" s="47">
        <f t="shared" si="39"/>
        <v>0.86270000000000002</v>
      </c>
      <c r="S400" s="48">
        <f t="shared" si="40"/>
        <v>517.62</v>
      </c>
      <c r="T400" s="47" t="s">
        <v>349</v>
      </c>
      <c r="U400" s="40" t="s">
        <v>2</v>
      </c>
      <c r="V400" s="38">
        <v>7.1879</v>
      </c>
      <c r="W400" s="49">
        <f t="shared" si="41"/>
        <v>525.71682967208778</v>
      </c>
    </row>
    <row r="401" spans="1:23" x14ac:dyDescent="0.2">
      <c r="A401" s="40" t="s">
        <v>96</v>
      </c>
      <c r="B401" s="41">
        <v>45677</v>
      </c>
      <c r="C401" s="41">
        <v>45615</v>
      </c>
      <c r="D401" s="40" t="s">
        <v>94</v>
      </c>
      <c r="E401" s="40" t="s">
        <v>95</v>
      </c>
      <c r="G401" s="40" t="s">
        <v>133</v>
      </c>
      <c r="H401" s="40" t="s">
        <v>92</v>
      </c>
      <c r="I401" s="40" t="s">
        <v>93</v>
      </c>
      <c r="J401" s="43" t="str">
        <f t="shared" si="36"/>
        <v>SKU-</v>
      </c>
      <c r="K401" s="40" t="s">
        <v>98</v>
      </c>
      <c r="L401" s="44">
        <v>1800</v>
      </c>
      <c r="M401" s="40" t="s">
        <v>1472</v>
      </c>
      <c r="N401" s="40" t="s">
        <v>11</v>
      </c>
      <c r="O401" s="40">
        <v>6.298</v>
      </c>
      <c r="P401" s="45">
        <f t="shared" si="37"/>
        <v>11336.4</v>
      </c>
      <c r="Q401" s="46">
        <f t="shared" si="38"/>
        <v>7.3003400000000003</v>
      </c>
      <c r="R401" s="47">
        <f t="shared" si="39"/>
        <v>0.86270000000000002</v>
      </c>
      <c r="S401" s="48">
        <f t="shared" si="40"/>
        <v>1552.86</v>
      </c>
      <c r="T401" s="47" t="s">
        <v>349</v>
      </c>
      <c r="U401" s="40" t="s">
        <v>2</v>
      </c>
      <c r="V401" s="38">
        <v>7.1879</v>
      </c>
      <c r="W401" s="49">
        <f t="shared" si="41"/>
        <v>1577.1504890162635</v>
      </c>
    </row>
    <row r="402" spans="1:23" x14ac:dyDescent="0.2">
      <c r="A402" s="40" t="s">
        <v>289</v>
      </c>
      <c r="B402" s="41">
        <v>45673</v>
      </c>
      <c r="C402" s="41">
        <v>45604</v>
      </c>
      <c r="D402" s="40" t="s">
        <v>287</v>
      </c>
      <c r="E402" s="40" t="s">
        <v>288</v>
      </c>
      <c r="G402" s="40" t="s">
        <v>290</v>
      </c>
      <c r="H402" s="40" t="s">
        <v>81</v>
      </c>
      <c r="I402" s="40" t="s">
        <v>82</v>
      </c>
      <c r="J402" s="43" t="str">
        <f t="shared" si="36"/>
        <v>ANYD</v>
      </c>
      <c r="K402" s="40" t="s">
        <v>10</v>
      </c>
      <c r="L402" s="44">
        <v>540</v>
      </c>
      <c r="M402" s="40" t="s">
        <v>1472</v>
      </c>
      <c r="N402" s="40" t="s">
        <v>11</v>
      </c>
      <c r="O402" s="40">
        <v>6.4610000000000003</v>
      </c>
      <c r="P402" s="45">
        <f t="shared" si="37"/>
        <v>3488.94</v>
      </c>
      <c r="Q402" s="46">
        <f t="shared" si="38"/>
        <v>7.3003400000000003</v>
      </c>
      <c r="R402" s="47">
        <f t="shared" si="39"/>
        <v>0.88500000000000001</v>
      </c>
      <c r="S402" s="48">
        <f t="shared" si="40"/>
        <v>477.9</v>
      </c>
      <c r="T402" s="47" t="s">
        <v>349</v>
      </c>
      <c r="U402" s="40" t="s">
        <v>36</v>
      </c>
      <c r="V402" s="38">
        <v>7.1879</v>
      </c>
      <c r="W402" s="49">
        <f t="shared" si="41"/>
        <v>485.39072608133114</v>
      </c>
    </row>
    <row r="403" spans="1:23" x14ac:dyDescent="0.2">
      <c r="A403" s="40" t="s">
        <v>289</v>
      </c>
      <c r="B403" s="41">
        <v>45667</v>
      </c>
      <c r="C403" s="41">
        <v>45604</v>
      </c>
      <c r="D403" s="40" t="s">
        <v>287</v>
      </c>
      <c r="E403" s="40" t="s">
        <v>288</v>
      </c>
      <c r="G403" s="40" t="s">
        <v>692</v>
      </c>
      <c r="H403" s="40" t="s">
        <v>81</v>
      </c>
      <c r="I403" s="40" t="s">
        <v>82</v>
      </c>
      <c r="J403" s="43" t="str">
        <f t="shared" si="36"/>
        <v>ANYD</v>
      </c>
      <c r="K403" s="40" t="s">
        <v>10</v>
      </c>
      <c r="L403" s="44">
        <v>-540</v>
      </c>
      <c r="M403" s="40" t="s">
        <v>1472</v>
      </c>
      <c r="N403" s="40" t="s">
        <v>11</v>
      </c>
      <c r="O403" s="40">
        <v>6.4610000000000003</v>
      </c>
      <c r="P403" s="45">
        <f t="shared" si="37"/>
        <v>-3488.94</v>
      </c>
      <c r="Q403" s="46">
        <f t="shared" si="38"/>
        <v>7.3003400000000003</v>
      </c>
      <c r="R403" s="47">
        <f t="shared" si="39"/>
        <v>0.88500000000000001</v>
      </c>
      <c r="S403" s="48">
        <f t="shared" si="40"/>
        <v>-477.9</v>
      </c>
      <c r="T403" s="47" t="s">
        <v>349</v>
      </c>
      <c r="U403" s="40" t="s">
        <v>36</v>
      </c>
      <c r="V403" s="38">
        <v>7.1879</v>
      </c>
      <c r="W403" s="49">
        <f t="shared" si="41"/>
        <v>-485.39072608133114</v>
      </c>
    </row>
    <row r="404" spans="1:23" x14ac:dyDescent="0.2">
      <c r="A404" s="40" t="s">
        <v>863</v>
      </c>
      <c r="B404" s="41">
        <v>45666</v>
      </c>
      <c r="C404" s="41">
        <v>45638</v>
      </c>
      <c r="D404" s="40" t="s">
        <v>287</v>
      </c>
      <c r="E404" s="40" t="s">
        <v>288</v>
      </c>
      <c r="G404" s="40" t="s">
        <v>841</v>
      </c>
      <c r="H404" s="40" t="s">
        <v>79</v>
      </c>
      <c r="I404" s="40" t="s">
        <v>80</v>
      </c>
      <c r="J404" s="43" t="str">
        <f t="shared" si="36"/>
        <v>ANYD</v>
      </c>
      <c r="K404" s="40" t="s">
        <v>10</v>
      </c>
      <c r="L404" s="44">
        <v>518</v>
      </c>
      <c r="M404" s="40" t="s">
        <v>1472</v>
      </c>
      <c r="N404" s="40" t="s">
        <v>11</v>
      </c>
      <c r="O404" s="40">
        <v>6.4610000000000003</v>
      </c>
      <c r="P404" s="45">
        <f t="shared" si="37"/>
        <v>3346.8</v>
      </c>
      <c r="Q404" s="46">
        <f t="shared" si="38"/>
        <v>7.3003400000000003</v>
      </c>
      <c r="R404" s="47">
        <f t="shared" si="39"/>
        <v>0.88500000000000001</v>
      </c>
      <c r="S404" s="48">
        <f t="shared" si="40"/>
        <v>458.43</v>
      </c>
      <c r="T404" s="47" t="s">
        <v>349</v>
      </c>
      <c r="U404" s="40" t="s">
        <v>36</v>
      </c>
      <c r="V404" s="38">
        <v>7.1879</v>
      </c>
      <c r="W404" s="49">
        <f t="shared" si="41"/>
        <v>465.61554835209171</v>
      </c>
    </row>
    <row r="405" spans="1:23" x14ac:dyDescent="0.2">
      <c r="A405" s="40" t="s">
        <v>264</v>
      </c>
      <c r="B405" s="41">
        <v>45673</v>
      </c>
      <c r="C405" s="41">
        <v>45636</v>
      </c>
      <c r="D405" s="40" t="s">
        <v>263</v>
      </c>
      <c r="E405" s="40" t="s">
        <v>0</v>
      </c>
      <c r="G405" s="40" t="s">
        <v>265</v>
      </c>
      <c r="H405" s="40" t="s">
        <v>261</v>
      </c>
      <c r="I405" s="40" t="s">
        <v>262</v>
      </c>
      <c r="J405" s="43" t="str">
        <f t="shared" si="36"/>
        <v>LHDL</v>
      </c>
      <c r="K405" s="40" t="s">
        <v>10</v>
      </c>
      <c r="L405" s="44">
        <v>1000</v>
      </c>
      <c r="M405" s="40" t="s">
        <v>1472</v>
      </c>
      <c r="N405" s="40" t="s">
        <v>11</v>
      </c>
      <c r="O405" s="40">
        <v>6.492</v>
      </c>
      <c r="P405" s="45">
        <f t="shared" si="37"/>
        <v>6492</v>
      </c>
      <c r="Q405" s="46">
        <f t="shared" si="38"/>
        <v>7.3003400000000003</v>
      </c>
      <c r="R405" s="47">
        <f t="shared" si="39"/>
        <v>0.88929999999999998</v>
      </c>
      <c r="S405" s="48">
        <f t="shared" si="40"/>
        <v>889.3</v>
      </c>
      <c r="T405" s="47" t="s">
        <v>349</v>
      </c>
      <c r="U405" s="40" t="s">
        <v>125</v>
      </c>
      <c r="V405" s="38">
        <v>7.1879</v>
      </c>
      <c r="W405" s="49">
        <f t="shared" si="41"/>
        <v>903.18451842680054</v>
      </c>
    </row>
    <row r="406" spans="1:23" x14ac:dyDescent="0.2">
      <c r="A406" s="40" t="s">
        <v>139</v>
      </c>
      <c r="B406" s="41">
        <v>45675</v>
      </c>
      <c r="C406" s="41">
        <v>45671</v>
      </c>
      <c r="D406" s="40" t="s">
        <v>137</v>
      </c>
      <c r="E406" s="40" t="s">
        <v>138</v>
      </c>
      <c r="G406" s="40" t="s">
        <v>140</v>
      </c>
      <c r="H406" s="40" t="s">
        <v>134</v>
      </c>
      <c r="I406" s="40" t="s">
        <v>135</v>
      </c>
      <c r="J406" s="43" t="str">
        <f t="shared" si="36"/>
        <v>MISC</v>
      </c>
      <c r="K406" s="40" t="s">
        <v>10</v>
      </c>
      <c r="L406" s="44">
        <v>900</v>
      </c>
      <c r="M406" s="40" t="s">
        <v>136</v>
      </c>
      <c r="N406" s="40" t="s">
        <v>11</v>
      </c>
      <c r="O406" s="40">
        <v>6.5</v>
      </c>
      <c r="P406" s="45">
        <f t="shared" si="37"/>
        <v>5850</v>
      </c>
      <c r="Q406" s="46">
        <f t="shared" si="38"/>
        <v>7.3003400000000003</v>
      </c>
      <c r="R406" s="47">
        <f t="shared" si="39"/>
        <v>0.89039999999999997</v>
      </c>
      <c r="S406" s="48">
        <f t="shared" si="40"/>
        <v>801.36</v>
      </c>
      <c r="T406" s="47" t="s">
        <v>349</v>
      </c>
      <c r="U406" s="40" t="s">
        <v>25</v>
      </c>
      <c r="V406" s="38">
        <v>7.1879</v>
      </c>
      <c r="W406" s="49">
        <f t="shared" si="41"/>
        <v>813.86774996869747</v>
      </c>
    </row>
    <row r="407" spans="1:23" x14ac:dyDescent="0.2">
      <c r="A407" s="40" t="s">
        <v>978</v>
      </c>
      <c r="B407" s="41">
        <v>45664</v>
      </c>
      <c r="C407" s="41">
        <v>45622</v>
      </c>
      <c r="D407" s="40" t="s">
        <v>121</v>
      </c>
      <c r="E407" s="40" t="s">
        <v>122</v>
      </c>
      <c r="G407" s="40" t="s">
        <v>972</v>
      </c>
      <c r="H407" s="40" t="s">
        <v>976</v>
      </c>
      <c r="I407" s="40" t="s">
        <v>977</v>
      </c>
      <c r="J407" s="43" t="str">
        <f t="shared" si="36"/>
        <v>HDL-</v>
      </c>
      <c r="K407" s="40" t="s">
        <v>10</v>
      </c>
      <c r="L407" s="44">
        <v>1020</v>
      </c>
      <c r="M407" s="40" t="s">
        <v>1472</v>
      </c>
      <c r="N407" s="40" t="s">
        <v>11</v>
      </c>
      <c r="O407" s="40">
        <v>6.5797999999999996</v>
      </c>
      <c r="P407" s="45">
        <f t="shared" si="37"/>
        <v>6711.4</v>
      </c>
      <c r="Q407" s="46">
        <f t="shared" si="38"/>
        <v>7.3003400000000003</v>
      </c>
      <c r="R407" s="47">
        <f t="shared" si="39"/>
        <v>0.90129999999999999</v>
      </c>
      <c r="S407" s="48">
        <f t="shared" si="40"/>
        <v>919.33</v>
      </c>
      <c r="T407" s="47" t="s">
        <v>349</v>
      </c>
      <c r="U407" s="40" t="s">
        <v>228</v>
      </c>
      <c r="V407" s="38">
        <v>7.1879</v>
      </c>
      <c r="W407" s="49">
        <f t="shared" si="41"/>
        <v>933.70748062716507</v>
      </c>
    </row>
    <row r="408" spans="1:23" x14ac:dyDescent="0.2">
      <c r="A408" s="40" t="s">
        <v>1305</v>
      </c>
      <c r="B408" s="41">
        <v>45660</v>
      </c>
      <c r="C408" s="41">
        <v>45629</v>
      </c>
      <c r="D408" s="40" t="s">
        <v>121</v>
      </c>
      <c r="E408" s="40" t="s">
        <v>122</v>
      </c>
      <c r="G408" s="40" t="s">
        <v>1302</v>
      </c>
      <c r="H408" s="40" t="s">
        <v>1303</v>
      </c>
      <c r="I408" s="40" t="s">
        <v>1304</v>
      </c>
      <c r="J408" s="43" t="str">
        <f t="shared" si="36"/>
        <v>HDL-</v>
      </c>
      <c r="K408" s="40" t="s">
        <v>10</v>
      </c>
      <c r="L408" s="44">
        <v>1020</v>
      </c>
      <c r="M408" s="40" t="s">
        <v>1472</v>
      </c>
      <c r="N408" s="40" t="s">
        <v>11</v>
      </c>
      <c r="O408" s="40">
        <v>6.5797999999999996</v>
      </c>
      <c r="P408" s="45">
        <f t="shared" si="37"/>
        <v>6711.4</v>
      </c>
      <c r="Q408" s="46">
        <f t="shared" si="38"/>
        <v>7.3003400000000003</v>
      </c>
      <c r="R408" s="47">
        <f t="shared" si="39"/>
        <v>0.90129999999999999</v>
      </c>
      <c r="S408" s="48">
        <f t="shared" si="40"/>
        <v>919.33</v>
      </c>
      <c r="T408" s="47" t="s">
        <v>349</v>
      </c>
      <c r="U408" s="40" t="s">
        <v>228</v>
      </c>
      <c r="V408" s="38">
        <v>7.1879</v>
      </c>
      <c r="W408" s="49">
        <f t="shared" si="41"/>
        <v>933.70748062716507</v>
      </c>
    </row>
    <row r="409" spans="1:23" x14ac:dyDescent="0.2">
      <c r="A409" s="40" t="s">
        <v>914</v>
      </c>
      <c r="B409" s="41">
        <v>45665</v>
      </c>
      <c r="C409" s="41">
        <v>45526</v>
      </c>
      <c r="D409" s="40" t="s">
        <v>866</v>
      </c>
      <c r="E409" s="40" t="s">
        <v>867</v>
      </c>
      <c r="G409" s="40" t="s">
        <v>915</v>
      </c>
      <c r="H409" s="40" t="s">
        <v>912</v>
      </c>
      <c r="I409" s="40" t="s">
        <v>913</v>
      </c>
      <c r="J409" s="43" t="str">
        <f t="shared" si="36"/>
        <v>ANYD</v>
      </c>
      <c r="K409" s="40" t="s">
        <v>10</v>
      </c>
      <c r="L409" s="44">
        <v>4400</v>
      </c>
      <c r="M409" s="40" t="s">
        <v>1472</v>
      </c>
      <c r="N409" s="40" t="s">
        <v>11</v>
      </c>
      <c r="O409" s="40">
        <v>6.5929000000000002</v>
      </c>
      <c r="P409" s="45">
        <f t="shared" si="37"/>
        <v>29008.76</v>
      </c>
      <c r="Q409" s="46">
        <f t="shared" si="38"/>
        <v>7.3003400000000003</v>
      </c>
      <c r="R409" s="47">
        <f t="shared" si="39"/>
        <v>0.90310000000000001</v>
      </c>
      <c r="S409" s="48">
        <f t="shared" si="40"/>
        <v>3973.64</v>
      </c>
      <c r="T409" s="47" t="s">
        <v>349</v>
      </c>
      <c r="U409" s="40" t="s">
        <v>36</v>
      </c>
      <c r="V409" s="38">
        <v>7.1879</v>
      </c>
      <c r="W409" s="49">
        <f t="shared" si="41"/>
        <v>4035.7767915524701</v>
      </c>
    </row>
    <row r="410" spans="1:23" x14ac:dyDescent="0.2">
      <c r="A410" s="40" t="s">
        <v>291</v>
      </c>
      <c r="B410" s="41">
        <v>45673</v>
      </c>
      <c r="C410" s="41">
        <v>45670</v>
      </c>
      <c r="D410" s="40" t="s">
        <v>287</v>
      </c>
      <c r="E410" s="40" t="s">
        <v>288</v>
      </c>
      <c r="G410" s="40" t="s">
        <v>290</v>
      </c>
      <c r="H410" s="40" t="s">
        <v>76</v>
      </c>
      <c r="I410" s="40" t="s">
        <v>77</v>
      </c>
      <c r="J410" s="43" t="str">
        <f t="shared" si="36"/>
        <v>GLID</v>
      </c>
      <c r="K410" s="40" t="s">
        <v>10</v>
      </c>
      <c r="L410" s="44">
        <v>200</v>
      </c>
      <c r="M410" s="40" t="s">
        <v>1472</v>
      </c>
      <c r="N410" s="40" t="s">
        <v>11</v>
      </c>
      <c r="O410" s="40">
        <v>6.5929000000000002</v>
      </c>
      <c r="P410" s="45">
        <f t="shared" si="37"/>
        <v>1318.58</v>
      </c>
      <c r="Q410" s="46">
        <f t="shared" si="38"/>
        <v>7.3003400000000003</v>
      </c>
      <c r="R410" s="47">
        <f t="shared" si="39"/>
        <v>0.90310000000000001</v>
      </c>
      <c r="S410" s="48">
        <f t="shared" si="40"/>
        <v>180.62</v>
      </c>
      <c r="T410" s="47" t="s">
        <v>349</v>
      </c>
      <c r="U410" s="40" t="s">
        <v>78</v>
      </c>
      <c r="V410" s="38">
        <v>7.1879</v>
      </c>
      <c r="W410" s="49">
        <f t="shared" si="41"/>
        <v>183.44439961602137</v>
      </c>
    </row>
    <row r="411" spans="1:23" x14ac:dyDescent="0.2">
      <c r="A411" s="40" t="s">
        <v>1318</v>
      </c>
      <c r="B411" s="41">
        <v>45660</v>
      </c>
      <c r="C411" s="41">
        <v>45597</v>
      </c>
      <c r="D411" s="40" t="s">
        <v>1316</v>
      </c>
      <c r="E411" s="40" t="s">
        <v>1317</v>
      </c>
      <c r="G411" s="40" t="s">
        <v>1319</v>
      </c>
      <c r="H411" s="40" t="s">
        <v>1314</v>
      </c>
      <c r="I411" s="40" t="s">
        <v>1315</v>
      </c>
      <c r="J411" s="43" t="str">
        <f t="shared" si="36"/>
        <v>GLID</v>
      </c>
      <c r="K411" s="40" t="s">
        <v>10</v>
      </c>
      <c r="L411" s="44">
        <v>4200</v>
      </c>
      <c r="M411" s="40" t="s">
        <v>1472</v>
      </c>
      <c r="N411" s="40" t="s">
        <v>11</v>
      </c>
      <c r="O411" s="40">
        <v>6.6017999999999999</v>
      </c>
      <c r="P411" s="45">
        <f t="shared" si="37"/>
        <v>27727.56</v>
      </c>
      <c r="Q411" s="46">
        <f t="shared" si="38"/>
        <v>7.3003400000000003</v>
      </c>
      <c r="R411" s="47">
        <f t="shared" si="39"/>
        <v>0.90429999999999999</v>
      </c>
      <c r="S411" s="48">
        <f t="shared" si="40"/>
        <v>3798.06</v>
      </c>
      <c r="T411" s="47" t="s">
        <v>349</v>
      </c>
      <c r="U411" s="40" t="s">
        <v>78</v>
      </c>
      <c r="V411" s="38">
        <v>7.1879</v>
      </c>
      <c r="W411" s="49">
        <f t="shared" si="41"/>
        <v>3857.53279817471</v>
      </c>
    </row>
    <row r="412" spans="1:23" x14ac:dyDescent="0.2">
      <c r="A412" s="40" t="s">
        <v>1075</v>
      </c>
      <c r="B412" s="41">
        <v>45663</v>
      </c>
      <c r="C412" s="41">
        <v>45646</v>
      </c>
      <c r="D412" s="40" t="s">
        <v>268</v>
      </c>
      <c r="E412" s="40" t="s">
        <v>269</v>
      </c>
      <c r="G412" s="40" t="s">
        <v>1076</v>
      </c>
      <c r="H412" s="40" t="s">
        <v>1073</v>
      </c>
      <c r="I412" s="40" t="s">
        <v>1074</v>
      </c>
      <c r="J412" s="43" t="str">
        <f t="shared" si="36"/>
        <v>MISC</v>
      </c>
      <c r="K412" s="40" t="s">
        <v>10</v>
      </c>
      <c r="L412" s="44">
        <v>50</v>
      </c>
      <c r="M412" s="40" t="s">
        <v>136</v>
      </c>
      <c r="N412" s="40" t="s">
        <v>11</v>
      </c>
      <c r="O412" s="40">
        <v>6.64</v>
      </c>
      <c r="P412" s="45">
        <f t="shared" si="37"/>
        <v>332</v>
      </c>
      <c r="Q412" s="46">
        <f t="shared" si="38"/>
        <v>7.3003400000000003</v>
      </c>
      <c r="R412" s="47">
        <f t="shared" si="39"/>
        <v>0.90949999999999998</v>
      </c>
      <c r="S412" s="48">
        <f t="shared" si="40"/>
        <v>45.48</v>
      </c>
      <c r="T412" s="47" t="s">
        <v>349</v>
      </c>
      <c r="U412" s="40" t="s">
        <v>25</v>
      </c>
      <c r="V412" s="38">
        <v>7.1879</v>
      </c>
      <c r="W412" s="49">
        <f t="shared" si="41"/>
        <v>46.188733844377353</v>
      </c>
    </row>
    <row r="413" spans="1:23" x14ac:dyDescent="0.2">
      <c r="A413" s="40" t="s">
        <v>876</v>
      </c>
      <c r="B413" s="41">
        <v>45666</v>
      </c>
      <c r="C413" s="41">
        <v>45287</v>
      </c>
      <c r="D413" s="40" t="s">
        <v>866</v>
      </c>
      <c r="E413" s="40" t="s">
        <v>867</v>
      </c>
      <c r="G413" s="40" t="s">
        <v>873</v>
      </c>
      <c r="H413" s="40" t="s">
        <v>874</v>
      </c>
      <c r="I413" s="40" t="s">
        <v>875</v>
      </c>
      <c r="J413" s="43" t="str">
        <f t="shared" si="36"/>
        <v>ANYD</v>
      </c>
      <c r="K413" s="40" t="s">
        <v>10</v>
      </c>
      <c r="L413" s="44">
        <v>2000</v>
      </c>
      <c r="M413" s="40" t="s">
        <v>1472</v>
      </c>
      <c r="N413" s="40" t="s">
        <v>11</v>
      </c>
      <c r="O413" s="40">
        <v>6.6637000000000004</v>
      </c>
      <c r="P413" s="45">
        <f t="shared" si="37"/>
        <v>13327.4</v>
      </c>
      <c r="Q413" s="46">
        <f t="shared" si="38"/>
        <v>7.3003400000000003</v>
      </c>
      <c r="R413" s="47">
        <f t="shared" si="39"/>
        <v>0.91279999999999994</v>
      </c>
      <c r="S413" s="48">
        <f t="shared" si="40"/>
        <v>1825.6</v>
      </c>
      <c r="T413" s="47" t="s">
        <v>349</v>
      </c>
      <c r="U413" s="40" t="s">
        <v>36</v>
      </c>
      <c r="V413" s="38">
        <v>7.1879</v>
      </c>
      <c r="W413" s="49">
        <f t="shared" si="41"/>
        <v>1854.1437693902253</v>
      </c>
    </row>
    <row r="414" spans="1:23" x14ac:dyDescent="0.2">
      <c r="A414" s="40" t="s">
        <v>426</v>
      </c>
      <c r="B414" s="41">
        <v>45670</v>
      </c>
      <c r="C414" s="41">
        <v>45664</v>
      </c>
      <c r="D414" s="40" t="s">
        <v>5</v>
      </c>
      <c r="E414" s="40" t="s">
        <v>6</v>
      </c>
      <c r="G414" s="40" t="s">
        <v>393</v>
      </c>
      <c r="H414" s="40" t="s">
        <v>424</v>
      </c>
      <c r="I414" s="40" t="s">
        <v>425</v>
      </c>
      <c r="J414" s="43" t="str">
        <f t="shared" si="36"/>
        <v>BOX-</v>
      </c>
      <c r="K414" s="40" t="s">
        <v>10</v>
      </c>
      <c r="L414" s="44">
        <v>2120</v>
      </c>
      <c r="M414" s="40" t="s">
        <v>1472</v>
      </c>
      <c r="N414" s="40" t="s">
        <v>11</v>
      </c>
      <c r="O414" s="40">
        <v>7.13</v>
      </c>
      <c r="P414" s="45">
        <f t="shared" si="37"/>
        <v>15115.6</v>
      </c>
      <c r="Q414" s="46">
        <f t="shared" si="38"/>
        <v>7.3003400000000003</v>
      </c>
      <c r="R414" s="47">
        <f t="shared" si="39"/>
        <v>0.97670000000000001</v>
      </c>
      <c r="S414" s="48">
        <f t="shared" si="40"/>
        <v>2070.6</v>
      </c>
      <c r="T414" s="47" t="s">
        <v>349</v>
      </c>
      <c r="U414" s="40" t="s">
        <v>1</v>
      </c>
      <c r="V414" s="38">
        <v>7.1879</v>
      </c>
      <c r="W414" s="49">
        <f t="shared" si="41"/>
        <v>2102.922967765272</v>
      </c>
    </row>
    <row r="415" spans="1:23" x14ac:dyDescent="0.2">
      <c r="A415" s="40" t="s">
        <v>1395</v>
      </c>
      <c r="B415" s="41">
        <v>45659</v>
      </c>
      <c r="C415" s="41">
        <v>45610</v>
      </c>
      <c r="D415" s="40" t="s">
        <v>143</v>
      </c>
      <c r="E415" s="40" t="s">
        <v>144</v>
      </c>
      <c r="G415" s="40" t="s">
        <v>1396</v>
      </c>
      <c r="H415" s="40" t="s">
        <v>1393</v>
      </c>
      <c r="I415" s="40" t="s">
        <v>1394</v>
      </c>
      <c r="J415" s="43" t="str">
        <f t="shared" si="36"/>
        <v>SHDL</v>
      </c>
      <c r="K415" s="40" t="s">
        <v>10</v>
      </c>
      <c r="L415" s="44">
        <v>2000</v>
      </c>
      <c r="M415" s="40" t="s">
        <v>1472</v>
      </c>
      <c r="N415" s="40" t="s">
        <v>11</v>
      </c>
      <c r="O415" s="40">
        <v>7.2710999999999997</v>
      </c>
      <c r="P415" s="45">
        <f t="shared" si="37"/>
        <v>14542.2</v>
      </c>
      <c r="Q415" s="46">
        <f t="shared" si="38"/>
        <v>7.3003400000000003</v>
      </c>
      <c r="R415" s="47">
        <f t="shared" si="39"/>
        <v>0.996</v>
      </c>
      <c r="S415" s="48">
        <f t="shared" si="40"/>
        <v>1992</v>
      </c>
      <c r="T415" s="47" t="s">
        <v>349</v>
      </c>
      <c r="U415" s="40" t="s">
        <v>722</v>
      </c>
      <c r="V415" s="38">
        <v>7.1879</v>
      </c>
      <c r="W415" s="49">
        <f t="shared" si="41"/>
        <v>2023.1500159991094</v>
      </c>
    </row>
    <row r="416" spans="1:23" x14ac:dyDescent="0.2">
      <c r="A416" s="40" t="s">
        <v>862</v>
      </c>
      <c r="B416" s="41">
        <v>45666</v>
      </c>
      <c r="C416" s="41">
        <v>45638</v>
      </c>
      <c r="D416" s="40" t="s">
        <v>287</v>
      </c>
      <c r="E416" s="40" t="s">
        <v>288</v>
      </c>
      <c r="G416" s="40" t="s">
        <v>841</v>
      </c>
      <c r="H416" s="40" t="s">
        <v>860</v>
      </c>
      <c r="I416" s="40" t="s">
        <v>861</v>
      </c>
      <c r="J416" s="43" t="str">
        <f t="shared" si="36"/>
        <v>GLID</v>
      </c>
      <c r="K416" s="40" t="s">
        <v>10</v>
      </c>
      <c r="L416" s="44">
        <v>175</v>
      </c>
      <c r="M416" s="40" t="s">
        <v>1472</v>
      </c>
      <c r="N416" s="40" t="s">
        <v>11</v>
      </c>
      <c r="O416" s="40">
        <v>7.2716000000000003</v>
      </c>
      <c r="P416" s="45">
        <f t="shared" si="37"/>
        <v>1272.53</v>
      </c>
      <c r="Q416" s="46">
        <f t="shared" si="38"/>
        <v>7.3003400000000003</v>
      </c>
      <c r="R416" s="47">
        <f t="shared" si="39"/>
        <v>0.99609999999999999</v>
      </c>
      <c r="S416" s="48">
        <f t="shared" si="40"/>
        <v>174.32</v>
      </c>
      <c r="T416" s="47" t="s">
        <v>349</v>
      </c>
      <c r="U416" s="40" t="s">
        <v>78</v>
      </c>
      <c r="V416" s="38">
        <v>7.1879</v>
      </c>
      <c r="W416" s="49">
        <f t="shared" si="41"/>
        <v>177.03779963549857</v>
      </c>
    </row>
    <row r="417" spans="1:23" x14ac:dyDescent="0.2">
      <c r="A417" s="40" t="s">
        <v>862</v>
      </c>
      <c r="B417" s="41">
        <v>45660</v>
      </c>
      <c r="C417" s="41">
        <v>45638</v>
      </c>
      <c r="D417" s="40" t="s">
        <v>287</v>
      </c>
      <c r="E417" s="40" t="s">
        <v>288</v>
      </c>
      <c r="G417" s="40" t="s">
        <v>1286</v>
      </c>
      <c r="H417" s="40" t="s">
        <v>860</v>
      </c>
      <c r="I417" s="40" t="s">
        <v>861</v>
      </c>
      <c r="J417" s="43" t="str">
        <f t="shared" si="36"/>
        <v>GLID</v>
      </c>
      <c r="K417" s="40" t="s">
        <v>10</v>
      </c>
      <c r="L417" s="44">
        <v>1985</v>
      </c>
      <c r="M417" s="40" t="s">
        <v>1472</v>
      </c>
      <c r="N417" s="40" t="s">
        <v>11</v>
      </c>
      <c r="O417" s="40">
        <v>7.2716000000000003</v>
      </c>
      <c r="P417" s="45">
        <f t="shared" si="37"/>
        <v>14434.13</v>
      </c>
      <c r="Q417" s="46">
        <f t="shared" si="38"/>
        <v>7.3003400000000003</v>
      </c>
      <c r="R417" s="47">
        <f t="shared" si="39"/>
        <v>0.99609999999999999</v>
      </c>
      <c r="S417" s="48">
        <f t="shared" si="40"/>
        <v>1977.26</v>
      </c>
      <c r="T417" s="47" t="s">
        <v>349</v>
      </c>
      <c r="U417" s="40" t="s">
        <v>78</v>
      </c>
      <c r="V417" s="38">
        <v>7.1879</v>
      </c>
      <c r="W417" s="49">
        <f t="shared" si="41"/>
        <v>2008.1144701512267</v>
      </c>
    </row>
    <row r="418" spans="1:23" x14ac:dyDescent="0.2">
      <c r="A418" s="40" t="s">
        <v>859</v>
      </c>
      <c r="B418" s="41">
        <v>45666</v>
      </c>
      <c r="C418" s="41">
        <v>45638</v>
      </c>
      <c r="D418" s="40" t="s">
        <v>287</v>
      </c>
      <c r="E418" s="40" t="s">
        <v>288</v>
      </c>
      <c r="G418" s="40" t="s">
        <v>841</v>
      </c>
      <c r="H418" s="40" t="s">
        <v>857</v>
      </c>
      <c r="I418" s="40" t="s">
        <v>858</v>
      </c>
      <c r="J418" s="43" t="str">
        <f t="shared" si="36"/>
        <v>GLID</v>
      </c>
      <c r="K418" s="40" t="s">
        <v>10</v>
      </c>
      <c r="L418" s="44">
        <v>1040</v>
      </c>
      <c r="M418" s="40" t="s">
        <v>1472</v>
      </c>
      <c r="N418" s="40" t="s">
        <v>11</v>
      </c>
      <c r="O418" s="40">
        <v>7.2716000000000003</v>
      </c>
      <c r="P418" s="45">
        <f t="shared" si="37"/>
        <v>7562.46</v>
      </c>
      <c r="Q418" s="46">
        <f t="shared" si="38"/>
        <v>7.3003400000000003</v>
      </c>
      <c r="R418" s="47">
        <f t="shared" si="39"/>
        <v>0.99609999999999999</v>
      </c>
      <c r="S418" s="48">
        <f t="shared" si="40"/>
        <v>1035.94</v>
      </c>
      <c r="T418" s="47" t="s">
        <v>349</v>
      </c>
      <c r="U418" s="40" t="s">
        <v>78</v>
      </c>
      <c r="V418" s="38">
        <v>7.1879</v>
      </c>
      <c r="W418" s="49">
        <f t="shared" si="41"/>
        <v>1052.1103521195344</v>
      </c>
    </row>
    <row r="419" spans="1:23" x14ac:dyDescent="0.2">
      <c r="A419" s="40" t="s">
        <v>780</v>
      </c>
      <c r="B419" s="41">
        <v>45666</v>
      </c>
      <c r="C419" s="41">
        <v>45615</v>
      </c>
      <c r="D419" s="40" t="s">
        <v>149</v>
      </c>
      <c r="E419" s="40" t="s">
        <v>150</v>
      </c>
      <c r="G419" s="40" t="s">
        <v>779</v>
      </c>
      <c r="H419" s="40" t="s">
        <v>345</v>
      </c>
      <c r="I419" s="40" t="s">
        <v>346</v>
      </c>
      <c r="J419" s="43" t="str">
        <f t="shared" si="36"/>
        <v>SKU-</v>
      </c>
      <c r="K419" s="40" t="s">
        <v>98</v>
      </c>
      <c r="L419" s="44">
        <v>4520</v>
      </c>
      <c r="M419" s="40" t="s">
        <v>1472</v>
      </c>
      <c r="N419" s="40" t="s">
        <v>11</v>
      </c>
      <c r="O419" s="40">
        <v>7.4157999999999999</v>
      </c>
      <c r="P419" s="45">
        <f t="shared" si="37"/>
        <v>33519.42</v>
      </c>
      <c r="Q419" s="46">
        <f t="shared" si="38"/>
        <v>7.3003400000000003</v>
      </c>
      <c r="R419" s="47">
        <f t="shared" si="39"/>
        <v>1.0158</v>
      </c>
      <c r="S419" s="48">
        <f t="shared" si="40"/>
        <v>4591.42</v>
      </c>
      <c r="T419" s="47" t="s">
        <v>349</v>
      </c>
      <c r="U419" s="40" t="s">
        <v>2</v>
      </c>
      <c r="V419" s="38">
        <v>7.1879</v>
      </c>
      <c r="W419" s="49">
        <f t="shared" si="41"/>
        <v>4663.3113983221801</v>
      </c>
    </row>
    <row r="420" spans="1:23" x14ac:dyDescent="0.2">
      <c r="A420" s="40" t="s">
        <v>780</v>
      </c>
      <c r="B420" s="41">
        <v>45663</v>
      </c>
      <c r="C420" s="41">
        <v>45615</v>
      </c>
      <c r="D420" s="40" t="s">
        <v>149</v>
      </c>
      <c r="E420" s="40" t="s">
        <v>150</v>
      </c>
      <c r="G420" s="40" t="s">
        <v>1197</v>
      </c>
      <c r="H420" s="40" t="s">
        <v>345</v>
      </c>
      <c r="I420" s="40" t="s">
        <v>346</v>
      </c>
      <c r="J420" s="43" t="str">
        <f t="shared" si="36"/>
        <v>SKU-</v>
      </c>
      <c r="K420" s="40" t="s">
        <v>98</v>
      </c>
      <c r="L420" s="44">
        <v>480</v>
      </c>
      <c r="M420" s="40" t="s">
        <v>1472</v>
      </c>
      <c r="N420" s="40" t="s">
        <v>11</v>
      </c>
      <c r="O420" s="40">
        <v>7.4157999999999999</v>
      </c>
      <c r="P420" s="45">
        <f t="shared" si="37"/>
        <v>3559.58</v>
      </c>
      <c r="Q420" s="46">
        <f t="shared" si="38"/>
        <v>7.3003400000000003</v>
      </c>
      <c r="R420" s="47">
        <f t="shared" si="39"/>
        <v>1.0158</v>
      </c>
      <c r="S420" s="48">
        <f t="shared" si="40"/>
        <v>487.58</v>
      </c>
      <c r="T420" s="47" t="s">
        <v>349</v>
      </c>
      <c r="U420" s="40" t="s">
        <v>2</v>
      </c>
      <c r="V420" s="38">
        <v>7.1879</v>
      </c>
      <c r="W420" s="49">
        <f t="shared" si="41"/>
        <v>495.21890955633774</v>
      </c>
    </row>
    <row r="421" spans="1:23" x14ac:dyDescent="0.2">
      <c r="A421" s="40" t="s">
        <v>347</v>
      </c>
      <c r="B421" s="41">
        <v>45672</v>
      </c>
      <c r="C421" s="41">
        <v>45639</v>
      </c>
      <c r="D421" s="40" t="s">
        <v>149</v>
      </c>
      <c r="E421" s="40" t="s">
        <v>150</v>
      </c>
      <c r="G421" s="40" t="s">
        <v>348</v>
      </c>
      <c r="H421" s="40" t="s">
        <v>345</v>
      </c>
      <c r="I421" s="40" t="s">
        <v>346</v>
      </c>
      <c r="J421" s="43" t="str">
        <f t="shared" si="36"/>
        <v>SKU-</v>
      </c>
      <c r="K421" s="40" t="s">
        <v>98</v>
      </c>
      <c r="L421" s="44">
        <v>2400</v>
      </c>
      <c r="M421" s="40" t="s">
        <v>1472</v>
      </c>
      <c r="N421" s="40" t="s">
        <v>11</v>
      </c>
      <c r="O421" s="40">
        <v>7.4157999999999999</v>
      </c>
      <c r="P421" s="45">
        <f t="shared" si="37"/>
        <v>17797.919999999998</v>
      </c>
      <c r="Q421" s="46">
        <f t="shared" si="38"/>
        <v>7.3003400000000003</v>
      </c>
      <c r="R421" s="47">
        <f t="shared" si="39"/>
        <v>1.0158</v>
      </c>
      <c r="S421" s="48">
        <f t="shared" si="40"/>
        <v>2437.92</v>
      </c>
      <c r="T421" s="47" t="s">
        <v>349</v>
      </c>
      <c r="U421" s="40" t="s">
        <v>2</v>
      </c>
      <c r="V421" s="38">
        <v>7.1879</v>
      </c>
      <c r="W421" s="49">
        <f t="shared" si="41"/>
        <v>2476.0945477816886</v>
      </c>
    </row>
    <row r="422" spans="1:23" x14ac:dyDescent="0.2">
      <c r="A422" s="40" t="s">
        <v>347</v>
      </c>
      <c r="B422" s="41">
        <v>45666</v>
      </c>
      <c r="C422" s="41">
        <v>45639</v>
      </c>
      <c r="D422" s="40" t="s">
        <v>149</v>
      </c>
      <c r="E422" s="40" t="s">
        <v>150</v>
      </c>
      <c r="G422" s="40" t="s">
        <v>757</v>
      </c>
      <c r="H422" s="40" t="s">
        <v>345</v>
      </c>
      <c r="I422" s="40" t="s">
        <v>346</v>
      </c>
      <c r="J422" s="43" t="str">
        <f t="shared" si="36"/>
        <v>SKU-</v>
      </c>
      <c r="K422" s="40" t="s">
        <v>98</v>
      </c>
      <c r="L422" s="44">
        <v>1920</v>
      </c>
      <c r="M422" s="40" t="s">
        <v>1472</v>
      </c>
      <c r="N422" s="40" t="s">
        <v>11</v>
      </c>
      <c r="O422" s="40">
        <v>7.4157999999999999</v>
      </c>
      <c r="P422" s="45">
        <f t="shared" si="37"/>
        <v>14238.34</v>
      </c>
      <c r="Q422" s="46">
        <f t="shared" si="38"/>
        <v>7.3003400000000003</v>
      </c>
      <c r="R422" s="47">
        <f t="shared" si="39"/>
        <v>1.0158</v>
      </c>
      <c r="S422" s="48">
        <f t="shared" si="40"/>
        <v>1950.34</v>
      </c>
      <c r="T422" s="47" t="s">
        <v>349</v>
      </c>
      <c r="U422" s="40" t="s">
        <v>2</v>
      </c>
      <c r="V422" s="38">
        <v>7.1879</v>
      </c>
      <c r="W422" s="49">
        <f t="shared" si="41"/>
        <v>1980.8756382253509</v>
      </c>
    </row>
    <row r="423" spans="1:23" x14ac:dyDescent="0.2">
      <c r="A423" s="40" t="s">
        <v>347</v>
      </c>
      <c r="B423" s="41">
        <v>45666</v>
      </c>
      <c r="C423" s="41">
        <v>45639</v>
      </c>
      <c r="D423" s="40" t="s">
        <v>149</v>
      </c>
      <c r="E423" s="40" t="s">
        <v>150</v>
      </c>
      <c r="G423" s="40" t="s">
        <v>779</v>
      </c>
      <c r="H423" s="40" t="s">
        <v>345</v>
      </c>
      <c r="I423" s="40" t="s">
        <v>346</v>
      </c>
      <c r="J423" s="43" t="str">
        <f t="shared" si="36"/>
        <v>SKU-</v>
      </c>
      <c r="K423" s="40" t="s">
        <v>98</v>
      </c>
      <c r="L423" s="44">
        <v>680</v>
      </c>
      <c r="M423" s="40" t="s">
        <v>1472</v>
      </c>
      <c r="N423" s="40" t="s">
        <v>11</v>
      </c>
      <c r="O423" s="40">
        <v>7.4157999999999999</v>
      </c>
      <c r="P423" s="45">
        <f t="shared" si="37"/>
        <v>5042.74</v>
      </c>
      <c r="Q423" s="46">
        <f t="shared" si="38"/>
        <v>7.3003400000000003</v>
      </c>
      <c r="R423" s="47">
        <f t="shared" si="39"/>
        <v>1.0158</v>
      </c>
      <c r="S423" s="48">
        <f t="shared" si="40"/>
        <v>690.74</v>
      </c>
      <c r="T423" s="47" t="s">
        <v>349</v>
      </c>
      <c r="U423" s="40" t="s">
        <v>2</v>
      </c>
      <c r="V423" s="38">
        <v>7.1879</v>
      </c>
      <c r="W423" s="49">
        <f t="shared" si="41"/>
        <v>701.56012187147849</v>
      </c>
    </row>
    <row r="424" spans="1:23" x14ac:dyDescent="0.2">
      <c r="A424" s="40" t="s">
        <v>705</v>
      </c>
      <c r="B424" s="41">
        <v>45667</v>
      </c>
      <c r="C424" s="41">
        <v>45639</v>
      </c>
      <c r="D424" s="40" t="s">
        <v>287</v>
      </c>
      <c r="E424" s="40" t="s">
        <v>288</v>
      </c>
      <c r="G424" s="40" t="s">
        <v>706</v>
      </c>
      <c r="H424" s="40" t="s">
        <v>703</v>
      </c>
      <c r="I424" s="40" t="s">
        <v>704</v>
      </c>
      <c r="J424" s="43" t="str">
        <f t="shared" si="36"/>
        <v>ANYD</v>
      </c>
      <c r="K424" s="40" t="s">
        <v>10</v>
      </c>
      <c r="L424" s="44">
        <v>86</v>
      </c>
      <c r="M424" s="40" t="s">
        <v>1472</v>
      </c>
      <c r="N424" s="40" t="s">
        <v>11</v>
      </c>
      <c r="O424" s="40">
        <v>7.4237000000000002</v>
      </c>
      <c r="P424" s="45">
        <f t="shared" si="37"/>
        <v>638.44000000000005</v>
      </c>
      <c r="Q424" s="46">
        <f t="shared" si="38"/>
        <v>7.3003400000000003</v>
      </c>
      <c r="R424" s="47">
        <f t="shared" si="39"/>
        <v>1.0168999999999999</v>
      </c>
      <c r="S424" s="48">
        <f t="shared" si="40"/>
        <v>87.45</v>
      </c>
      <c r="T424" s="47" t="s">
        <v>349</v>
      </c>
      <c r="U424" s="40" t="s">
        <v>36</v>
      </c>
      <c r="V424" s="38">
        <v>7.1879</v>
      </c>
      <c r="W424" s="49">
        <f t="shared" si="41"/>
        <v>88.821241252660727</v>
      </c>
    </row>
    <row r="425" spans="1:23" x14ac:dyDescent="0.2">
      <c r="A425" s="40" t="s">
        <v>705</v>
      </c>
      <c r="B425" s="41">
        <v>45666</v>
      </c>
      <c r="C425" s="41">
        <v>45639</v>
      </c>
      <c r="D425" s="40" t="s">
        <v>287</v>
      </c>
      <c r="E425" s="40" t="s">
        <v>288</v>
      </c>
      <c r="G425" s="40" t="s">
        <v>837</v>
      </c>
      <c r="H425" s="40" t="s">
        <v>703</v>
      </c>
      <c r="I425" s="40" t="s">
        <v>704</v>
      </c>
      <c r="J425" s="43" t="str">
        <f t="shared" si="36"/>
        <v>ANYD</v>
      </c>
      <c r="K425" s="40" t="s">
        <v>10</v>
      </c>
      <c r="L425" s="44">
        <v>314</v>
      </c>
      <c r="M425" s="40" t="s">
        <v>1472</v>
      </c>
      <c r="N425" s="40" t="s">
        <v>11</v>
      </c>
      <c r="O425" s="40">
        <v>7.4237000000000002</v>
      </c>
      <c r="P425" s="45">
        <f t="shared" si="37"/>
        <v>2331.04</v>
      </c>
      <c r="Q425" s="46">
        <f t="shared" si="38"/>
        <v>7.3003400000000003</v>
      </c>
      <c r="R425" s="47">
        <f t="shared" si="39"/>
        <v>1.0168999999999999</v>
      </c>
      <c r="S425" s="48">
        <f t="shared" si="40"/>
        <v>319.31</v>
      </c>
      <c r="T425" s="47" t="s">
        <v>349</v>
      </c>
      <c r="U425" s="40" t="s">
        <v>36</v>
      </c>
      <c r="V425" s="38">
        <v>7.1879</v>
      </c>
      <c r="W425" s="49">
        <f t="shared" si="41"/>
        <v>324.30081108529617</v>
      </c>
    </row>
    <row r="426" spans="1:23" x14ac:dyDescent="0.2">
      <c r="A426" s="40" t="s">
        <v>705</v>
      </c>
      <c r="B426" s="41">
        <v>45665</v>
      </c>
      <c r="C426" s="41">
        <v>45639</v>
      </c>
      <c r="D426" s="40" t="s">
        <v>287</v>
      </c>
      <c r="E426" s="40" t="s">
        <v>288</v>
      </c>
      <c r="G426" s="40" t="s">
        <v>938</v>
      </c>
      <c r="H426" s="40" t="s">
        <v>703</v>
      </c>
      <c r="I426" s="40" t="s">
        <v>704</v>
      </c>
      <c r="J426" s="43" t="str">
        <f t="shared" si="36"/>
        <v>ANYD</v>
      </c>
      <c r="K426" s="40" t="s">
        <v>10</v>
      </c>
      <c r="L426" s="44">
        <v>2100</v>
      </c>
      <c r="M426" s="40" t="s">
        <v>1472</v>
      </c>
      <c r="N426" s="40" t="s">
        <v>11</v>
      </c>
      <c r="O426" s="40">
        <v>7.4237000000000002</v>
      </c>
      <c r="P426" s="45">
        <f t="shared" si="37"/>
        <v>15589.77</v>
      </c>
      <c r="Q426" s="46">
        <f t="shared" si="38"/>
        <v>7.3003400000000003</v>
      </c>
      <c r="R426" s="47">
        <f t="shared" si="39"/>
        <v>1.0168999999999999</v>
      </c>
      <c r="S426" s="48">
        <f t="shared" si="40"/>
        <v>2135.4899999999998</v>
      </c>
      <c r="T426" s="47" t="s">
        <v>349</v>
      </c>
      <c r="U426" s="40" t="s">
        <v>36</v>
      </c>
      <c r="V426" s="38">
        <v>7.1879</v>
      </c>
      <c r="W426" s="49">
        <f t="shared" si="41"/>
        <v>2168.8907747742737</v>
      </c>
    </row>
    <row r="427" spans="1:23" x14ac:dyDescent="0.2">
      <c r="A427" s="40" t="s">
        <v>937</v>
      </c>
      <c r="B427" s="41">
        <v>45665</v>
      </c>
      <c r="C427" s="41">
        <v>45639</v>
      </c>
      <c r="D427" s="40" t="s">
        <v>287</v>
      </c>
      <c r="E427" s="40" t="s">
        <v>288</v>
      </c>
      <c r="G427" s="40" t="s">
        <v>938</v>
      </c>
      <c r="H427" s="40" t="s">
        <v>935</v>
      </c>
      <c r="I427" s="40" t="s">
        <v>936</v>
      </c>
      <c r="J427" s="43" t="str">
        <f t="shared" si="36"/>
        <v>ANYD</v>
      </c>
      <c r="K427" s="40" t="s">
        <v>10</v>
      </c>
      <c r="L427" s="44">
        <v>2100</v>
      </c>
      <c r="M427" s="40" t="s">
        <v>1472</v>
      </c>
      <c r="N427" s="40" t="s">
        <v>11</v>
      </c>
      <c r="O427" s="40">
        <v>7.4237000000000002</v>
      </c>
      <c r="P427" s="45">
        <f t="shared" si="37"/>
        <v>15589.77</v>
      </c>
      <c r="Q427" s="46">
        <f t="shared" si="38"/>
        <v>7.3003400000000003</v>
      </c>
      <c r="R427" s="47">
        <f t="shared" si="39"/>
        <v>1.0168999999999999</v>
      </c>
      <c r="S427" s="48">
        <f t="shared" si="40"/>
        <v>2135.4899999999998</v>
      </c>
      <c r="T427" s="47" t="s">
        <v>349</v>
      </c>
      <c r="U427" s="40" t="s">
        <v>36</v>
      </c>
      <c r="V427" s="38">
        <v>7.1879</v>
      </c>
      <c r="W427" s="49">
        <f t="shared" si="41"/>
        <v>2168.8907747742737</v>
      </c>
    </row>
    <row r="428" spans="1:23" x14ac:dyDescent="0.2">
      <c r="A428" s="40" t="s">
        <v>123</v>
      </c>
      <c r="B428" s="41">
        <v>45677</v>
      </c>
      <c r="C428" s="41">
        <v>45672</v>
      </c>
      <c r="D428" s="40" t="s">
        <v>121</v>
      </c>
      <c r="E428" s="40" t="s">
        <v>122</v>
      </c>
      <c r="G428" s="40" t="s">
        <v>124</v>
      </c>
      <c r="H428" s="40" t="s">
        <v>119</v>
      </c>
      <c r="I428" s="40" t="s">
        <v>120</v>
      </c>
      <c r="J428" s="43" t="str">
        <f t="shared" si="36"/>
        <v>LHDL</v>
      </c>
      <c r="K428" s="40" t="s">
        <v>10</v>
      </c>
      <c r="L428" s="44">
        <v>32</v>
      </c>
      <c r="M428" s="40" t="s">
        <v>1472</v>
      </c>
      <c r="N428" s="40" t="s">
        <v>11</v>
      </c>
      <c r="O428" s="40">
        <v>7.4566999999999997</v>
      </c>
      <c r="P428" s="45">
        <f t="shared" si="37"/>
        <v>238.61</v>
      </c>
      <c r="Q428" s="46">
        <f t="shared" si="38"/>
        <v>7.3003400000000003</v>
      </c>
      <c r="R428" s="47">
        <f t="shared" si="39"/>
        <v>1.0214000000000001</v>
      </c>
      <c r="S428" s="48">
        <f t="shared" si="40"/>
        <v>32.68</v>
      </c>
      <c r="T428" s="47" t="s">
        <v>349</v>
      </c>
      <c r="U428" s="40" t="s">
        <v>125</v>
      </c>
      <c r="V428" s="38">
        <v>7.1879</v>
      </c>
      <c r="W428" s="49">
        <f t="shared" si="41"/>
        <v>33.196677750107817</v>
      </c>
    </row>
    <row r="429" spans="1:23" x14ac:dyDescent="0.2">
      <c r="A429" s="40" t="s">
        <v>482</v>
      </c>
      <c r="B429" s="41">
        <v>45670</v>
      </c>
      <c r="C429" s="41">
        <v>45663</v>
      </c>
      <c r="D429" s="40" t="s">
        <v>5</v>
      </c>
      <c r="E429" s="40" t="s">
        <v>6</v>
      </c>
      <c r="G429" s="40" t="s">
        <v>458</v>
      </c>
      <c r="H429" s="40" t="s">
        <v>480</v>
      </c>
      <c r="I429" s="40" t="s">
        <v>481</v>
      </c>
      <c r="J429" s="43" t="str">
        <f t="shared" si="36"/>
        <v>BOX-</v>
      </c>
      <c r="K429" s="40" t="s">
        <v>10</v>
      </c>
      <c r="L429" s="44">
        <v>1010</v>
      </c>
      <c r="M429" s="40" t="s">
        <v>1472</v>
      </c>
      <c r="N429" s="40" t="s">
        <v>11</v>
      </c>
      <c r="O429" s="40">
        <v>7.6</v>
      </c>
      <c r="P429" s="45">
        <f t="shared" si="37"/>
        <v>7676</v>
      </c>
      <c r="Q429" s="46">
        <f t="shared" si="38"/>
        <v>7.3003400000000003</v>
      </c>
      <c r="R429" s="47">
        <f t="shared" si="39"/>
        <v>1.0409999999999999</v>
      </c>
      <c r="S429" s="48">
        <f t="shared" si="40"/>
        <v>1051.4100000000001</v>
      </c>
      <c r="T429" s="47" t="s">
        <v>349</v>
      </c>
      <c r="U429" s="40" t="s">
        <v>1</v>
      </c>
      <c r="V429" s="38">
        <v>7.1879</v>
      </c>
      <c r="W429" s="49">
        <f t="shared" si="41"/>
        <v>1067.9057861127728</v>
      </c>
    </row>
    <row r="430" spans="1:23" x14ac:dyDescent="0.2">
      <c r="A430" s="40" t="s">
        <v>975</v>
      </c>
      <c r="B430" s="41">
        <v>45664</v>
      </c>
      <c r="C430" s="41">
        <v>45622</v>
      </c>
      <c r="D430" s="40" t="s">
        <v>121</v>
      </c>
      <c r="E430" s="40" t="s">
        <v>122</v>
      </c>
      <c r="G430" s="40" t="s">
        <v>972</v>
      </c>
      <c r="H430" s="40" t="s">
        <v>973</v>
      </c>
      <c r="I430" s="40" t="s">
        <v>974</v>
      </c>
      <c r="J430" s="43" t="str">
        <f t="shared" si="36"/>
        <v>HDL-</v>
      </c>
      <c r="K430" s="40" t="s">
        <v>10</v>
      </c>
      <c r="L430" s="44">
        <v>1000</v>
      </c>
      <c r="M430" s="40" t="s">
        <v>1472</v>
      </c>
      <c r="N430" s="40" t="s">
        <v>11</v>
      </c>
      <c r="O430" s="40">
        <v>7.6571999999999996</v>
      </c>
      <c r="P430" s="45">
        <f t="shared" si="37"/>
        <v>7657.2</v>
      </c>
      <c r="Q430" s="46">
        <f t="shared" si="38"/>
        <v>7.3003400000000003</v>
      </c>
      <c r="R430" s="47">
        <f t="shared" si="39"/>
        <v>1.0488999999999999</v>
      </c>
      <c r="S430" s="48">
        <f t="shared" si="40"/>
        <v>1048.9000000000001</v>
      </c>
      <c r="T430" s="47" t="s">
        <v>349</v>
      </c>
      <c r="U430" s="40" t="s">
        <v>228</v>
      </c>
      <c r="V430" s="38">
        <v>7.1879</v>
      </c>
      <c r="W430" s="49">
        <f t="shared" si="41"/>
        <v>1065.2902794974889</v>
      </c>
    </row>
    <row r="431" spans="1:23" x14ac:dyDescent="0.2">
      <c r="A431" s="40" t="s">
        <v>389</v>
      </c>
      <c r="B431" s="41">
        <v>45670</v>
      </c>
      <c r="C431" s="41">
        <v>45663</v>
      </c>
      <c r="D431" s="40" t="s">
        <v>5</v>
      </c>
      <c r="E431" s="40" t="s">
        <v>6</v>
      </c>
      <c r="G431" s="40" t="s">
        <v>383</v>
      </c>
      <c r="H431" s="40" t="s">
        <v>387</v>
      </c>
      <c r="I431" s="40" t="s">
        <v>388</v>
      </c>
      <c r="J431" s="43" t="str">
        <f t="shared" si="36"/>
        <v>BOX-</v>
      </c>
      <c r="K431" s="40" t="s">
        <v>10</v>
      </c>
      <c r="L431" s="44">
        <v>1510</v>
      </c>
      <c r="M431" s="40" t="s">
        <v>1472</v>
      </c>
      <c r="N431" s="40" t="s">
        <v>11</v>
      </c>
      <c r="O431" s="40">
        <v>7.75</v>
      </c>
      <c r="P431" s="45">
        <f t="shared" si="37"/>
        <v>11702.5</v>
      </c>
      <c r="Q431" s="46">
        <f t="shared" si="38"/>
        <v>7.3003400000000003</v>
      </c>
      <c r="R431" s="47">
        <f t="shared" si="39"/>
        <v>1.0616000000000001</v>
      </c>
      <c r="S431" s="48">
        <f t="shared" si="40"/>
        <v>1603.02</v>
      </c>
      <c r="T431" s="47" t="s">
        <v>349</v>
      </c>
      <c r="U431" s="40" t="s">
        <v>1</v>
      </c>
      <c r="V431" s="38">
        <v>7.1879</v>
      </c>
      <c r="W431" s="49">
        <f t="shared" si="41"/>
        <v>1628.0833066681505</v>
      </c>
    </row>
    <row r="432" spans="1:23" x14ac:dyDescent="0.2">
      <c r="A432" s="40" t="s">
        <v>934</v>
      </c>
      <c r="B432" s="41">
        <v>45665</v>
      </c>
      <c r="C432" s="41">
        <v>45609</v>
      </c>
      <c r="D432" s="40" t="s">
        <v>830</v>
      </c>
      <c r="E432" s="40" t="s">
        <v>831</v>
      </c>
      <c r="G432" s="40" t="s">
        <v>931</v>
      </c>
      <c r="H432" s="40" t="s">
        <v>932</v>
      </c>
      <c r="I432" s="40" t="s">
        <v>933</v>
      </c>
      <c r="J432" s="43" t="str">
        <f t="shared" si="36"/>
        <v>LID-</v>
      </c>
      <c r="K432" s="40" t="s">
        <v>369</v>
      </c>
      <c r="L432" s="44">
        <v>730</v>
      </c>
      <c r="M432" s="40" t="s">
        <v>1472</v>
      </c>
      <c r="N432" s="40" t="s">
        <v>11</v>
      </c>
      <c r="O432" s="40">
        <v>7.8</v>
      </c>
      <c r="P432" s="45">
        <f t="shared" si="37"/>
        <v>5694</v>
      </c>
      <c r="Q432" s="46">
        <f t="shared" si="38"/>
        <v>7.3003400000000003</v>
      </c>
      <c r="R432" s="47">
        <f t="shared" si="39"/>
        <v>1.0684</v>
      </c>
      <c r="S432" s="48">
        <f t="shared" si="40"/>
        <v>779.93</v>
      </c>
      <c r="T432" s="47" t="s">
        <v>349</v>
      </c>
      <c r="U432" s="40" t="s">
        <v>368</v>
      </c>
      <c r="V432" s="38">
        <v>7.1879</v>
      </c>
      <c r="W432" s="49">
        <f t="shared" si="41"/>
        <v>792.16460996953208</v>
      </c>
    </row>
    <row r="433" spans="1:23" x14ac:dyDescent="0.2">
      <c r="A433" s="40" t="s">
        <v>930</v>
      </c>
      <c r="B433" s="41">
        <v>45665</v>
      </c>
      <c r="C433" s="41">
        <v>45609</v>
      </c>
      <c r="D433" s="40" t="s">
        <v>830</v>
      </c>
      <c r="E433" s="40" t="s">
        <v>831</v>
      </c>
      <c r="G433" s="40" t="s">
        <v>931</v>
      </c>
      <c r="H433" s="40" t="s">
        <v>928</v>
      </c>
      <c r="I433" s="40" t="s">
        <v>929</v>
      </c>
      <c r="J433" s="43" t="str">
        <f t="shared" si="36"/>
        <v>LID-</v>
      </c>
      <c r="K433" s="40" t="s">
        <v>369</v>
      </c>
      <c r="L433" s="44">
        <v>1330</v>
      </c>
      <c r="M433" s="40" t="s">
        <v>1472</v>
      </c>
      <c r="N433" s="40" t="s">
        <v>11</v>
      </c>
      <c r="O433" s="40">
        <v>7.8</v>
      </c>
      <c r="P433" s="45">
        <f t="shared" si="37"/>
        <v>10374</v>
      </c>
      <c r="Q433" s="46">
        <f t="shared" si="38"/>
        <v>7.3003400000000003</v>
      </c>
      <c r="R433" s="47">
        <f t="shared" si="39"/>
        <v>1.0684</v>
      </c>
      <c r="S433" s="48">
        <f t="shared" si="40"/>
        <v>1420.97</v>
      </c>
      <c r="T433" s="47" t="s">
        <v>349</v>
      </c>
      <c r="U433" s="40" t="s">
        <v>368</v>
      </c>
      <c r="V433" s="38">
        <v>7.1879</v>
      </c>
      <c r="W433" s="49">
        <f t="shared" si="41"/>
        <v>1443.2588099444899</v>
      </c>
    </row>
    <row r="434" spans="1:23" x14ac:dyDescent="0.2">
      <c r="A434" s="40" t="s">
        <v>485</v>
      </c>
      <c r="B434" s="41">
        <v>45670</v>
      </c>
      <c r="C434" s="41">
        <v>45663</v>
      </c>
      <c r="D434" s="40" t="s">
        <v>5</v>
      </c>
      <c r="E434" s="40" t="s">
        <v>6</v>
      </c>
      <c r="G434" s="40" t="s">
        <v>458</v>
      </c>
      <c r="H434" s="40" t="s">
        <v>483</v>
      </c>
      <c r="I434" s="40" t="s">
        <v>484</v>
      </c>
      <c r="J434" s="43" t="str">
        <f t="shared" si="36"/>
        <v>BOX-</v>
      </c>
      <c r="K434" s="40" t="s">
        <v>10</v>
      </c>
      <c r="L434" s="44">
        <v>1010</v>
      </c>
      <c r="M434" s="40" t="s">
        <v>1472</v>
      </c>
      <c r="N434" s="40" t="s">
        <v>11</v>
      </c>
      <c r="O434" s="40">
        <v>7.86</v>
      </c>
      <c r="P434" s="45">
        <f t="shared" si="37"/>
        <v>7938.6</v>
      </c>
      <c r="Q434" s="46">
        <f t="shared" si="38"/>
        <v>7.3003400000000003</v>
      </c>
      <c r="R434" s="47">
        <f t="shared" si="39"/>
        <v>1.0767</v>
      </c>
      <c r="S434" s="48">
        <f t="shared" si="40"/>
        <v>1087.47</v>
      </c>
      <c r="T434" s="47" t="s">
        <v>349</v>
      </c>
      <c r="U434" s="40" t="s">
        <v>1</v>
      </c>
      <c r="V434" s="38">
        <v>7.1879</v>
      </c>
      <c r="W434" s="49">
        <f t="shared" si="41"/>
        <v>1104.4394051113677</v>
      </c>
    </row>
    <row r="435" spans="1:23" x14ac:dyDescent="0.2">
      <c r="A435" s="40" t="s">
        <v>479</v>
      </c>
      <c r="B435" s="41">
        <v>45670</v>
      </c>
      <c r="C435" s="41">
        <v>45663</v>
      </c>
      <c r="D435" s="40" t="s">
        <v>5</v>
      </c>
      <c r="E435" s="40" t="s">
        <v>6</v>
      </c>
      <c r="G435" s="40" t="s">
        <v>458</v>
      </c>
      <c r="H435" s="40" t="s">
        <v>477</v>
      </c>
      <c r="I435" s="40" t="s">
        <v>478</v>
      </c>
      <c r="J435" s="43" t="str">
        <f t="shared" si="36"/>
        <v>BOX-</v>
      </c>
      <c r="K435" s="40" t="s">
        <v>10</v>
      </c>
      <c r="L435" s="44">
        <v>1010</v>
      </c>
      <c r="M435" s="40" t="s">
        <v>1472</v>
      </c>
      <c r="N435" s="40" t="s">
        <v>11</v>
      </c>
      <c r="O435" s="40">
        <v>7.87</v>
      </c>
      <c r="P435" s="45">
        <f t="shared" si="37"/>
        <v>7948.7</v>
      </c>
      <c r="Q435" s="46">
        <f t="shared" si="38"/>
        <v>7.3003400000000003</v>
      </c>
      <c r="R435" s="47">
        <f t="shared" si="39"/>
        <v>1.0780000000000001</v>
      </c>
      <c r="S435" s="48">
        <f t="shared" si="40"/>
        <v>1088.78</v>
      </c>
      <c r="T435" s="47" t="s">
        <v>349</v>
      </c>
      <c r="U435" s="40" t="s">
        <v>1</v>
      </c>
      <c r="V435" s="38">
        <v>7.1879</v>
      </c>
      <c r="W435" s="49">
        <f t="shared" si="41"/>
        <v>1105.8445443036214</v>
      </c>
    </row>
    <row r="436" spans="1:23" x14ac:dyDescent="0.2">
      <c r="A436" s="40" t="s">
        <v>856</v>
      </c>
      <c r="B436" s="41">
        <v>45666</v>
      </c>
      <c r="C436" s="41">
        <v>45638</v>
      </c>
      <c r="D436" s="40" t="s">
        <v>287</v>
      </c>
      <c r="E436" s="40" t="s">
        <v>288</v>
      </c>
      <c r="G436" s="40" t="s">
        <v>841</v>
      </c>
      <c r="H436" s="40" t="s">
        <v>854</v>
      </c>
      <c r="I436" s="40" t="s">
        <v>855</v>
      </c>
      <c r="J436" s="43" t="str">
        <f t="shared" si="36"/>
        <v>GLID</v>
      </c>
      <c r="K436" s="40" t="s">
        <v>10</v>
      </c>
      <c r="L436" s="44">
        <v>340</v>
      </c>
      <c r="M436" s="40" t="s">
        <v>1472</v>
      </c>
      <c r="N436" s="40" t="s">
        <v>11</v>
      </c>
      <c r="O436" s="40">
        <v>7.9870000000000001</v>
      </c>
      <c r="P436" s="45">
        <f t="shared" si="37"/>
        <v>2715.58</v>
      </c>
      <c r="Q436" s="46">
        <f t="shared" si="38"/>
        <v>7.3003400000000003</v>
      </c>
      <c r="R436" s="47">
        <f t="shared" si="39"/>
        <v>1.0941000000000001</v>
      </c>
      <c r="S436" s="48">
        <f t="shared" si="40"/>
        <v>371.99</v>
      </c>
      <c r="T436" s="47" t="s">
        <v>349</v>
      </c>
      <c r="U436" s="40" t="s">
        <v>78</v>
      </c>
      <c r="V436" s="38">
        <v>7.1879</v>
      </c>
      <c r="W436" s="49">
        <f t="shared" si="41"/>
        <v>377.79880076239237</v>
      </c>
    </row>
    <row r="437" spans="1:23" x14ac:dyDescent="0.2">
      <c r="A437" s="40" t="s">
        <v>856</v>
      </c>
      <c r="B437" s="41">
        <v>45664</v>
      </c>
      <c r="C437" s="41">
        <v>45638</v>
      </c>
      <c r="D437" s="40" t="s">
        <v>287</v>
      </c>
      <c r="E437" s="40" t="s">
        <v>288</v>
      </c>
      <c r="G437" s="40" t="s">
        <v>988</v>
      </c>
      <c r="H437" s="40" t="s">
        <v>854</v>
      </c>
      <c r="I437" s="40" t="s">
        <v>855</v>
      </c>
      <c r="J437" s="43" t="str">
        <f t="shared" si="36"/>
        <v>GLID</v>
      </c>
      <c r="K437" s="40" t="s">
        <v>10</v>
      </c>
      <c r="L437" s="44">
        <v>4060</v>
      </c>
      <c r="M437" s="40" t="s">
        <v>1472</v>
      </c>
      <c r="N437" s="40" t="s">
        <v>11</v>
      </c>
      <c r="O437" s="40">
        <v>7.9870000000000001</v>
      </c>
      <c r="P437" s="45">
        <f t="shared" si="37"/>
        <v>32427.22</v>
      </c>
      <c r="Q437" s="46">
        <f t="shared" si="38"/>
        <v>7.3003400000000003</v>
      </c>
      <c r="R437" s="47">
        <f t="shared" si="39"/>
        <v>1.0941000000000001</v>
      </c>
      <c r="S437" s="48">
        <f t="shared" si="40"/>
        <v>4442.05</v>
      </c>
      <c r="T437" s="47" t="s">
        <v>349</v>
      </c>
      <c r="U437" s="40" t="s">
        <v>78</v>
      </c>
      <c r="V437" s="38">
        <v>7.1879</v>
      </c>
      <c r="W437" s="49">
        <f t="shared" si="41"/>
        <v>4511.3621502803326</v>
      </c>
    </row>
    <row r="438" spans="1:23" x14ac:dyDescent="0.2">
      <c r="A438" s="40" t="s">
        <v>853</v>
      </c>
      <c r="B438" s="41">
        <v>45666</v>
      </c>
      <c r="C438" s="41">
        <v>45638</v>
      </c>
      <c r="D438" s="40" t="s">
        <v>287</v>
      </c>
      <c r="E438" s="40" t="s">
        <v>288</v>
      </c>
      <c r="G438" s="40" t="s">
        <v>841</v>
      </c>
      <c r="H438" s="40" t="s">
        <v>851</v>
      </c>
      <c r="I438" s="40" t="s">
        <v>852</v>
      </c>
      <c r="J438" s="43" t="str">
        <f t="shared" si="36"/>
        <v>GLID</v>
      </c>
      <c r="K438" s="40" t="s">
        <v>10</v>
      </c>
      <c r="L438" s="44">
        <v>480</v>
      </c>
      <c r="M438" s="40" t="s">
        <v>1472</v>
      </c>
      <c r="N438" s="40" t="s">
        <v>11</v>
      </c>
      <c r="O438" s="40">
        <v>7.9870000000000001</v>
      </c>
      <c r="P438" s="45">
        <f t="shared" si="37"/>
        <v>3833.76</v>
      </c>
      <c r="Q438" s="46">
        <f t="shared" si="38"/>
        <v>7.3003400000000003</v>
      </c>
      <c r="R438" s="47">
        <f t="shared" si="39"/>
        <v>1.0941000000000001</v>
      </c>
      <c r="S438" s="48">
        <f t="shared" si="40"/>
        <v>525.16999999999996</v>
      </c>
      <c r="T438" s="47" t="s">
        <v>349</v>
      </c>
      <c r="U438" s="40" t="s">
        <v>78</v>
      </c>
      <c r="V438" s="38">
        <v>7.1879</v>
      </c>
      <c r="W438" s="49">
        <f t="shared" si="41"/>
        <v>533.36301284102456</v>
      </c>
    </row>
    <row r="439" spans="1:23" x14ac:dyDescent="0.2">
      <c r="A439" s="40" t="s">
        <v>853</v>
      </c>
      <c r="B439" s="41">
        <v>45663</v>
      </c>
      <c r="C439" s="41">
        <v>45638</v>
      </c>
      <c r="D439" s="40" t="s">
        <v>287</v>
      </c>
      <c r="E439" s="40" t="s">
        <v>288</v>
      </c>
      <c r="G439" s="40" t="s">
        <v>1275</v>
      </c>
      <c r="H439" s="40" t="s">
        <v>851</v>
      </c>
      <c r="I439" s="40" t="s">
        <v>852</v>
      </c>
      <c r="J439" s="43" t="str">
        <f t="shared" si="36"/>
        <v>GLID</v>
      </c>
      <c r="K439" s="40" t="s">
        <v>10</v>
      </c>
      <c r="L439" s="44">
        <v>3920</v>
      </c>
      <c r="M439" s="40" t="s">
        <v>1472</v>
      </c>
      <c r="N439" s="40" t="s">
        <v>11</v>
      </c>
      <c r="O439" s="40">
        <v>7.9870000000000001</v>
      </c>
      <c r="P439" s="45">
        <f t="shared" si="37"/>
        <v>31309.040000000001</v>
      </c>
      <c r="Q439" s="46">
        <f t="shared" si="38"/>
        <v>7.3003400000000003</v>
      </c>
      <c r="R439" s="47">
        <f t="shared" si="39"/>
        <v>1.0941000000000001</v>
      </c>
      <c r="S439" s="48">
        <f t="shared" si="40"/>
        <v>4288.87</v>
      </c>
      <c r="T439" s="47" t="s">
        <v>349</v>
      </c>
      <c r="U439" s="40" t="s">
        <v>78</v>
      </c>
      <c r="V439" s="38">
        <v>7.1879</v>
      </c>
      <c r="W439" s="49">
        <f t="shared" si="41"/>
        <v>4355.7979382017002</v>
      </c>
    </row>
    <row r="440" spans="1:23" x14ac:dyDescent="0.2">
      <c r="A440" s="40" t="s">
        <v>882</v>
      </c>
      <c r="B440" s="41">
        <v>45666</v>
      </c>
      <c r="C440" s="41">
        <v>45287</v>
      </c>
      <c r="D440" s="40" t="s">
        <v>866</v>
      </c>
      <c r="E440" s="40" t="s">
        <v>867</v>
      </c>
      <c r="G440" s="40" t="s">
        <v>873</v>
      </c>
      <c r="H440" s="40" t="s">
        <v>880</v>
      </c>
      <c r="I440" s="40" t="s">
        <v>881</v>
      </c>
      <c r="J440" s="43" t="str">
        <f t="shared" si="36"/>
        <v>ANYD</v>
      </c>
      <c r="K440" s="40" t="s">
        <v>10</v>
      </c>
      <c r="L440" s="44">
        <v>2000</v>
      </c>
      <c r="M440" s="40" t="s">
        <v>1472</v>
      </c>
      <c r="N440" s="40" t="s">
        <v>11</v>
      </c>
      <c r="O440" s="40">
        <v>8.1858000000000004</v>
      </c>
      <c r="P440" s="45">
        <f t="shared" si="37"/>
        <v>16371.6</v>
      </c>
      <c r="Q440" s="46">
        <f t="shared" si="38"/>
        <v>7.3003400000000003</v>
      </c>
      <c r="R440" s="47">
        <f t="shared" si="39"/>
        <v>1.1213</v>
      </c>
      <c r="S440" s="48">
        <f t="shared" si="40"/>
        <v>2242.6</v>
      </c>
      <c r="T440" s="47" t="s">
        <v>349</v>
      </c>
      <c r="U440" s="40" t="s">
        <v>36</v>
      </c>
      <c r="V440" s="38">
        <v>7.1879</v>
      </c>
      <c r="W440" s="49">
        <f t="shared" si="41"/>
        <v>2277.661069297013</v>
      </c>
    </row>
    <row r="441" spans="1:23" x14ac:dyDescent="0.2">
      <c r="A441" s="40" t="s">
        <v>464</v>
      </c>
      <c r="B441" s="41">
        <v>45670</v>
      </c>
      <c r="C441" s="41">
        <v>45663</v>
      </c>
      <c r="D441" s="40" t="s">
        <v>5</v>
      </c>
      <c r="E441" s="40" t="s">
        <v>6</v>
      </c>
      <c r="G441" s="40" t="s">
        <v>458</v>
      </c>
      <c r="H441" s="40" t="s">
        <v>462</v>
      </c>
      <c r="I441" s="40" t="s">
        <v>463</v>
      </c>
      <c r="J441" s="43" t="str">
        <f t="shared" si="36"/>
        <v>BOX-</v>
      </c>
      <c r="K441" s="40" t="s">
        <v>10</v>
      </c>
      <c r="L441" s="44">
        <v>1010</v>
      </c>
      <c r="M441" s="40" t="s">
        <v>1472</v>
      </c>
      <c r="N441" s="40" t="s">
        <v>11</v>
      </c>
      <c r="O441" s="40">
        <v>8.59</v>
      </c>
      <c r="P441" s="45">
        <f t="shared" si="37"/>
        <v>8675.9</v>
      </c>
      <c r="Q441" s="46">
        <f t="shared" si="38"/>
        <v>7.3003400000000003</v>
      </c>
      <c r="R441" s="47">
        <f t="shared" si="39"/>
        <v>1.1767000000000001</v>
      </c>
      <c r="S441" s="48">
        <f t="shared" si="40"/>
        <v>1188.47</v>
      </c>
      <c r="T441" s="47" t="s">
        <v>349</v>
      </c>
      <c r="U441" s="40" t="s">
        <v>1</v>
      </c>
      <c r="V441" s="38">
        <v>7.1879</v>
      </c>
      <c r="W441" s="49">
        <f t="shared" si="41"/>
        <v>1207.0145661458839</v>
      </c>
    </row>
    <row r="442" spans="1:23" x14ac:dyDescent="0.2">
      <c r="A442" s="40" t="s">
        <v>258</v>
      </c>
      <c r="B442" s="41">
        <v>45673</v>
      </c>
      <c r="C442" s="41">
        <v>45639</v>
      </c>
      <c r="D442" s="40" t="s">
        <v>252</v>
      </c>
      <c r="E442" s="40" t="s">
        <v>253</v>
      </c>
      <c r="G442" s="40" t="s">
        <v>255</v>
      </c>
      <c r="H442" s="40" t="s">
        <v>256</v>
      </c>
      <c r="I442" s="40" t="s">
        <v>257</v>
      </c>
      <c r="J442" s="43" t="str">
        <f t="shared" si="36"/>
        <v>GLID</v>
      </c>
      <c r="K442" s="40" t="s">
        <v>10</v>
      </c>
      <c r="L442" s="44">
        <v>300</v>
      </c>
      <c r="M442" s="40" t="s">
        <v>1472</v>
      </c>
      <c r="N442" s="40" t="s">
        <v>11</v>
      </c>
      <c r="O442" s="40">
        <v>8.6329999999999991</v>
      </c>
      <c r="P442" s="45">
        <f t="shared" si="37"/>
        <v>2589.9</v>
      </c>
      <c r="Q442" s="46">
        <f t="shared" si="38"/>
        <v>7.3003400000000003</v>
      </c>
      <c r="R442" s="47">
        <f t="shared" si="39"/>
        <v>1.1825000000000001</v>
      </c>
      <c r="S442" s="48">
        <f t="shared" si="40"/>
        <v>354.75</v>
      </c>
      <c r="T442" s="47" t="s">
        <v>349</v>
      </c>
      <c r="U442" s="40" t="s">
        <v>78</v>
      </c>
      <c r="V442" s="38">
        <v>7.1879</v>
      </c>
      <c r="W442" s="49">
        <f t="shared" si="41"/>
        <v>360.31386079383407</v>
      </c>
    </row>
    <row r="443" spans="1:23" x14ac:dyDescent="0.2">
      <c r="A443" s="40" t="s">
        <v>850</v>
      </c>
      <c r="B443" s="41">
        <v>45666</v>
      </c>
      <c r="C443" s="41">
        <v>45638</v>
      </c>
      <c r="D443" s="40" t="s">
        <v>287</v>
      </c>
      <c r="E443" s="40" t="s">
        <v>288</v>
      </c>
      <c r="G443" s="40" t="s">
        <v>841</v>
      </c>
      <c r="H443" s="40" t="s">
        <v>848</v>
      </c>
      <c r="I443" s="40" t="s">
        <v>849</v>
      </c>
      <c r="J443" s="43" t="str">
        <f t="shared" si="36"/>
        <v>GLID</v>
      </c>
      <c r="K443" s="40" t="s">
        <v>10</v>
      </c>
      <c r="L443" s="44">
        <v>409</v>
      </c>
      <c r="M443" s="40" t="s">
        <v>1472</v>
      </c>
      <c r="N443" s="40" t="s">
        <v>11</v>
      </c>
      <c r="O443" s="40">
        <v>8.6631999999999998</v>
      </c>
      <c r="P443" s="45">
        <f t="shared" si="37"/>
        <v>3543.25</v>
      </c>
      <c r="Q443" s="46">
        <f t="shared" si="38"/>
        <v>7.3003400000000003</v>
      </c>
      <c r="R443" s="47">
        <f t="shared" si="39"/>
        <v>1.1867000000000001</v>
      </c>
      <c r="S443" s="48">
        <f t="shared" si="40"/>
        <v>485.36</v>
      </c>
      <c r="T443" s="47" t="s">
        <v>349</v>
      </c>
      <c r="U443" s="40" t="s">
        <v>78</v>
      </c>
      <c r="V443" s="38">
        <v>7.1879</v>
      </c>
      <c r="W443" s="49">
        <f t="shared" si="41"/>
        <v>492.94631255304051</v>
      </c>
    </row>
    <row r="444" spans="1:23" x14ac:dyDescent="0.2">
      <c r="A444" s="40" t="s">
        <v>847</v>
      </c>
      <c r="B444" s="41">
        <v>45666</v>
      </c>
      <c r="C444" s="41">
        <v>45638</v>
      </c>
      <c r="D444" s="40" t="s">
        <v>287</v>
      </c>
      <c r="E444" s="40" t="s">
        <v>288</v>
      </c>
      <c r="G444" s="40" t="s">
        <v>841</v>
      </c>
      <c r="H444" s="40" t="s">
        <v>845</v>
      </c>
      <c r="I444" s="40" t="s">
        <v>846</v>
      </c>
      <c r="J444" s="43" t="str">
        <f t="shared" si="36"/>
        <v>GLID</v>
      </c>
      <c r="K444" s="40" t="s">
        <v>10</v>
      </c>
      <c r="L444" s="44">
        <v>165</v>
      </c>
      <c r="M444" s="40" t="s">
        <v>1472</v>
      </c>
      <c r="N444" s="40" t="s">
        <v>11</v>
      </c>
      <c r="O444" s="40">
        <v>8.6631999999999998</v>
      </c>
      <c r="P444" s="45">
        <f t="shared" si="37"/>
        <v>1429.43</v>
      </c>
      <c r="Q444" s="46">
        <f t="shared" si="38"/>
        <v>7.3003400000000003</v>
      </c>
      <c r="R444" s="47">
        <f t="shared" si="39"/>
        <v>1.1867000000000001</v>
      </c>
      <c r="S444" s="48">
        <f t="shared" si="40"/>
        <v>195.81</v>
      </c>
      <c r="T444" s="47" t="s">
        <v>349</v>
      </c>
      <c r="U444" s="40" t="s">
        <v>78</v>
      </c>
      <c r="V444" s="38">
        <v>7.1879</v>
      </c>
      <c r="W444" s="49">
        <f t="shared" si="41"/>
        <v>198.86587181235132</v>
      </c>
    </row>
    <row r="445" spans="1:23" x14ac:dyDescent="0.2">
      <c r="A445" s="40" t="s">
        <v>847</v>
      </c>
      <c r="B445" s="41">
        <v>45660</v>
      </c>
      <c r="C445" s="41">
        <v>45638</v>
      </c>
      <c r="D445" s="40" t="s">
        <v>287</v>
      </c>
      <c r="E445" s="40" t="s">
        <v>288</v>
      </c>
      <c r="G445" s="40" t="s">
        <v>1286</v>
      </c>
      <c r="H445" s="40" t="s">
        <v>845</v>
      </c>
      <c r="I445" s="40" t="s">
        <v>846</v>
      </c>
      <c r="J445" s="43" t="str">
        <f t="shared" si="36"/>
        <v>GLID</v>
      </c>
      <c r="K445" s="40" t="s">
        <v>10</v>
      </c>
      <c r="L445" s="44">
        <v>1435</v>
      </c>
      <c r="M445" s="40" t="s">
        <v>1472</v>
      </c>
      <c r="N445" s="40" t="s">
        <v>11</v>
      </c>
      <c r="O445" s="40">
        <v>8.6631999999999998</v>
      </c>
      <c r="P445" s="45">
        <f t="shared" si="37"/>
        <v>12431.69</v>
      </c>
      <c r="Q445" s="46">
        <f t="shared" si="38"/>
        <v>7.3003400000000003</v>
      </c>
      <c r="R445" s="47">
        <f t="shared" si="39"/>
        <v>1.1867000000000001</v>
      </c>
      <c r="S445" s="48">
        <f t="shared" si="40"/>
        <v>1702.91</v>
      </c>
      <c r="T445" s="47" t="s">
        <v>349</v>
      </c>
      <c r="U445" s="40" t="s">
        <v>78</v>
      </c>
      <c r="V445" s="38">
        <v>7.1879</v>
      </c>
      <c r="W445" s="49">
        <f t="shared" si="41"/>
        <v>1729.5304609134796</v>
      </c>
    </row>
    <row r="446" spans="1:23" x14ac:dyDescent="0.2">
      <c r="A446" s="40" t="s">
        <v>1196</v>
      </c>
      <c r="B446" s="41">
        <v>45663</v>
      </c>
      <c r="C446" s="41">
        <v>45615</v>
      </c>
      <c r="D446" s="40" t="s">
        <v>149</v>
      </c>
      <c r="E446" s="40" t="s">
        <v>150</v>
      </c>
      <c r="G446" s="40" t="s">
        <v>1197</v>
      </c>
      <c r="H446" s="40" t="s">
        <v>147</v>
      </c>
      <c r="I446" s="40" t="s">
        <v>148</v>
      </c>
      <c r="J446" s="43" t="str">
        <f t="shared" si="36"/>
        <v>SKU-</v>
      </c>
      <c r="K446" s="40" t="s">
        <v>98</v>
      </c>
      <c r="L446" s="44">
        <v>1830</v>
      </c>
      <c r="M446" s="40" t="s">
        <v>1472</v>
      </c>
      <c r="N446" s="40" t="s">
        <v>11</v>
      </c>
      <c r="O446" s="40">
        <v>8.6722999999999999</v>
      </c>
      <c r="P446" s="45">
        <f t="shared" si="37"/>
        <v>15870.31</v>
      </c>
      <c r="Q446" s="46">
        <f t="shared" si="38"/>
        <v>7.3003400000000003</v>
      </c>
      <c r="R446" s="47">
        <f t="shared" si="39"/>
        <v>1.1879</v>
      </c>
      <c r="S446" s="48">
        <f t="shared" si="40"/>
        <v>2173.86</v>
      </c>
      <c r="T446" s="47" t="s">
        <v>349</v>
      </c>
      <c r="U446" s="40" t="s">
        <v>2</v>
      </c>
      <c r="V446" s="38">
        <v>7.1879</v>
      </c>
      <c r="W446" s="49">
        <f t="shared" si="41"/>
        <v>2207.9201157500802</v>
      </c>
    </row>
    <row r="447" spans="1:23" x14ac:dyDescent="0.2">
      <c r="A447" s="40" t="s">
        <v>1196</v>
      </c>
      <c r="B447" s="41">
        <v>45660</v>
      </c>
      <c r="C447" s="41">
        <v>45615</v>
      </c>
      <c r="D447" s="40" t="s">
        <v>149</v>
      </c>
      <c r="E447" s="40" t="s">
        <v>150</v>
      </c>
      <c r="G447" s="40" t="s">
        <v>1292</v>
      </c>
      <c r="H447" s="40" t="s">
        <v>147</v>
      </c>
      <c r="I447" s="40" t="s">
        <v>148</v>
      </c>
      <c r="J447" s="43" t="str">
        <f t="shared" si="36"/>
        <v>SKU-</v>
      </c>
      <c r="K447" s="40" t="s">
        <v>98</v>
      </c>
      <c r="L447" s="44">
        <v>1170</v>
      </c>
      <c r="M447" s="40" t="s">
        <v>1472</v>
      </c>
      <c r="N447" s="40" t="s">
        <v>11</v>
      </c>
      <c r="O447" s="40">
        <v>8.6722999999999999</v>
      </c>
      <c r="P447" s="45">
        <f t="shared" si="37"/>
        <v>10146.59</v>
      </c>
      <c r="Q447" s="46">
        <f t="shared" si="38"/>
        <v>7.3003400000000003</v>
      </c>
      <c r="R447" s="47">
        <f t="shared" si="39"/>
        <v>1.1879</v>
      </c>
      <c r="S447" s="48">
        <f t="shared" si="40"/>
        <v>1389.84</v>
      </c>
      <c r="T447" s="47" t="s">
        <v>349</v>
      </c>
      <c r="U447" s="40" t="s">
        <v>2</v>
      </c>
      <c r="V447" s="38">
        <v>7.1879</v>
      </c>
      <c r="W447" s="49">
        <f t="shared" si="41"/>
        <v>1411.6210576107071</v>
      </c>
    </row>
    <row r="448" spans="1:23" x14ac:dyDescent="0.2">
      <c r="A448" s="40" t="s">
        <v>1196</v>
      </c>
      <c r="B448" s="41">
        <v>45660</v>
      </c>
      <c r="C448" s="41">
        <v>45615</v>
      </c>
      <c r="D448" s="40" t="s">
        <v>149</v>
      </c>
      <c r="E448" s="40" t="s">
        <v>150</v>
      </c>
      <c r="G448" s="40" t="s">
        <v>1293</v>
      </c>
      <c r="H448" s="40" t="s">
        <v>147</v>
      </c>
      <c r="I448" s="40" t="s">
        <v>148</v>
      </c>
      <c r="J448" s="43" t="str">
        <f t="shared" si="36"/>
        <v>SKU-</v>
      </c>
      <c r="K448" s="40" t="s">
        <v>98</v>
      </c>
      <c r="L448" s="44">
        <v>-1170</v>
      </c>
      <c r="M448" s="40" t="s">
        <v>1472</v>
      </c>
      <c r="N448" s="40" t="s">
        <v>11</v>
      </c>
      <c r="O448" s="40">
        <v>8.6722999999999999</v>
      </c>
      <c r="P448" s="45">
        <f t="shared" si="37"/>
        <v>-10146.59</v>
      </c>
      <c r="Q448" s="46">
        <f t="shared" si="38"/>
        <v>7.3003400000000003</v>
      </c>
      <c r="R448" s="47">
        <f t="shared" si="39"/>
        <v>1.1879</v>
      </c>
      <c r="S448" s="48">
        <f t="shared" si="40"/>
        <v>-1389.84</v>
      </c>
      <c r="T448" s="47" t="s">
        <v>349</v>
      </c>
      <c r="U448" s="40" t="s">
        <v>2</v>
      </c>
      <c r="V448" s="38">
        <v>7.1879</v>
      </c>
      <c r="W448" s="49">
        <f t="shared" si="41"/>
        <v>-1411.6210576107071</v>
      </c>
    </row>
    <row r="449" spans="1:23" x14ac:dyDescent="0.2">
      <c r="A449" s="40" t="s">
        <v>1196</v>
      </c>
      <c r="B449" s="41">
        <v>45660</v>
      </c>
      <c r="C449" s="41">
        <v>45615</v>
      </c>
      <c r="D449" s="40" t="s">
        <v>149</v>
      </c>
      <c r="E449" s="40" t="s">
        <v>150</v>
      </c>
      <c r="G449" s="40" t="s">
        <v>1313</v>
      </c>
      <c r="H449" s="40" t="s">
        <v>147</v>
      </c>
      <c r="I449" s="40" t="s">
        <v>148</v>
      </c>
      <c r="J449" s="43" t="str">
        <f t="shared" si="36"/>
        <v>SKU-</v>
      </c>
      <c r="K449" s="40" t="s">
        <v>98</v>
      </c>
      <c r="L449" s="44">
        <v>1170</v>
      </c>
      <c r="M449" s="40" t="s">
        <v>1472</v>
      </c>
      <c r="N449" s="40" t="s">
        <v>11</v>
      </c>
      <c r="O449" s="40">
        <v>8.6722999999999999</v>
      </c>
      <c r="P449" s="45">
        <f t="shared" si="37"/>
        <v>10146.59</v>
      </c>
      <c r="Q449" s="46">
        <f t="shared" si="38"/>
        <v>7.3003400000000003</v>
      </c>
      <c r="R449" s="47">
        <f t="shared" si="39"/>
        <v>1.1879</v>
      </c>
      <c r="S449" s="48">
        <f t="shared" si="40"/>
        <v>1389.84</v>
      </c>
      <c r="T449" s="47" t="s">
        <v>349</v>
      </c>
      <c r="U449" s="40" t="s">
        <v>2</v>
      </c>
      <c r="V449" s="38">
        <v>7.1879</v>
      </c>
      <c r="W449" s="49">
        <f t="shared" si="41"/>
        <v>1411.6210576107071</v>
      </c>
    </row>
    <row r="450" spans="1:23" x14ac:dyDescent="0.2">
      <c r="A450" s="40" t="s">
        <v>151</v>
      </c>
      <c r="B450" s="41">
        <v>45675</v>
      </c>
      <c r="C450" s="41">
        <v>45639</v>
      </c>
      <c r="D450" s="40" t="s">
        <v>149</v>
      </c>
      <c r="E450" s="40" t="s">
        <v>150</v>
      </c>
      <c r="G450" s="40" t="s">
        <v>152</v>
      </c>
      <c r="H450" s="40" t="s">
        <v>147</v>
      </c>
      <c r="I450" s="40" t="s">
        <v>148</v>
      </c>
      <c r="J450" s="43" t="str">
        <f t="shared" ref="J450:J513" si="42">+LEFT(U450,4)</f>
        <v>SKU-</v>
      </c>
      <c r="K450" s="40" t="s">
        <v>98</v>
      </c>
      <c r="L450" s="44">
        <v>910</v>
      </c>
      <c r="M450" s="40" t="s">
        <v>1472</v>
      </c>
      <c r="N450" s="40" t="s">
        <v>11</v>
      </c>
      <c r="O450" s="40">
        <v>8.6722999999999999</v>
      </c>
      <c r="P450" s="45">
        <f t="shared" ref="P450:P513" si="43">ROUND(O450*L450,2)</f>
        <v>7891.79</v>
      </c>
      <c r="Q450" s="46">
        <f t="shared" ref="Q450:Q513" si="44">IF(N450="HKD",7.8,IF(N450="CNY",7.30034,1))</f>
        <v>7.3003400000000003</v>
      </c>
      <c r="R450" s="47">
        <f t="shared" ref="R450:R513" si="45">+ROUND(O450/Q450,4)</f>
        <v>1.1879</v>
      </c>
      <c r="S450" s="48">
        <f t="shared" ref="S450:S513" si="46">ROUND(R450*L450,2)</f>
        <v>1080.99</v>
      </c>
      <c r="T450" s="47" t="s">
        <v>349</v>
      </c>
      <c r="U450" s="40" t="s">
        <v>2</v>
      </c>
      <c r="V450" s="38">
        <v>7.1879</v>
      </c>
      <c r="W450" s="49">
        <f t="shared" ref="W450:W513" si="47">IF(N450="CNY",O450/V450*L450,1)</f>
        <v>1097.9274892527721</v>
      </c>
    </row>
    <row r="451" spans="1:23" x14ac:dyDescent="0.2">
      <c r="A451" s="40" t="s">
        <v>151</v>
      </c>
      <c r="B451" s="41">
        <v>45673</v>
      </c>
      <c r="C451" s="41">
        <v>45639</v>
      </c>
      <c r="D451" s="40" t="s">
        <v>149</v>
      </c>
      <c r="E451" s="40" t="s">
        <v>150</v>
      </c>
      <c r="G451" s="40" t="s">
        <v>273</v>
      </c>
      <c r="H451" s="40" t="s">
        <v>147</v>
      </c>
      <c r="I451" s="40" t="s">
        <v>148</v>
      </c>
      <c r="J451" s="43" t="str">
        <f t="shared" si="42"/>
        <v>SKU-</v>
      </c>
      <c r="K451" s="40" t="s">
        <v>98</v>
      </c>
      <c r="L451" s="44">
        <v>2090</v>
      </c>
      <c r="M451" s="40" t="s">
        <v>1472</v>
      </c>
      <c r="N451" s="40" t="s">
        <v>11</v>
      </c>
      <c r="O451" s="40">
        <v>8.6722999999999999</v>
      </c>
      <c r="P451" s="45">
        <f t="shared" si="43"/>
        <v>18125.11</v>
      </c>
      <c r="Q451" s="46">
        <f t="shared" si="44"/>
        <v>7.3003400000000003</v>
      </c>
      <c r="R451" s="47">
        <f t="shared" si="45"/>
        <v>1.1879</v>
      </c>
      <c r="S451" s="48">
        <f t="shared" si="46"/>
        <v>2482.71</v>
      </c>
      <c r="T451" s="47" t="s">
        <v>349</v>
      </c>
      <c r="U451" s="40" t="s">
        <v>2</v>
      </c>
      <c r="V451" s="38">
        <v>7.1879</v>
      </c>
      <c r="W451" s="49">
        <f t="shared" si="47"/>
        <v>2521.6136841080151</v>
      </c>
    </row>
    <row r="452" spans="1:23" x14ac:dyDescent="0.2">
      <c r="A452" s="40" t="s">
        <v>1404</v>
      </c>
      <c r="B452" s="41">
        <v>45659</v>
      </c>
      <c r="C452" s="41">
        <v>45639</v>
      </c>
      <c r="D452" s="40" t="s">
        <v>569</v>
      </c>
      <c r="E452" s="40" t="s">
        <v>570</v>
      </c>
      <c r="G452" s="40" t="s">
        <v>1403</v>
      </c>
      <c r="H452" s="40" t="s">
        <v>256</v>
      </c>
      <c r="I452" s="40" t="s">
        <v>257</v>
      </c>
      <c r="J452" s="43" t="str">
        <f t="shared" si="42"/>
        <v>GLID</v>
      </c>
      <c r="K452" s="40" t="s">
        <v>10</v>
      </c>
      <c r="L452" s="44">
        <v>2250</v>
      </c>
      <c r="M452" s="40" t="s">
        <v>1472</v>
      </c>
      <c r="N452" s="40" t="s">
        <v>11</v>
      </c>
      <c r="O452" s="40">
        <v>8.7024000000000008</v>
      </c>
      <c r="P452" s="45">
        <f t="shared" si="43"/>
        <v>19580.400000000001</v>
      </c>
      <c r="Q452" s="46">
        <f t="shared" si="44"/>
        <v>7.3003400000000003</v>
      </c>
      <c r="R452" s="47">
        <f t="shared" si="45"/>
        <v>1.1920999999999999</v>
      </c>
      <c r="S452" s="48">
        <f t="shared" si="46"/>
        <v>2682.23</v>
      </c>
      <c r="T452" s="47" t="s">
        <v>349</v>
      </c>
      <c r="U452" s="40" t="s">
        <v>78</v>
      </c>
      <c r="V452" s="38">
        <v>7.1879</v>
      </c>
      <c r="W452" s="49">
        <f t="shared" si="47"/>
        <v>2724.0779643567662</v>
      </c>
    </row>
    <row r="453" spans="1:23" x14ac:dyDescent="0.2">
      <c r="A453" s="40" t="s">
        <v>260</v>
      </c>
      <c r="B453" s="41">
        <v>45673</v>
      </c>
      <c r="C453" s="41">
        <v>45644</v>
      </c>
      <c r="D453" s="40" t="s">
        <v>252</v>
      </c>
      <c r="E453" s="40" t="s">
        <v>253</v>
      </c>
      <c r="G453" s="40" t="s">
        <v>255</v>
      </c>
      <c r="H453" s="40" t="s">
        <v>256</v>
      </c>
      <c r="I453" s="40" t="s">
        <v>257</v>
      </c>
      <c r="J453" s="43" t="str">
        <f t="shared" si="42"/>
        <v>GLID</v>
      </c>
      <c r="K453" s="40" t="s">
        <v>10</v>
      </c>
      <c r="L453" s="44">
        <v>600</v>
      </c>
      <c r="M453" s="40" t="s">
        <v>1472</v>
      </c>
      <c r="N453" s="40" t="s">
        <v>11</v>
      </c>
      <c r="O453" s="40">
        <v>8.7219999999999995</v>
      </c>
      <c r="P453" s="45">
        <f t="shared" si="43"/>
        <v>5233.2</v>
      </c>
      <c r="Q453" s="46">
        <f t="shared" si="44"/>
        <v>7.3003400000000003</v>
      </c>
      <c r="R453" s="47">
        <f t="shared" si="45"/>
        <v>1.1947000000000001</v>
      </c>
      <c r="S453" s="48">
        <f t="shared" si="46"/>
        <v>716.82</v>
      </c>
      <c r="T453" s="47" t="s">
        <v>349</v>
      </c>
      <c r="U453" s="40" t="s">
        <v>78</v>
      </c>
      <c r="V453" s="38">
        <v>7.1879</v>
      </c>
      <c r="W453" s="49">
        <f t="shared" si="47"/>
        <v>728.05687335661321</v>
      </c>
    </row>
    <row r="454" spans="1:23" x14ac:dyDescent="0.2">
      <c r="A454" s="40" t="s">
        <v>260</v>
      </c>
      <c r="B454" s="41">
        <v>45672</v>
      </c>
      <c r="C454" s="41">
        <v>45644</v>
      </c>
      <c r="D454" s="40" t="s">
        <v>252</v>
      </c>
      <c r="E454" s="40" t="s">
        <v>253</v>
      </c>
      <c r="G454" s="40" t="s">
        <v>292</v>
      </c>
      <c r="H454" s="40" t="s">
        <v>256</v>
      </c>
      <c r="I454" s="40" t="s">
        <v>257</v>
      </c>
      <c r="J454" s="43" t="str">
        <f t="shared" si="42"/>
        <v>GLID</v>
      </c>
      <c r="K454" s="40" t="s">
        <v>10</v>
      </c>
      <c r="L454" s="44">
        <v>3420</v>
      </c>
      <c r="M454" s="40" t="s">
        <v>1472</v>
      </c>
      <c r="N454" s="40" t="s">
        <v>11</v>
      </c>
      <c r="O454" s="40">
        <v>8.7219999999999995</v>
      </c>
      <c r="P454" s="45">
        <f t="shared" si="43"/>
        <v>29829.24</v>
      </c>
      <c r="Q454" s="46">
        <f t="shared" si="44"/>
        <v>7.3003400000000003</v>
      </c>
      <c r="R454" s="47">
        <f t="shared" si="45"/>
        <v>1.1947000000000001</v>
      </c>
      <c r="S454" s="48">
        <f t="shared" si="46"/>
        <v>4085.87</v>
      </c>
      <c r="T454" s="47" t="s">
        <v>349</v>
      </c>
      <c r="U454" s="40" t="s">
        <v>78</v>
      </c>
      <c r="V454" s="38">
        <v>7.1879</v>
      </c>
      <c r="W454" s="49">
        <f t="shared" si="47"/>
        <v>4149.9241781326946</v>
      </c>
    </row>
    <row r="455" spans="1:23" x14ac:dyDescent="0.2">
      <c r="A455" s="40" t="s">
        <v>872</v>
      </c>
      <c r="B455" s="41">
        <v>45666</v>
      </c>
      <c r="C455" s="41">
        <v>45287</v>
      </c>
      <c r="D455" s="40" t="s">
        <v>866</v>
      </c>
      <c r="E455" s="40" t="s">
        <v>867</v>
      </c>
      <c r="G455" s="40" t="s">
        <v>873</v>
      </c>
      <c r="H455" s="40" t="s">
        <v>870</v>
      </c>
      <c r="I455" s="40" t="s">
        <v>871</v>
      </c>
      <c r="J455" s="43" t="str">
        <f t="shared" si="42"/>
        <v>ANYD</v>
      </c>
      <c r="K455" s="40" t="s">
        <v>10</v>
      </c>
      <c r="L455" s="44">
        <v>1760</v>
      </c>
      <c r="M455" s="40" t="s">
        <v>1472</v>
      </c>
      <c r="N455" s="40" t="s">
        <v>11</v>
      </c>
      <c r="O455" s="40">
        <v>8.8053000000000008</v>
      </c>
      <c r="P455" s="45">
        <f t="shared" si="43"/>
        <v>15497.33</v>
      </c>
      <c r="Q455" s="46">
        <f t="shared" si="44"/>
        <v>7.3003400000000003</v>
      </c>
      <c r="R455" s="47">
        <f t="shared" si="45"/>
        <v>1.2060999999999999</v>
      </c>
      <c r="S455" s="48">
        <f t="shared" si="46"/>
        <v>2122.7399999999998</v>
      </c>
      <c r="T455" s="47" t="s">
        <v>349</v>
      </c>
      <c r="U455" s="40" t="s">
        <v>36</v>
      </c>
      <c r="V455" s="38">
        <v>7.1879</v>
      </c>
      <c r="W455" s="49">
        <f t="shared" si="47"/>
        <v>2156.0299948524607</v>
      </c>
    </row>
    <row r="456" spans="1:23" x14ac:dyDescent="0.2">
      <c r="A456" s="40" t="s">
        <v>392</v>
      </c>
      <c r="B456" s="41">
        <v>45670</v>
      </c>
      <c r="C456" s="41">
        <v>45664</v>
      </c>
      <c r="D456" s="40" t="s">
        <v>5</v>
      </c>
      <c r="E456" s="40" t="s">
        <v>6</v>
      </c>
      <c r="G456" s="40" t="s">
        <v>393</v>
      </c>
      <c r="H456" s="40" t="s">
        <v>390</v>
      </c>
      <c r="I456" s="40" t="s">
        <v>391</v>
      </c>
      <c r="J456" s="43" t="str">
        <f t="shared" si="42"/>
        <v>BOX-</v>
      </c>
      <c r="K456" s="40" t="s">
        <v>10</v>
      </c>
      <c r="L456" s="44">
        <v>1000</v>
      </c>
      <c r="M456" s="40" t="s">
        <v>1472</v>
      </c>
      <c r="N456" s="40" t="s">
        <v>11</v>
      </c>
      <c r="O456" s="40">
        <v>9.15</v>
      </c>
      <c r="P456" s="45">
        <f t="shared" si="43"/>
        <v>9150</v>
      </c>
      <c r="Q456" s="46">
        <f t="shared" si="44"/>
        <v>7.3003400000000003</v>
      </c>
      <c r="R456" s="47">
        <f t="shared" si="45"/>
        <v>1.2534000000000001</v>
      </c>
      <c r="S456" s="48">
        <f t="shared" si="46"/>
        <v>1253.4000000000001</v>
      </c>
      <c r="T456" s="47" t="s">
        <v>349</v>
      </c>
      <c r="U456" s="40" t="s">
        <v>1</v>
      </c>
      <c r="V456" s="38">
        <v>7.1879</v>
      </c>
      <c r="W456" s="49">
        <f t="shared" si="47"/>
        <v>1272.9726345664242</v>
      </c>
    </row>
    <row r="457" spans="1:23" x14ac:dyDescent="0.2">
      <c r="A457" s="40" t="s">
        <v>889</v>
      </c>
      <c r="B457" s="41">
        <v>45666</v>
      </c>
      <c r="C457" s="41">
        <v>45526</v>
      </c>
      <c r="D457" s="40" t="s">
        <v>866</v>
      </c>
      <c r="E457" s="40" t="s">
        <v>867</v>
      </c>
      <c r="G457" s="40" t="s">
        <v>886</v>
      </c>
      <c r="H457" s="40" t="s">
        <v>887</v>
      </c>
      <c r="I457" s="40" t="s">
        <v>888</v>
      </c>
      <c r="J457" s="43" t="str">
        <f t="shared" si="42"/>
        <v>ANYD</v>
      </c>
      <c r="K457" s="40" t="s">
        <v>10</v>
      </c>
      <c r="L457" s="44">
        <v>10000</v>
      </c>
      <c r="M457" s="40" t="s">
        <v>1472</v>
      </c>
      <c r="N457" s="40" t="s">
        <v>11</v>
      </c>
      <c r="O457" s="40">
        <v>9.2124000000000006</v>
      </c>
      <c r="P457" s="45">
        <f t="shared" si="43"/>
        <v>92124</v>
      </c>
      <c r="Q457" s="46">
        <f t="shared" si="44"/>
        <v>7.3003400000000003</v>
      </c>
      <c r="R457" s="47">
        <f t="shared" si="45"/>
        <v>1.2619</v>
      </c>
      <c r="S457" s="48">
        <f t="shared" si="46"/>
        <v>12619</v>
      </c>
      <c r="T457" s="47" t="s">
        <v>349</v>
      </c>
      <c r="U457" s="40" t="s">
        <v>36</v>
      </c>
      <c r="V457" s="38">
        <v>7.1879</v>
      </c>
      <c r="W457" s="49">
        <f t="shared" si="47"/>
        <v>12816.538905660904</v>
      </c>
    </row>
    <row r="458" spans="1:23" x14ac:dyDescent="0.2">
      <c r="A458" s="40" t="s">
        <v>844</v>
      </c>
      <c r="B458" s="41">
        <v>45666</v>
      </c>
      <c r="C458" s="41">
        <v>45638</v>
      </c>
      <c r="D458" s="40" t="s">
        <v>287</v>
      </c>
      <c r="E458" s="40" t="s">
        <v>288</v>
      </c>
      <c r="G458" s="40" t="s">
        <v>841</v>
      </c>
      <c r="H458" s="40" t="s">
        <v>842</v>
      </c>
      <c r="I458" s="40" t="s">
        <v>843</v>
      </c>
      <c r="J458" s="43" t="str">
        <f t="shared" si="42"/>
        <v>GLID</v>
      </c>
      <c r="K458" s="40" t="s">
        <v>10</v>
      </c>
      <c r="L458" s="44">
        <v>400</v>
      </c>
      <c r="M458" s="40" t="s">
        <v>1472</v>
      </c>
      <c r="N458" s="40" t="s">
        <v>11</v>
      </c>
      <c r="O458" s="40">
        <v>9.31</v>
      </c>
      <c r="P458" s="45">
        <f t="shared" si="43"/>
        <v>3724</v>
      </c>
      <c r="Q458" s="46">
        <f t="shared" si="44"/>
        <v>7.3003400000000003</v>
      </c>
      <c r="R458" s="47">
        <f t="shared" si="45"/>
        <v>1.2753000000000001</v>
      </c>
      <c r="S458" s="48">
        <f t="shared" si="46"/>
        <v>510.12</v>
      </c>
      <c r="T458" s="47" t="s">
        <v>349</v>
      </c>
      <c r="U458" s="40" t="s">
        <v>78</v>
      </c>
      <c r="V458" s="38">
        <v>7.1879</v>
      </c>
      <c r="W458" s="49">
        <f t="shared" si="47"/>
        <v>518.09290613391954</v>
      </c>
    </row>
    <row r="459" spans="1:23" x14ac:dyDescent="0.2">
      <c r="A459" s="40" t="s">
        <v>844</v>
      </c>
      <c r="B459" s="41">
        <v>45665</v>
      </c>
      <c r="C459" s="41">
        <v>45638</v>
      </c>
      <c r="D459" s="40" t="s">
        <v>287</v>
      </c>
      <c r="E459" s="40" t="s">
        <v>288</v>
      </c>
      <c r="G459" s="40" t="s">
        <v>938</v>
      </c>
      <c r="H459" s="40" t="s">
        <v>842</v>
      </c>
      <c r="I459" s="40" t="s">
        <v>843</v>
      </c>
      <c r="J459" s="43" t="str">
        <f t="shared" si="42"/>
        <v>GLID</v>
      </c>
      <c r="K459" s="40" t="s">
        <v>10</v>
      </c>
      <c r="L459" s="44">
        <v>1200</v>
      </c>
      <c r="M459" s="40" t="s">
        <v>1472</v>
      </c>
      <c r="N459" s="40" t="s">
        <v>11</v>
      </c>
      <c r="O459" s="40">
        <v>9.31</v>
      </c>
      <c r="P459" s="45">
        <f t="shared" si="43"/>
        <v>11172</v>
      </c>
      <c r="Q459" s="46">
        <f t="shared" si="44"/>
        <v>7.3003400000000003</v>
      </c>
      <c r="R459" s="47">
        <f t="shared" si="45"/>
        <v>1.2753000000000001</v>
      </c>
      <c r="S459" s="48">
        <f t="shared" si="46"/>
        <v>1530.36</v>
      </c>
      <c r="T459" s="47" t="s">
        <v>349</v>
      </c>
      <c r="U459" s="40" t="s">
        <v>78</v>
      </c>
      <c r="V459" s="38">
        <v>7.1879</v>
      </c>
      <c r="W459" s="49">
        <f t="shared" si="47"/>
        <v>1554.2787184017584</v>
      </c>
    </row>
    <row r="460" spans="1:23" x14ac:dyDescent="0.2">
      <c r="A460" s="40" t="s">
        <v>844</v>
      </c>
      <c r="B460" s="41">
        <v>45664</v>
      </c>
      <c r="C460" s="41">
        <v>45638</v>
      </c>
      <c r="D460" s="40" t="s">
        <v>287</v>
      </c>
      <c r="E460" s="40" t="s">
        <v>288</v>
      </c>
      <c r="G460" s="40" t="s">
        <v>988</v>
      </c>
      <c r="H460" s="40" t="s">
        <v>842</v>
      </c>
      <c r="I460" s="40" t="s">
        <v>843</v>
      </c>
      <c r="J460" s="43" t="str">
        <f t="shared" si="42"/>
        <v>GLID</v>
      </c>
      <c r="K460" s="40" t="s">
        <v>10</v>
      </c>
      <c r="L460" s="44">
        <v>1400</v>
      </c>
      <c r="M460" s="40" t="s">
        <v>1472</v>
      </c>
      <c r="N460" s="40" t="s">
        <v>11</v>
      </c>
      <c r="O460" s="40">
        <v>9.31</v>
      </c>
      <c r="P460" s="45">
        <f t="shared" si="43"/>
        <v>13034</v>
      </c>
      <c r="Q460" s="46">
        <f t="shared" si="44"/>
        <v>7.3003400000000003</v>
      </c>
      <c r="R460" s="47">
        <f t="shared" si="45"/>
        <v>1.2753000000000001</v>
      </c>
      <c r="S460" s="48">
        <f t="shared" si="46"/>
        <v>1785.42</v>
      </c>
      <c r="T460" s="47" t="s">
        <v>349</v>
      </c>
      <c r="U460" s="40" t="s">
        <v>78</v>
      </c>
      <c r="V460" s="38">
        <v>7.1879</v>
      </c>
      <c r="W460" s="49">
        <f t="shared" si="47"/>
        <v>1813.3251714687183</v>
      </c>
    </row>
    <row r="461" spans="1:23" x14ac:dyDescent="0.2">
      <c r="A461" s="40" t="s">
        <v>844</v>
      </c>
      <c r="B461" s="41">
        <v>45663</v>
      </c>
      <c r="C461" s="41">
        <v>45638</v>
      </c>
      <c r="D461" s="40" t="s">
        <v>287</v>
      </c>
      <c r="E461" s="40" t="s">
        <v>288</v>
      </c>
      <c r="G461" s="40" t="s">
        <v>1275</v>
      </c>
      <c r="H461" s="40" t="s">
        <v>842</v>
      </c>
      <c r="I461" s="40" t="s">
        <v>843</v>
      </c>
      <c r="J461" s="43" t="str">
        <f t="shared" si="42"/>
        <v>GLID</v>
      </c>
      <c r="K461" s="40" t="s">
        <v>10</v>
      </c>
      <c r="L461" s="44">
        <v>1400</v>
      </c>
      <c r="M461" s="40" t="s">
        <v>1472</v>
      </c>
      <c r="N461" s="40" t="s">
        <v>11</v>
      </c>
      <c r="O461" s="40">
        <v>9.31</v>
      </c>
      <c r="P461" s="45">
        <f t="shared" si="43"/>
        <v>13034</v>
      </c>
      <c r="Q461" s="46">
        <f t="shared" si="44"/>
        <v>7.3003400000000003</v>
      </c>
      <c r="R461" s="47">
        <f t="shared" si="45"/>
        <v>1.2753000000000001</v>
      </c>
      <c r="S461" s="48">
        <f t="shared" si="46"/>
        <v>1785.42</v>
      </c>
      <c r="T461" s="47" t="s">
        <v>349</v>
      </c>
      <c r="U461" s="40" t="s">
        <v>78</v>
      </c>
      <c r="V461" s="38">
        <v>7.1879</v>
      </c>
      <c r="W461" s="49">
        <f t="shared" si="47"/>
        <v>1813.3251714687183</v>
      </c>
    </row>
    <row r="462" spans="1:23" x14ac:dyDescent="0.2">
      <c r="A462" s="40" t="s">
        <v>840</v>
      </c>
      <c r="B462" s="41">
        <v>45666</v>
      </c>
      <c r="C462" s="41">
        <v>45638</v>
      </c>
      <c r="D462" s="40" t="s">
        <v>287</v>
      </c>
      <c r="E462" s="40" t="s">
        <v>288</v>
      </c>
      <c r="G462" s="40" t="s">
        <v>841</v>
      </c>
      <c r="H462" s="40" t="s">
        <v>838</v>
      </c>
      <c r="I462" s="40" t="s">
        <v>839</v>
      </c>
      <c r="J462" s="43" t="str">
        <f t="shared" si="42"/>
        <v>GLID</v>
      </c>
      <c r="K462" s="40" t="s">
        <v>10</v>
      </c>
      <c r="L462" s="44">
        <v>200</v>
      </c>
      <c r="M462" s="40" t="s">
        <v>1472</v>
      </c>
      <c r="N462" s="40" t="s">
        <v>11</v>
      </c>
      <c r="O462" s="40">
        <v>9.31</v>
      </c>
      <c r="P462" s="45">
        <f t="shared" si="43"/>
        <v>1862</v>
      </c>
      <c r="Q462" s="46">
        <f t="shared" si="44"/>
        <v>7.3003400000000003</v>
      </c>
      <c r="R462" s="47">
        <f t="shared" si="45"/>
        <v>1.2753000000000001</v>
      </c>
      <c r="S462" s="48">
        <f t="shared" si="46"/>
        <v>255.06</v>
      </c>
      <c r="T462" s="47" t="s">
        <v>349</v>
      </c>
      <c r="U462" s="40" t="s">
        <v>78</v>
      </c>
      <c r="V462" s="38">
        <v>7.1879</v>
      </c>
      <c r="W462" s="49">
        <f t="shared" si="47"/>
        <v>259.04645306695977</v>
      </c>
    </row>
    <row r="463" spans="1:23" x14ac:dyDescent="0.2">
      <c r="A463" s="40" t="s">
        <v>840</v>
      </c>
      <c r="B463" s="41">
        <v>45665</v>
      </c>
      <c r="C463" s="41">
        <v>45638</v>
      </c>
      <c r="D463" s="40" t="s">
        <v>287</v>
      </c>
      <c r="E463" s="40" t="s">
        <v>288</v>
      </c>
      <c r="G463" s="40" t="s">
        <v>938</v>
      </c>
      <c r="H463" s="40" t="s">
        <v>838</v>
      </c>
      <c r="I463" s="40" t="s">
        <v>839</v>
      </c>
      <c r="J463" s="43" t="str">
        <f t="shared" si="42"/>
        <v>GLID</v>
      </c>
      <c r="K463" s="40" t="s">
        <v>10</v>
      </c>
      <c r="L463" s="44">
        <v>1400</v>
      </c>
      <c r="M463" s="40" t="s">
        <v>1472</v>
      </c>
      <c r="N463" s="40" t="s">
        <v>11</v>
      </c>
      <c r="O463" s="40">
        <v>9.31</v>
      </c>
      <c r="P463" s="45">
        <f t="shared" si="43"/>
        <v>13034</v>
      </c>
      <c r="Q463" s="46">
        <f t="shared" si="44"/>
        <v>7.3003400000000003</v>
      </c>
      <c r="R463" s="47">
        <f t="shared" si="45"/>
        <v>1.2753000000000001</v>
      </c>
      <c r="S463" s="48">
        <f t="shared" si="46"/>
        <v>1785.42</v>
      </c>
      <c r="T463" s="47" t="s">
        <v>349</v>
      </c>
      <c r="U463" s="40" t="s">
        <v>78</v>
      </c>
      <c r="V463" s="38">
        <v>7.1879</v>
      </c>
      <c r="W463" s="49">
        <f t="shared" si="47"/>
        <v>1813.3251714687183</v>
      </c>
    </row>
    <row r="464" spans="1:23" x14ac:dyDescent="0.2">
      <c r="A464" s="40" t="s">
        <v>840</v>
      </c>
      <c r="B464" s="41">
        <v>45660</v>
      </c>
      <c r="C464" s="41">
        <v>45638</v>
      </c>
      <c r="D464" s="40" t="s">
        <v>287</v>
      </c>
      <c r="E464" s="40" t="s">
        <v>288</v>
      </c>
      <c r="G464" s="40" t="s">
        <v>1286</v>
      </c>
      <c r="H464" s="40" t="s">
        <v>838</v>
      </c>
      <c r="I464" s="40" t="s">
        <v>839</v>
      </c>
      <c r="J464" s="43" t="str">
        <f t="shared" si="42"/>
        <v>GLID</v>
      </c>
      <c r="K464" s="40" t="s">
        <v>10</v>
      </c>
      <c r="L464" s="44">
        <v>2800</v>
      </c>
      <c r="M464" s="40" t="s">
        <v>1472</v>
      </c>
      <c r="N464" s="40" t="s">
        <v>11</v>
      </c>
      <c r="O464" s="40">
        <v>9.31</v>
      </c>
      <c r="P464" s="45">
        <f t="shared" si="43"/>
        <v>26068</v>
      </c>
      <c r="Q464" s="46">
        <f t="shared" si="44"/>
        <v>7.3003400000000003</v>
      </c>
      <c r="R464" s="47">
        <f t="shared" si="45"/>
        <v>1.2753000000000001</v>
      </c>
      <c r="S464" s="48">
        <f t="shared" si="46"/>
        <v>3570.84</v>
      </c>
      <c r="T464" s="47" t="s">
        <v>349</v>
      </c>
      <c r="U464" s="40" t="s">
        <v>78</v>
      </c>
      <c r="V464" s="38">
        <v>7.1879</v>
      </c>
      <c r="W464" s="49">
        <f t="shared" si="47"/>
        <v>3626.6503429374366</v>
      </c>
    </row>
    <row r="465" spans="1:23" x14ac:dyDescent="0.2">
      <c r="A465" s="40" t="s">
        <v>454</v>
      </c>
      <c r="B465" s="41">
        <v>45670</v>
      </c>
      <c r="C465" s="41">
        <v>45663</v>
      </c>
      <c r="D465" s="40" t="s">
        <v>5</v>
      </c>
      <c r="E465" s="40" t="s">
        <v>6</v>
      </c>
      <c r="G465" s="40" t="s">
        <v>450</v>
      </c>
      <c r="H465" s="40" t="s">
        <v>452</v>
      </c>
      <c r="I465" s="40" t="s">
        <v>453</v>
      </c>
      <c r="J465" s="43" t="str">
        <f t="shared" si="42"/>
        <v>BOX-</v>
      </c>
      <c r="K465" s="40" t="s">
        <v>10</v>
      </c>
      <c r="L465" s="44">
        <v>505</v>
      </c>
      <c r="M465" s="40" t="s">
        <v>1472</v>
      </c>
      <c r="N465" s="40" t="s">
        <v>11</v>
      </c>
      <c r="O465" s="40">
        <v>9.33</v>
      </c>
      <c r="P465" s="45">
        <f t="shared" si="43"/>
        <v>4711.6499999999996</v>
      </c>
      <c r="Q465" s="46">
        <f t="shared" si="44"/>
        <v>7.3003400000000003</v>
      </c>
      <c r="R465" s="47">
        <f t="shared" si="45"/>
        <v>1.278</v>
      </c>
      <c r="S465" s="48">
        <f t="shared" si="46"/>
        <v>645.39</v>
      </c>
      <c r="T465" s="47" t="s">
        <v>349</v>
      </c>
      <c r="U465" s="40" t="s">
        <v>1</v>
      </c>
      <c r="V465" s="38">
        <v>7.1879</v>
      </c>
      <c r="W465" s="49">
        <f t="shared" si="47"/>
        <v>655.49743318632704</v>
      </c>
    </row>
    <row r="466" spans="1:23" x14ac:dyDescent="0.2">
      <c r="A466" s="40" t="s">
        <v>885</v>
      </c>
      <c r="B466" s="41">
        <v>45666</v>
      </c>
      <c r="C466" s="41">
        <v>45526</v>
      </c>
      <c r="D466" s="40" t="s">
        <v>866</v>
      </c>
      <c r="E466" s="40" t="s">
        <v>867</v>
      </c>
      <c r="G466" s="40" t="s">
        <v>886</v>
      </c>
      <c r="H466" s="40" t="s">
        <v>883</v>
      </c>
      <c r="I466" s="40" t="s">
        <v>884</v>
      </c>
      <c r="J466" s="43" t="str">
        <f t="shared" si="42"/>
        <v>ANYD</v>
      </c>
      <c r="K466" s="40" t="s">
        <v>10</v>
      </c>
      <c r="L466" s="44">
        <v>9996</v>
      </c>
      <c r="M466" s="40" t="s">
        <v>1472</v>
      </c>
      <c r="N466" s="40" t="s">
        <v>11</v>
      </c>
      <c r="O466" s="40">
        <v>9.7788000000000004</v>
      </c>
      <c r="P466" s="45">
        <f t="shared" si="43"/>
        <v>97748.88</v>
      </c>
      <c r="Q466" s="46">
        <f t="shared" si="44"/>
        <v>7.3003400000000003</v>
      </c>
      <c r="R466" s="47">
        <f t="shared" si="45"/>
        <v>1.3394999999999999</v>
      </c>
      <c r="S466" s="48">
        <f t="shared" si="46"/>
        <v>13389.64</v>
      </c>
      <c r="T466" s="47" t="s">
        <v>349</v>
      </c>
      <c r="U466" s="40" t="s">
        <v>36</v>
      </c>
      <c r="V466" s="38">
        <v>7.1879</v>
      </c>
      <c r="W466" s="49">
        <f t="shared" si="47"/>
        <v>13599.088022927421</v>
      </c>
    </row>
    <row r="467" spans="1:23" x14ac:dyDescent="0.2">
      <c r="A467" s="40" t="s">
        <v>467</v>
      </c>
      <c r="B467" s="41">
        <v>45670</v>
      </c>
      <c r="C467" s="41">
        <v>45663</v>
      </c>
      <c r="D467" s="40" t="s">
        <v>5</v>
      </c>
      <c r="E467" s="40" t="s">
        <v>6</v>
      </c>
      <c r="G467" s="40" t="s">
        <v>458</v>
      </c>
      <c r="H467" s="40" t="s">
        <v>465</v>
      </c>
      <c r="I467" s="40" t="s">
        <v>466</v>
      </c>
      <c r="J467" s="43" t="str">
        <f t="shared" si="42"/>
        <v>BOX-</v>
      </c>
      <c r="K467" s="40" t="s">
        <v>10</v>
      </c>
      <c r="L467" s="44">
        <v>1010</v>
      </c>
      <c r="M467" s="40" t="s">
        <v>1472</v>
      </c>
      <c r="N467" s="40" t="s">
        <v>11</v>
      </c>
      <c r="O467" s="40">
        <v>10.3</v>
      </c>
      <c r="P467" s="45">
        <f t="shared" si="43"/>
        <v>10403</v>
      </c>
      <c r="Q467" s="46">
        <f t="shared" si="44"/>
        <v>7.3003400000000003</v>
      </c>
      <c r="R467" s="47">
        <f t="shared" si="45"/>
        <v>1.4109</v>
      </c>
      <c r="S467" s="48">
        <f t="shared" si="46"/>
        <v>1425.01</v>
      </c>
      <c r="T467" s="47" t="s">
        <v>349</v>
      </c>
      <c r="U467" s="40" t="s">
        <v>1</v>
      </c>
      <c r="V467" s="38">
        <v>7.1879</v>
      </c>
      <c r="W467" s="49">
        <f t="shared" si="47"/>
        <v>1447.2933680212582</v>
      </c>
    </row>
    <row r="468" spans="1:23" x14ac:dyDescent="0.2">
      <c r="A468" s="40" t="s">
        <v>949</v>
      </c>
      <c r="B468" s="41">
        <v>45664</v>
      </c>
      <c r="C468" s="41">
        <v>45609</v>
      </c>
      <c r="D468" s="40" t="s">
        <v>143</v>
      </c>
      <c r="E468" s="40" t="s">
        <v>144</v>
      </c>
      <c r="G468" s="40" t="s">
        <v>942</v>
      </c>
      <c r="H468" s="40" t="s">
        <v>947</v>
      </c>
      <c r="I468" s="40" t="s">
        <v>948</v>
      </c>
      <c r="J468" s="43" t="str">
        <f t="shared" si="42"/>
        <v>LHDL</v>
      </c>
      <c r="K468" s="40" t="s">
        <v>10</v>
      </c>
      <c r="L468" s="44">
        <v>1030</v>
      </c>
      <c r="M468" s="40" t="s">
        <v>1472</v>
      </c>
      <c r="N468" s="40" t="s">
        <v>11</v>
      </c>
      <c r="O468" s="40">
        <v>10.730700000000001</v>
      </c>
      <c r="P468" s="45">
        <f t="shared" si="43"/>
        <v>11052.62</v>
      </c>
      <c r="Q468" s="46">
        <f t="shared" si="44"/>
        <v>7.3003400000000003</v>
      </c>
      <c r="R468" s="47">
        <f t="shared" si="45"/>
        <v>1.4699</v>
      </c>
      <c r="S468" s="48">
        <f t="shared" si="46"/>
        <v>1514</v>
      </c>
      <c r="T468" s="47" t="s">
        <v>349</v>
      </c>
      <c r="U468" s="40" t="s">
        <v>125</v>
      </c>
      <c r="V468" s="38">
        <v>7.1879</v>
      </c>
      <c r="W468" s="49">
        <f t="shared" si="47"/>
        <v>1537.6703905173974</v>
      </c>
    </row>
    <row r="469" spans="1:23" x14ac:dyDescent="0.2">
      <c r="A469" s="40" t="s">
        <v>946</v>
      </c>
      <c r="B469" s="41">
        <v>45664</v>
      </c>
      <c r="C469" s="41">
        <v>45609</v>
      </c>
      <c r="D469" s="40" t="s">
        <v>143</v>
      </c>
      <c r="E469" s="40" t="s">
        <v>144</v>
      </c>
      <c r="G469" s="40" t="s">
        <v>942</v>
      </c>
      <c r="H469" s="40" t="s">
        <v>944</v>
      </c>
      <c r="I469" s="40" t="s">
        <v>945</v>
      </c>
      <c r="J469" s="43" t="str">
        <f t="shared" si="42"/>
        <v>LHDL</v>
      </c>
      <c r="K469" s="40" t="s">
        <v>10</v>
      </c>
      <c r="L469" s="44">
        <v>1030</v>
      </c>
      <c r="M469" s="40" t="s">
        <v>1472</v>
      </c>
      <c r="N469" s="40" t="s">
        <v>11</v>
      </c>
      <c r="O469" s="40">
        <v>10.730700000000001</v>
      </c>
      <c r="P469" s="45">
        <f t="shared" si="43"/>
        <v>11052.62</v>
      </c>
      <c r="Q469" s="46">
        <f t="shared" si="44"/>
        <v>7.3003400000000003</v>
      </c>
      <c r="R469" s="47">
        <f t="shared" si="45"/>
        <v>1.4699</v>
      </c>
      <c r="S469" s="48">
        <f t="shared" si="46"/>
        <v>1514</v>
      </c>
      <c r="T469" s="47" t="s">
        <v>349</v>
      </c>
      <c r="U469" s="40" t="s">
        <v>125</v>
      </c>
      <c r="V469" s="38">
        <v>7.1879</v>
      </c>
      <c r="W469" s="49">
        <f t="shared" si="47"/>
        <v>1537.6703905173974</v>
      </c>
    </row>
    <row r="470" spans="1:23" x14ac:dyDescent="0.2">
      <c r="A470" s="40" t="s">
        <v>1291</v>
      </c>
      <c r="B470" s="41">
        <v>45660</v>
      </c>
      <c r="C470" s="41">
        <v>45639</v>
      </c>
      <c r="D470" s="40" t="s">
        <v>252</v>
      </c>
      <c r="E470" s="40" t="s">
        <v>253</v>
      </c>
      <c r="G470" s="40" t="s">
        <v>1290</v>
      </c>
      <c r="H470" s="40" t="s">
        <v>250</v>
      </c>
      <c r="I470" s="40" t="s">
        <v>251</v>
      </c>
      <c r="J470" s="43" t="str">
        <f t="shared" si="42"/>
        <v>GLID</v>
      </c>
      <c r="K470" s="40" t="s">
        <v>10</v>
      </c>
      <c r="L470" s="44">
        <v>4010</v>
      </c>
      <c r="M470" s="40" t="s">
        <v>1472</v>
      </c>
      <c r="N470" s="40" t="s">
        <v>11</v>
      </c>
      <c r="O470" s="40">
        <v>10.7476</v>
      </c>
      <c r="P470" s="45">
        <f t="shared" si="43"/>
        <v>43097.88</v>
      </c>
      <c r="Q470" s="46">
        <f t="shared" si="44"/>
        <v>7.3003400000000003</v>
      </c>
      <c r="R470" s="47">
        <f t="shared" si="45"/>
        <v>1.4722</v>
      </c>
      <c r="S470" s="48">
        <f t="shared" si="46"/>
        <v>5903.52</v>
      </c>
      <c r="T470" s="47" t="s">
        <v>349</v>
      </c>
      <c r="U470" s="40" t="s">
        <v>78</v>
      </c>
      <c r="V470" s="38">
        <v>7.1879</v>
      </c>
      <c r="W470" s="49">
        <f t="shared" si="47"/>
        <v>5995.8925416324664</v>
      </c>
    </row>
    <row r="471" spans="1:23" x14ac:dyDescent="0.2">
      <c r="A471" s="40" t="s">
        <v>254</v>
      </c>
      <c r="B471" s="41">
        <v>45673</v>
      </c>
      <c r="C471" s="41">
        <v>45639</v>
      </c>
      <c r="D471" s="40" t="s">
        <v>252</v>
      </c>
      <c r="E471" s="40" t="s">
        <v>253</v>
      </c>
      <c r="G471" s="40" t="s">
        <v>255</v>
      </c>
      <c r="H471" s="40" t="s">
        <v>250</v>
      </c>
      <c r="I471" s="40" t="s">
        <v>251</v>
      </c>
      <c r="J471" s="43" t="str">
        <f t="shared" si="42"/>
        <v>GLID</v>
      </c>
      <c r="K471" s="40" t="s">
        <v>10</v>
      </c>
      <c r="L471" s="44">
        <v>660</v>
      </c>
      <c r="M471" s="40" t="s">
        <v>1472</v>
      </c>
      <c r="N471" s="40" t="s">
        <v>11</v>
      </c>
      <c r="O471" s="40">
        <v>10.7476</v>
      </c>
      <c r="P471" s="45">
        <f t="shared" si="43"/>
        <v>7093.42</v>
      </c>
      <c r="Q471" s="46">
        <f t="shared" si="44"/>
        <v>7.3003400000000003</v>
      </c>
      <c r="R471" s="47">
        <f t="shared" si="45"/>
        <v>1.4722</v>
      </c>
      <c r="S471" s="48">
        <f t="shared" si="46"/>
        <v>971.65</v>
      </c>
      <c r="T471" s="47" t="s">
        <v>349</v>
      </c>
      <c r="U471" s="40" t="s">
        <v>78</v>
      </c>
      <c r="V471" s="38">
        <v>7.1879</v>
      </c>
      <c r="W471" s="49">
        <f t="shared" si="47"/>
        <v>986.85513154050568</v>
      </c>
    </row>
    <row r="472" spans="1:23" x14ac:dyDescent="0.2">
      <c r="A472" s="40" t="s">
        <v>904</v>
      </c>
      <c r="B472" s="41">
        <v>45666</v>
      </c>
      <c r="C472" s="41">
        <v>45609</v>
      </c>
      <c r="D472" s="40" t="s">
        <v>898</v>
      </c>
      <c r="E472" s="40" t="s">
        <v>899</v>
      </c>
      <c r="G472" s="40" t="s">
        <v>901</v>
      </c>
      <c r="H472" s="40" t="s">
        <v>902</v>
      </c>
      <c r="I472" s="40" t="s">
        <v>903</v>
      </c>
      <c r="J472" s="43" t="str">
        <f t="shared" si="42"/>
        <v>GLID</v>
      </c>
      <c r="K472" s="40" t="s">
        <v>10</v>
      </c>
      <c r="L472" s="44">
        <v>4000</v>
      </c>
      <c r="M472" s="40" t="s">
        <v>1472</v>
      </c>
      <c r="N472" s="40" t="s">
        <v>11</v>
      </c>
      <c r="O472" s="40">
        <v>10.7965</v>
      </c>
      <c r="P472" s="45">
        <f t="shared" si="43"/>
        <v>43186</v>
      </c>
      <c r="Q472" s="46">
        <f t="shared" si="44"/>
        <v>7.3003400000000003</v>
      </c>
      <c r="R472" s="47">
        <f t="shared" si="45"/>
        <v>1.4789000000000001</v>
      </c>
      <c r="S472" s="48">
        <f t="shared" si="46"/>
        <v>5915.6</v>
      </c>
      <c r="T472" s="47" t="s">
        <v>349</v>
      </c>
      <c r="U472" s="40" t="s">
        <v>78</v>
      </c>
      <c r="V472" s="38">
        <v>7.1879</v>
      </c>
      <c r="W472" s="49">
        <f t="shared" si="47"/>
        <v>6008.1525897689171</v>
      </c>
    </row>
    <row r="473" spans="1:23" x14ac:dyDescent="0.2">
      <c r="A473" s="40" t="s">
        <v>259</v>
      </c>
      <c r="B473" s="41">
        <v>45673</v>
      </c>
      <c r="C473" s="41">
        <v>45644</v>
      </c>
      <c r="D473" s="40" t="s">
        <v>252</v>
      </c>
      <c r="E473" s="40" t="s">
        <v>253</v>
      </c>
      <c r="G473" s="40" t="s">
        <v>255</v>
      </c>
      <c r="H473" s="40" t="s">
        <v>250</v>
      </c>
      <c r="I473" s="40" t="s">
        <v>251</v>
      </c>
      <c r="J473" s="43" t="str">
        <f t="shared" si="42"/>
        <v>GLID</v>
      </c>
      <c r="K473" s="40" t="s">
        <v>10</v>
      </c>
      <c r="L473" s="44">
        <v>1000</v>
      </c>
      <c r="M473" s="40" t="s">
        <v>1472</v>
      </c>
      <c r="N473" s="40" t="s">
        <v>11</v>
      </c>
      <c r="O473" s="40">
        <v>10.8584</v>
      </c>
      <c r="P473" s="45">
        <f t="shared" si="43"/>
        <v>10858.4</v>
      </c>
      <c r="Q473" s="46">
        <f t="shared" si="44"/>
        <v>7.3003400000000003</v>
      </c>
      <c r="R473" s="47">
        <f t="shared" si="45"/>
        <v>1.4874000000000001</v>
      </c>
      <c r="S473" s="48">
        <f t="shared" si="46"/>
        <v>1487.4</v>
      </c>
      <c r="T473" s="47" t="s">
        <v>349</v>
      </c>
      <c r="U473" s="40" t="s">
        <v>78</v>
      </c>
      <c r="V473" s="38">
        <v>7.1879</v>
      </c>
      <c r="W473" s="49">
        <f t="shared" si="47"/>
        <v>1510.6498420957441</v>
      </c>
    </row>
    <row r="474" spans="1:23" x14ac:dyDescent="0.2">
      <c r="A474" s="40" t="s">
        <v>259</v>
      </c>
      <c r="B474" s="41">
        <v>45672</v>
      </c>
      <c r="C474" s="41">
        <v>45644</v>
      </c>
      <c r="D474" s="40" t="s">
        <v>252</v>
      </c>
      <c r="E474" s="40" t="s">
        <v>253</v>
      </c>
      <c r="G474" s="40" t="s">
        <v>292</v>
      </c>
      <c r="H474" s="40" t="s">
        <v>250</v>
      </c>
      <c r="I474" s="40" t="s">
        <v>251</v>
      </c>
      <c r="J474" s="43" t="str">
        <f t="shared" si="42"/>
        <v>GLID</v>
      </c>
      <c r="K474" s="40" t="s">
        <v>10</v>
      </c>
      <c r="L474" s="44">
        <v>2220</v>
      </c>
      <c r="M474" s="40" t="s">
        <v>1472</v>
      </c>
      <c r="N474" s="40" t="s">
        <v>11</v>
      </c>
      <c r="O474" s="40">
        <v>10.8584</v>
      </c>
      <c r="P474" s="45">
        <f t="shared" si="43"/>
        <v>24105.65</v>
      </c>
      <c r="Q474" s="46">
        <f t="shared" si="44"/>
        <v>7.3003400000000003</v>
      </c>
      <c r="R474" s="47">
        <f t="shared" si="45"/>
        <v>1.4874000000000001</v>
      </c>
      <c r="S474" s="48">
        <f t="shared" si="46"/>
        <v>3302.03</v>
      </c>
      <c r="T474" s="47" t="s">
        <v>349</v>
      </c>
      <c r="U474" s="40" t="s">
        <v>78</v>
      </c>
      <c r="V474" s="38">
        <v>7.1879</v>
      </c>
      <c r="W474" s="49">
        <f t="shared" si="47"/>
        <v>3353.6426494525522</v>
      </c>
    </row>
    <row r="475" spans="1:23" x14ac:dyDescent="0.2">
      <c r="A475" s="40" t="s">
        <v>879</v>
      </c>
      <c r="B475" s="41">
        <v>45666</v>
      </c>
      <c r="C475" s="41">
        <v>45287</v>
      </c>
      <c r="D475" s="40" t="s">
        <v>866</v>
      </c>
      <c r="E475" s="40" t="s">
        <v>867</v>
      </c>
      <c r="G475" s="40" t="s">
        <v>873</v>
      </c>
      <c r="H475" s="40" t="s">
        <v>877</v>
      </c>
      <c r="I475" s="40" t="s">
        <v>878</v>
      </c>
      <c r="J475" s="43" t="str">
        <f t="shared" si="42"/>
        <v>ANYD</v>
      </c>
      <c r="K475" s="40" t="s">
        <v>10</v>
      </c>
      <c r="L475" s="44">
        <v>2004</v>
      </c>
      <c r="M475" s="40" t="s">
        <v>1472</v>
      </c>
      <c r="N475" s="40" t="s">
        <v>11</v>
      </c>
      <c r="O475" s="40">
        <v>11.672599999999999</v>
      </c>
      <c r="P475" s="45">
        <f t="shared" si="43"/>
        <v>23391.89</v>
      </c>
      <c r="Q475" s="46">
        <f t="shared" si="44"/>
        <v>7.3003400000000003</v>
      </c>
      <c r="R475" s="47">
        <f t="shared" si="45"/>
        <v>1.5989</v>
      </c>
      <c r="S475" s="48">
        <f t="shared" si="46"/>
        <v>3204.2</v>
      </c>
      <c r="T475" s="47" t="s">
        <v>349</v>
      </c>
      <c r="U475" s="40" t="s">
        <v>36</v>
      </c>
      <c r="V475" s="38">
        <v>7.1879</v>
      </c>
      <c r="W475" s="49">
        <f t="shared" si="47"/>
        <v>3254.3427704892943</v>
      </c>
    </row>
    <row r="476" spans="1:23" x14ac:dyDescent="0.2">
      <c r="A476" s="40" t="s">
        <v>470</v>
      </c>
      <c r="B476" s="41">
        <v>45670</v>
      </c>
      <c r="C476" s="41">
        <v>45663</v>
      </c>
      <c r="D476" s="40" t="s">
        <v>5</v>
      </c>
      <c r="E476" s="40" t="s">
        <v>6</v>
      </c>
      <c r="G476" s="40" t="s">
        <v>458</v>
      </c>
      <c r="H476" s="40" t="s">
        <v>468</v>
      </c>
      <c r="I476" s="40" t="s">
        <v>469</v>
      </c>
      <c r="J476" s="43" t="str">
        <f t="shared" si="42"/>
        <v>BOX-</v>
      </c>
      <c r="K476" s="40" t="s">
        <v>10</v>
      </c>
      <c r="L476" s="44">
        <v>505</v>
      </c>
      <c r="M476" s="40" t="s">
        <v>1472</v>
      </c>
      <c r="N476" s="40" t="s">
        <v>11</v>
      </c>
      <c r="O476" s="40">
        <v>12.45</v>
      </c>
      <c r="P476" s="45">
        <f t="shared" si="43"/>
        <v>6287.25</v>
      </c>
      <c r="Q476" s="46">
        <f t="shared" si="44"/>
        <v>7.3003400000000003</v>
      </c>
      <c r="R476" s="47">
        <f t="shared" si="45"/>
        <v>1.7054</v>
      </c>
      <c r="S476" s="48">
        <f t="shared" si="46"/>
        <v>861.23</v>
      </c>
      <c r="T476" s="47" t="s">
        <v>349</v>
      </c>
      <c r="U476" s="40" t="s">
        <v>1</v>
      </c>
      <c r="V476" s="38">
        <v>7.1879</v>
      </c>
      <c r="W476" s="49">
        <f t="shared" si="47"/>
        <v>874.69914717789618</v>
      </c>
    </row>
    <row r="477" spans="1:23" x14ac:dyDescent="0.2">
      <c r="A477" s="40" t="s">
        <v>983</v>
      </c>
      <c r="B477" s="41">
        <v>45664</v>
      </c>
      <c r="C477" s="41">
        <v>45610</v>
      </c>
      <c r="D477" s="40" t="s">
        <v>981</v>
      </c>
      <c r="E477" s="40" t="s">
        <v>982</v>
      </c>
      <c r="G477" s="40" t="s">
        <v>984</v>
      </c>
      <c r="H477" s="40" t="s">
        <v>979</v>
      </c>
      <c r="I477" s="40" t="s">
        <v>980</v>
      </c>
      <c r="J477" s="43" t="str">
        <f t="shared" si="42"/>
        <v>HDL-</v>
      </c>
      <c r="K477" s="40" t="s">
        <v>10</v>
      </c>
      <c r="L477" s="44">
        <v>2040</v>
      </c>
      <c r="M477" s="40" t="s">
        <v>1472</v>
      </c>
      <c r="N477" s="40" t="s">
        <v>11</v>
      </c>
      <c r="O477" s="40">
        <v>13.042</v>
      </c>
      <c r="P477" s="45">
        <f t="shared" si="43"/>
        <v>26605.68</v>
      </c>
      <c r="Q477" s="46">
        <f t="shared" si="44"/>
        <v>7.3003400000000003</v>
      </c>
      <c r="R477" s="47">
        <f t="shared" si="45"/>
        <v>1.7865</v>
      </c>
      <c r="S477" s="48">
        <f t="shared" si="46"/>
        <v>3644.46</v>
      </c>
      <c r="T477" s="47" t="s">
        <v>349</v>
      </c>
      <c r="U477" s="40" t="s">
        <v>228</v>
      </c>
      <c r="V477" s="38">
        <v>7.1879</v>
      </c>
      <c r="W477" s="49">
        <f t="shared" si="47"/>
        <v>3701.4538321345594</v>
      </c>
    </row>
    <row r="478" spans="1:23" x14ac:dyDescent="0.2">
      <c r="A478" s="40" t="s">
        <v>996</v>
      </c>
      <c r="B478" s="41">
        <v>45664</v>
      </c>
      <c r="C478" s="41">
        <v>45610</v>
      </c>
      <c r="D478" s="40" t="s">
        <v>263</v>
      </c>
      <c r="E478" s="40" t="s">
        <v>0</v>
      </c>
      <c r="G478" s="40" t="s">
        <v>992</v>
      </c>
      <c r="H478" s="40" t="s">
        <v>989</v>
      </c>
      <c r="I478" s="40" t="s">
        <v>990</v>
      </c>
      <c r="J478" s="43" t="str">
        <f t="shared" si="42"/>
        <v>HDL-</v>
      </c>
      <c r="K478" s="40" t="s">
        <v>10</v>
      </c>
      <c r="L478" s="44">
        <v>550</v>
      </c>
      <c r="M478" s="40" t="s">
        <v>1472</v>
      </c>
      <c r="N478" s="40" t="s">
        <v>11</v>
      </c>
      <c r="O478" s="40">
        <v>13.303100000000001</v>
      </c>
      <c r="P478" s="45">
        <f t="shared" si="43"/>
        <v>7316.71</v>
      </c>
      <c r="Q478" s="46">
        <f t="shared" si="44"/>
        <v>7.3003400000000003</v>
      </c>
      <c r="R478" s="47">
        <f t="shared" si="45"/>
        <v>1.8223</v>
      </c>
      <c r="S478" s="48">
        <f t="shared" si="46"/>
        <v>1002.27</v>
      </c>
      <c r="T478" s="47" t="s">
        <v>349</v>
      </c>
      <c r="U478" s="40" t="s">
        <v>228</v>
      </c>
      <c r="V478" s="38">
        <v>7.1879</v>
      </c>
      <c r="W478" s="49">
        <f t="shared" si="47"/>
        <v>1017.9196983820032</v>
      </c>
    </row>
    <row r="479" spans="1:23" x14ac:dyDescent="0.2">
      <c r="A479" s="40" t="s">
        <v>991</v>
      </c>
      <c r="B479" s="41">
        <v>45664</v>
      </c>
      <c r="C479" s="41">
        <v>45622</v>
      </c>
      <c r="D479" s="40" t="s">
        <v>263</v>
      </c>
      <c r="E479" s="40" t="s">
        <v>0</v>
      </c>
      <c r="G479" s="40" t="s">
        <v>992</v>
      </c>
      <c r="H479" s="40" t="s">
        <v>989</v>
      </c>
      <c r="I479" s="40" t="s">
        <v>990</v>
      </c>
      <c r="J479" s="43" t="str">
        <f t="shared" si="42"/>
        <v>HDL-</v>
      </c>
      <c r="K479" s="40" t="s">
        <v>10</v>
      </c>
      <c r="L479" s="44">
        <v>1020</v>
      </c>
      <c r="M479" s="40" t="s">
        <v>1472</v>
      </c>
      <c r="N479" s="40" t="s">
        <v>11</v>
      </c>
      <c r="O479" s="40">
        <v>13.303100000000001</v>
      </c>
      <c r="P479" s="45">
        <f t="shared" si="43"/>
        <v>13569.16</v>
      </c>
      <c r="Q479" s="46">
        <f t="shared" si="44"/>
        <v>7.3003400000000003</v>
      </c>
      <c r="R479" s="47">
        <f t="shared" si="45"/>
        <v>1.8223</v>
      </c>
      <c r="S479" s="48">
        <f t="shared" si="46"/>
        <v>1858.75</v>
      </c>
      <c r="T479" s="47" t="s">
        <v>349</v>
      </c>
      <c r="U479" s="40" t="s">
        <v>228</v>
      </c>
      <c r="V479" s="38">
        <v>7.1879</v>
      </c>
      <c r="W479" s="49">
        <f t="shared" si="47"/>
        <v>1887.7783497266241</v>
      </c>
    </row>
    <row r="480" spans="1:23" x14ac:dyDescent="0.2">
      <c r="A480" s="40" t="s">
        <v>1289</v>
      </c>
      <c r="B480" s="41">
        <v>45660</v>
      </c>
      <c r="C480" s="41">
        <v>45639</v>
      </c>
      <c r="D480" s="40" t="s">
        <v>252</v>
      </c>
      <c r="E480" s="40" t="s">
        <v>253</v>
      </c>
      <c r="G480" s="40" t="s">
        <v>1290</v>
      </c>
      <c r="H480" s="40" t="s">
        <v>775</v>
      </c>
      <c r="I480" s="40" t="s">
        <v>776</v>
      </c>
      <c r="J480" s="43" t="str">
        <f t="shared" si="42"/>
        <v>GLID</v>
      </c>
      <c r="K480" s="40" t="s">
        <v>10</v>
      </c>
      <c r="L480" s="44">
        <v>1910</v>
      </c>
      <c r="M480" s="40" t="s">
        <v>1472</v>
      </c>
      <c r="N480" s="40" t="s">
        <v>11</v>
      </c>
      <c r="O480" s="40">
        <v>13.6808</v>
      </c>
      <c r="P480" s="45">
        <f t="shared" si="43"/>
        <v>26130.33</v>
      </c>
      <c r="Q480" s="46">
        <f t="shared" si="44"/>
        <v>7.3003400000000003</v>
      </c>
      <c r="R480" s="47">
        <f t="shared" si="45"/>
        <v>1.8740000000000001</v>
      </c>
      <c r="S480" s="48">
        <f t="shared" si="46"/>
        <v>3579.34</v>
      </c>
      <c r="T480" s="47" t="s">
        <v>349</v>
      </c>
      <c r="U480" s="40" t="s">
        <v>78</v>
      </c>
      <c r="V480" s="38">
        <v>7.1879</v>
      </c>
      <c r="W480" s="49">
        <f t="shared" si="47"/>
        <v>3635.3215821032568</v>
      </c>
    </row>
    <row r="481" spans="1:23" x14ac:dyDescent="0.2">
      <c r="A481" s="40" t="s">
        <v>777</v>
      </c>
      <c r="B481" s="41">
        <v>45666</v>
      </c>
      <c r="C481" s="41">
        <v>45644</v>
      </c>
      <c r="D481" s="40" t="s">
        <v>569</v>
      </c>
      <c r="E481" s="40" t="s">
        <v>570</v>
      </c>
      <c r="G481" s="40" t="s">
        <v>762</v>
      </c>
      <c r="H481" s="40" t="s">
        <v>775</v>
      </c>
      <c r="I481" s="40" t="s">
        <v>776</v>
      </c>
      <c r="J481" s="43" t="str">
        <f t="shared" si="42"/>
        <v>GLID</v>
      </c>
      <c r="K481" s="40" t="s">
        <v>10</v>
      </c>
      <c r="L481" s="44">
        <v>1560</v>
      </c>
      <c r="M481" s="40" t="s">
        <v>1472</v>
      </c>
      <c r="N481" s="40" t="s">
        <v>11</v>
      </c>
      <c r="O481" s="40">
        <v>13.818</v>
      </c>
      <c r="P481" s="45">
        <f t="shared" si="43"/>
        <v>21556.080000000002</v>
      </c>
      <c r="Q481" s="46">
        <f t="shared" si="44"/>
        <v>7.3003400000000003</v>
      </c>
      <c r="R481" s="47">
        <f t="shared" si="45"/>
        <v>1.8928</v>
      </c>
      <c r="S481" s="48">
        <f t="shared" si="46"/>
        <v>2952.77</v>
      </c>
      <c r="T481" s="47" t="s">
        <v>349</v>
      </c>
      <c r="U481" s="40" t="s">
        <v>78</v>
      </c>
      <c r="V481" s="38">
        <v>7.1879</v>
      </c>
      <c r="W481" s="49">
        <f t="shared" si="47"/>
        <v>2998.9398850846565</v>
      </c>
    </row>
    <row r="482" spans="1:23" x14ac:dyDescent="0.2">
      <c r="A482" s="40" t="s">
        <v>777</v>
      </c>
      <c r="B482" s="41">
        <v>45659</v>
      </c>
      <c r="C482" s="41">
        <v>45644</v>
      </c>
      <c r="D482" s="40" t="s">
        <v>569</v>
      </c>
      <c r="E482" s="40" t="s">
        <v>570</v>
      </c>
      <c r="G482" s="40" t="s">
        <v>1418</v>
      </c>
      <c r="H482" s="40" t="s">
        <v>775</v>
      </c>
      <c r="I482" s="40" t="s">
        <v>776</v>
      </c>
      <c r="J482" s="43" t="str">
        <f t="shared" si="42"/>
        <v>GLID</v>
      </c>
      <c r="K482" s="40" t="s">
        <v>10</v>
      </c>
      <c r="L482" s="44">
        <v>960</v>
      </c>
      <c r="M482" s="40" t="s">
        <v>1472</v>
      </c>
      <c r="N482" s="40" t="s">
        <v>11</v>
      </c>
      <c r="O482" s="40">
        <v>13.818</v>
      </c>
      <c r="P482" s="45">
        <f t="shared" si="43"/>
        <v>13265.28</v>
      </c>
      <c r="Q482" s="46">
        <f t="shared" si="44"/>
        <v>7.3003400000000003</v>
      </c>
      <c r="R482" s="47">
        <f t="shared" si="45"/>
        <v>1.8928</v>
      </c>
      <c r="S482" s="48">
        <f t="shared" si="46"/>
        <v>1817.09</v>
      </c>
      <c r="T482" s="47" t="s">
        <v>349</v>
      </c>
      <c r="U482" s="40" t="s">
        <v>78</v>
      </c>
      <c r="V482" s="38">
        <v>7.1879</v>
      </c>
      <c r="W482" s="49">
        <f t="shared" si="47"/>
        <v>1845.501467744404</v>
      </c>
    </row>
    <row r="483" spans="1:23" x14ac:dyDescent="0.2">
      <c r="A483" s="40" t="s">
        <v>987</v>
      </c>
      <c r="B483" s="41">
        <v>45664</v>
      </c>
      <c r="C483" s="41">
        <v>45602</v>
      </c>
      <c r="D483" s="40" t="s">
        <v>981</v>
      </c>
      <c r="E483" s="40" t="s">
        <v>982</v>
      </c>
      <c r="G483" s="40" t="s">
        <v>984</v>
      </c>
      <c r="H483" s="40" t="s">
        <v>985</v>
      </c>
      <c r="I483" s="40" t="s">
        <v>986</v>
      </c>
      <c r="J483" s="43" t="str">
        <f t="shared" si="42"/>
        <v>HDL-</v>
      </c>
      <c r="K483" s="40" t="s">
        <v>10</v>
      </c>
      <c r="L483" s="44">
        <v>1010</v>
      </c>
      <c r="M483" s="40" t="s">
        <v>1472</v>
      </c>
      <c r="N483" s="40" t="s">
        <v>11</v>
      </c>
      <c r="O483" s="40">
        <v>13.8696</v>
      </c>
      <c r="P483" s="45">
        <f t="shared" si="43"/>
        <v>14008.3</v>
      </c>
      <c r="Q483" s="46">
        <f t="shared" si="44"/>
        <v>7.3003400000000003</v>
      </c>
      <c r="R483" s="47">
        <f t="shared" si="45"/>
        <v>1.8998999999999999</v>
      </c>
      <c r="S483" s="48">
        <f t="shared" si="46"/>
        <v>1918.9</v>
      </c>
      <c r="T483" s="47" t="s">
        <v>349</v>
      </c>
      <c r="U483" s="40" t="s">
        <v>228</v>
      </c>
      <c r="V483" s="38">
        <v>7.1879</v>
      </c>
      <c r="W483" s="49">
        <f t="shared" si="47"/>
        <v>1948.8718540881205</v>
      </c>
    </row>
    <row r="484" spans="1:23" x14ac:dyDescent="0.2">
      <c r="A484" s="40" t="s">
        <v>778</v>
      </c>
      <c r="B484" s="41">
        <v>45666</v>
      </c>
      <c r="C484" s="41">
        <v>45639</v>
      </c>
      <c r="D484" s="40" t="s">
        <v>569</v>
      </c>
      <c r="E484" s="40" t="s">
        <v>570</v>
      </c>
      <c r="G484" s="40" t="s">
        <v>762</v>
      </c>
      <c r="H484" s="40" t="s">
        <v>775</v>
      </c>
      <c r="I484" s="40" t="s">
        <v>776</v>
      </c>
      <c r="J484" s="43" t="str">
        <f t="shared" si="42"/>
        <v>GLID</v>
      </c>
      <c r="K484" s="40" t="s">
        <v>10</v>
      </c>
      <c r="L484" s="44">
        <v>1010</v>
      </c>
      <c r="M484" s="40" t="s">
        <v>1472</v>
      </c>
      <c r="N484" s="40" t="s">
        <v>11</v>
      </c>
      <c r="O484" s="40">
        <v>14.1</v>
      </c>
      <c r="P484" s="45">
        <f t="shared" si="43"/>
        <v>14241</v>
      </c>
      <c r="Q484" s="46">
        <f t="shared" si="44"/>
        <v>7.3003400000000003</v>
      </c>
      <c r="R484" s="47">
        <f t="shared" si="45"/>
        <v>1.9314</v>
      </c>
      <c r="S484" s="48">
        <f t="shared" si="46"/>
        <v>1950.71</v>
      </c>
      <c r="T484" s="47" t="s">
        <v>349</v>
      </c>
      <c r="U484" s="40" t="s">
        <v>78</v>
      </c>
      <c r="V484" s="38">
        <v>7.1879</v>
      </c>
      <c r="W484" s="49">
        <f t="shared" si="47"/>
        <v>1981.2462610776442</v>
      </c>
    </row>
    <row r="485" spans="1:23" x14ac:dyDescent="0.2">
      <c r="A485" s="40" t="s">
        <v>995</v>
      </c>
      <c r="B485" s="41">
        <v>45664</v>
      </c>
      <c r="C485" s="41">
        <v>45610</v>
      </c>
      <c r="D485" s="40" t="s">
        <v>263</v>
      </c>
      <c r="E485" s="40" t="s">
        <v>0</v>
      </c>
      <c r="G485" s="40" t="s">
        <v>992</v>
      </c>
      <c r="H485" s="40" t="s">
        <v>993</v>
      </c>
      <c r="I485" s="40" t="s">
        <v>994</v>
      </c>
      <c r="J485" s="43" t="str">
        <f t="shared" si="42"/>
        <v>HDL-</v>
      </c>
      <c r="K485" s="40" t="s">
        <v>10</v>
      </c>
      <c r="L485" s="44">
        <v>1550</v>
      </c>
      <c r="M485" s="40" t="s">
        <v>1472</v>
      </c>
      <c r="N485" s="40" t="s">
        <v>11</v>
      </c>
      <c r="O485" s="40">
        <v>14.150399999999999</v>
      </c>
      <c r="P485" s="45">
        <f t="shared" si="43"/>
        <v>21933.119999999999</v>
      </c>
      <c r="Q485" s="46">
        <f t="shared" si="44"/>
        <v>7.3003400000000003</v>
      </c>
      <c r="R485" s="47">
        <f t="shared" si="45"/>
        <v>1.9382999999999999</v>
      </c>
      <c r="S485" s="48">
        <f t="shared" si="46"/>
        <v>3004.37</v>
      </c>
      <c r="T485" s="47" t="s">
        <v>349</v>
      </c>
      <c r="U485" s="40" t="s">
        <v>228</v>
      </c>
      <c r="V485" s="38">
        <v>7.1879</v>
      </c>
      <c r="W485" s="49">
        <f t="shared" si="47"/>
        <v>3051.3947049903309</v>
      </c>
    </row>
    <row r="486" spans="1:23" x14ac:dyDescent="0.2">
      <c r="A486" s="40" t="s">
        <v>449</v>
      </c>
      <c r="B486" s="41">
        <v>45670</v>
      </c>
      <c r="C486" s="41">
        <v>45663</v>
      </c>
      <c r="D486" s="40" t="s">
        <v>5</v>
      </c>
      <c r="E486" s="40" t="s">
        <v>6</v>
      </c>
      <c r="G486" s="40" t="s">
        <v>450</v>
      </c>
      <c r="H486" s="40" t="s">
        <v>447</v>
      </c>
      <c r="I486" s="40" t="s">
        <v>448</v>
      </c>
      <c r="J486" s="43" t="str">
        <f t="shared" si="42"/>
        <v>BOX-</v>
      </c>
      <c r="K486" s="40" t="s">
        <v>10</v>
      </c>
      <c r="L486" s="44">
        <v>1010</v>
      </c>
      <c r="M486" s="40" t="s">
        <v>1472</v>
      </c>
      <c r="N486" s="40" t="s">
        <v>11</v>
      </c>
      <c r="O486" s="40">
        <v>15.95</v>
      </c>
      <c r="P486" s="45">
        <f t="shared" si="43"/>
        <v>16109.5</v>
      </c>
      <c r="Q486" s="46">
        <f t="shared" si="44"/>
        <v>7.3003400000000003</v>
      </c>
      <c r="R486" s="47">
        <f t="shared" si="45"/>
        <v>2.1848000000000001</v>
      </c>
      <c r="S486" s="48">
        <f t="shared" si="46"/>
        <v>2206.65</v>
      </c>
      <c r="T486" s="47" t="s">
        <v>349</v>
      </c>
      <c r="U486" s="40" t="s">
        <v>1</v>
      </c>
      <c r="V486" s="38">
        <v>7.1879</v>
      </c>
      <c r="W486" s="49">
        <f t="shared" si="47"/>
        <v>2241.1970116445691</v>
      </c>
    </row>
    <row r="487" spans="1:23" x14ac:dyDescent="0.2">
      <c r="A487" s="40" t="s">
        <v>900</v>
      </c>
      <c r="B487" s="41">
        <v>45666</v>
      </c>
      <c r="C487" s="41">
        <v>45639</v>
      </c>
      <c r="D487" s="40" t="s">
        <v>898</v>
      </c>
      <c r="E487" s="40" t="s">
        <v>899</v>
      </c>
      <c r="G487" s="40" t="s">
        <v>901</v>
      </c>
      <c r="H487" s="40" t="s">
        <v>896</v>
      </c>
      <c r="I487" s="40" t="s">
        <v>897</v>
      </c>
      <c r="J487" s="43" t="str">
        <f t="shared" si="42"/>
        <v>GLID</v>
      </c>
      <c r="K487" s="40" t="s">
        <v>10</v>
      </c>
      <c r="L487" s="44">
        <v>1900</v>
      </c>
      <c r="M487" s="40" t="s">
        <v>1472</v>
      </c>
      <c r="N487" s="40" t="s">
        <v>11</v>
      </c>
      <c r="O487" s="40">
        <v>16.5</v>
      </c>
      <c r="P487" s="45">
        <f t="shared" si="43"/>
        <v>31350</v>
      </c>
      <c r="Q487" s="46">
        <f t="shared" si="44"/>
        <v>7.3003400000000003</v>
      </c>
      <c r="R487" s="47">
        <f t="shared" si="45"/>
        <v>2.2602000000000002</v>
      </c>
      <c r="S487" s="48">
        <f t="shared" si="46"/>
        <v>4294.38</v>
      </c>
      <c r="T487" s="47" t="s">
        <v>349</v>
      </c>
      <c r="U487" s="40" t="s">
        <v>78</v>
      </c>
      <c r="V487" s="38">
        <v>7.1879</v>
      </c>
      <c r="W487" s="49">
        <f t="shared" si="47"/>
        <v>4361.496403678404</v>
      </c>
    </row>
    <row r="488" spans="1:23" x14ac:dyDescent="0.2">
      <c r="A488" s="40" t="s">
        <v>270</v>
      </c>
      <c r="B488" s="41">
        <v>45673</v>
      </c>
      <c r="C488" s="41">
        <v>45651</v>
      </c>
      <c r="D488" s="40" t="s">
        <v>268</v>
      </c>
      <c r="E488" s="40" t="s">
        <v>269</v>
      </c>
      <c r="G488" s="40" t="s">
        <v>271</v>
      </c>
      <c r="H488" s="40" t="s">
        <v>266</v>
      </c>
      <c r="I488" s="40" t="s">
        <v>267</v>
      </c>
      <c r="J488" s="43" t="str">
        <f t="shared" si="42"/>
        <v>POLM</v>
      </c>
      <c r="K488" s="40" t="s">
        <v>10</v>
      </c>
      <c r="L488" s="44">
        <v>400</v>
      </c>
      <c r="M488" s="40" t="s">
        <v>136</v>
      </c>
      <c r="N488" s="40" t="s">
        <v>11</v>
      </c>
      <c r="O488" s="40">
        <v>43.3628</v>
      </c>
      <c r="P488" s="45">
        <f t="shared" si="43"/>
        <v>17345.12</v>
      </c>
      <c r="Q488" s="46">
        <f t="shared" si="44"/>
        <v>7.3003400000000003</v>
      </c>
      <c r="R488" s="47">
        <f t="shared" si="45"/>
        <v>5.9398</v>
      </c>
      <c r="S488" s="48">
        <f t="shared" si="46"/>
        <v>2375.92</v>
      </c>
      <c r="T488" s="47" t="s">
        <v>349</v>
      </c>
      <c r="U488" s="40" t="s">
        <v>272</v>
      </c>
      <c r="V488" s="38">
        <v>7.1879</v>
      </c>
      <c r="W488" s="49">
        <f t="shared" si="47"/>
        <v>2413.0997927071885</v>
      </c>
    </row>
    <row r="489" spans="1:23" x14ac:dyDescent="0.2">
      <c r="A489" s="40" t="s">
        <v>676</v>
      </c>
      <c r="B489" s="41">
        <v>45667</v>
      </c>
      <c r="C489" s="41">
        <v>45638</v>
      </c>
      <c r="D489" s="40" t="s">
        <v>311</v>
      </c>
      <c r="E489" s="40" t="s">
        <v>312</v>
      </c>
      <c r="G489" s="40" t="s">
        <v>675</v>
      </c>
      <c r="H489" s="40" t="s">
        <v>341</v>
      </c>
      <c r="I489" s="40" t="s">
        <v>342</v>
      </c>
      <c r="J489" s="43" t="str">
        <f t="shared" si="42"/>
        <v>INM-</v>
      </c>
      <c r="K489" s="40" t="s">
        <v>10</v>
      </c>
      <c r="L489" s="44">
        <v>25</v>
      </c>
      <c r="M489" s="40" t="s">
        <v>186</v>
      </c>
      <c r="N489" s="40" t="s">
        <v>11</v>
      </c>
      <c r="O489" s="40">
        <v>63.008800000000001</v>
      </c>
      <c r="P489" s="45">
        <f t="shared" si="43"/>
        <v>1575.22</v>
      </c>
      <c r="Q489" s="46">
        <f t="shared" si="44"/>
        <v>7.3003400000000003</v>
      </c>
      <c r="R489" s="47">
        <f t="shared" si="45"/>
        <v>8.6309000000000005</v>
      </c>
      <c r="S489" s="48">
        <f t="shared" si="46"/>
        <v>215.77</v>
      </c>
      <c r="T489" s="47" t="s">
        <v>349</v>
      </c>
      <c r="U489" s="40" t="s">
        <v>327</v>
      </c>
      <c r="V489" s="38">
        <v>7.1879</v>
      </c>
      <c r="W489" s="49">
        <f t="shared" si="47"/>
        <v>219.1488473684943</v>
      </c>
    </row>
    <row r="490" spans="1:23" x14ac:dyDescent="0.2">
      <c r="A490" s="40" t="s">
        <v>343</v>
      </c>
      <c r="B490" s="41">
        <v>45672</v>
      </c>
      <c r="C490" s="41">
        <v>45652</v>
      </c>
      <c r="D490" s="40" t="s">
        <v>311</v>
      </c>
      <c r="E490" s="40" t="s">
        <v>312</v>
      </c>
      <c r="G490" s="40" t="s">
        <v>344</v>
      </c>
      <c r="H490" s="40" t="s">
        <v>341</v>
      </c>
      <c r="I490" s="40" t="s">
        <v>342</v>
      </c>
      <c r="J490" s="43" t="str">
        <f t="shared" si="42"/>
        <v>INM-</v>
      </c>
      <c r="K490" s="40" t="s">
        <v>10</v>
      </c>
      <c r="L490" s="44">
        <v>100</v>
      </c>
      <c r="M490" s="40" t="s">
        <v>186</v>
      </c>
      <c r="N490" s="40" t="s">
        <v>11</v>
      </c>
      <c r="O490" s="40">
        <v>63.008800000000001</v>
      </c>
      <c r="P490" s="45">
        <f t="shared" si="43"/>
        <v>6300.88</v>
      </c>
      <c r="Q490" s="46">
        <f t="shared" si="44"/>
        <v>7.3003400000000003</v>
      </c>
      <c r="R490" s="47">
        <f t="shared" si="45"/>
        <v>8.6309000000000005</v>
      </c>
      <c r="S490" s="48">
        <f t="shared" si="46"/>
        <v>863.09</v>
      </c>
      <c r="T490" s="47" t="s">
        <v>349</v>
      </c>
      <c r="U490" s="40" t="s">
        <v>327</v>
      </c>
      <c r="V490" s="38">
        <v>7.1879</v>
      </c>
      <c r="W490" s="49">
        <f t="shared" si="47"/>
        <v>876.59538947397721</v>
      </c>
    </row>
    <row r="491" spans="1:23" x14ac:dyDescent="0.2">
      <c r="A491" s="40" t="s">
        <v>333</v>
      </c>
      <c r="B491" s="41">
        <v>45672</v>
      </c>
      <c r="C491" s="41">
        <v>45657</v>
      </c>
      <c r="D491" s="40" t="s">
        <v>311</v>
      </c>
      <c r="E491" s="40" t="s">
        <v>312</v>
      </c>
      <c r="G491" s="40" t="s">
        <v>326</v>
      </c>
      <c r="H491" s="40" t="s">
        <v>331</v>
      </c>
      <c r="I491" s="40" t="s">
        <v>332</v>
      </c>
      <c r="J491" s="43" t="str">
        <f t="shared" si="42"/>
        <v>INM-</v>
      </c>
      <c r="K491" s="40" t="s">
        <v>10</v>
      </c>
      <c r="L491" s="44">
        <v>25</v>
      </c>
      <c r="M491" s="40" t="s">
        <v>186</v>
      </c>
      <c r="N491" s="40" t="s">
        <v>11</v>
      </c>
      <c r="O491" s="40">
        <v>64.778800000000004</v>
      </c>
      <c r="P491" s="45">
        <f t="shared" si="43"/>
        <v>1619.47</v>
      </c>
      <c r="Q491" s="46">
        <f t="shared" si="44"/>
        <v>7.3003400000000003</v>
      </c>
      <c r="R491" s="47">
        <f t="shared" si="45"/>
        <v>8.8734000000000002</v>
      </c>
      <c r="S491" s="48">
        <f t="shared" si="46"/>
        <v>221.84</v>
      </c>
      <c r="T491" s="47" t="s">
        <v>349</v>
      </c>
      <c r="U491" s="40" t="s">
        <v>327</v>
      </c>
      <c r="V491" s="38">
        <v>7.1879</v>
      </c>
      <c r="W491" s="49">
        <f t="shared" si="47"/>
        <v>225.30502650287292</v>
      </c>
    </row>
    <row r="492" spans="1:23" x14ac:dyDescent="0.2">
      <c r="A492" s="40" t="s">
        <v>677</v>
      </c>
      <c r="B492" s="41">
        <v>45667</v>
      </c>
      <c r="C492" s="41">
        <v>45638</v>
      </c>
      <c r="D492" s="40" t="s">
        <v>311</v>
      </c>
      <c r="E492" s="40" t="s">
        <v>312</v>
      </c>
      <c r="G492" s="40" t="s">
        <v>675</v>
      </c>
      <c r="H492" s="40" t="s">
        <v>328</v>
      </c>
      <c r="I492" s="40" t="s">
        <v>329</v>
      </c>
      <c r="J492" s="43" t="str">
        <f t="shared" si="42"/>
        <v>INM-</v>
      </c>
      <c r="K492" s="40" t="s">
        <v>10</v>
      </c>
      <c r="L492" s="44">
        <v>25</v>
      </c>
      <c r="M492" s="40" t="s">
        <v>186</v>
      </c>
      <c r="N492" s="40" t="s">
        <v>11</v>
      </c>
      <c r="O492" s="40">
        <v>69.026499999999999</v>
      </c>
      <c r="P492" s="45">
        <f t="shared" si="43"/>
        <v>1725.66</v>
      </c>
      <c r="Q492" s="46">
        <f t="shared" si="44"/>
        <v>7.3003400000000003</v>
      </c>
      <c r="R492" s="47">
        <f t="shared" si="45"/>
        <v>9.4551999999999996</v>
      </c>
      <c r="S492" s="48">
        <f t="shared" si="46"/>
        <v>236.38</v>
      </c>
      <c r="T492" s="47" t="s">
        <v>349</v>
      </c>
      <c r="U492" s="40" t="s">
        <v>327</v>
      </c>
      <c r="V492" s="38">
        <v>7.1879</v>
      </c>
      <c r="W492" s="49">
        <f t="shared" si="47"/>
        <v>240.07881300518926</v>
      </c>
    </row>
    <row r="493" spans="1:23" x14ac:dyDescent="0.2">
      <c r="A493" s="40" t="s">
        <v>674</v>
      </c>
      <c r="B493" s="41">
        <v>45667</v>
      </c>
      <c r="C493" s="41">
        <v>45638</v>
      </c>
      <c r="D493" s="40" t="s">
        <v>311</v>
      </c>
      <c r="E493" s="40" t="s">
        <v>312</v>
      </c>
      <c r="G493" s="40" t="s">
        <v>675</v>
      </c>
      <c r="H493" s="40" t="s">
        <v>323</v>
      </c>
      <c r="I493" s="40" t="s">
        <v>324</v>
      </c>
      <c r="J493" s="43" t="str">
        <f t="shared" si="42"/>
        <v>INM-</v>
      </c>
      <c r="K493" s="40" t="s">
        <v>10</v>
      </c>
      <c r="L493" s="44">
        <v>50</v>
      </c>
      <c r="M493" s="40" t="s">
        <v>186</v>
      </c>
      <c r="N493" s="40" t="s">
        <v>11</v>
      </c>
      <c r="O493" s="40">
        <v>69.026499999999999</v>
      </c>
      <c r="P493" s="45">
        <f t="shared" si="43"/>
        <v>3451.33</v>
      </c>
      <c r="Q493" s="46">
        <f t="shared" si="44"/>
        <v>7.3003400000000003</v>
      </c>
      <c r="R493" s="47">
        <f t="shared" si="45"/>
        <v>9.4551999999999996</v>
      </c>
      <c r="S493" s="48">
        <f t="shared" si="46"/>
        <v>472.76</v>
      </c>
      <c r="T493" s="47" t="s">
        <v>349</v>
      </c>
      <c r="U493" s="40" t="s">
        <v>327</v>
      </c>
      <c r="V493" s="38">
        <v>7.1879</v>
      </c>
      <c r="W493" s="49">
        <f t="shared" si="47"/>
        <v>480.15762601037852</v>
      </c>
    </row>
    <row r="494" spans="1:23" x14ac:dyDescent="0.2">
      <c r="A494" s="40" t="s">
        <v>340</v>
      </c>
      <c r="B494" s="41">
        <v>45672</v>
      </c>
      <c r="C494" s="41">
        <v>45657</v>
      </c>
      <c r="D494" s="40" t="s">
        <v>311</v>
      </c>
      <c r="E494" s="40" t="s">
        <v>312</v>
      </c>
      <c r="G494" s="40" t="s">
        <v>326</v>
      </c>
      <c r="H494" s="40" t="s">
        <v>328</v>
      </c>
      <c r="I494" s="40" t="s">
        <v>329</v>
      </c>
      <c r="J494" s="43" t="str">
        <f t="shared" si="42"/>
        <v>INM-</v>
      </c>
      <c r="K494" s="40" t="s">
        <v>10</v>
      </c>
      <c r="L494" s="44">
        <v>25</v>
      </c>
      <c r="M494" s="40" t="s">
        <v>186</v>
      </c>
      <c r="N494" s="40" t="s">
        <v>11</v>
      </c>
      <c r="O494" s="40">
        <v>69.026499999999999</v>
      </c>
      <c r="P494" s="45">
        <f t="shared" si="43"/>
        <v>1725.66</v>
      </c>
      <c r="Q494" s="46">
        <f t="shared" si="44"/>
        <v>7.3003400000000003</v>
      </c>
      <c r="R494" s="47">
        <f t="shared" si="45"/>
        <v>9.4551999999999996</v>
      </c>
      <c r="S494" s="48">
        <f t="shared" si="46"/>
        <v>236.38</v>
      </c>
      <c r="T494" s="47" t="s">
        <v>349</v>
      </c>
      <c r="U494" s="40" t="s">
        <v>327</v>
      </c>
      <c r="V494" s="38">
        <v>7.1879</v>
      </c>
      <c r="W494" s="49">
        <f t="shared" si="47"/>
        <v>240.07881300518926</v>
      </c>
    </row>
    <row r="495" spans="1:23" x14ac:dyDescent="0.2">
      <c r="A495" s="40" t="s">
        <v>330</v>
      </c>
      <c r="B495" s="41">
        <v>45672</v>
      </c>
      <c r="C495" s="41">
        <v>45657</v>
      </c>
      <c r="D495" s="40" t="s">
        <v>311</v>
      </c>
      <c r="E495" s="40" t="s">
        <v>312</v>
      </c>
      <c r="G495" s="40" t="s">
        <v>326</v>
      </c>
      <c r="H495" s="40" t="s">
        <v>328</v>
      </c>
      <c r="I495" s="40" t="s">
        <v>329</v>
      </c>
      <c r="J495" s="43" t="str">
        <f t="shared" si="42"/>
        <v>INM-</v>
      </c>
      <c r="K495" s="40" t="s">
        <v>10</v>
      </c>
      <c r="L495" s="44">
        <v>75</v>
      </c>
      <c r="M495" s="40" t="s">
        <v>186</v>
      </c>
      <c r="N495" s="40" t="s">
        <v>11</v>
      </c>
      <c r="O495" s="40">
        <v>69.026499999999999</v>
      </c>
      <c r="P495" s="45">
        <f t="shared" si="43"/>
        <v>5176.99</v>
      </c>
      <c r="Q495" s="46">
        <f t="shared" si="44"/>
        <v>7.3003400000000003</v>
      </c>
      <c r="R495" s="47">
        <f t="shared" si="45"/>
        <v>9.4551999999999996</v>
      </c>
      <c r="S495" s="48">
        <f t="shared" si="46"/>
        <v>709.14</v>
      </c>
      <c r="T495" s="47" t="s">
        <v>349</v>
      </c>
      <c r="U495" s="40" t="s">
        <v>327</v>
      </c>
      <c r="V495" s="38">
        <v>7.1879</v>
      </c>
      <c r="W495" s="49">
        <f t="shared" si="47"/>
        <v>720.23643901556784</v>
      </c>
    </row>
    <row r="496" spans="1:23" x14ac:dyDescent="0.2">
      <c r="A496" s="40" t="s">
        <v>325</v>
      </c>
      <c r="B496" s="41">
        <v>45672</v>
      </c>
      <c r="C496" s="41">
        <v>45657</v>
      </c>
      <c r="D496" s="40" t="s">
        <v>311</v>
      </c>
      <c r="E496" s="40" t="s">
        <v>312</v>
      </c>
      <c r="G496" s="40" t="s">
        <v>326</v>
      </c>
      <c r="H496" s="40" t="s">
        <v>323</v>
      </c>
      <c r="I496" s="40" t="s">
        <v>324</v>
      </c>
      <c r="J496" s="43" t="str">
        <f t="shared" si="42"/>
        <v>INM-</v>
      </c>
      <c r="K496" s="40" t="s">
        <v>10</v>
      </c>
      <c r="L496" s="44">
        <v>25</v>
      </c>
      <c r="M496" s="40" t="s">
        <v>186</v>
      </c>
      <c r="N496" s="40" t="s">
        <v>11</v>
      </c>
      <c r="O496" s="40">
        <v>69.026499999999999</v>
      </c>
      <c r="P496" s="45">
        <f t="shared" si="43"/>
        <v>1725.66</v>
      </c>
      <c r="Q496" s="46">
        <f t="shared" si="44"/>
        <v>7.3003400000000003</v>
      </c>
      <c r="R496" s="47">
        <f t="shared" si="45"/>
        <v>9.4551999999999996</v>
      </c>
      <c r="S496" s="48">
        <f t="shared" si="46"/>
        <v>236.38</v>
      </c>
      <c r="T496" s="47" t="s">
        <v>349</v>
      </c>
      <c r="U496" s="40" t="s">
        <v>327</v>
      </c>
      <c r="V496" s="38">
        <v>7.1879</v>
      </c>
      <c r="W496" s="49">
        <f t="shared" si="47"/>
        <v>240.07881300518926</v>
      </c>
    </row>
    <row r="497" spans="1:23" x14ac:dyDescent="0.2">
      <c r="A497" s="40" t="s">
        <v>336</v>
      </c>
      <c r="B497" s="41">
        <v>45672</v>
      </c>
      <c r="C497" s="41">
        <v>45657</v>
      </c>
      <c r="D497" s="40" t="s">
        <v>311</v>
      </c>
      <c r="E497" s="40" t="s">
        <v>312</v>
      </c>
      <c r="G497" s="40" t="s">
        <v>326</v>
      </c>
      <c r="H497" s="40" t="s">
        <v>334</v>
      </c>
      <c r="I497" s="40" t="s">
        <v>335</v>
      </c>
      <c r="J497" s="43" t="str">
        <f t="shared" si="42"/>
        <v>EXM-</v>
      </c>
      <c r="K497" s="40" t="s">
        <v>10</v>
      </c>
      <c r="L497" s="44">
        <v>75</v>
      </c>
      <c r="M497" s="40" t="s">
        <v>186</v>
      </c>
      <c r="N497" s="40" t="s">
        <v>11</v>
      </c>
      <c r="O497" s="40">
        <v>70.353999999999999</v>
      </c>
      <c r="P497" s="45">
        <f t="shared" si="43"/>
        <v>5276.55</v>
      </c>
      <c r="Q497" s="46">
        <f t="shared" si="44"/>
        <v>7.3003400000000003</v>
      </c>
      <c r="R497" s="47">
        <f t="shared" si="45"/>
        <v>9.6371000000000002</v>
      </c>
      <c r="S497" s="48">
        <f t="shared" si="46"/>
        <v>722.78</v>
      </c>
      <c r="T497" s="47" t="s">
        <v>349</v>
      </c>
      <c r="U497" s="40" t="s">
        <v>315</v>
      </c>
      <c r="V497" s="38">
        <v>7.1879</v>
      </c>
      <c r="W497" s="49">
        <f t="shared" si="47"/>
        <v>734.08784206791972</v>
      </c>
    </row>
    <row r="498" spans="1:23" x14ac:dyDescent="0.2">
      <c r="A498" s="40" t="s">
        <v>339</v>
      </c>
      <c r="B498" s="41">
        <v>45672</v>
      </c>
      <c r="C498" s="41">
        <v>45657</v>
      </c>
      <c r="D498" s="40" t="s">
        <v>311</v>
      </c>
      <c r="E498" s="40" t="s">
        <v>312</v>
      </c>
      <c r="G498" s="40" t="s">
        <v>326</v>
      </c>
      <c r="H498" s="40" t="s">
        <v>337</v>
      </c>
      <c r="I498" s="40" t="s">
        <v>338</v>
      </c>
      <c r="J498" s="43" t="str">
        <f t="shared" si="42"/>
        <v>EXM-</v>
      </c>
      <c r="K498" s="40" t="s">
        <v>10</v>
      </c>
      <c r="L498" s="44">
        <v>75</v>
      </c>
      <c r="M498" s="40" t="s">
        <v>186</v>
      </c>
      <c r="N498" s="40" t="s">
        <v>11</v>
      </c>
      <c r="O498" s="40">
        <v>71.769900000000007</v>
      </c>
      <c r="P498" s="45">
        <f t="shared" si="43"/>
        <v>5382.74</v>
      </c>
      <c r="Q498" s="46">
        <f t="shared" si="44"/>
        <v>7.3003400000000003</v>
      </c>
      <c r="R498" s="47">
        <f t="shared" si="45"/>
        <v>9.8309999999999995</v>
      </c>
      <c r="S498" s="48">
        <f t="shared" si="46"/>
        <v>737.33</v>
      </c>
      <c r="T498" s="47" t="s">
        <v>349</v>
      </c>
      <c r="U498" s="40" t="s">
        <v>315</v>
      </c>
      <c r="V498" s="38">
        <v>7.1879</v>
      </c>
      <c r="W498" s="49">
        <f t="shared" si="47"/>
        <v>748.86162857023612</v>
      </c>
    </row>
    <row r="499" spans="1:23" x14ac:dyDescent="0.2">
      <c r="A499" s="40" t="s">
        <v>1239</v>
      </c>
      <c r="B499" s="41">
        <v>45663</v>
      </c>
      <c r="C499" s="41">
        <v>45638</v>
      </c>
      <c r="D499" s="40" t="s">
        <v>311</v>
      </c>
      <c r="E499" s="40" t="s">
        <v>312</v>
      </c>
      <c r="G499" s="40" t="s">
        <v>1236</v>
      </c>
      <c r="H499" s="40" t="s">
        <v>1237</v>
      </c>
      <c r="I499" s="40" t="s">
        <v>1238</v>
      </c>
      <c r="J499" s="43" t="str">
        <f t="shared" si="42"/>
        <v>EXM-</v>
      </c>
      <c r="K499" s="40" t="s">
        <v>10</v>
      </c>
      <c r="L499" s="44">
        <v>25</v>
      </c>
      <c r="M499" s="40" t="s">
        <v>186</v>
      </c>
      <c r="N499" s="40" t="s">
        <v>11</v>
      </c>
      <c r="O499" s="40">
        <v>90.177000000000007</v>
      </c>
      <c r="P499" s="45">
        <f t="shared" si="43"/>
        <v>2254.4299999999998</v>
      </c>
      <c r="Q499" s="46">
        <f t="shared" si="44"/>
        <v>7.3003400000000003</v>
      </c>
      <c r="R499" s="47">
        <f t="shared" si="45"/>
        <v>12.352399999999999</v>
      </c>
      <c r="S499" s="48">
        <f t="shared" si="46"/>
        <v>308.81</v>
      </c>
      <c r="T499" s="47" t="s">
        <v>349</v>
      </c>
      <c r="U499" s="40" t="s">
        <v>315</v>
      </c>
      <c r="V499" s="38">
        <v>7.1879</v>
      </c>
      <c r="W499" s="49">
        <f t="shared" si="47"/>
        <v>313.64167559370611</v>
      </c>
    </row>
    <row r="500" spans="1:23" x14ac:dyDescent="0.2">
      <c r="A500" s="40" t="s">
        <v>1243</v>
      </c>
      <c r="B500" s="41">
        <v>45663</v>
      </c>
      <c r="C500" s="41">
        <v>45638</v>
      </c>
      <c r="D500" s="40" t="s">
        <v>311</v>
      </c>
      <c r="E500" s="40" t="s">
        <v>312</v>
      </c>
      <c r="G500" s="40" t="s">
        <v>1244</v>
      </c>
      <c r="H500" s="40" t="s">
        <v>662</v>
      </c>
      <c r="I500" s="40" t="s">
        <v>663</v>
      </c>
      <c r="J500" s="43" t="str">
        <f t="shared" si="42"/>
        <v>INM-</v>
      </c>
      <c r="K500" s="40" t="s">
        <v>10</v>
      </c>
      <c r="L500" s="44">
        <v>50</v>
      </c>
      <c r="M500" s="40" t="s">
        <v>186</v>
      </c>
      <c r="N500" s="40" t="s">
        <v>11</v>
      </c>
      <c r="O500" s="40">
        <v>92.743399999999994</v>
      </c>
      <c r="P500" s="45">
        <f t="shared" si="43"/>
        <v>4637.17</v>
      </c>
      <c r="Q500" s="46">
        <f t="shared" si="44"/>
        <v>7.3003400000000003</v>
      </c>
      <c r="R500" s="47">
        <f t="shared" si="45"/>
        <v>12.704000000000001</v>
      </c>
      <c r="S500" s="48">
        <f t="shared" si="46"/>
        <v>635.20000000000005</v>
      </c>
      <c r="T500" s="47" t="s">
        <v>349</v>
      </c>
      <c r="U500" s="40" t="s">
        <v>327</v>
      </c>
      <c r="V500" s="38">
        <v>7.1879</v>
      </c>
      <c r="W500" s="49">
        <f t="shared" si="47"/>
        <v>645.13557506364862</v>
      </c>
    </row>
    <row r="501" spans="1:23" x14ac:dyDescent="0.2">
      <c r="A501" s="40" t="s">
        <v>672</v>
      </c>
      <c r="B501" s="41">
        <v>45667</v>
      </c>
      <c r="C501" s="41">
        <v>45643</v>
      </c>
      <c r="D501" s="40" t="s">
        <v>311</v>
      </c>
      <c r="E501" s="40" t="s">
        <v>312</v>
      </c>
      <c r="G501" s="40" t="s">
        <v>665</v>
      </c>
      <c r="H501" s="40" t="s">
        <v>662</v>
      </c>
      <c r="I501" s="40" t="s">
        <v>663</v>
      </c>
      <c r="J501" s="43" t="str">
        <f t="shared" si="42"/>
        <v>INM-</v>
      </c>
      <c r="K501" s="40" t="s">
        <v>10</v>
      </c>
      <c r="L501" s="44">
        <v>50</v>
      </c>
      <c r="M501" s="40" t="s">
        <v>186</v>
      </c>
      <c r="N501" s="40" t="s">
        <v>11</v>
      </c>
      <c r="O501" s="40">
        <v>92.743399999999994</v>
      </c>
      <c r="P501" s="45">
        <f t="shared" si="43"/>
        <v>4637.17</v>
      </c>
      <c r="Q501" s="46">
        <f t="shared" si="44"/>
        <v>7.3003400000000003</v>
      </c>
      <c r="R501" s="47">
        <f t="shared" si="45"/>
        <v>12.704000000000001</v>
      </c>
      <c r="S501" s="48">
        <f t="shared" si="46"/>
        <v>635.20000000000005</v>
      </c>
      <c r="T501" s="47" t="s">
        <v>349</v>
      </c>
      <c r="U501" s="40" t="s">
        <v>327</v>
      </c>
      <c r="V501" s="38">
        <v>7.1879</v>
      </c>
      <c r="W501" s="49">
        <f t="shared" si="47"/>
        <v>645.13557506364862</v>
      </c>
    </row>
    <row r="502" spans="1:23" x14ac:dyDescent="0.2">
      <c r="A502" s="40" t="s">
        <v>664</v>
      </c>
      <c r="B502" s="41">
        <v>45667</v>
      </c>
      <c r="C502" s="41">
        <v>45643</v>
      </c>
      <c r="D502" s="40" t="s">
        <v>311</v>
      </c>
      <c r="E502" s="40" t="s">
        <v>312</v>
      </c>
      <c r="G502" s="40" t="s">
        <v>665</v>
      </c>
      <c r="H502" s="40" t="s">
        <v>662</v>
      </c>
      <c r="I502" s="40" t="s">
        <v>663</v>
      </c>
      <c r="J502" s="43" t="str">
        <f t="shared" si="42"/>
        <v>INM-</v>
      </c>
      <c r="K502" s="40" t="s">
        <v>10</v>
      </c>
      <c r="L502" s="44">
        <v>100</v>
      </c>
      <c r="M502" s="40" t="s">
        <v>186</v>
      </c>
      <c r="N502" s="40" t="s">
        <v>11</v>
      </c>
      <c r="O502" s="40">
        <v>92.743399999999994</v>
      </c>
      <c r="P502" s="45">
        <f t="shared" si="43"/>
        <v>9274.34</v>
      </c>
      <c r="Q502" s="46">
        <f t="shared" si="44"/>
        <v>7.3003400000000003</v>
      </c>
      <c r="R502" s="47">
        <f t="shared" si="45"/>
        <v>12.704000000000001</v>
      </c>
      <c r="S502" s="48">
        <f t="shared" si="46"/>
        <v>1270.4000000000001</v>
      </c>
      <c r="T502" s="47" t="s">
        <v>349</v>
      </c>
      <c r="U502" s="40" t="s">
        <v>327</v>
      </c>
      <c r="V502" s="38">
        <v>7.1879</v>
      </c>
      <c r="W502" s="49">
        <f t="shared" si="47"/>
        <v>1290.2711501272972</v>
      </c>
    </row>
    <row r="503" spans="1:23" x14ac:dyDescent="0.2">
      <c r="A503" s="40" t="s">
        <v>313</v>
      </c>
      <c r="B503" s="41">
        <v>45672</v>
      </c>
      <c r="C503" s="41">
        <v>45664</v>
      </c>
      <c r="D503" s="40" t="s">
        <v>311</v>
      </c>
      <c r="E503" s="40" t="s">
        <v>312</v>
      </c>
      <c r="G503" s="40" t="s">
        <v>314</v>
      </c>
      <c r="H503" s="40" t="s">
        <v>309</v>
      </c>
      <c r="I503" s="40" t="s">
        <v>310</v>
      </c>
      <c r="J503" s="43" t="str">
        <f t="shared" si="42"/>
        <v>EXM-</v>
      </c>
      <c r="K503" s="40" t="s">
        <v>10</v>
      </c>
      <c r="L503" s="44">
        <v>25</v>
      </c>
      <c r="M503" s="40" t="s">
        <v>186</v>
      </c>
      <c r="N503" s="40" t="s">
        <v>11</v>
      </c>
      <c r="O503" s="40">
        <v>102.0354</v>
      </c>
      <c r="P503" s="45">
        <f t="shared" si="43"/>
        <v>2550.89</v>
      </c>
      <c r="Q503" s="46">
        <f t="shared" si="44"/>
        <v>7.3003400000000003</v>
      </c>
      <c r="R503" s="47">
        <f t="shared" si="45"/>
        <v>13.976800000000001</v>
      </c>
      <c r="S503" s="48">
        <f t="shared" si="46"/>
        <v>349.42</v>
      </c>
      <c r="T503" s="47" t="s">
        <v>349</v>
      </c>
      <c r="U503" s="40" t="s">
        <v>315</v>
      </c>
      <c r="V503" s="38">
        <v>7.1879</v>
      </c>
      <c r="W503" s="49">
        <f t="shared" si="47"/>
        <v>354.88598895365823</v>
      </c>
    </row>
    <row r="504" spans="1:23" x14ac:dyDescent="0.2">
      <c r="A504" s="40" t="s">
        <v>668</v>
      </c>
      <c r="B504" s="41">
        <v>45667</v>
      </c>
      <c r="C504" s="41">
        <v>45643</v>
      </c>
      <c r="D504" s="40" t="s">
        <v>311</v>
      </c>
      <c r="E504" s="40" t="s">
        <v>312</v>
      </c>
      <c r="G504" s="40" t="s">
        <v>665</v>
      </c>
      <c r="H504" s="40" t="s">
        <v>666</v>
      </c>
      <c r="I504" s="40" t="s">
        <v>667</v>
      </c>
      <c r="J504" s="43" t="str">
        <f t="shared" si="42"/>
        <v>INM-</v>
      </c>
      <c r="K504" s="40" t="s">
        <v>10</v>
      </c>
      <c r="L504" s="44">
        <v>50</v>
      </c>
      <c r="M504" s="40" t="s">
        <v>186</v>
      </c>
      <c r="N504" s="40" t="s">
        <v>11</v>
      </c>
      <c r="O504" s="40">
        <v>105.0442</v>
      </c>
      <c r="P504" s="45">
        <f t="shared" si="43"/>
        <v>5252.21</v>
      </c>
      <c r="Q504" s="46">
        <f t="shared" si="44"/>
        <v>7.3003400000000003</v>
      </c>
      <c r="R504" s="47">
        <f t="shared" si="45"/>
        <v>14.3889</v>
      </c>
      <c r="S504" s="48">
        <f t="shared" si="46"/>
        <v>719.45</v>
      </c>
      <c r="T504" s="47" t="s">
        <v>349</v>
      </c>
      <c r="U504" s="40" t="s">
        <v>327</v>
      </c>
      <c r="V504" s="38">
        <v>7.1879</v>
      </c>
      <c r="W504" s="49">
        <f t="shared" si="47"/>
        <v>730.70159573728074</v>
      </c>
    </row>
    <row r="505" spans="1:23" x14ac:dyDescent="0.2">
      <c r="A505" s="40" t="s">
        <v>673</v>
      </c>
      <c r="B505" s="41">
        <v>45667</v>
      </c>
      <c r="C505" s="41">
        <v>45643</v>
      </c>
      <c r="D505" s="40" t="s">
        <v>311</v>
      </c>
      <c r="E505" s="40" t="s">
        <v>312</v>
      </c>
      <c r="G505" s="40" t="s">
        <v>665</v>
      </c>
      <c r="H505" s="40" t="s">
        <v>669</v>
      </c>
      <c r="I505" s="40" t="s">
        <v>670</v>
      </c>
      <c r="J505" s="43" t="str">
        <f t="shared" si="42"/>
        <v>INM-</v>
      </c>
      <c r="K505" s="40" t="s">
        <v>10</v>
      </c>
      <c r="L505" s="44">
        <v>25</v>
      </c>
      <c r="M505" s="40" t="s">
        <v>186</v>
      </c>
      <c r="N505" s="40" t="s">
        <v>11</v>
      </c>
      <c r="O505" s="40">
        <v>110.17700000000001</v>
      </c>
      <c r="P505" s="45">
        <f t="shared" si="43"/>
        <v>2754.43</v>
      </c>
      <c r="Q505" s="46">
        <f t="shared" si="44"/>
        <v>7.3003400000000003</v>
      </c>
      <c r="R505" s="47">
        <f t="shared" si="45"/>
        <v>15.092000000000001</v>
      </c>
      <c r="S505" s="48">
        <f t="shared" si="46"/>
        <v>377.3</v>
      </c>
      <c r="T505" s="47" t="s">
        <v>349</v>
      </c>
      <c r="U505" s="40" t="s">
        <v>327</v>
      </c>
      <c r="V505" s="38">
        <v>7.1879</v>
      </c>
      <c r="W505" s="49">
        <f t="shared" si="47"/>
        <v>383.20302174487682</v>
      </c>
    </row>
    <row r="506" spans="1:23" x14ac:dyDescent="0.2">
      <c r="A506" s="40" t="s">
        <v>671</v>
      </c>
      <c r="B506" s="41">
        <v>45667</v>
      </c>
      <c r="C506" s="41">
        <v>45643</v>
      </c>
      <c r="D506" s="40" t="s">
        <v>311</v>
      </c>
      <c r="E506" s="40" t="s">
        <v>312</v>
      </c>
      <c r="G506" s="40" t="s">
        <v>665</v>
      </c>
      <c r="H506" s="40" t="s">
        <v>669</v>
      </c>
      <c r="I506" s="40" t="s">
        <v>670</v>
      </c>
      <c r="J506" s="43" t="str">
        <f t="shared" si="42"/>
        <v>INM-</v>
      </c>
      <c r="K506" s="40" t="s">
        <v>10</v>
      </c>
      <c r="L506" s="44">
        <v>75</v>
      </c>
      <c r="M506" s="40" t="s">
        <v>186</v>
      </c>
      <c r="N506" s="40" t="s">
        <v>11</v>
      </c>
      <c r="O506" s="40">
        <v>110.17700000000001</v>
      </c>
      <c r="P506" s="45">
        <f t="shared" si="43"/>
        <v>8263.2800000000007</v>
      </c>
      <c r="Q506" s="46">
        <f t="shared" si="44"/>
        <v>7.3003400000000003</v>
      </c>
      <c r="R506" s="47">
        <f t="shared" si="45"/>
        <v>15.092000000000001</v>
      </c>
      <c r="S506" s="48">
        <f t="shared" si="46"/>
        <v>1131.9000000000001</v>
      </c>
      <c r="T506" s="47" t="s">
        <v>349</v>
      </c>
      <c r="U506" s="40" t="s">
        <v>327</v>
      </c>
      <c r="V506" s="38">
        <v>7.1879</v>
      </c>
      <c r="W506" s="49">
        <f t="shared" si="47"/>
        <v>1149.6090652346304</v>
      </c>
    </row>
    <row r="507" spans="1:23" x14ac:dyDescent="0.2">
      <c r="A507" s="40" t="s">
        <v>322</v>
      </c>
      <c r="B507" s="41">
        <v>45672</v>
      </c>
      <c r="C507" s="41">
        <v>45657</v>
      </c>
      <c r="D507" s="40" t="s">
        <v>311</v>
      </c>
      <c r="E507" s="40" t="s">
        <v>312</v>
      </c>
      <c r="G507" s="40" t="s">
        <v>319</v>
      </c>
      <c r="H507" s="40" t="s">
        <v>320</v>
      </c>
      <c r="I507" s="40" t="s">
        <v>321</v>
      </c>
      <c r="J507" s="43" t="str">
        <f t="shared" si="42"/>
        <v>EXM-</v>
      </c>
      <c r="K507" s="40" t="s">
        <v>10</v>
      </c>
      <c r="L507" s="44">
        <v>125</v>
      </c>
      <c r="M507" s="40" t="s">
        <v>186</v>
      </c>
      <c r="N507" s="40" t="s">
        <v>11</v>
      </c>
      <c r="O507" s="40">
        <v>110.6195</v>
      </c>
      <c r="P507" s="45">
        <f t="shared" si="43"/>
        <v>13827.44</v>
      </c>
      <c r="Q507" s="46">
        <f t="shared" si="44"/>
        <v>7.3003400000000003</v>
      </c>
      <c r="R507" s="47">
        <f t="shared" si="45"/>
        <v>15.152699999999999</v>
      </c>
      <c r="S507" s="48">
        <f t="shared" si="46"/>
        <v>1894.09</v>
      </c>
      <c r="T507" s="47" t="s">
        <v>349</v>
      </c>
      <c r="U507" s="40" t="s">
        <v>315</v>
      </c>
      <c r="V507" s="38">
        <v>7.1879</v>
      </c>
      <c r="W507" s="49">
        <f t="shared" si="47"/>
        <v>1923.7103326423573</v>
      </c>
    </row>
    <row r="508" spans="1:23" x14ac:dyDescent="0.2">
      <c r="A508" s="40" t="s">
        <v>1235</v>
      </c>
      <c r="B508" s="41">
        <v>45663</v>
      </c>
      <c r="C508" s="41">
        <v>45638</v>
      </c>
      <c r="D508" s="40" t="s">
        <v>311</v>
      </c>
      <c r="E508" s="40" t="s">
        <v>312</v>
      </c>
      <c r="G508" s="40" t="s">
        <v>1236</v>
      </c>
      <c r="H508" s="40" t="s">
        <v>316</v>
      </c>
      <c r="I508" s="40" t="s">
        <v>317</v>
      </c>
      <c r="J508" s="43" t="str">
        <f t="shared" si="42"/>
        <v>EXM-</v>
      </c>
      <c r="K508" s="40" t="s">
        <v>10</v>
      </c>
      <c r="L508" s="44">
        <v>25</v>
      </c>
      <c r="M508" s="40" t="s">
        <v>186</v>
      </c>
      <c r="N508" s="40" t="s">
        <v>11</v>
      </c>
      <c r="O508" s="40">
        <v>117.3451</v>
      </c>
      <c r="P508" s="45">
        <f t="shared" si="43"/>
        <v>2933.63</v>
      </c>
      <c r="Q508" s="46">
        <f t="shared" si="44"/>
        <v>7.3003400000000003</v>
      </c>
      <c r="R508" s="47">
        <f t="shared" si="45"/>
        <v>16.073899999999998</v>
      </c>
      <c r="S508" s="48">
        <f t="shared" si="46"/>
        <v>401.85</v>
      </c>
      <c r="T508" s="47" t="s">
        <v>349</v>
      </c>
      <c r="U508" s="40" t="s">
        <v>315</v>
      </c>
      <c r="V508" s="38">
        <v>7.1879</v>
      </c>
      <c r="W508" s="49">
        <f t="shared" si="47"/>
        <v>408.13415601218719</v>
      </c>
    </row>
    <row r="509" spans="1:23" x14ac:dyDescent="0.2">
      <c r="A509" s="40" t="s">
        <v>318</v>
      </c>
      <c r="B509" s="41">
        <v>45672</v>
      </c>
      <c r="C509" s="41">
        <v>45657</v>
      </c>
      <c r="D509" s="40" t="s">
        <v>311</v>
      </c>
      <c r="E509" s="40" t="s">
        <v>312</v>
      </c>
      <c r="G509" s="40" t="s">
        <v>319</v>
      </c>
      <c r="H509" s="40" t="s">
        <v>316</v>
      </c>
      <c r="I509" s="40" t="s">
        <v>317</v>
      </c>
      <c r="J509" s="43" t="str">
        <f t="shared" si="42"/>
        <v>EXM-</v>
      </c>
      <c r="K509" s="40" t="s">
        <v>10</v>
      </c>
      <c r="L509" s="44">
        <v>25</v>
      </c>
      <c r="M509" s="40" t="s">
        <v>186</v>
      </c>
      <c r="N509" s="40" t="s">
        <v>11</v>
      </c>
      <c r="O509" s="40">
        <v>117.3451</v>
      </c>
      <c r="P509" s="45">
        <f t="shared" si="43"/>
        <v>2933.63</v>
      </c>
      <c r="Q509" s="46">
        <f t="shared" si="44"/>
        <v>7.3003400000000003</v>
      </c>
      <c r="R509" s="47">
        <f t="shared" si="45"/>
        <v>16.073899999999998</v>
      </c>
      <c r="S509" s="48">
        <f t="shared" si="46"/>
        <v>401.85</v>
      </c>
      <c r="T509" s="47" t="s">
        <v>349</v>
      </c>
      <c r="U509" s="40" t="s">
        <v>315</v>
      </c>
      <c r="V509" s="38">
        <v>7.1879</v>
      </c>
      <c r="W509" s="49">
        <f t="shared" si="47"/>
        <v>408.13415601218719</v>
      </c>
    </row>
    <row r="510" spans="1:23" x14ac:dyDescent="0.2">
      <c r="A510" s="40" t="s">
        <v>1242</v>
      </c>
      <c r="B510" s="41">
        <v>45663</v>
      </c>
      <c r="C510" s="41">
        <v>45638</v>
      </c>
      <c r="D510" s="40" t="s">
        <v>311</v>
      </c>
      <c r="E510" s="40" t="s">
        <v>312</v>
      </c>
      <c r="G510" s="40" t="s">
        <v>1236</v>
      </c>
      <c r="H510" s="40" t="s">
        <v>1240</v>
      </c>
      <c r="I510" s="40" t="s">
        <v>1241</v>
      </c>
      <c r="J510" s="43" t="str">
        <f t="shared" si="42"/>
        <v>EXM-</v>
      </c>
      <c r="K510" s="40" t="s">
        <v>10</v>
      </c>
      <c r="L510" s="44">
        <v>50</v>
      </c>
      <c r="M510" s="40" t="s">
        <v>186</v>
      </c>
      <c r="N510" s="40" t="s">
        <v>11</v>
      </c>
      <c r="O510" s="40">
        <v>118.6726</v>
      </c>
      <c r="P510" s="45">
        <f t="shared" si="43"/>
        <v>5933.63</v>
      </c>
      <c r="Q510" s="46">
        <f t="shared" si="44"/>
        <v>7.3003400000000003</v>
      </c>
      <c r="R510" s="47">
        <f t="shared" si="45"/>
        <v>16.255800000000001</v>
      </c>
      <c r="S510" s="48">
        <f t="shared" si="46"/>
        <v>812.79</v>
      </c>
      <c r="T510" s="47" t="s">
        <v>349</v>
      </c>
      <c r="U510" s="40" t="s">
        <v>315</v>
      </c>
      <c r="V510" s="38">
        <v>7.1879</v>
      </c>
      <c r="W510" s="49">
        <f t="shared" si="47"/>
        <v>825.50258072594215</v>
      </c>
    </row>
    <row r="511" spans="1:23" x14ac:dyDescent="0.2">
      <c r="A511" s="40" t="s">
        <v>661</v>
      </c>
      <c r="B511" s="41">
        <v>45667</v>
      </c>
      <c r="C511" s="41">
        <v>45651</v>
      </c>
      <c r="D511" s="40" t="s">
        <v>311</v>
      </c>
      <c r="E511" s="40" t="s">
        <v>312</v>
      </c>
      <c r="G511" s="40" t="s">
        <v>658</v>
      </c>
      <c r="H511" s="40" t="s">
        <v>659</v>
      </c>
      <c r="I511" s="40" t="s">
        <v>660</v>
      </c>
      <c r="J511" s="43" t="str">
        <f t="shared" si="42"/>
        <v>INM-</v>
      </c>
      <c r="K511" s="40" t="s">
        <v>10</v>
      </c>
      <c r="L511" s="44">
        <v>25</v>
      </c>
      <c r="M511" s="40" t="s">
        <v>186</v>
      </c>
      <c r="N511" s="40" t="s">
        <v>11</v>
      </c>
      <c r="O511" s="40">
        <v>197.3451</v>
      </c>
      <c r="P511" s="45">
        <f t="shared" si="43"/>
        <v>4933.63</v>
      </c>
      <c r="Q511" s="46">
        <f t="shared" si="44"/>
        <v>7.3003400000000003</v>
      </c>
      <c r="R511" s="47">
        <f t="shared" si="45"/>
        <v>27.032299999999999</v>
      </c>
      <c r="S511" s="48">
        <f t="shared" si="46"/>
        <v>675.81</v>
      </c>
      <c r="T511" s="47" t="s">
        <v>349</v>
      </c>
      <c r="U511" s="40" t="s">
        <v>327</v>
      </c>
      <c r="V511" s="38">
        <v>7.1879</v>
      </c>
      <c r="W511" s="49">
        <f t="shared" si="47"/>
        <v>686.37954061687003</v>
      </c>
    </row>
    <row r="512" spans="1:23" x14ac:dyDescent="0.2">
      <c r="A512" s="40" t="s">
        <v>657</v>
      </c>
      <c r="B512" s="41">
        <v>45667</v>
      </c>
      <c r="C512" s="41">
        <v>45651</v>
      </c>
      <c r="D512" s="40" t="s">
        <v>311</v>
      </c>
      <c r="E512" s="40" t="s">
        <v>312</v>
      </c>
      <c r="G512" s="40" t="s">
        <v>658</v>
      </c>
      <c r="H512" s="40" t="s">
        <v>655</v>
      </c>
      <c r="I512" s="40" t="s">
        <v>656</v>
      </c>
      <c r="J512" s="43" t="str">
        <f t="shared" si="42"/>
        <v>INM-</v>
      </c>
      <c r="K512" s="40" t="s">
        <v>10</v>
      </c>
      <c r="L512" s="44">
        <v>25</v>
      </c>
      <c r="M512" s="40" t="s">
        <v>186</v>
      </c>
      <c r="N512" s="40" t="s">
        <v>11</v>
      </c>
      <c r="O512" s="40">
        <v>197.3451</v>
      </c>
      <c r="P512" s="45">
        <f t="shared" si="43"/>
        <v>4933.63</v>
      </c>
      <c r="Q512" s="46">
        <f t="shared" si="44"/>
        <v>7.3003400000000003</v>
      </c>
      <c r="R512" s="47">
        <f t="shared" si="45"/>
        <v>27.032299999999999</v>
      </c>
      <c r="S512" s="48">
        <f t="shared" si="46"/>
        <v>675.81</v>
      </c>
      <c r="T512" s="47" t="s">
        <v>349</v>
      </c>
      <c r="U512" s="40" t="s">
        <v>327</v>
      </c>
      <c r="V512" s="38">
        <v>7.1879</v>
      </c>
      <c r="W512" s="49">
        <f t="shared" si="47"/>
        <v>686.37954061687003</v>
      </c>
    </row>
    <row r="513" spans="1:23" x14ac:dyDescent="0.2">
      <c r="A513" s="40" t="s">
        <v>1280</v>
      </c>
      <c r="B513" s="41">
        <v>45660</v>
      </c>
      <c r="C513" s="41">
        <v>45644</v>
      </c>
      <c r="D513" s="40" t="s">
        <v>1278</v>
      </c>
      <c r="E513" s="40" t="s">
        <v>1279</v>
      </c>
      <c r="G513" s="40" t="s">
        <v>1281</v>
      </c>
      <c r="H513" s="40" t="s">
        <v>1276</v>
      </c>
      <c r="I513" s="40" t="s">
        <v>1277</v>
      </c>
      <c r="J513" s="43" t="str">
        <f t="shared" si="42"/>
        <v>POLM</v>
      </c>
      <c r="K513" s="40" t="s">
        <v>10</v>
      </c>
      <c r="L513" s="44">
        <v>200</v>
      </c>
      <c r="M513" s="40" t="s">
        <v>1472</v>
      </c>
      <c r="N513" s="40" t="s">
        <v>11</v>
      </c>
      <c r="O513" s="40">
        <v>210</v>
      </c>
      <c r="P513" s="45">
        <f t="shared" si="43"/>
        <v>42000</v>
      </c>
      <c r="Q513" s="46">
        <f t="shared" si="44"/>
        <v>7.3003400000000003</v>
      </c>
      <c r="R513" s="47">
        <f t="shared" si="45"/>
        <v>28.765799999999999</v>
      </c>
      <c r="S513" s="48">
        <f t="shared" si="46"/>
        <v>5753.16</v>
      </c>
      <c r="T513" s="47" t="s">
        <v>349</v>
      </c>
      <c r="U513" s="40" t="s">
        <v>272</v>
      </c>
      <c r="V513" s="38">
        <v>7.1879</v>
      </c>
      <c r="W513" s="49">
        <f t="shared" si="47"/>
        <v>5843.1530766983396</v>
      </c>
    </row>
    <row r="514" spans="1:23" x14ac:dyDescent="0.2">
      <c r="A514" s="52" t="s">
        <v>1829</v>
      </c>
      <c r="B514" s="53">
        <v>45708</v>
      </c>
      <c r="C514" s="53">
        <v>45671</v>
      </c>
      <c r="D514" s="52" t="s">
        <v>169</v>
      </c>
      <c r="E514" s="52" t="s">
        <v>170</v>
      </c>
      <c r="G514" s="52" t="s">
        <v>2137</v>
      </c>
      <c r="H514" s="40" t="s">
        <v>1561</v>
      </c>
      <c r="I514" s="40" t="s">
        <v>1562</v>
      </c>
      <c r="J514" s="43" t="str">
        <f t="shared" ref="J514:J577" si="48">+LEFT(U514,4)</f>
        <v>STKR</v>
      </c>
      <c r="K514" s="52" t="s">
        <v>10</v>
      </c>
      <c r="L514" s="40">
        <v>5100</v>
      </c>
      <c r="M514" s="52" t="s">
        <v>1472</v>
      </c>
      <c r="N514" s="52" t="s">
        <v>11</v>
      </c>
      <c r="O514" s="54">
        <v>3.2000000000000001E-2</v>
      </c>
      <c r="P514" s="45">
        <f t="shared" ref="P514:P577" si="49">ROUND(O514*L514,2)</f>
        <v>163.19999999999999</v>
      </c>
      <c r="Q514" s="46">
        <f t="shared" ref="Q514:Q577" si="50">IF(N514="HKD",7.8,IF(N514="CNY",7.30034,1))</f>
        <v>7.3003400000000003</v>
      </c>
      <c r="R514" s="47">
        <f t="shared" ref="R514:R577" si="51">+ROUND(O514/Q514,4)</f>
        <v>4.4000000000000003E-3</v>
      </c>
      <c r="S514" s="48">
        <f t="shared" ref="S514:S577" si="52">ROUND(R514*L514,2)</f>
        <v>22.44</v>
      </c>
      <c r="T514" s="47" t="s">
        <v>349</v>
      </c>
      <c r="U514" s="52" t="s">
        <v>18</v>
      </c>
      <c r="V514" s="38">
        <v>7.1692999999999998</v>
      </c>
      <c r="W514" s="49">
        <f t="shared" ref="W514:W577" si="53">IF(N514="CNY",O514/V514*L514,1)</f>
        <v>22.763728676439818</v>
      </c>
    </row>
    <row r="515" spans="1:23" x14ac:dyDescent="0.2">
      <c r="A515" s="52" t="s">
        <v>1830</v>
      </c>
      <c r="B515" s="53">
        <v>45713</v>
      </c>
      <c r="C515" s="53">
        <v>45670</v>
      </c>
      <c r="D515" s="52" t="s">
        <v>162</v>
      </c>
      <c r="E515" s="52" t="s">
        <v>163</v>
      </c>
      <c r="G515" s="52" t="s">
        <v>2138</v>
      </c>
      <c r="H515" s="40" t="s">
        <v>599</v>
      </c>
      <c r="I515" s="40" t="s">
        <v>600</v>
      </c>
      <c r="J515" s="43" t="str">
        <f t="shared" si="48"/>
        <v>SCR-</v>
      </c>
      <c r="K515" s="52" t="s">
        <v>10</v>
      </c>
      <c r="L515" s="40">
        <v>3400</v>
      </c>
      <c r="M515" s="52" t="s">
        <v>1472</v>
      </c>
      <c r="N515" s="52" t="s">
        <v>11</v>
      </c>
      <c r="O515" s="54">
        <v>4.1200000000000001E-2</v>
      </c>
      <c r="P515" s="45">
        <f t="shared" si="49"/>
        <v>140.08000000000001</v>
      </c>
      <c r="Q515" s="46">
        <f t="shared" si="50"/>
        <v>7.3003400000000003</v>
      </c>
      <c r="R515" s="47">
        <f t="shared" si="51"/>
        <v>5.5999999999999999E-3</v>
      </c>
      <c r="S515" s="48">
        <f t="shared" si="52"/>
        <v>19.04</v>
      </c>
      <c r="T515" s="47" t="s">
        <v>349</v>
      </c>
      <c r="U515" s="52" t="s">
        <v>166</v>
      </c>
      <c r="V515" s="38">
        <v>7.1692999999999998</v>
      </c>
      <c r="W515" s="49">
        <f t="shared" si="53"/>
        <v>19.538867113944178</v>
      </c>
    </row>
    <row r="516" spans="1:23" x14ac:dyDescent="0.2">
      <c r="A516" s="52" t="s">
        <v>1830</v>
      </c>
      <c r="B516" s="53">
        <v>45712</v>
      </c>
      <c r="C516" s="53">
        <v>45670</v>
      </c>
      <c r="D516" s="52" t="s">
        <v>162</v>
      </c>
      <c r="E516" s="52" t="s">
        <v>163</v>
      </c>
      <c r="G516" s="52" t="s">
        <v>2139</v>
      </c>
      <c r="H516" s="40" t="s">
        <v>599</v>
      </c>
      <c r="I516" s="40" t="s">
        <v>600</v>
      </c>
      <c r="J516" s="43" t="str">
        <f t="shared" si="48"/>
        <v>SCR-</v>
      </c>
      <c r="K516" s="52" t="s">
        <v>10</v>
      </c>
      <c r="L516" s="40">
        <v>22600</v>
      </c>
      <c r="M516" s="52" t="s">
        <v>1472</v>
      </c>
      <c r="N516" s="52" t="s">
        <v>11</v>
      </c>
      <c r="O516" s="54">
        <v>4.1200000000000001E-2</v>
      </c>
      <c r="P516" s="45">
        <f t="shared" si="49"/>
        <v>931.12</v>
      </c>
      <c r="Q516" s="46">
        <f t="shared" si="50"/>
        <v>7.3003400000000003</v>
      </c>
      <c r="R516" s="47">
        <f t="shared" si="51"/>
        <v>5.5999999999999999E-3</v>
      </c>
      <c r="S516" s="48">
        <f t="shared" si="52"/>
        <v>126.56</v>
      </c>
      <c r="T516" s="47" t="s">
        <v>349</v>
      </c>
      <c r="U516" s="52" t="s">
        <v>166</v>
      </c>
      <c r="V516" s="38">
        <v>7.1692999999999998</v>
      </c>
      <c r="W516" s="49">
        <f t="shared" si="53"/>
        <v>129.87599905151131</v>
      </c>
    </row>
    <row r="517" spans="1:23" x14ac:dyDescent="0.2">
      <c r="A517" s="52" t="s">
        <v>1830</v>
      </c>
      <c r="B517" s="53">
        <v>45712</v>
      </c>
      <c r="C517" s="53">
        <v>45670</v>
      </c>
      <c r="D517" s="52" t="s">
        <v>162</v>
      </c>
      <c r="E517" s="52" t="s">
        <v>163</v>
      </c>
      <c r="G517" s="52" t="s">
        <v>2140</v>
      </c>
      <c r="H517" s="40" t="s">
        <v>599</v>
      </c>
      <c r="I517" s="40" t="s">
        <v>600</v>
      </c>
      <c r="J517" s="43" t="str">
        <f t="shared" si="48"/>
        <v>SCR-</v>
      </c>
      <c r="K517" s="52" t="s">
        <v>10</v>
      </c>
      <c r="L517" s="40">
        <v>-26000</v>
      </c>
      <c r="M517" s="52" t="s">
        <v>1472</v>
      </c>
      <c r="N517" s="52" t="s">
        <v>11</v>
      </c>
      <c r="O517" s="54">
        <v>4.1200000000000001E-2</v>
      </c>
      <c r="P517" s="45">
        <f t="shared" si="49"/>
        <v>-1071.2</v>
      </c>
      <c r="Q517" s="46">
        <f t="shared" si="50"/>
        <v>7.3003400000000003</v>
      </c>
      <c r="R517" s="47">
        <f t="shared" si="51"/>
        <v>5.5999999999999999E-3</v>
      </c>
      <c r="S517" s="48">
        <f t="shared" si="52"/>
        <v>-145.6</v>
      </c>
      <c r="T517" s="47" t="s">
        <v>349</v>
      </c>
      <c r="U517" s="52" t="s">
        <v>166</v>
      </c>
      <c r="V517" s="38">
        <v>7.1692999999999998</v>
      </c>
      <c r="W517" s="49">
        <f t="shared" si="53"/>
        <v>-149.41486616545549</v>
      </c>
    </row>
    <row r="518" spans="1:23" x14ac:dyDescent="0.2">
      <c r="A518" s="52" t="s">
        <v>1830</v>
      </c>
      <c r="B518" s="53">
        <v>45712</v>
      </c>
      <c r="C518" s="53">
        <v>45670</v>
      </c>
      <c r="D518" s="52" t="s">
        <v>162</v>
      </c>
      <c r="E518" s="52" t="s">
        <v>163</v>
      </c>
      <c r="G518" s="52" t="s">
        <v>2139</v>
      </c>
      <c r="H518" s="40" t="s">
        <v>599</v>
      </c>
      <c r="I518" s="40" t="s">
        <v>600</v>
      </c>
      <c r="J518" s="43" t="str">
        <f t="shared" si="48"/>
        <v>SCR-</v>
      </c>
      <c r="K518" s="52" t="s">
        <v>10</v>
      </c>
      <c r="L518" s="40">
        <v>26000</v>
      </c>
      <c r="M518" s="52" t="s">
        <v>1472</v>
      </c>
      <c r="N518" s="52" t="s">
        <v>11</v>
      </c>
      <c r="O518" s="54">
        <v>4.1200000000000001E-2</v>
      </c>
      <c r="P518" s="45">
        <f t="shared" si="49"/>
        <v>1071.2</v>
      </c>
      <c r="Q518" s="46">
        <f t="shared" si="50"/>
        <v>7.3003400000000003</v>
      </c>
      <c r="R518" s="47">
        <f t="shared" si="51"/>
        <v>5.5999999999999999E-3</v>
      </c>
      <c r="S518" s="48">
        <f t="shared" si="52"/>
        <v>145.6</v>
      </c>
      <c r="T518" s="47" t="s">
        <v>349</v>
      </c>
      <c r="U518" s="52" t="s">
        <v>166</v>
      </c>
      <c r="V518" s="38">
        <v>7.1692999999999998</v>
      </c>
      <c r="W518" s="49">
        <f t="shared" si="53"/>
        <v>149.41486616545549</v>
      </c>
    </row>
    <row r="519" spans="1:23" x14ac:dyDescent="0.2">
      <c r="A519" s="52" t="s">
        <v>1831</v>
      </c>
      <c r="B519" s="53">
        <v>45708</v>
      </c>
      <c r="C519" s="53">
        <v>45671</v>
      </c>
      <c r="D519" s="52" t="s">
        <v>101</v>
      </c>
      <c r="E519" s="52" t="s">
        <v>102</v>
      </c>
      <c r="G519" s="52" t="s">
        <v>2141</v>
      </c>
      <c r="H519" s="40" t="s">
        <v>1563</v>
      </c>
      <c r="I519" s="40" t="s">
        <v>1564</v>
      </c>
      <c r="J519" s="43" t="str">
        <f t="shared" si="48"/>
        <v>STKR</v>
      </c>
      <c r="K519" s="52" t="s">
        <v>10</v>
      </c>
      <c r="L519" s="40">
        <v>2270</v>
      </c>
      <c r="M519" s="52" t="s">
        <v>1472</v>
      </c>
      <c r="N519" s="52" t="s">
        <v>11</v>
      </c>
      <c r="O519" s="54">
        <v>0.05</v>
      </c>
      <c r="P519" s="45">
        <f t="shared" si="49"/>
        <v>113.5</v>
      </c>
      <c r="Q519" s="46">
        <f t="shared" si="50"/>
        <v>7.3003400000000003</v>
      </c>
      <c r="R519" s="47">
        <f t="shared" si="51"/>
        <v>6.7999999999999996E-3</v>
      </c>
      <c r="S519" s="48">
        <f t="shared" si="52"/>
        <v>15.44</v>
      </c>
      <c r="T519" s="47" t="s">
        <v>349</v>
      </c>
      <c r="U519" s="52" t="s">
        <v>18</v>
      </c>
      <c r="V519" s="38">
        <v>7.1692999999999998</v>
      </c>
      <c r="W519" s="49">
        <f t="shared" si="53"/>
        <v>15.831392186126958</v>
      </c>
    </row>
    <row r="520" spans="1:23" x14ac:dyDescent="0.2">
      <c r="A520" s="52" t="s">
        <v>1832</v>
      </c>
      <c r="B520" s="53">
        <v>45708</v>
      </c>
      <c r="C520" s="53">
        <v>45698</v>
      </c>
      <c r="D520" s="52" t="s">
        <v>101</v>
      </c>
      <c r="E520" s="52" t="s">
        <v>102</v>
      </c>
      <c r="G520" s="52" t="s">
        <v>2141</v>
      </c>
      <c r="H520" s="40" t="s">
        <v>1565</v>
      </c>
      <c r="I520" s="40" t="s">
        <v>1566</v>
      </c>
      <c r="J520" s="43" t="str">
        <f t="shared" si="48"/>
        <v>STKR</v>
      </c>
      <c r="K520" s="52" t="s">
        <v>10</v>
      </c>
      <c r="L520" s="40">
        <v>510</v>
      </c>
      <c r="M520" s="52" t="s">
        <v>1472</v>
      </c>
      <c r="N520" s="52" t="s">
        <v>11</v>
      </c>
      <c r="O520" s="54">
        <v>0.05</v>
      </c>
      <c r="P520" s="45">
        <f t="shared" si="49"/>
        <v>25.5</v>
      </c>
      <c r="Q520" s="46">
        <f t="shared" si="50"/>
        <v>7.3003400000000003</v>
      </c>
      <c r="R520" s="47">
        <f t="shared" si="51"/>
        <v>6.7999999999999996E-3</v>
      </c>
      <c r="S520" s="48">
        <f t="shared" si="52"/>
        <v>3.47</v>
      </c>
      <c r="T520" s="47" t="s">
        <v>349</v>
      </c>
      <c r="U520" s="52" t="s">
        <v>18</v>
      </c>
      <c r="V520" s="38">
        <v>7.1692999999999998</v>
      </c>
      <c r="W520" s="49">
        <f t="shared" si="53"/>
        <v>3.5568326056937218</v>
      </c>
    </row>
    <row r="521" spans="1:23" x14ac:dyDescent="0.2">
      <c r="A521" s="52" t="s">
        <v>1833</v>
      </c>
      <c r="B521" s="53">
        <v>45708</v>
      </c>
      <c r="C521" s="53">
        <v>45698</v>
      </c>
      <c r="D521" s="52" t="s">
        <v>101</v>
      </c>
      <c r="E521" s="52" t="s">
        <v>102</v>
      </c>
      <c r="G521" s="52" t="s">
        <v>2141</v>
      </c>
      <c r="H521" s="40" t="s">
        <v>1261</v>
      </c>
      <c r="I521" s="40" t="s">
        <v>1262</v>
      </c>
      <c r="J521" s="43" t="str">
        <f t="shared" si="48"/>
        <v>STKR</v>
      </c>
      <c r="K521" s="52" t="s">
        <v>10</v>
      </c>
      <c r="L521" s="40">
        <v>1010</v>
      </c>
      <c r="M521" s="52" t="s">
        <v>1472</v>
      </c>
      <c r="N521" s="52" t="s">
        <v>11</v>
      </c>
      <c r="O521" s="54">
        <v>0.05</v>
      </c>
      <c r="P521" s="45">
        <f t="shared" si="49"/>
        <v>50.5</v>
      </c>
      <c r="Q521" s="46">
        <f t="shared" si="50"/>
        <v>7.3003400000000003</v>
      </c>
      <c r="R521" s="47">
        <f t="shared" si="51"/>
        <v>6.7999999999999996E-3</v>
      </c>
      <c r="S521" s="48">
        <f t="shared" si="52"/>
        <v>6.87</v>
      </c>
      <c r="T521" s="47" t="s">
        <v>349</v>
      </c>
      <c r="U521" s="52" t="s">
        <v>18</v>
      </c>
      <c r="V521" s="38">
        <v>7.1692999999999998</v>
      </c>
      <c r="W521" s="49">
        <f t="shared" si="53"/>
        <v>7.0439233955895277</v>
      </c>
    </row>
    <row r="522" spans="1:23" x14ac:dyDescent="0.2">
      <c r="A522" s="52" t="s">
        <v>1834</v>
      </c>
      <c r="B522" s="53">
        <v>45708</v>
      </c>
      <c r="C522" s="53">
        <v>45674</v>
      </c>
      <c r="D522" s="52" t="s">
        <v>806</v>
      </c>
      <c r="E522" s="52" t="s">
        <v>807</v>
      </c>
      <c r="G522" s="52" t="s">
        <v>2142</v>
      </c>
      <c r="H522" s="40" t="s">
        <v>1567</v>
      </c>
      <c r="I522" s="40" t="s">
        <v>1568</v>
      </c>
      <c r="J522" s="43" t="str">
        <f t="shared" si="48"/>
        <v>BAG-</v>
      </c>
      <c r="K522" s="52" t="s">
        <v>10</v>
      </c>
      <c r="L522" s="40">
        <v>10000</v>
      </c>
      <c r="M522" s="52" t="s">
        <v>1472</v>
      </c>
      <c r="N522" s="52" t="s">
        <v>11</v>
      </c>
      <c r="O522" s="54">
        <v>5.2999999999999999E-2</v>
      </c>
      <c r="P522" s="45">
        <f t="shared" si="49"/>
        <v>530</v>
      </c>
      <c r="Q522" s="46">
        <f t="shared" si="50"/>
        <v>7.3003400000000003</v>
      </c>
      <c r="R522" s="47">
        <f t="shared" si="51"/>
        <v>7.3000000000000001E-3</v>
      </c>
      <c r="S522" s="48">
        <f t="shared" si="52"/>
        <v>73</v>
      </c>
      <c r="T522" s="47" t="s">
        <v>349</v>
      </c>
      <c r="U522" s="52" t="s">
        <v>810</v>
      </c>
      <c r="V522" s="38">
        <v>7.1692999999999998</v>
      </c>
      <c r="W522" s="49">
        <f t="shared" si="53"/>
        <v>73.926324745791078</v>
      </c>
    </row>
    <row r="523" spans="1:23" x14ac:dyDescent="0.2">
      <c r="A523" s="52" t="s">
        <v>1835</v>
      </c>
      <c r="B523" s="53">
        <v>45708</v>
      </c>
      <c r="C523" s="53">
        <v>45674</v>
      </c>
      <c r="D523" s="52" t="s">
        <v>806</v>
      </c>
      <c r="E523" s="52" t="s">
        <v>807</v>
      </c>
      <c r="G523" s="52" t="s">
        <v>2143</v>
      </c>
      <c r="H523" s="40" t="s">
        <v>1569</v>
      </c>
      <c r="I523" s="40" t="s">
        <v>1570</v>
      </c>
      <c r="J523" s="43" t="str">
        <f t="shared" si="48"/>
        <v>BAG-</v>
      </c>
      <c r="K523" s="52" t="s">
        <v>10</v>
      </c>
      <c r="L523" s="40">
        <v>7160</v>
      </c>
      <c r="M523" s="52" t="s">
        <v>1472</v>
      </c>
      <c r="N523" s="52" t="s">
        <v>11</v>
      </c>
      <c r="O523" s="54">
        <v>0.06</v>
      </c>
      <c r="P523" s="45">
        <f t="shared" si="49"/>
        <v>429.6</v>
      </c>
      <c r="Q523" s="46">
        <f t="shared" si="50"/>
        <v>7.3003400000000003</v>
      </c>
      <c r="R523" s="47">
        <f t="shared" si="51"/>
        <v>8.2000000000000007E-3</v>
      </c>
      <c r="S523" s="48">
        <f t="shared" si="52"/>
        <v>58.71</v>
      </c>
      <c r="T523" s="47" t="s">
        <v>349</v>
      </c>
      <c r="U523" s="52" t="s">
        <v>810</v>
      </c>
      <c r="V523" s="38">
        <v>7.1692999999999998</v>
      </c>
      <c r="W523" s="49">
        <f t="shared" si="53"/>
        <v>59.922168133569528</v>
      </c>
    </row>
    <row r="524" spans="1:23" x14ac:dyDescent="0.2">
      <c r="A524" s="52" t="s">
        <v>1836</v>
      </c>
      <c r="B524" s="53">
        <v>45708</v>
      </c>
      <c r="C524" s="53">
        <v>45674</v>
      </c>
      <c r="D524" s="52" t="s">
        <v>806</v>
      </c>
      <c r="E524" s="52" t="s">
        <v>807</v>
      </c>
      <c r="G524" s="52" t="s">
        <v>2142</v>
      </c>
      <c r="H524" s="40" t="s">
        <v>1571</v>
      </c>
      <c r="I524" s="40" t="s">
        <v>1572</v>
      </c>
      <c r="J524" s="43" t="str">
        <f t="shared" si="48"/>
        <v>BAG-</v>
      </c>
      <c r="K524" s="52" t="s">
        <v>10</v>
      </c>
      <c r="L524" s="40">
        <v>7000</v>
      </c>
      <c r="M524" s="52" t="s">
        <v>1472</v>
      </c>
      <c r="N524" s="52" t="s">
        <v>11</v>
      </c>
      <c r="O524" s="54">
        <v>0.06</v>
      </c>
      <c r="P524" s="45">
        <f t="shared" si="49"/>
        <v>420</v>
      </c>
      <c r="Q524" s="46">
        <f t="shared" si="50"/>
        <v>7.3003400000000003</v>
      </c>
      <c r="R524" s="47">
        <f t="shared" si="51"/>
        <v>8.2000000000000007E-3</v>
      </c>
      <c r="S524" s="48">
        <f t="shared" si="52"/>
        <v>57.4</v>
      </c>
      <c r="T524" s="47" t="s">
        <v>349</v>
      </c>
      <c r="U524" s="52" t="s">
        <v>810</v>
      </c>
      <c r="V524" s="38">
        <v>7.1692999999999998</v>
      </c>
      <c r="W524" s="49">
        <f t="shared" si="53"/>
        <v>58.583125270249539</v>
      </c>
    </row>
    <row r="525" spans="1:23" x14ac:dyDescent="0.2">
      <c r="A525" s="52" t="s">
        <v>1837</v>
      </c>
      <c r="B525" s="53">
        <v>45708</v>
      </c>
      <c r="C525" s="53">
        <v>45671</v>
      </c>
      <c r="D525" s="52" t="s">
        <v>169</v>
      </c>
      <c r="E525" s="52" t="s">
        <v>170</v>
      </c>
      <c r="G525" s="52" t="s">
        <v>2137</v>
      </c>
      <c r="H525" s="40" t="s">
        <v>1573</v>
      </c>
      <c r="I525" s="40" t="s">
        <v>1574</v>
      </c>
      <c r="J525" s="43" t="str">
        <f t="shared" si="48"/>
        <v>STKR</v>
      </c>
      <c r="K525" s="52" t="s">
        <v>10</v>
      </c>
      <c r="L525" s="40">
        <v>1010</v>
      </c>
      <c r="M525" s="52" t="s">
        <v>1472</v>
      </c>
      <c r="N525" s="52" t="s">
        <v>11</v>
      </c>
      <c r="O525" s="54">
        <v>7.0000000000000007E-2</v>
      </c>
      <c r="P525" s="45">
        <f t="shared" si="49"/>
        <v>70.7</v>
      </c>
      <c r="Q525" s="46">
        <f t="shared" si="50"/>
        <v>7.3003400000000003</v>
      </c>
      <c r="R525" s="47">
        <f t="shared" si="51"/>
        <v>9.5999999999999992E-3</v>
      </c>
      <c r="S525" s="48">
        <f t="shared" si="52"/>
        <v>9.6999999999999993</v>
      </c>
      <c r="T525" s="47" t="s">
        <v>349</v>
      </c>
      <c r="U525" s="52" t="s">
        <v>18</v>
      </c>
      <c r="V525" s="38">
        <v>7.1692999999999998</v>
      </c>
      <c r="W525" s="49">
        <f t="shared" si="53"/>
        <v>9.8614927538253401</v>
      </c>
    </row>
    <row r="526" spans="1:23" x14ac:dyDescent="0.2">
      <c r="A526" s="52" t="s">
        <v>1838</v>
      </c>
      <c r="B526" s="53">
        <v>45708</v>
      </c>
      <c r="C526" s="53">
        <v>45671</v>
      </c>
      <c r="D526" s="52" t="s">
        <v>169</v>
      </c>
      <c r="E526" s="52" t="s">
        <v>170</v>
      </c>
      <c r="G526" s="52" t="s">
        <v>2137</v>
      </c>
      <c r="H526" s="40" t="s">
        <v>1575</v>
      </c>
      <c r="I526" s="40" t="s">
        <v>1576</v>
      </c>
      <c r="J526" s="43" t="str">
        <f t="shared" si="48"/>
        <v>STKR</v>
      </c>
      <c r="K526" s="52" t="s">
        <v>10</v>
      </c>
      <c r="L526" s="40">
        <v>1010</v>
      </c>
      <c r="M526" s="52" t="s">
        <v>1472</v>
      </c>
      <c r="N526" s="52" t="s">
        <v>11</v>
      </c>
      <c r="O526" s="54">
        <v>7.0000000000000007E-2</v>
      </c>
      <c r="P526" s="45">
        <f t="shared" si="49"/>
        <v>70.7</v>
      </c>
      <c r="Q526" s="46">
        <f t="shared" si="50"/>
        <v>7.3003400000000003</v>
      </c>
      <c r="R526" s="47">
        <f t="shared" si="51"/>
        <v>9.5999999999999992E-3</v>
      </c>
      <c r="S526" s="48">
        <f t="shared" si="52"/>
        <v>9.6999999999999993</v>
      </c>
      <c r="T526" s="47" t="s">
        <v>349</v>
      </c>
      <c r="U526" s="52" t="s">
        <v>18</v>
      </c>
      <c r="V526" s="38">
        <v>7.1692999999999998</v>
      </c>
      <c r="W526" s="49">
        <f t="shared" si="53"/>
        <v>9.8614927538253401</v>
      </c>
    </row>
    <row r="527" spans="1:23" x14ac:dyDescent="0.2">
      <c r="A527" s="52" t="s">
        <v>1839</v>
      </c>
      <c r="B527" s="53">
        <v>45712</v>
      </c>
      <c r="C527" s="53">
        <v>45674</v>
      </c>
      <c r="D527" s="52" t="s">
        <v>162</v>
      </c>
      <c r="E527" s="52" t="s">
        <v>163</v>
      </c>
      <c r="G527" s="52" t="s">
        <v>2139</v>
      </c>
      <c r="H527" s="40" t="s">
        <v>592</v>
      </c>
      <c r="I527" s="40" t="s">
        <v>593</v>
      </c>
      <c r="J527" s="43" t="str">
        <f t="shared" si="48"/>
        <v>SCR-</v>
      </c>
      <c r="K527" s="52" t="s">
        <v>10</v>
      </c>
      <c r="L527" s="40">
        <v>3100</v>
      </c>
      <c r="M527" s="52" t="s">
        <v>1472</v>
      </c>
      <c r="N527" s="52" t="s">
        <v>11</v>
      </c>
      <c r="O527" s="54">
        <v>7.0000000000000007E-2</v>
      </c>
      <c r="P527" s="45">
        <f t="shared" si="49"/>
        <v>217</v>
      </c>
      <c r="Q527" s="46">
        <f t="shared" si="50"/>
        <v>7.3003400000000003</v>
      </c>
      <c r="R527" s="47">
        <f t="shared" si="51"/>
        <v>9.5999999999999992E-3</v>
      </c>
      <c r="S527" s="48">
        <f t="shared" si="52"/>
        <v>29.76</v>
      </c>
      <c r="T527" s="47" t="s">
        <v>349</v>
      </c>
      <c r="U527" s="52" t="s">
        <v>166</v>
      </c>
      <c r="V527" s="38">
        <v>7.1692999999999998</v>
      </c>
      <c r="W527" s="49">
        <f t="shared" si="53"/>
        <v>30.267948056295598</v>
      </c>
    </row>
    <row r="528" spans="1:23" x14ac:dyDescent="0.2">
      <c r="A528" s="52" t="s">
        <v>1840</v>
      </c>
      <c r="B528" s="53">
        <v>45698</v>
      </c>
      <c r="C528" s="53">
        <v>45643</v>
      </c>
      <c r="D528" s="52" t="s">
        <v>169</v>
      </c>
      <c r="E528" s="52" t="s">
        <v>170</v>
      </c>
      <c r="G528" s="52" t="s">
        <v>2144</v>
      </c>
      <c r="H528" s="40" t="s">
        <v>1577</v>
      </c>
      <c r="I528" s="40" t="s">
        <v>1578</v>
      </c>
      <c r="J528" s="43" t="str">
        <f t="shared" si="48"/>
        <v>STKR</v>
      </c>
      <c r="K528" s="52" t="s">
        <v>10</v>
      </c>
      <c r="L528" s="40">
        <v>1010</v>
      </c>
      <c r="M528" s="52" t="s">
        <v>1472</v>
      </c>
      <c r="N528" s="52" t="s">
        <v>11</v>
      </c>
      <c r="O528" s="54">
        <v>0.08</v>
      </c>
      <c r="P528" s="45">
        <f t="shared" si="49"/>
        <v>80.8</v>
      </c>
      <c r="Q528" s="46">
        <f t="shared" si="50"/>
        <v>7.3003400000000003</v>
      </c>
      <c r="R528" s="47">
        <f t="shared" si="51"/>
        <v>1.0999999999999999E-2</v>
      </c>
      <c r="S528" s="48">
        <f t="shared" si="52"/>
        <v>11.11</v>
      </c>
      <c r="T528" s="47" t="s">
        <v>349</v>
      </c>
      <c r="U528" s="52" t="s">
        <v>18</v>
      </c>
      <c r="V528" s="38">
        <v>7.1692999999999998</v>
      </c>
      <c r="W528" s="49">
        <f t="shared" si="53"/>
        <v>11.270277432943246</v>
      </c>
    </row>
    <row r="529" spans="1:23" x14ac:dyDescent="0.2">
      <c r="A529" s="52" t="s">
        <v>1841</v>
      </c>
      <c r="B529" s="53">
        <v>45708</v>
      </c>
      <c r="C529" s="53">
        <v>45667</v>
      </c>
      <c r="D529" s="52" t="s">
        <v>806</v>
      </c>
      <c r="E529" s="52" t="s">
        <v>807</v>
      </c>
      <c r="G529" s="52" t="s">
        <v>2142</v>
      </c>
      <c r="H529" s="40" t="s">
        <v>1579</v>
      </c>
      <c r="I529" s="40" t="s">
        <v>1580</v>
      </c>
      <c r="J529" s="43" t="str">
        <f t="shared" si="48"/>
        <v>BAG-</v>
      </c>
      <c r="K529" s="52" t="s">
        <v>10</v>
      </c>
      <c r="L529" s="40">
        <v>10000</v>
      </c>
      <c r="M529" s="52" t="s">
        <v>1472</v>
      </c>
      <c r="N529" s="52" t="s">
        <v>11</v>
      </c>
      <c r="O529" s="54">
        <v>0.08</v>
      </c>
      <c r="P529" s="45">
        <f t="shared" si="49"/>
        <v>800</v>
      </c>
      <c r="Q529" s="46">
        <f t="shared" si="50"/>
        <v>7.3003400000000003</v>
      </c>
      <c r="R529" s="47">
        <f t="shared" si="51"/>
        <v>1.0999999999999999E-2</v>
      </c>
      <c r="S529" s="48">
        <f t="shared" si="52"/>
        <v>110</v>
      </c>
      <c r="T529" s="47" t="s">
        <v>349</v>
      </c>
      <c r="U529" s="52" t="s">
        <v>810</v>
      </c>
      <c r="V529" s="38">
        <v>7.1692999999999998</v>
      </c>
      <c r="W529" s="49">
        <f t="shared" si="53"/>
        <v>111.58690527666579</v>
      </c>
    </row>
    <row r="530" spans="1:23" x14ac:dyDescent="0.2">
      <c r="A530" s="52" t="s">
        <v>1842</v>
      </c>
      <c r="B530" s="53">
        <v>45708</v>
      </c>
      <c r="C530" s="53">
        <v>45672</v>
      </c>
      <c r="D530" s="52" t="s">
        <v>806</v>
      </c>
      <c r="E530" s="52" t="s">
        <v>807</v>
      </c>
      <c r="G530" s="52" t="s">
        <v>2143</v>
      </c>
      <c r="H530" s="40" t="s">
        <v>821</v>
      </c>
      <c r="I530" s="40" t="s">
        <v>822</v>
      </c>
      <c r="J530" s="43" t="str">
        <f t="shared" si="48"/>
        <v>BAG-</v>
      </c>
      <c r="K530" s="52" t="s">
        <v>10</v>
      </c>
      <c r="L530" s="40">
        <v>3000</v>
      </c>
      <c r="M530" s="52" t="s">
        <v>1472</v>
      </c>
      <c r="N530" s="52" t="s">
        <v>11</v>
      </c>
      <c r="O530" s="54">
        <v>0.08</v>
      </c>
      <c r="P530" s="45">
        <f t="shared" si="49"/>
        <v>240</v>
      </c>
      <c r="Q530" s="46">
        <f t="shared" si="50"/>
        <v>7.3003400000000003</v>
      </c>
      <c r="R530" s="47">
        <f t="shared" si="51"/>
        <v>1.0999999999999999E-2</v>
      </c>
      <c r="S530" s="48">
        <f t="shared" si="52"/>
        <v>33</v>
      </c>
      <c r="T530" s="47" t="s">
        <v>349</v>
      </c>
      <c r="U530" s="52" t="s">
        <v>810</v>
      </c>
      <c r="V530" s="38">
        <v>7.1692999999999998</v>
      </c>
      <c r="W530" s="49">
        <f t="shared" si="53"/>
        <v>33.476071582999737</v>
      </c>
    </row>
    <row r="531" spans="1:23" x14ac:dyDescent="0.2">
      <c r="A531" s="52" t="s">
        <v>1843</v>
      </c>
      <c r="B531" s="53">
        <v>45698</v>
      </c>
      <c r="C531" s="53">
        <v>45698</v>
      </c>
      <c r="D531" s="52" t="s">
        <v>101</v>
      </c>
      <c r="E531" s="52" t="s">
        <v>102</v>
      </c>
      <c r="G531" s="52" t="s">
        <v>2145</v>
      </c>
      <c r="H531" s="40" t="s">
        <v>1581</v>
      </c>
      <c r="I531" s="40" t="s">
        <v>1582</v>
      </c>
      <c r="J531" s="43" t="str">
        <f t="shared" si="48"/>
        <v>STKR</v>
      </c>
      <c r="K531" s="52" t="s">
        <v>10</v>
      </c>
      <c r="L531" s="40">
        <v>600</v>
      </c>
      <c r="M531" s="52" t="s">
        <v>1472</v>
      </c>
      <c r="N531" s="52" t="s">
        <v>11</v>
      </c>
      <c r="O531" s="54">
        <v>8.3299999999999999E-2</v>
      </c>
      <c r="P531" s="45">
        <f t="shared" si="49"/>
        <v>49.98</v>
      </c>
      <c r="Q531" s="46">
        <f t="shared" si="50"/>
        <v>7.3003400000000003</v>
      </c>
      <c r="R531" s="47">
        <f t="shared" si="51"/>
        <v>1.14E-2</v>
      </c>
      <c r="S531" s="48">
        <f t="shared" si="52"/>
        <v>6.84</v>
      </c>
      <c r="T531" s="47" t="s">
        <v>349</v>
      </c>
      <c r="U531" s="52" t="s">
        <v>18</v>
      </c>
      <c r="V531" s="38">
        <v>7.1692999999999998</v>
      </c>
      <c r="W531" s="49">
        <f t="shared" si="53"/>
        <v>6.9713919071596955</v>
      </c>
    </row>
    <row r="532" spans="1:23" x14ac:dyDescent="0.2">
      <c r="A532" s="52" t="s">
        <v>1844</v>
      </c>
      <c r="B532" s="53">
        <v>45708</v>
      </c>
      <c r="C532" s="53">
        <v>45667</v>
      </c>
      <c r="D532" s="52" t="s">
        <v>806</v>
      </c>
      <c r="E532" s="52" t="s">
        <v>807</v>
      </c>
      <c r="G532" s="52" t="s">
        <v>2142</v>
      </c>
      <c r="H532" s="40" t="s">
        <v>1583</v>
      </c>
      <c r="I532" s="40" t="s">
        <v>1584</v>
      </c>
      <c r="J532" s="43" t="str">
        <f t="shared" si="48"/>
        <v>BAG-</v>
      </c>
      <c r="K532" s="52" t="s">
        <v>10</v>
      </c>
      <c r="L532" s="40">
        <v>3000</v>
      </c>
      <c r="M532" s="52" t="s">
        <v>1472</v>
      </c>
      <c r="N532" s="52" t="s">
        <v>11</v>
      </c>
      <c r="O532" s="54">
        <v>8.5000000000000006E-2</v>
      </c>
      <c r="P532" s="45">
        <f t="shared" si="49"/>
        <v>255</v>
      </c>
      <c r="Q532" s="46">
        <f t="shared" si="50"/>
        <v>7.3003400000000003</v>
      </c>
      <c r="R532" s="47">
        <f t="shared" si="51"/>
        <v>1.1599999999999999E-2</v>
      </c>
      <c r="S532" s="48">
        <f t="shared" si="52"/>
        <v>34.799999999999997</v>
      </c>
      <c r="T532" s="47" t="s">
        <v>349</v>
      </c>
      <c r="U532" s="52" t="s">
        <v>810</v>
      </c>
      <c r="V532" s="38">
        <v>7.1692999999999998</v>
      </c>
      <c r="W532" s="49">
        <f t="shared" si="53"/>
        <v>35.568326056937224</v>
      </c>
    </row>
    <row r="533" spans="1:23" x14ac:dyDescent="0.2">
      <c r="A533" s="52" t="s">
        <v>1845</v>
      </c>
      <c r="B533" s="53">
        <v>45708</v>
      </c>
      <c r="C533" s="53">
        <v>45667</v>
      </c>
      <c r="D533" s="52" t="s">
        <v>806</v>
      </c>
      <c r="E533" s="52" t="s">
        <v>807</v>
      </c>
      <c r="G533" s="52" t="s">
        <v>2142</v>
      </c>
      <c r="H533" s="40" t="s">
        <v>1585</v>
      </c>
      <c r="I533" s="40" t="s">
        <v>1586</v>
      </c>
      <c r="J533" s="43" t="str">
        <f t="shared" si="48"/>
        <v>BAG-</v>
      </c>
      <c r="K533" s="52" t="s">
        <v>10</v>
      </c>
      <c r="L533" s="40">
        <v>10000</v>
      </c>
      <c r="M533" s="52" t="s">
        <v>1472</v>
      </c>
      <c r="N533" s="52" t="s">
        <v>11</v>
      </c>
      <c r="O533" s="54">
        <v>0.09</v>
      </c>
      <c r="P533" s="45">
        <f t="shared" si="49"/>
        <v>900</v>
      </c>
      <c r="Q533" s="46">
        <f t="shared" si="50"/>
        <v>7.3003400000000003</v>
      </c>
      <c r="R533" s="47">
        <f t="shared" si="51"/>
        <v>1.23E-2</v>
      </c>
      <c r="S533" s="48">
        <f t="shared" si="52"/>
        <v>123</v>
      </c>
      <c r="T533" s="47" t="s">
        <v>349</v>
      </c>
      <c r="U533" s="52" t="s">
        <v>810</v>
      </c>
      <c r="V533" s="38">
        <v>7.1692999999999998</v>
      </c>
      <c r="W533" s="49">
        <f t="shared" si="53"/>
        <v>125.535268436249</v>
      </c>
    </row>
    <row r="534" spans="1:23" x14ac:dyDescent="0.2">
      <c r="A534" s="52" t="s">
        <v>1846</v>
      </c>
      <c r="B534" s="53">
        <v>45712</v>
      </c>
      <c r="C534" s="53">
        <v>45674</v>
      </c>
      <c r="D534" s="52" t="s">
        <v>162</v>
      </c>
      <c r="E534" s="52" t="s">
        <v>163</v>
      </c>
      <c r="G534" s="52" t="s">
        <v>2139</v>
      </c>
      <c r="H534" s="40" t="s">
        <v>583</v>
      </c>
      <c r="I534" s="40" t="s">
        <v>584</v>
      </c>
      <c r="J534" s="43" t="str">
        <f t="shared" si="48"/>
        <v>SCR-</v>
      </c>
      <c r="K534" s="52" t="s">
        <v>10</v>
      </c>
      <c r="L534" s="40">
        <v>2000</v>
      </c>
      <c r="M534" s="52" t="s">
        <v>1472</v>
      </c>
      <c r="N534" s="52" t="s">
        <v>11</v>
      </c>
      <c r="O534" s="54">
        <v>9.2999999999999999E-2</v>
      </c>
      <c r="P534" s="45">
        <f t="shared" si="49"/>
        <v>186</v>
      </c>
      <c r="Q534" s="46">
        <f t="shared" si="50"/>
        <v>7.3003400000000003</v>
      </c>
      <c r="R534" s="47">
        <f t="shared" si="51"/>
        <v>1.2699999999999999E-2</v>
      </c>
      <c r="S534" s="48">
        <f t="shared" si="52"/>
        <v>25.4</v>
      </c>
      <c r="T534" s="47" t="s">
        <v>349</v>
      </c>
      <c r="U534" s="52" t="s">
        <v>166</v>
      </c>
      <c r="V534" s="38">
        <v>7.1692999999999998</v>
      </c>
      <c r="W534" s="49">
        <f t="shared" si="53"/>
        <v>25.943955476824797</v>
      </c>
    </row>
    <row r="535" spans="1:23" x14ac:dyDescent="0.2">
      <c r="A535" s="52" t="s">
        <v>1847</v>
      </c>
      <c r="B535" s="53">
        <v>45712</v>
      </c>
      <c r="C535" s="53">
        <v>45664</v>
      </c>
      <c r="D535" s="52" t="s">
        <v>128</v>
      </c>
      <c r="E535" s="52" t="s">
        <v>129</v>
      </c>
      <c r="G535" s="52" t="s">
        <v>2146</v>
      </c>
      <c r="H535" s="40" t="s">
        <v>1587</v>
      </c>
      <c r="I535" s="40" t="s">
        <v>1588</v>
      </c>
      <c r="J535" s="43" t="str">
        <f t="shared" si="48"/>
        <v>RIV-</v>
      </c>
      <c r="K535" s="52" t="s">
        <v>10</v>
      </c>
      <c r="L535" s="40">
        <v>10000</v>
      </c>
      <c r="M535" s="52" t="s">
        <v>1472</v>
      </c>
      <c r="N535" s="52" t="s">
        <v>11</v>
      </c>
      <c r="O535" s="54">
        <v>9.6100000000000005E-2</v>
      </c>
      <c r="P535" s="45">
        <f t="shared" si="49"/>
        <v>961</v>
      </c>
      <c r="Q535" s="46">
        <f t="shared" si="50"/>
        <v>7.3003400000000003</v>
      </c>
      <c r="R535" s="47">
        <f t="shared" si="51"/>
        <v>1.32E-2</v>
      </c>
      <c r="S535" s="48">
        <f t="shared" si="52"/>
        <v>132</v>
      </c>
      <c r="T535" s="47" t="s">
        <v>349</v>
      </c>
      <c r="U535" s="52" t="s">
        <v>132</v>
      </c>
      <c r="V535" s="38">
        <v>7.1692999999999998</v>
      </c>
      <c r="W535" s="49">
        <f t="shared" si="53"/>
        <v>134.0437699635948</v>
      </c>
    </row>
    <row r="536" spans="1:23" x14ac:dyDescent="0.2">
      <c r="A536" s="52" t="s">
        <v>1848</v>
      </c>
      <c r="B536" s="53">
        <v>45712</v>
      </c>
      <c r="C536" s="53">
        <v>45674</v>
      </c>
      <c r="D536" s="52" t="s">
        <v>128</v>
      </c>
      <c r="E536" s="52" t="s">
        <v>129</v>
      </c>
      <c r="G536" s="52" t="s">
        <v>2146</v>
      </c>
      <c r="H536" s="40" t="s">
        <v>1587</v>
      </c>
      <c r="I536" s="40" t="s">
        <v>1588</v>
      </c>
      <c r="J536" s="43" t="str">
        <f t="shared" si="48"/>
        <v>RIV-</v>
      </c>
      <c r="K536" s="52" t="s">
        <v>10</v>
      </c>
      <c r="L536" s="40">
        <v>3000</v>
      </c>
      <c r="M536" s="52" t="s">
        <v>1472</v>
      </c>
      <c r="N536" s="52" t="s">
        <v>11</v>
      </c>
      <c r="O536" s="54">
        <v>9.6100000000000005E-2</v>
      </c>
      <c r="P536" s="45">
        <f t="shared" si="49"/>
        <v>288.3</v>
      </c>
      <c r="Q536" s="46">
        <f t="shared" si="50"/>
        <v>7.3003400000000003</v>
      </c>
      <c r="R536" s="47">
        <f t="shared" si="51"/>
        <v>1.32E-2</v>
      </c>
      <c r="S536" s="48">
        <f t="shared" si="52"/>
        <v>39.6</v>
      </c>
      <c r="T536" s="47" t="s">
        <v>349</v>
      </c>
      <c r="U536" s="52" t="s">
        <v>132</v>
      </c>
      <c r="V536" s="38">
        <v>7.1692999999999998</v>
      </c>
      <c r="W536" s="49">
        <f t="shared" si="53"/>
        <v>40.213130989078437</v>
      </c>
    </row>
    <row r="537" spans="1:23" x14ac:dyDescent="0.2">
      <c r="A537" s="52" t="s">
        <v>1849</v>
      </c>
      <c r="B537" s="53">
        <v>45712</v>
      </c>
      <c r="C537" s="53">
        <v>45670</v>
      </c>
      <c r="D537" s="52" t="s">
        <v>162</v>
      </c>
      <c r="E537" s="52" t="s">
        <v>163</v>
      </c>
      <c r="G537" s="52" t="s">
        <v>2139</v>
      </c>
      <c r="H537" s="40" t="s">
        <v>578</v>
      </c>
      <c r="I537" s="40" t="s">
        <v>579</v>
      </c>
      <c r="J537" s="43" t="str">
        <f t="shared" si="48"/>
        <v>SCR-</v>
      </c>
      <c r="K537" s="52" t="s">
        <v>10</v>
      </c>
      <c r="L537" s="40">
        <v>1040</v>
      </c>
      <c r="M537" s="52" t="s">
        <v>1472</v>
      </c>
      <c r="N537" s="52" t="s">
        <v>11</v>
      </c>
      <c r="O537" s="54">
        <v>9.8000000000000004E-2</v>
      </c>
      <c r="P537" s="45">
        <f t="shared" si="49"/>
        <v>101.92</v>
      </c>
      <c r="Q537" s="46">
        <f t="shared" si="50"/>
        <v>7.3003400000000003</v>
      </c>
      <c r="R537" s="47">
        <f t="shared" si="51"/>
        <v>1.34E-2</v>
      </c>
      <c r="S537" s="48">
        <f t="shared" si="52"/>
        <v>13.94</v>
      </c>
      <c r="T537" s="47" t="s">
        <v>349</v>
      </c>
      <c r="U537" s="52" t="s">
        <v>166</v>
      </c>
      <c r="V537" s="38">
        <v>7.1692999999999998</v>
      </c>
      <c r="W537" s="49">
        <f t="shared" si="53"/>
        <v>14.216171732247222</v>
      </c>
    </row>
    <row r="538" spans="1:23" x14ac:dyDescent="0.2">
      <c r="A538" s="52" t="s">
        <v>1850</v>
      </c>
      <c r="B538" s="53">
        <v>45712</v>
      </c>
      <c r="C538" s="53">
        <v>45671</v>
      </c>
      <c r="D538" s="52" t="s">
        <v>162</v>
      </c>
      <c r="E538" s="52" t="s">
        <v>163</v>
      </c>
      <c r="G538" s="52" t="s">
        <v>2139</v>
      </c>
      <c r="H538" s="40" t="s">
        <v>578</v>
      </c>
      <c r="I538" s="40" t="s">
        <v>579</v>
      </c>
      <c r="J538" s="43" t="str">
        <f t="shared" si="48"/>
        <v>SCR-</v>
      </c>
      <c r="K538" s="52" t="s">
        <v>10</v>
      </c>
      <c r="L538" s="40">
        <v>10000</v>
      </c>
      <c r="M538" s="52" t="s">
        <v>1472</v>
      </c>
      <c r="N538" s="52" t="s">
        <v>11</v>
      </c>
      <c r="O538" s="54">
        <v>9.8000000000000004E-2</v>
      </c>
      <c r="P538" s="45">
        <f t="shared" si="49"/>
        <v>980</v>
      </c>
      <c r="Q538" s="46">
        <f t="shared" si="50"/>
        <v>7.3003400000000003</v>
      </c>
      <c r="R538" s="47">
        <f t="shared" si="51"/>
        <v>1.34E-2</v>
      </c>
      <c r="S538" s="48">
        <f t="shared" si="52"/>
        <v>134</v>
      </c>
      <c r="T538" s="47" t="s">
        <v>349</v>
      </c>
      <c r="U538" s="52" t="s">
        <v>166</v>
      </c>
      <c r="V538" s="38">
        <v>7.1692999999999998</v>
      </c>
      <c r="W538" s="49">
        <f t="shared" si="53"/>
        <v>136.69395896391558</v>
      </c>
    </row>
    <row r="539" spans="1:23" x14ac:dyDescent="0.2">
      <c r="A539" s="52" t="s">
        <v>1851</v>
      </c>
      <c r="B539" s="53">
        <v>45712</v>
      </c>
      <c r="C539" s="53">
        <v>45695</v>
      </c>
      <c r="D539" s="52" t="s">
        <v>162</v>
      </c>
      <c r="E539" s="52" t="s">
        <v>163</v>
      </c>
      <c r="G539" s="52" t="s">
        <v>2139</v>
      </c>
      <c r="H539" s="40" t="s">
        <v>578</v>
      </c>
      <c r="I539" s="40" t="s">
        <v>579</v>
      </c>
      <c r="J539" s="43" t="str">
        <f t="shared" si="48"/>
        <v>SCR-</v>
      </c>
      <c r="K539" s="52" t="s">
        <v>10</v>
      </c>
      <c r="L539" s="40">
        <v>2200</v>
      </c>
      <c r="M539" s="52" t="s">
        <v>1472</v>
      </c>
      <c r="N539" s="52" t="s">
        <v>11</v>
      </c>
      <c r="O539" s="54">
        <v>9.8000000000000004E-2</v>
      </c>
      <c r="P539" s="45">
        <f t="shared" si="49"/>
        <v>215.6</v>
      </c>
      <c r="Q539" s="46">
        <f t="shared" si="50"/>
        <v>7.3003400000000003</v>
      </c>
      <c r="R539" s="47">
        <f t="shared" si="51"/>
        <v>1.34E-2</v>
      </c>
      <c r="S539" s="48">
        <f t="shared" si="52"/>
        <v>29.48</v>
      </c>
      <c r="T539" s="47" t="s">
        <v>349</v>
      </c>
      <c r="U539" s="52" t="s">
        <v>166</v>
      </c>
      <c r="V539" s="38">
        <v>7.1692999999999998</v>
      </c>
      <c r="W539" s="49">
        <f t="shared" si="53"/>
        <v>30.072670972061431</v>
      </c>
    </row>
    <row r="540" spans="1:23" x14ac:dyDescent="0.2">
      <c r="A540" s="52" t="s">
        <v>1852</v>
      </c>
      <c r="B540" s="53">
        <v>45712</v>
      </c>
      <c r="C540" s="53">
        <v>45674</v>
      </c>
      <c r="D540" s="52" t="s">
        <v>128</v>
      </c>
      <c r="E540" s="52" t="s">
        <v>129</v>
      </c>
      <c r="G540" s="52" t="s">
        <v>2146</v>
      </c>
      <c r="H540" s="40" t="s">
        <v>950</v>
      </c>
      <c r="I540" s="40" t="s">
        <v>951</v>
      </c>
      <c r="J540" s="43" t="str">
        <f t="shared" si="48"/>
        <v>RIV-</v>
      </c>
      <c r="K540" s="52" t="s">
        <v>10</v>
      </c>
      <c r="L540" s="40">
        <v>2000</v>
      </c>
      <c r="M540" s="52" t="s">
        <v>1472</v>
      </c>
      <c r="N540" s="52" t="s">
        <v>11</v>
      </c>
      <c r="O540" s="54">
        <v>0.1016</v>
      </c>
      <c r="P540" s="45">
        <f t="shared" si="49"/>
        <v>203.2</v>
      </c>
      <c r="Q540" s="46">
        <f t="shared" si="50"/>
        <v>7.3003400000000003</v>
      </c>
      <c r="R540" s="47">
        <f t="shared" si="51"/>
        <v>1.3899999999999999E-2</v>
      </c>
      <c r="S540" s="48">
        <f t="shared" si="52"/>
        <v>27.8</v>
      </c>
      <c r="T540" s="47" t="s">
        <v>349</v>
      </c>
      <c r="U540" s="52" t="s">
        <v>132</v>
      </c>
      <c r="V540" s="38">
        <v>7.1692999999999998</v>
      </c>
      <c r="W540" s="49">
        <f t="shared" si="53"/>
        <v>28.343073940273108</v>
      </c>
    </row>
    <row r="541" spans="1:23" x14ac:dyDescent="0.2">
      <c r="A541" s="52" t="s">
        <v>1853</v>
      </c>
      <c r="B541" s="53">
        <v>45698</v>
      </c>
      <c r="C541" s="53">
        <v>45698</v>
      </c>
      <c r="D541" s="52" t="s">
        <v>101</v>
      </c>
      <c r="E541" s="52" t="s">
        <v>102</v>
      </c>
      <c r="G541" s="52" t="s">
        <v>2145</v>
      </c>
      <c r="H541" s="40" t="s">
        <v>1589</v>
      </c>
      <c r="I541" s="40" t="s">
        <v>1590</v>
      </c>
      <c r="J541" s="43" t="str">
        <f t="shared" si="48"/>
        <v>STKR</v>
      </c>
      <c r="K541" s="52" t="s">
        <v>10</v>
      </c>
      <c r="L541" s="40">
        <v>600</v>
      </c>
      <c r="M541" s="52" t="s">
        <v>1472</v>
      </c>
      <c r="N541" s="52" t="s">
        <v>11</v>
      </c>
      <c r="O541" s="54">
        <v>0.10829999999999999</v>
      </c>
      <c r="P541" s="45">
        <f t="shared" si="49"/>
        <v>64.98</v>
      </c>
      <c r="Q541" s="46">
        <f t="shared" si="50"/>
        <v>7.3003400000000003</v>
      </c>
      <c r="R541" s="47">
        <f t="shared" si="51"/>
        <v>1.4800000000000001E-2</v>
      </c>
      <c r="S541" s="48">
        <f t="shared" si="52"/>
        <v>8.8800000000000008</v>
      </c>
      <c r="T541" s="47" t="s">
        <v>349</v>
      </c>
      <c r="U541" s="52" t="s">
        <v>18</v>
      </c>
      <c r="V541" s="38">
        <v>7.1692999999999998</v>
      </c>
      <c r="W541" s="49">
        <f t="shared" si="53"/>
        <v>9.063646381097179</v>
      </c>
    </row>
    <row r="542" spans="1:23" x14ac:dyDescent="0.2">
      <c r="A542" s="52" t="s">
        <v>1854</v>
      </c>
      <c r="B542" s="53">
        <v>45698</v>
      </c>
      <c r="C542" s="53">
        <v>45698</v>
      </c>
      <c r="D542" s="52" t="s">
        <v>101</v>
      </c>
      <c r="E542" s="52" t="s">
        <v>102</v>
      </c>
      <c r="G542" s="52" t="s">
        <v>2145</v>
      </c>
      <c r="H542" s="40" t="s">
        <v>1591</v>
      </c>
      <c r="I542" s="40" t="s">
        <v>1592</v>
      </c>
      <c r="J542" s="43" t="str">
        <f t="shared" si="48"/>
        <v>STKR</v>
      </c>
      <c r="K542" s="52" t="s">
        <v>10</v>
      </c>
      <c r="L542" s="40">
        <v>600</v>
      </c>
      <c r="M542" s="52" t="s">
        <v>1472</v>
      </c>
      <c r="N542" s="52" t="s">
        <v>11</v>
      </c>
      <c r="O542" s="54">
        <v>0.10829999999999999</v>
      </c>
      <c r="P542" s="45">
        <f t="shared" si="49"/>
        <v>64.98</v>
      </c>
      <c r="Q542" s="46">
        <f t="shared" si="50"/>
        <v>7.3003400000000003</v>
      </c>
      <c r="R542" s="47">
        <f t="shared" si="51"/>
        <v>1.4800000000000001E-2</v>
      </c>
      <c r="S542" s="48">
        <f t="shared" si="52"/>
        <v>8.8800000000000008</v>
      </c>
      <c r="T542" s="47" t="s">
        <v>349</v>
      </c>
      <c r="U542" s="52" t="s">
        <v>18</v>
      </c>
      <c r="V542" s="38">
        <v>7.1692999999999998</v>
      </c>
      <c r="W542" s="49">
        <f t="shared" si="53"/>
        <v>9.063646381097179</v>
      </c>
    </row>
    <row r="543" spans="1:23" x14ac:dyDescent="0.2">
      <c r="A543" s="52" t="s">
        <v>1855</v>
      </c>
      <c r="B543" s="53">
        <v>45698</v>
      </c>
      <c r="C543" s="53">
        <v>45698</v>
      </c>
      <c r="D543" s="52" t="s">
        <v>101</v>
      </c>
      <c r="E543" s="52" t="s">
        <v>102</v>
      </c>
      <c r="G543" s="52" t="s">
        <v>2145</v>
      </c>
      <c r="H543" s="40" t="s">
        <v>1593</v>
      </c>
      <c r="I543" s="40" t="s">
        <v>1594</v>
      </c>
      <c r="J543" s="43" t="str">
        <f t="shared" si="48"/>
        <v>STKR</v>
      </c>
      <c r="K543" s="52" t="s">
        <v>10</v>
      </c>
      <c r="L543" s="40">
        <v>600</v>
      </c>
      <c r="M543" s="52" t="s">
        <v>1472</v>
      </c>
      <c r="N543" s="52" t="s">
        <v>11</v>
      </c>
      <c r="O543" s="54">
        <v>0.10829999999999999</v>
      </c>
      <c r="P543" s="45">
        <f t="shared" si="49"/>
        <v>64.98</v>
      </c>
      <c r="Q543" s="46">
        <f t="shared" si="50"/>
        <v>7.3003400000000003</v>
      </c>
      <c r="R543" s="47">
        <f t="shared" si="51"/>
        <v>1.4800000000000001E-2</v>
      </c>
      <c r="S543" s="48">
        <f t="shared" si="52"/>
        <v>8.8800000000000008</v>
      </c>
      <c r="T543" s="47" t="s">
        <v>349</v>
      </c>
      <c r="U543" s="52" t="s">
        <v>18</v>
      </c>
      <c r="V543" s="38">
        <v>7.1692999999999998</v>
      </c>
      <c r="W543" s="49">
        <f t="shared" si="53"/>
        <v>9.063646381097179</v>
      </c>
    </row>
    <row r="544" spans="1:23" x14ac:dyDescent="0.2">
      <c r="A544" s="52" t="s">
        <v>1856</v>
      </c>
      <c r="B544" s="53">
        <v>45698</v>
      </c>
      <c r="C544" s="53">
        <v>45698</v>
      </c>
      <c r="D544" s="52" t="s">
        <v>101</v>
      </c>
      <c r="E544" s="52" t="s">
        <v>102</v>
      </c>
      <c r="G544" s="52" t="s">
        <v>2145</v>
      </c>
      <c r="H544" s="40" t="s">
        <v>1595</v>
      </c>
      <c r="I544" s="40" t="s">
        <v>1596</v>
      </c>
      <c r="J544" s="43" t="str">
        <f t="shared" si="48"/>
        <v>STKR</v>
      </c>
      <c r="K544" s="52" t="s">
        <v>10</v>
      </c>
      <c r="L544" s="40">
        <v>600</v>
      </c>
      <c r="M544" s="52" t="s">
        <v>1472</v>
      </c>
      <c r="N544" s="52" t="s">
        <v>11</v>
      </c>
      <c r="O544" s="54">
        <v>0.10829999999999999</v>
      </c>
      <c r="P544" s="45">
        <f t="shared" si="49"/>
        <v>64.98</v>
      </c>
      <c r="Q544" s="46">
        <f t="shared" si="50"/>
        <v>7.3003400000000003</v>
      </c>
      <c r="R544" s="47">
        <f t="shared" si="51"/>
        <v>1.4800000000000001E-2</v>
      </c>
      <c r="S544" s="48">
        <f t="shared" si="52"/>
        <v>8.8800000000000008</v>
      </c>
      <c r="T544" s="47" t="s">
        <v>349</v>
      </c>
      <c r="U544" s="52" t="s">
        <v>18</v>
      </c>
      <c r="V544" s="38">
        <v>7.1692999999999998</v>
      </c>
      <c r="W544" s="49">
        <f t="shared" si="53"/>
        <v>9.063646381097179</v>
      </c>
    </row>
    <row r="545" spans="1:23" x14ac:dyDescent="0.2">
      <c r="A545" s="52" t="s">
        <v>1857</v>
      </c>
      <c r="B545" s="53">
        <v>45705</v>
      </c>
      <c r="C545" s="53">
        <v>45695</v>
      </c>
      <c r="D545" s="52" t="s">
        <v>143</v>
      </c>
      <c r="E545" s="52" t="s">
        <v>144</v>
      </c>
      <c r="G545" s="52" t="s">
        <v>2147</v>
      </c>
      <c r="H545" s="40" t="s">
        <v>245</v>
      </c>
      <c r="I545" s="40" t="s">
        <v>246</v>
      </c>
      <c r="J545" s="43" t="str">
        <f t="shared" si="48"/>
        <v>WHR-</v>
      </c>
      <c r="K545" s="52" t="s">
        <v>10</v>
      </c>
      <c r="L545" s="40">
        <v>4000</v>
      </c>
      <c r="M545" s="52" t="s">
        <v>1472</v>
      </c>
      <c r="N545" s="52" t="s">
        <v>11</v>
      </c>
      <c r="O545" s="54">
        <v>0.1096</v>
      </c>
      <c r="P545" s="45">
        <f t="shared" si="49"/>
        <v>438.4</v>
      </c>
      <c r="Q545" s="46">
        <f t="shared" si="50"/>
        <v>7.3003400000000003</v>
      </c>
      <c r="R545" s="47">
        <f t="shared" si="51"/>
        <v>1.4999999999999999E-2</v>
      </c>
      <c r="S545" s="48">
        <f t="shared" si="52"/>
        <v>60</v>
      </c>
      <c r="T545" s="47" t="s">
        <v>349</v>
      </c>
      <c r="U545" s="52" t="s">
        <v>248</v>
      </c>
      <c r="V545" s="38">
        <v>7.1692999999999998</v>
      </c>
      <c r="W545" s="49">
        <f t="shared" si="53"/>
        <v>61.149624091612857</v>
      </c>
    </row>
    <row r="546" spans="1:23" x14ac:dyDescent="0.2">
      <c r="A546" s="52" t="s">
        <v>1858</v>
      </c>
      <c r="B546" s="53">
        <v>45705</v>
      </c>
      <c r="C546" s="53">
        <v>45698</v>
      </c>
      <c r="D546" s="52" t="s">
        <v>143</v>
      </c>
      <c r="E546" s="52" t="s">
        <v>144</v>
      </c>
      <c r="G546" s="52" t="s">
        <v>2147</v>
      </c>
      <c r="H546" s="40" t="s">
        <v>245</v>
      </c>
      <c r="I546" s="40" t="s">
        <v>246</v>
      </c>
      <c r="J546" s="43" t="str">
        <f t="shared" si="48"/>
        <v>WHR-</v>
      </c>
      <c r="K546" s="52" t="s">
        <v>10</v>
      </c>
      <c r="L546" s="40">
        <v>10000</v>
      </c>
      <c r="M546" s="52" t="s">
        <v>1472</v>
      </c>
      <c r="N546" s="52" t="s">
        <v>11</v>
      </c>
      <c r="O546" s="54">
        <v>0.1096</v>
      </c>
      <c r="P546" s="45">
        <f t="shared" si="49"/>
        <v>1096</v>
      </c>
      <c r="Q546" s="46">
        <f t="shared" si="50"/>
        <v>7.3003400000000003</v>
      </c>
      <c r="R546" s="47">
        <f t="shared" si="51"/>
        <v>1.4999999999999999E-2</v>
      </c>
      <c r="S546" s="48">
        <f t="shared" si="52"/>
        <v>150</v>
      </c>
      <c r="T546" s="47" t="s">
        <v>349</v>
      </c>
      <c r="U546" s="52" t="s">
        <v>248</v>
      </c>
      <c r="V546" s="38">
        <v>7.1692999999999998</v>
      </c>
      <c r="W546" s="49">
        <f t="shared" si="53"/>
        <v>152.87406022903215</v>
      </c>
    </row>
    <row r="547" spans="1:23" x14ac:dyDescent="0.2">
      <c r="A547" s="52" t="s">
        <v>1859</v>
      </c>
      <c r="B547" s="53">
        <v>45708</v>
      </c>
      <c r="C547" s="53">
        <v>45671</v>
      </c>
      <c r="D547" s="52" t="s">
        <v>101</v>
      </c>
      <c r="E547" s="52" t="s">
        <v>102</v>
      </c>
      <c r="G547" s="52" t="s">
        <v>2141</v>
      </c>
      <c r="H547" s="40" t="s">
        <v>99</v>
      </c>
      <c r="I547" s="40" t="s">
        <v>100</v>
      </c>
      <c r="J547" s="43" t="str">
        <f t="shared" si="48"/>
        <v>STKR</v>
      </c>
      <c r="K547" s="52" t="s">
        <v>10</v>
      </c>
      <c r="L547" s="40">
        <v>1010</v>
      </c>
      <c r="M547" s="52" t="s">
        <v>1472</v>
      </c>
      <c r="N547" s="52" t="s">
        <v>11</v>
      </c>
      <c r="O547" s="54">
        <v>0.11</v>
      </c>
      <c r="P547" s="45">
        <f t="shared" si="49"/>
        <v>111.1</v>
      </c>
      <c r="Q547" s="46">
        <f t="shared" si="50"/>
        <v>7.3003400000000003</v>
      </c>
      <c r="R547" s="47">
        <f t="shared" si="51"/>
        <v>1.5100000000000001E-2</v>
      </c>
      <c r="S547" s="48">
        <f t="shared" si="52"/>
        <v>15.25</v>
      </c>
      <c r="T547" s="47" t="s">
        <v>349</v>
      </c>
      <c r="U547" s="52" t="s">
        <v>18</v>
      </c>
      <c r="V547" s="38">
        <v>7.1692999999999998</v>
      </c>
      <c r="W547" s="49">
        <f t="shared" si="53"/>
        <v>15.496631470296961</v>
      </c>
    </row>
    <row r="548" spans="1:23" x14ac:dyDescent="0.2">
      <c r="A548" s="52" t="s">
        <v>1860</v>
      </c>
      <c r="B548" s="53">
        <v>45708</v>
      </c>
      <c r="C548" s="53">
        <v>45671</v>
      </c>
      <c r="D548" s="52" t="s">
        <v>101</v>
      </c>
      <c r="E548" s="52" t="s">
        <v>102</v>
      </c>
      <c r="G548" s="52" t="s">
        <v>2141</v>
      </c>
      <c r="H548" s="40" t="s">
        <v>1597</v>
      </c>
      <c r="I548" s="40" t="s">
        <v>1598</v>
      </c>
      <c r="J548" s="43" t="str">
        <f t="shared" si="48"/>
        <v>STKR</v>
      </c>
      <c r="K548" s="52" t="s">
        <v>10</v>
      </c>
      <c r="L548" s="40">
        <v>1010</v>
      </c>
      <c r="M548" s="52" t="s">
        <v>1472</v>
      </c>
      <c r="N548" s="52" t="s">
        <v>11</v>
      </c>
      <c r="O548" s="54">
        <v>0.11</v>
      </c>
      <c r="P548" s="45">
        <f t="shared" si="49"/>
        <v>111.1</v>
      </c>
      <c r="Q548" s="46">
        <f t="shared" si="50"/>
        <v>7.3003400000000003</v>
      </c>
      <c r="R548" s="47">
        <f t="shared" si="51"/>
        <v>1.5100000000000001E-2</v>
      </c>
      <c r="S548" s="48">
        <f t="shared" si="52"/>
        <v>15.25</v>
      </c>
      <c r="T548" s="47" t="s">
        <v>349</v>
      </c>
      <c r="U548" s="52" t="s">
        <v>18</v>
      </c>
      <c r="V548" s="38">
        <v>7.1692999999999998</v>
      </c>
      <c r="W548" s="49">
        <f t="shared" si="53"/>
        <v>15.496631470296961</v>
      </c>
    </row>
    <row r="549" spans="1:23" x14ac:dyDescent="0.2">
      <c r="A549" s="52" t="s">
        <v>1861</v>
      </c>
      <c r="B549" s="53">
        <v>45708</v>
      </c>
      <c r="C549" s="53">
        <v>45667</v>
      </c>
      <c r="D549" s="52" t="s">
        <v>806</v>
      </c>
      <c r="E549" s="52" t="s">
        <v>807</v>
      </c>
      <c r="G549" s="52" t="s">
        <v>2142</v>
      </c>
      <c r="H549" s="40" t="s">
        <v>1599</v>
      </c>
      <c r="I549" s="40" t="s">
        <v>1600</v>
      </c>
      <c r="J549" s="43" t="str">
        <f t="shared" si="48"/>
        <v>BAG-</v>
      </c>
      <c r="K549" s="52" t="s">
        <v>10</v>
      </c>
      <c r="L549" s="40">
        <v>10000</v>
      </c>
      <c r="M549" s="52" t="s">
        <v>1472</v>
      </c>
      <c r="N549" s="52" t="s">
        <v>11</v>
      </c>
      <c r="O549" s="54">
        <v>0.12</v>
      </c>
      <c r="P549" s="45">
        <f t="shared" si="49"/>
        <v>1200</v>
      </c>
      <c r="Q549" s="46">
        <f t="shared" si="50"/>
        <v>7.3003400000000003</v>
      </c>
      <c r="R549" s="47">
        <f t="shared" si="51"/>
        <v>1.6400000000000001E-2</v>
      </c>
      <c r="S549" s="48">
        <f t="shared" si="52"/>
        <v>164</v>
      </c>
      <c r="T549" s="47" t="s">
        <v>349</v>
      </c>
      <c r="U549" s="52" t="s">
        <v>810</v>
      </c>
      <c r="V549" s="38">
        <v>7.1692999999999998</v>
      </c>
      <c r="W549" s="49">
        <f t="shared" si="53"/>
        <v>167.38035791499868</v>
      </c>
    </row>
    <row r="550" spans="1:23" x14ac:dyDescent="0.2">
      <c r="A550" s="52" t="s">
        <v>1862</v>
      </c>
      <c r="B550" s="53">
        <v>45699</v>
      </c>
      <c r="C550" s="53">
        <v>45674</v>
      </c>
      <c r="D550" s="52" t="s">
        <v>569</v>
      </c>
      <c r="E550" s="52" t="s">
        <v>570</v>
      </c>
      <c r="G550" s="52" t="s">
        <v>2148</v>
      </c>
      <c r="H550" s="40" t="s">
        <v>1412</v>
      </c>
      <c r="I550" s="40" t="s">
        <v>1413</v>
      </c>
      <c r="J550" s="43" t="str">
        <f t="shared" si="48"/>
        <v>WHR-</v>
      </c>
      <c r="K550" s="52" t="s">
        <v>10</v>
      </c>
      <c r="L550" s="40">
        <v>500</v>
      </c>
      <c r="M550" s="52" t="s">
        <v>1472</v>
      </c>
      <c r="N550" s="52" t="s">
        <v>11</v>
      </c>
      <c r="O550" s="54">
        <v>0.12</v>
      </c>
      <c r="P550" s="45">
        <f t="shared" si="49"/>
        <v>60</v>
      </c>
      <c r="Q550" s="46">
        <f t="shared" si="50"/>
        <v>7.3003400000000003</v>
      </c>
      <c r="R550" s="47">
        <f t="shared" si="51"/>
        <v>1.6400000000000001E-2</v>
      </c>
      <c r="S550" s="48">
        <f t="shared" si="52"/>
        <v>8.1999999999999993</v>
      </c>
      <c r="T550" s="47" t="s">
        <v>349</v>
      </c>
      <c r="U550" s="52" t="s">
        <v>248</v>
      </c>
      <c r="V550" s="38">
        <v>7.1692999999999998</v>
      </c>
      <c r="W550" s="49">
        <f t="shared" si="53"/>
        <v>8.3690178957499342</v>
      </c>
    </row>
    <row r="551" spans="1:23" x14ac:dyDescent="0.2">
      <c r="A551" s="52" t="s">
        <v>1863</v>
      </c>
      <c r="B551" s="53">
        <v>45708</v>
      </c>
      <c r="C551" s="53">
        <v>45679</v>
      </c>
      <c r="D551" s="52" t="s">
        <v>806</v>
      </c>
      <c r="E551" s="52" t="s">
        <v>807</v>
      </c>
      <c r="G551" s="52" t="s">
        <v>2142</v>
      </c>
      <c r="H551" s="40" t="s">
        <v>1601</v>
      </c>
      <c r="I551" s="40" t="s">
        <v>1602</v>
      </c>
      <c r="J551" s="43" t="str">
        <f t="shared" si="48"/>
        <v>BAG-</v>
      </c>
      <c r="K551" s="52" t="s">
        <v>10</v>
      </c>
      <c r="L551" s="40">
        <v>10000</v>
      </c>
      <c r="M551" s="52" t="s">
        <v>1472</v>
      </c>
      <c r="N551" s="52" t="s">
        <v>11</v>
      </c>
      <c r="O551" s="54">
        <v>0.128</v>
      </c>
      <c r="P551" s="45">
        <f t="shared" si="49"/>
        <v>1280</v>
      </c>
      <c r="Q551" s="46">
        <f t="shared" si="50"/>
        <v>7.3003400000000003</v>
      </c>
      <c r="R551" s="47">
        <f t="shared" si="51"/>
        <v>1.7500000000000002E-2</v>
      </c>
      <c r="S551" s="48">
        <f t="shared" si="52"/>
        <v>175</v>
      </c>
      <c r="T551" s="47" t="s">
        <v>349</v>
      </c>
      <c r="U551" s="52" t="s">
        <v>810</v>
      </c>
      <c r="V551" s="38">
        <v>7.1692999999999998</v>
      </c>
      <c r="W551" s="49">
        <f t="shared" si="53"/>
        <v>178.53904844266526</v>
      </c>
    </row>
    <row r="552" spans="1:23" x14ac:dyDescent="0.2">
      <c r="A552" s="52" t="s">
        <v>1864</v>
      </c>
      <c r="B552" s="53">
        <v>45712</v>
      </c>
      <c r="C552" s="53">
        <v>45664</v>
      </c>
      <c r="D552" s="52" t="s">
        <v>235</v>
      </c>
      <c r="E552" s="52" t="s">
        <v>236</v>
      </c>
      <c r="G552" s="52" t="s">
        <v>2149</v>
      </c>
      <c r="H552" s="40" t="s">
        <v>1352</v>
      </c>
      <c r="I552" s="40" t="s">
        <v>1353</v>
      </c>
      <c r="J552" s="43" t="str">
        <f t="shared" si="48"/>
        <v>RIV-</v>
      </c>
      <c r="K552" s="52" t="s">
        <v>10</v>
      </c>
      <c r="L552" s="40">
        <v>4800</v>
      </c>
      <c r="M552" s="52" t="s">
        <v>1472</v>
      </c>
      <c r="N552" s="52" t="s">
        <v>11</v>
      </c>
      <c r="O552" s="54">
        <v>0.13550000000000001</v>
      </c>
      <c r="P552" s="45">
        <f t="shared" si="49"/>
        <v>650.4</v>
      </c>
      <c r="Q552" s="46">
        <f t="shared" si="50"/>
        <v>7.3003400000000003</v>
      </c>
      <c r="R552" s="47">
        <f t="shared" si="51"/>
        <v>1.8599999999999998E-2</v>
      </c>
      <c r="S552" s="48">
        <f t="shared" si="52"/>
        <v>89.28</v>
      </c>
      <c r="T552" s="47" t="s">
        <v>349</v>
      </c>
      <c r="U552" s="52" t="s">
        <v>132</v>
      </c>
      <c r="V552" s="38">
        <v>7.1692999999999998</v>
      </c>
      <c r="W552" s="49">
        <f t="shared" si="53"/>
        <v>90.720153989929287</v>
      </c>
    </row>
    <row r="553" spans="1:23" x14ac:dyDescent="0.2">
      <c r="A553" s="52" t="s">
        <v>1865</v>
      </c>
      <c r="B553" s="53">
        <v>45712</v>
      </c>
      <c r="C553" s="53">
        <v>45670</v>
      </c>
      <c r="D553" s="52" t="s">
        <v>162</v>
      </c>
      <c r="E553" s="52" t="s">
        <v>163</v>
      </c>
      <c r="G553" s="52" t="s">
        <v>2139</v>
      </c>
      <c r="H553" s="40" t="s">
        <v>160</v>
      </c>
      <c r="I553" s="40" t="s">
        <v>161</v>
      </c>
      <c r="J553" s="43" t="str">
        <f t="shared" si="48"/>
        <v>SCR-</v>
      </c>
      <c r="K553" s="52" t="s">
        <v>10</v>
      </c>
      <c r="L553" s="40">
        <v>27000</v>
      </c>
      <c r="M553" s="52" t="s">
        <v>1472</v>
      </c>
      <c r="N553" s="52" t="s">
        <v>11</v>
      </c>
      <c r="O553" s="54">
        <v>0.13919999999999999</v>
      </c>
      <c r="P553" s="45">
        <f t="shared" si="49"/>
        <v>3758.4</v>
      </c>
      <c r="Q553" s="46">
        <f t="shared" si="50"/>
        <v>7.3003400000000003</v>
      </c>
      <c r="R553" s="47">
        <f t="shared" si="51"/>
        <v>1.9099999999999999E-2</v>
      </c>
      <c r="S553" s="48">
        <f t="shared" si="52"/>
        <v>515.70000000000005</v>
      </c>
      <c r="T553" s="47" t="s">
        <v>349</v>
      </c>
      <c r="U553" s="52" t="s">
        <v>166</v>
      </c>
      <c r="V553" s="38">
        <v>7.1692999999999998</v>
      </c>
      <c r="W553" s="49">
        <f t="shared" si="53"/>
        <v>524.23528098977579</v>
      </c>
    </row>
    <row r="554" spans="1:23" x14ac:dyDescent="0.2">
      <c r="A554" s="52" t="s">
        <v>1866</v>
      </c>
      <c r="B554" s="53">
        <v>45708</v>
      </c>
      <c r="C554" s="53">
        <v>45672</v>
      </c>
      <c r="D554" s="52" t="s">
        <v>806</v>
      </c>
      <c r="E554" s="52" t="s">
        <v>807</v>
      </c>
      <c r="G554" s="52" t="s">
        <v>2143</v>
      </c>
      <c r="H554" s="40" t="s">
        <v>1603</v>
      </c>
      <c r="I554" s="40" t="s">
        <v>1604</v>
      </c>
      <c r="J554" s="43" t="str">
        <f t="shared" si="48"/>
        <v>BAG-</v>
      </c>
      <c r="K554" s="52" t="s">
        <v>10</v>
      </c>
      <c r="L554" s="40">
        <v>10000</v>
      </c>
      <c r="M554" s="52" t="s">
        <v>1472</v>
      </c>
      <c r="N554" s="52" t="s">
        <v>11</v>
      </c>
      <c r="O554" s="54">
        <v>0.158</v>
      </c>
      <c r="P554" s="45">
        <f t="shared" si="49"/>
        <v>1580</v>
      </c>
      <c r="Q554" s="46">
        <f t="shared" si="50"/>
        <v>7.3003400000000003</v>
      </c>
      <c r="R554" s="47">
        <f t="shared" si="51"/>
        <v>2.1600000000000001E-2</v>
      </c>
      <c r="S554" s="48">
        <f t="shared" si="52"/>
        <v>216</v>
      </c>
      <c r="T554" s="47" t="s">
        <v>349</v>
      </c>
      <c r="U554" s="52" t="s">
        <v>810</v>
      </c>
      <c r="V554" s="38">
        <v>7.1692999999999998</v>
      </c>
      <c r="W554" s="49">
        <f t="shared" si="53"/>
        <v>220.38413792141495</v>
      </c>
    </row>
    <row r="555" spans="1:23" x14ac:dyDescent="0.2">
      <c r="A555" s="52" t="s">
        <v>1867</v>
      </c>
      <c r="B555" s="53">
        <v>45705</v>
      </c>
      <c r="C555" s="53">
        <v>45671</v>
      </c>
      <c r="D555" s="52" t="s">
        <v>235</v>
      </c>
      <c r="E555" s="52" t="s">
        <v>236</v>
      </c>
      <c r="G555" s="52" t="s">
        <v>2150</v>
      </c>
      <c r="H555" s="40" t="s">
        <v>239</v>
      </c>
      <c r="I555" s="40" t="s">
        <v>240</v>
      </c>
      <c r="J555" s="43" t="str">
        <f t="shared" si="48"/>
        <v>RIV-</v>
      </c>
      <c r="K555" s="52" t="s">
        <v>10</v>
      </c>
      <c r="L555" s="40">
        <v>10000</v>
      </c>
      <c r="M555" s="52" t="s">
        <v>1472</v>
      </c>
      <c r="N555" s="52" t="s">
        <v>11</v>
      </c>
      <c r="O555" s="54">
        <v>0.16120000000000001</v>
      </c>
      <c r="P555" s="45">
        <f t="shared" si="49"/>
        <v>1612</v>
      </c>
      <c r="Q555" s="46">
        <f t="shared" si="50"/>
        <v>7.3003400000000003</v>
      </c>
      <c r="R555" s="47">
        <f t="shared" si="51"/>
        <v>2.2100000000000002E-2</v>
      </c>
      <c r="S555" s="48">
        <f t="shared" si="52"/>
        <v>221</v>
      </c>
      <c r="T555" s="47" t="s">
        <v>349</v>
      </c>
      <c r="U555" s="52" t="s">
        <v>132</v>
      </c>
      <c r="V555" s="38">
        <v>7.1692999999999998</v>
      </c>
      <c r="W555" s="49">
        <f t="shared" si="53"/>
        <v>224.84761413248157</v>
      </c>
    </row>
    <row r="556" spans="1:23" x14ac:dyDescent="0.2">
      <c r="A556" s="52" t="s">
        <v>1868</v>
      </c>
      <c r="B556" s="53">
        <v>45705</v>
      </c>
      <c r="C556" s="53">
        <v>45674</v>
      </c>
      <c r="D556" s="52" t="s">
        <v>235</v>
      </c>
      <c r="E556" s="52" t="s">
        <v>236</v>
      </c>
      <c r="G556" s="52" t="s">
        <v>2150</v>
      </c>
      <c r="H556" s="40" t="s">
        <v>239</v>
      </c>
      <c r="I556" s="40" t="s">
        <v>240</v>
      </c>
      <c r="J556" s="43" t="str">
        <f t="shared" si="48"/>
        <v>RIV-</v>
      </c>
      <c r="K556" s="52" t="s">
        <v>10</v>
      </c>
      <c r="L556" s="40">
        <v>15000</v>
      </c>
      <c r="M556" s="52" t="s">
        <v>1472</v>
      </c>
      <c r="N556" s="52" t="s">
        <v>11</v>
      </c>
      <c r="O556" s="54">
        <v>0.16120000000000001</v>
      </c>
      <c r="P556" s="45">
        <f t="shared" si="49"/>
        <v>2418</v>
      </c>
      <c r="Q556" s="46">
        <f t="shared" si="50"/>
        <v>7.3003400000000003</v>
      </c>
      <c r="R556" s="47">
        <f t="shared" si="51"/>
        <v>2.2100000000000002E-2</v>
      </c>
      <c r="S556" s="48">
        <f t="shared" si="52"/>
        <v>331.5</v>
      </c>
      <c r="T556" s="47" t="s">
        <v>349</v>
      </c>
      <c r="U556" s="52" t="s">
        <v>132</v>
      </c>
      <c r="V556" s="38">
        <v>7.1692999999999998</v>
      </c>
      <c r="W556" s="49">
        <f t="shared" si="53"/>
        <v>337.27142119872235</v>
      </c>
    </row>
    <row r="557" spans="1:23" x14ac:dyDescent="0.2">
      <c r="A557" s="52" t="s">
        <v>1869</v>
      </c>
      <c r="B557" s="53">
        <v>45708</v>
      </c>
      <c r="C557" s="53">
        <v>45667</v>
      </c>
      <c r="D557" s="52" t="s">
        <v>806</v>
      </c>
      <c r="E557" s="52" t="s">
        <v>807</v>
      </c>
      <c r="G557" s="52" t="s">
        <v>2142</v>
      </c>
      <c r="H557" s="40" t="s">
        <v>1605</v>
      </c>
      <c r="I557" s="40" t="s">
        <v>1606</v>
      </c>
      <c r="J557" s="43" t="str">
        <f t="shared" si="48"/>
        <v>BAG-</v>
      </c>
      <c r="K557" s="52" t="s">
        <v>10</v>
      </c>
      <c r="L557" s="40">
        <v>15000</v>
      </c>
      <c r="M557" s="52" t="s">
        <v>1472</v>
      </c>
      <c r="N557" s="52" t="s">
        <v>11</v>
      </c>
      <c r="O557" s="54">
        <v>0.17</v>
      </c>
      <c r="P557" s="45">
        <f t="shared" si="49"/>
        <v>2550</v>
      </c>
      <c r="Q557" s="46">
        <f t="shared" si="50"/>
        <v>7.3003400000000003</v>
      </c>
      <c r="R557" s="47">
        <f t="shared" si="51"/>
        <v>2.3300000000000001E-2</v>
      </c>
      <c r="S557" s="48">
        <f t="shared" si="52"/>
        <v>349.5</v>
      </c>
      <c r="T557" s="47" t="s">
        <v>349</v>
      </c>
      <c r="U557" s="52" t="s">
        <v>810</v>
      </c>
      <c r="V557" s="38">
        <v>7.1692999999999998</v>
      </c>
      <c r="W557" s="49">
        <f t="shared" si="53"/>
        <v>355.68326056937224</v>
      </c>
    </row>
    <row r="558" spans="1:23" x14ac:dyDescent="0.2">
      <c r="A558" s="52" t="s">
        <v>1870</v>
      </c>
      <c r="B558" s="53">
        <v>45708</v>
      </c>
      <c r="C558" s="53">
        <v>45674</v>
      </c>
      <c r="D558" s="52" t="s">
        <v>806</v>
      </c>
      <c r="E558" s="52" t="s">
        <v>807</v>
      </c>
      <c r="G558" s="52" t="s">
        <v>2142</v>
      </c>
      <c r="H558" s="40" t="s">
        <v>1605</v>
      </c>
      <c r="I558" s="40" t="s">
        <v>1606</v>
      </c>
      <c r="J558" s="43" t="str">
        <f t="shared" si="48"/>
        <v>BAG-</v>
      </c>
      <c r="K558" s="52" t="s">
        <v>10</v>
      </c>
      <c r="L558" s="40">
        <v>5000</v>
      </c>
      <c r="M558" s="52" t="s">
        <v>1472</v>
      </c>
      <c r="N558" s="52" t="s">
        <v>11</v>
      </c>
      <c r="O558" s="54">
        <v>0.17</v>
      </c>
      <c r="P558" s="45">
        <f t="shared" si="49"/>
        <v>850</v>
      </c>
      <c r="Q558" s="46">
        <f t="shared" si="50"/>
        <v>7.3003400000000003</v>
      </c>
      <c r="R558" s="47">
        <f t="shared" si="51"/>
        <v>2.3300000000000001E-2</v>
      </c>
      <c r="S558" s="48">
        <f t="shared" si="52"/>
        <v>116.5</v>
      </c>
      <c r="T558" s="47" t="s">
        <v>349</v>
      </c>
      <c r="U558" s="52" t="s">
        <v>810</v>
      </c>
      <c r="V558" s="38">
        <v>7.1692999999999998</v>
      </c>
      <c r="W558" s="49">
        <f t="shared" si="53"/>
        <v>118.56108685645741</v>
      </c>
    </row>
    <row r="559" spans="1:23" x14ac:dyDescent="0.2">
      <c r="A559" s="52" t="s">
        <v>1871</v>
      </c>
      <c r="B559" s="53">
        <v>45708</v>
      </c>
      <c r="C559" s="53">
        <v>45679</v>
      </c>
      <c r="D559" s="52" t="s">
        <v>806</v>
      </c>
      <c r="E559" s="52" t="s">
        <v>807</v>
      </c>
      <c r="G559" s="52" t="s">
        <v>2143</v>
      </c>
      <c r="H559" s="40" t="s">
        <v>1607</v>
      </c>
      <c r="I559" s="40" t="s">
        <v>1608</v>
      </c>
      <c r="J559" s="43" t="str">
        <f t="shared" si="48"/>
        <v>BAG-</v>
      </c>
      <c r="K559" s="52" t="s">
        <v>10</v>
      </c>
      <c r="L559" s="40">
        <v>20000</v>
      </c>
      <c r="M559" s="52" t="s">
        <v>1472</v>
      </c>
      <c r="N559" s="52" t="s">
        <v>11</v>
      </c>
      <c r="O559" s="54">
        <v>0.17299999999999999</v>
      </c>
      <c r="P559" s="45">
        <f t="shared" si="49"/>
        <v>3460</v>
      </c>
      <c r="Q559" s="46">
        <f t="shared" si="50"/>
        <v>7.3003400000000003</v>
      </c>
      <c r="R559" s="47">
        <f t="shared" si="51"/>
        <v>2.3699999999999999E-2</v>
      </c>
      <c r="S559" s="48">
        <f t="shared" si="52"/>
        <v>474</v>
      </c>
      <c r="T559" s="47" t="s">
        <v>349</v>
      </c>
      <c r="U559" s="52" t="s">
        <v>810</v>
      </c>
      <c r="V559" s="38">
        <v>7.1692999999999998</v>
      </c>
      <c r="W559" s="49">
        <f t="shared" si="53"/>
        <v>482.61336532157952</v>
      </c>
    </row>
    <row r="560" spans="1:23" x14ac:dyDescent="0.2">
      <c r="A560" s="52" t="s">
        <v>1872</v>
      </c>
      <c r="B560" s="53">
        <v>45712</v>
      </c>
      <c r="C560" s="53">
        <v>45664</v>
      </c>
      <c r="D560" s="52" t="s">
        <v>235</v>
      </c>
      <c r="E560" s="52" t="s">
        <v>236</v>
      </c>
      <c r="G560" s="52" t="s">
        <v>2149</v>
      </c>
      <c r="H560" s="40" t="s">
        <v>1361</v>
      </c>
      <c r="I560" s="40" t="s">
        <v>1362</v>
      </c>
      <c r="J560" s="43" t="str">
        <f t="shared" si="48"/>
        <v>RIV-</v>
      </c>
      <c r="K560" s="52" t="s">
        <v>10</v>
      </c>
      <c r="L560" s="40">
        <v>17000</v>
      </c>
      <c r="M560" s="52" t="s">
        <v>1472</v>
      </c>
      <c r="N560" s="52" t="s">
        <v>11</v>
      </c>
      <c r="O560" s="54">
        <v>0.17649999999999999</v>
      </c>
      <c r="P560" s="45">
        <f t="shared" si="49"/>
        <v>3000.5</v>
      </c>
      <c r="Q560" s="46">
        <f t="shared" si="50"/>
        <v>7.3003400000000003</v>
      </c>
      <c r="R560" s="47">
        <f t="shared" si="51"/>
        <v>2.4199999999999999E-2</v>
      </c>
      <c r="S560" s="48">
        <f t="shared" si="52"/>
        <v>411.4</v>
      </c>
      <c r="T560" s="47" t="s">
        <v>349</v>
      </c>
      <c r="U560" s="52" t="s">
        <v>132</v>
      </c>
      <c r="V560" s="38">
        <v>7.1692999999999998</v>
      </c>
      <c r="W560" s="49">
        <f t="shared" si="53"/>
        <v>418.52063660329458</v>
      </c>
    </row>
    <row r="561" spans="1:23" x14ac:dyDescent="0.2">
      <c r="A561" s="52" t="s">
        <v>1873</v>
      </c>
      <c r="B561" s="53">
        <v>45712</v>
      </c>
      <c r="C561" s="53">
        <v>45695</v>
      </c>
      <c r="D561" s="52" t="s">
        <v>235</v>
      </c>
      <c r="E561" s="52" t="s">
        <v>236</v>
      </c>
      <c r="G561" s="52" t="s">
        <v>2149</v>
      </c>
      <c r="H561" s="40" t="s">
        <v>1361</v>
      </c>
      <c r="I561" s="40" t="s">
        <v>1362</v>
      </c>
      <c r="J561" s="43" t="str">
        <f t="shared" si="48"/>
        <v>RIV-</v>
      </c>
      <c r="K561" s="52" t="s">
        <v>10</v>
      </c>
      <c r="L561" s="40">
        <v>3000</v>
      </c>
      <c r="M561" s="52" t="s">
        <v>1472</v>
      </c>
      <c r="N561" s="52" t="s">
        <v>11</v>
      </c>
      <c r="O561" s="54">
        <v>0.17649999999999999</v>
      </c>
      <c r="P561" s="45">
        <f t="shared" si="49"/>
        <v>529.5</v>
      </c>
      <c r="Q561" s="46">
        <f t="shared" si="50"/>
        <v>7.3003400000000003</v>
      </c>
      <c r="R561" s="47">
        <f t="shared" si="51"/>
        <v>2.4199999999999999E-2</v>
      </c>
      <c r="S561" s="48">
        <f t="shared" si="52"/>
        <v>72.599999999999994</v>
      </c>
      <c r="T561" s="47" t="s">
        <v>349</v>
      </c>
      <c r="U561" s="52" t="s">
        <v>132</v>
      </c>
      <c r="V561" s="38">
        <v>7.1692999999999998</v>
      </c>
      <c r="W561" s="49">
        <f t="shared" si="53"/>
        <v>73.856582929993166</v>
      </c>
    </row>
    <row r="562" spans="1:23" x14ac:dyDescent="0.2">
      <c r="A562" s="52" t="s">
        <v>1874</v>
      </c>
      <c r="B562" s="53">
        <v>45712</v>
      </c>
      <c r="C562" s="53">
        <v>45670</v>
      </c>
      <c r="D562" s="52" t="s">
        <v>28</v>
      </c>
      <c r="E562" s="52" t="s">
        <v>29</v>
      </c>
      <c r="G562" s="52" t="s">
        <v>2151</v>
      </c>
      <c r="H562" s="40" t="s">
        <v>1175</v>
      </c>
      <c r="I562" s="40" t="s">
        <v>1176</v>
      </c>
      <c r="J562" s="43" t="str">
        <f t="shared" si="48"/>
        <v>MISC</v>
      </c>
      <c r="K562" s="52" t="s">
        <v>10</v>
      </c>
      <c r="L562" s="40">
        <v>5000</v>
      </c>
      <c r="M562" s="52" t="s">
        <v>1472</v>
      </c>
      <c r="N562" s="52" t="s">
        <v>11</v>
      </c>
      <c r="O562" s="54">
        <v>0.18160000000000001</v>
      </c>
      <c r="P562" s="45">
        <f t="shared" si="49"/>
        <v>908</v>
      </c>
      <c r="Q562" s="46">
        <f t="shared" si="50"/>
        <v>7.3003400000000003</v>
      </c>
      <c r="R562" s="47">
        <f t="shared" si="51"/>
        <v>2.4899999999999999E-2</v>
      </c>
      <c r="S562" s="48">
        <f t="shared" si="52"/>
        <v>124.5</v>
      </c>
      <c r="T562" s="47" t="s">
        <v>349</v>
      </c>
      <c r="U562" s="52" t="s">
        <v>25</v>
      </c>
      <c r="V562" s="38">
        <v>7.1692999999999998</v>
      </c>
      <c r="W562" s="49">
        <f t="shared" si="53"/>
        <v>126.65113748901568</v>
      </c>
    </row>
    <row r="563" spans="1:23" x14ac:dyDescent="0.2">
      <c r="A563" s="52" t="s">
        <v>1875</v>
      </c>
      <c r="B563" s="53">
        <v>45712</v>
      </c>
      <c r="C563" s="53">
        <v>45671</v>
      </c>
      <c r="D563" s="52" t="s">
        <v>28</v>
      </c>
      <c r="E563" s="52" t="s">
        <v>29</v>
      </c>
      <c r="G563" s="52" t="s">
        <v>2151</v>
      </c>
      <c r="H563" s="40" t="s">
        <v>1175</v>
      </c>
      <c r="I563" s="40" t="s">
        <v>1176</v>
      </c>
      <c r="J563" s="43" t="str">
        <f t="shared" si="48"/>
        <v>MISC</v>
      </c>
      <c r="K563" s="52" t="s">
        <v>10</v>
      </c>
      <c r="L563" s="40">
        <v>18000</v>
      </c>
      <c r="M563" s="52" t="s">
        <v>1472</v>
      </c>
      <c r="N563" s="52" t="s">
        <v>11</v>
      </c>
      <c r="O563" s="54">
        <v>0.18160000000000001</v>
      </c>
      <c r="P563" s="45">
        <f t="shared" si="49"/>
        <v>3268.8</v>
      </c>
      <c r="Q563" s="46">
        <f t="shared" si="50"/>
        <v>7.3003400000000003</v>
      </c>
      <c r="R563" s="47">
        <f t="shared" si="51"/>
        <v>2.4899999999999999E-2</v>
      </c>
      <c r="S563" s="48">
        <f t="shared" si="52"/>
        <v>448.2</v>
      </c>
      <c r="T563" s="47" t="s">
        <v>349</v>
      </c>
      <c r="U563" s="52" t="s">
        <v>25</v>
      </c>
      <c r="V563" s="38">
        <v>7.1692999999999998</v>
      </c>
      <c r="W563" s="49">
        <f t="shared" si="53"/>
        <v>455.94409496045643</v>
      </c>
    </row>
    <row r="564" spans="1:23" x14ac:dyDescent="0.2">
      <c r="A564" s="52" t="s">
        <v>1876</v>
      </c>
      <c r="B564" s="53">
        <v>45712</v>
      </c>
      <c r="C564" s="53">
        <v>45695</v>
      </c>
      <c r="D564" s="52" t="s">
        <v>28</v>
      </c>
      <c r="E564" s="52" t="s">
        <v>29</v>
      </c>
      <c r="G564" s="52" t="s">
        <v>2151</v>
      </c>
      <c r="H564" s="40" t="s">
        <v>1175</v>
      </c>
      <c r="I564" s="40" t="s">
        <v>1176</v>
      </c>
      <c r="J564" s="43" t="str">
        <f t="shared" si="48"/>
        <v>MISC</v>
      </c>
      <c r="K564" s="52" t="s">
        <v>10</v>
      </c>
      <c r="L564" s="40">
        <v>3000</v>
      </c>
      <c r="M564" s="52" t="s">
        <v>1472</v>
      </c>
      <c r="N564" s="52" t="s">
        <v>11</v>
      </c>
      <c r="O564" s="54">
        <v>0.1835</v>
      </c>
      <c r="P564" s="45">
        <f t="shared" si="49"/>
        <v>550.5</v>
      </c>
      <c r="Q564" s="46">
        <f t="shared" si="50"/>
        <v>7.3003400000000003</v>
      </c>
      <c r="R564" s="47">
        <f t="shared" si="51"/>
        <v>2.5100000000000001E-2</v>
      </c>
      <c r="S564" s="48">
        <f t="shared" si="52"/>
        <v>75.3</v>
      </c>
      <c r="T564" s="47" t="s">
        <v>349</v>
      </c>
      <c r="U564" s="52" t="s">
        <v>25</v>
      </c>
      <c r="V564" s="38">
        <v>7.1692999999999998</v>
      </c>
      <c r="W564" s="49">
        <f t="shared" si="53"/>
        <v>76.785739193505648</v>
      </c>
    </row>
    <row r="565" spans="1:23" x14ac:dyDescent="0.2">
      <c r="A565" s="52" t="s">
        <v>1877</v>
      </c>
      <c r="B565" s="53">
        <v>45708</v>
      </c>
      <c r="C565" s="53">
        <v>45667</v>
      </c>
      <c r="D565" s="52" t="s">
        <v>806</v>
      </c>
      <c r="E565" s="52" t="s">
        <v>807</v>
      </c>
      <c r="G565" s="52" t="s">
        <v>2142</v>
      </c>
      <c r="H565" s="40" t="s">
        <v>1609</v>
      </c>
      <c r="I565" s="40" t="s">
        <v>1610</v>
      </c>
      <c r="J565" s="43" t="str">
        <f t="shared" si="48"/>
        <v>BAG-</v>
      </c>
      <c r="K565" s="52" t="s">
        <v>10</v>
      </c>
      <c r="L565" s="40">
        <v>5000</v>
      </c>
      <c r="M565" s="52" t="s">
        <v>1472</v>
      </c>
      <c r="N565" s="52" t="s">
        <v>11</v>
      </c>
      <c r="O565" s="54">
        <v>0.185</v>
      </c>
      <c r="P565" s="45">
        <f t="shared" si="49"/>
        <v>925</v>
      </c>
      <c r="Q565" s="46">
        <f t="shared" si="50"/>
        <v>7.3003400000000003</v>
      </c>
      <c r="R565" s="47">
        <f t="shared" si="51"/>
        <v>2.53E-2</v>
      </c>
      <c r="S565" s="48">
        <f t="shared" si="52"/>
        <v>126.5</v>
      </c>
      <c r="T565" s="47" t="s">
        <v>349</v>
      </c>
      <c r="U565" s="52" t="s">
        <v>810</v>
      </c>
      <c r="V565" s="38">
        <v>7.1692999999999998</v>
      </c>
      <c r="W565" s="49">
        <f t="shared" si="53"/>
        <v>129.0223592261448</v>
      </c>
    </row>
    <row r="566" spans="1:23" x14ac:dyDescent="0.2">
      <c r="A566" s="52" t="s">
        <v>1878</v>
      </c>
      <c r="B566" s="53">
        <v>45708</v>
      </c>
      <c r="C566" s="53">
        <v>45667</v>
      </c>
      <c r="D566" s="52" t="s">
        <v>806</v>
      </c>
      <c r="E566" s="52" t="s">
        <v>807</v>
      </c>
      <c r="G566" s="52" t="s">
        <v>2142</v>
      </c>
      <c r="H566" s="40" t="s">
        <v>1611</v>
      </c>
      <c r="I566" s="40" t="s">
        <v>1612</v>
      </c>
      <c r="J566" s="43" t="str">
        <f t="shared" si="48"/>
        <v>BAG-</v>
      </c>
      <c r="K566" s="52" t="s">
        <v>10</v>
      </c>
      <c r="L566" s="40">
        <v>4000</v>
      </c>
      <c r="M566" s="52" t="s">
        <v>1472</v>
      </c>
      <c r="N566" s="52" t="s">
        <v>11</v>
      </c>
      <c r="O566" s="54">
        <v>0.22</v>
      </c>
      <c r="P566" s="45">
        <f t="shared" si="49"/>
        <v>880</v>
      </c>
      <c r="Q566" s="46">
        <f t="shared" si="50"/>
        <v>7.3003400000000003</v>
      </c>
      <c r="R566" s="47">
        <f t="shared" si="51"/>
        <v>3.0099999999999998E-2</v>
      </c>
      <c r="S566" s="48">
        <f t="shared" si="52"/>
        <v>120.4</v>
      </c>
      <c r="T566" s="47" t="s">
        <v>349</v>
      </c>
      <c r="U566" s="52" t="s">
        <v>810</v>
      </c>
      <c r="V566" s="38">
        <v>7.1692999999999998</v>
      </c>
      <c r="W566" s="49">
        <f t="shared" si="53"/>
        <v>122.74559580433237</v>
      </c>
    </row>
    <row r="567" spans="1:23" x14ac:dyDescent="0.2">
      <c r="A567" s="52" t="s">
        <v>1879</v>
      </c>
      <c r="B567" s="53">
        <v>45701</v>
      </c>
      <c r="C567" s="53">
        <v>45671</v>
      </c>
      <c r="D567" s="52" t="s">
        <v>169</v>
      </c>
      <c r="E567" s="52" t="s">
        <v>170</v>
      </c>
      <c r="G567" s="52" t="s">
        <v>2152</v>
      </c>
      <c r="H567" s="40" t="s">
        <v>1613</v>
      </c>
      <c r="I567" s="40" t="s">
        <v>1614</v>
      </c>
      <c r="J567" s="43" t="str">
        <f t="shared" si="48"/>
        <v>U&amp;C-</v>
      </c>
      <c r="K567" s="52" t="s">
        <v>10</v>
      </c>
      <c r="L567" s="40">
        <v>4000</v>
      </c>
      <c r="M567" s="52" t="s">
        <v>1472</v>
      </c>
      <c r="N567" s="52" t="s">
        <v>11</v>
      </c>
      <c r="O567" s="54">
        <v>0.22839999999999999</v>
      </c>
      <c r="P567" s="45">
        <f t="shared" si="49"/>
        <v>913.6</v>
      </c>
      <c r="Q567" s="46">
        <f t="shared" si="50"/>
        <v>7.3003400000000003</v>
      </c>
      <c r="R567" s="47">
        <f t="shared" si="51"/>
        <v>3.1300000000000001E-2</v>
      </c>
      <c r="S567" s="48">
        <f t="shared" si="52"/>
        <v>125.2</v>
      </c>
      <c r="T567" s="47" t="s">
        <v>349</v>
      </c>
      <c r="U567" s="52" t="s">
        <v>177</v>
      </c>
      <c r="V567" s="38">
        <v>7.1692999999999998</v>
      </c>
      <c r="W567" s="49">
        <f t="shared" si="53"/>
        <v>127.43224582595234</v>
      </c>
    </row>
    <row r="568" spans="1:23" x14ac:dyDescent="0.2">
      <c r="A568" s="52" t="s">
        <v>1880</v>
      </c>
      <c r="B568" s="53">
        <v>45712</v>
      </c>
      <c r="C568" s="53">
        <v>45698</v>
      </c>
      <c r="D568" s="52" t="s">
        <v>235</v>
      </c>
      <c r="E568" s="52" t="s">
        <v>236</v>
      </c>
      <c r="G568" s="52" t="s">
        <v>2153</v>
      </c>
      <c r="H568" s="40" t="s">
        <v>1358</v>
      </c>
      <c r="I568" s="40" t="s">
        <v>1359</v>
      </c>
      <c r="J568" s="43" t="str">
        <f t="shared" si="48"/>
        <v>RIV-</v>
      </c>
      <c r="K568" s="52" t="s">
        <v>10</v>
      </c>
      <c r="L568" s="40">
        <v>8000</v>
      </c>
      <c r="M568" s="52" t="s">
        <v>1472</v>
      </c>
      <c r="N568" s="52" t="s">
        <v>11</v>
      </c>
      <c r="O568" s="54">
        <v>0.2331</v>
      </c>
      <c r="P568" s="45">
        <f t="shared" si="49"/>
        <v>1864.8</v>
      </c>
      <c r="Q568" s="46">
        <f t="shared" si="50"/>
        <v>7.3003400000000003</v>
      </c>
      <c r="R568" s="47">
        <f t="shared" si="51"/>
        <v>3.1899999999999998E-2</v>
      </c>
      <c r="S568" s="48">
        <f t="shared" si="52"/>
        <v>255.2</v>
      </c>
      <c r="T568" s="47" t="s">
        <v>349</v>
      </c>
      <c r="U568" s="52" t="s">
        <v>132</v>
      </c>
      <c r="V568" s="38">
        <v>7.1692999999999998</v>
      </c>
      <c r="W568" s="49">
        <f t="shared" si="53"/>
        <v>260.10907619990797</v>
      </c>
    </row>
    <row r="569" spans="1:23" x14ac:dyDescent="0.2">
      <c r="A569" s="52" t="s">
        <v>1881</v>
      </c>
      <c r="B569" s="53">
        <v>45708</v>
      </c>
      <c r="C569" s="53">
        <v>45674</v>
      </c>
      <c r="D569" s="52" t="s">
        <v>806</v>
      </c>
      <c r="E569" s="52" t="s">
        <v>807</v>
      </c>
      <c r="G569" s="52" t="s">
        <v>2142</v>
      </c>
      <c r="H569" s="40" t="s">
        <v>1615</v>
      </c>
      <c r="I569" s="40" t="s">
        <v>1616</v>
      </c>
      <c r="J569" s="43" t="str">
        <f t="shared" si="48"/>
        <v>BAG-</v>
      </c>
      <c r="K569" s="52" t="s">
        <v>10</v>
      </c>
      <c r="L569" s="40">
        <v>2000</v>
      </c>
      <c r="M569" s="52" t="s">
        <v>1472</v>
      </c>
      <c r="N569" s="52" t="s">
        <v>11</v>
      </c>
      <c r="O569" s="54">
        <v>0.23499999999999999</v>
      </c>
      <c r="P569" s="45">
        <f t="shared" si="49"/>
        <v>470</v>
      </c>
      <c r="Q569" s="46">
        <f t="shared" si="50"/>
        <v>7.3003400000000003</v>
      </c>
      <c r="R569" s="47">
        <f t="shared" si="51"/>
        <v>3.2199999999999999E-2</v>
      </c>
      <c r="S569" s="48">
        <f t="shared" si="52"/>
        <v>64.400000000000006</v>
      </c>
      <c r="T569" s="47" t="s">
        <v>349</v>
      </c>
      <c r="U569" s="52" t="s">
        <v>810</v>
      </c>
      <c r="V569" s="38">
        <v>7.1692999999999998</v>
      </c>
      <c r="W569" s="49">
        <f t="shared" si="53"/>
        <v>65.557306850041144</v>
      </c>
    </row>
    <row r="570" spans="1:23" x14ac:dyDescent="0.2">
      <c r="A570" s="52" t="s">
        <v>1882</v>
      </c>
      <c r="B570" s="53">
        <v>45708</v>
      </c>
      <c r="C570" s="53">
        <v>45706</v>
      </c>
      <c r="D570" s="52" t="s">
        <v>169</v>
      </c>
      <c r="E570" s="52" t="s">
        <v>170</v>
      </c>
      <c r="G570" s="52" t="s">
        <v>2154</v>
      </c>
      <c r="H570" s="40" t="s">
        <v>1617</v>
      </c>
      <c r="I570" s="40" t="s">
        <v>1618</v>
      </c>
      <c r="J570" s="43" t="str">
        <f t="shared" si="48"/>
        <v>WACD</v>
      </c>
      <c r="K570" s="52" t="s">
        <v>10</v>
      </c>
      <c r="L570" s="40">
        <v>1000</v>
      </c>
      <c r="M570" s="52" t="s">
        <v>1472</v>
      </c>
      <c r="N570" s="52" t="s">
        <v>11</v>
      </c>
      <c r="O570" s="54">
        <v>0.252</v>
      </c>
      <c r="P570" s="45">
        <f t="shared" si="49"/>
        <v>252</v>
      </c>
      <c r="Q570" s="46">
        <f t="shared" si="50"/>
        <v>7.3003400000000003</v>
      </c>
      <c r="R570" s="47">
        <f t="shared" si="51"/>
        <v>3.4500000000000003E-2</v>
      </c>
      <c r="S570" s="48">
        <f t="shared" si="52"/>
        <v>34.5</v>
      </c>
      <c r="T570" s="47" t="s">
        <v>349</v>
      </c>
      <c r="U570" s="52" t="s">
        <v>635</v>
      </c>
      <c r="V570" s="38">
        <v>7.1692999999999998</v>
      </c>
      <c r="W570" s="49">
        <f t="shared" si="53"/>
        <v>35.149875162149719</v>
      </c>
    </row>
    <row r="571" spans="1:23" x14ac:dyDescent="0.2">
      <c r="A571" s="52" t="s">
        <v>1883</v>
      </c>
      <c r="B571" s="53">
        <v>45701</v>
      </c>
      <c r="C571" s="53">
        <v>45671</v>
      </c>
      <c r="D571" s="52" t="s">
        <v>169</v>
      </c>
      <c r="E571" s="52" t="s">
        <v>170</v>
      </c>
      <c r="G571" s="52" t="s">
        <v>2152</v>
      </c>
      <c r="H571" s="40" t="s">
        <v>1114</v>
      </c>
      <c r="I571" s="40" t="s">
        <v>1115</v>
      </c>
      <c r="J571" s="43" t="str">
        <f t="shared" si="48"/>
        <v>U&amp;C-</v>
      </c>
      <c r="K571" s="52" t="s">
        <v>10</v>
      </c>
      <c r="L571" s="40">
        <v>2020</v>
      </c>
      <c r="M571" s="52" t="s">
        <v>1472</v>
      </c>
      <c r="N571" s="52" t="s">
        <v>11</v>
      </c>
      <c r="O571" s="54">
        <v>0.26700000000000002</v>
      </c>
      <c r="P571" s="45">
        <f t="shared" si="49"/>
        <v>539.34</v>
      </c>
      <c r="Q571" s="46">
        <f t="shared" si="50"/>
        <v>7.3003400000000003</v>
      </c>
      <c r="R571" s="47">
        <f t="shared" si="51"/>
        <v>3.6600000000000001E-2</v>
      </c>
      <c r="S571" s="48">
        <f t="shared" si="52"/>
        <v>73.930000000000007</v>
      </c>
      <c r="T571" s="47" t="s">
        <v>349</v>
      </c>
      <c r="U571" s="52" t="s">
        <v>177</v>
      </c>
      <c r="V571" s="38">
        <v>7.1692999999999998</v>
      </c>
      <c r="W571" s="49">
        <f t="shared" si="53"/>
        <v>75.229101864896165</v>
      </c>
    </row>
    <row r="572" spans="1:23" x14ac:dyDescent="0.2">
      <c r="A572" s="52" t="s">
        <v>1884</v>
      </c>
      <c r="B572" s="53">
        <v>45702</v>
      </c>
      <c r="C572" s="53">
        <v>45671</v>
      </c>
      <c r="D572" s="52" t="s">
        <v>169</v>
      </c>
      <c r="E572" s="52" t="s">
        <v>170</v>
      </c>
      <c r="G572" s="52" t="s">
        <v>2155</v>
      </c>
      <c r="H572" s="40" t="s">
        <v>1619</v>
      </c>
      <c r="I572" s="40" t="s">
        <v>1620</v>
      </c>
      <c r="J572" s="43" t="str">
        <f t="shared" si="48"/>
        <v>U&amp;C-</v>
      </c>
      <c r="K572" s="52" t="s">
        <v>10</v>
      </c>
      <c r="L572" s="40">
        <v>1510</v>
      </c>
      <c r="M572" s="52" t="s">
        <v>1472</v>
      </c>
      <c r="N572" s="52" t="s">
        <v>11</v>
      </c>
      <c r="O572" s="54">
        <v>0.27500000000000002</v>
      </c>
      <c r="P572" s="45">
        <f t="shared" si="49"/>
        <v>415.25</v>
      </c>
      <c r="Q572" s="46">
        <f t="shared" si="50"/>
        <v>7.3003400000000003</v>
      </c>
      <c r="R572" s="47">
        <f t="shared" si="51"/>
        <v>3.7699999999999997E-2</v>
      </c>
      <c r="S572" s="48">
        <f t="shared" si="52"/>
        <v>56.93</v>
      </c>
      <c r="T572" s="47" t="s">
        <v>349</v>
      </c>
      <c r="U572" s="52" t="s">
        <v>177</v>
      </c>
      <c r="V572" s="38">
        <v>7.1692999999999998</v>
      </c>
      <c r="W572" s="49">
        <f t="shared" si="53"/>
        <v>57.920578020169337</v>
      </c>
    </row>
    <row r="573" spans="1:23" x14ac:dyDescent="0.2">
      <c r="A573" s="52" t="s">
        <v>1885</v>
      </c>
      <c r="B573" s="53">
        <v>45712</v>
      </c>
      <c r="C573" s="53">
        <v>45698</v>
      </c>
      <c r="D573" s="52" t="s">
        <v>235</v>
      </c>
      <c r="E573" s="52" t="s">
        <v>236</v>
      </c>
      <c r="G573" s="52" t="s">
        <v>2153</v>
      </c>
      <c r="H573" s="40" t="s">
        <v>1371</v>
      </c>
      <c r="I573" s="40" t="s">
        <v>1372</v>
      </c>
      <c r="J573" s="43" t="str">
        <f t="shared" si="48"/>
        <v>SCR-</v>
      </c>
      <c r="K573" s="52" t="s">
        <v>10</v>
      </c>
      <c r="L573" s="40">
        <v>200</v>
      </c>
      <c r="M573" s="52" t="s">
        <v>1472</v>
      </c>
      <c r="N573" s="52" t="s">
        <v>11</v>
      </c>
      <c r="O573" s="54">
        <v>0.28810000000000002</v>
      </c>
      <c r="P573" s="45">
        <f t="shared" si="49"/>
        <v>57.62</v>
      </c>
      <c r="Q573" s="46">
        <f t="shared" si="50"/>
        <v>7.3003400000000003</v>
      </c>
      <c r="R573" s="47">
        <f t="shared" si="51"/>
        <v>3.95E-2</v>
      </c>
      <c r="S573" s="48">
        <f t="shared" si="52"/>
        <v>7.9</v>
      </c>
      <c r="T573" s="47" t="s">
        <v>349</v>
      </c>
      <c r="U573" s="52" t="s">
        <v>166</v>
      </c>
      <c r="V573" s="38">
        <v>7.1692999999999998</v>
      </c>
      <c r="W573" s="49">
        <f t="shared" si="53"/>
        <v>8.037046852551855</v>
      </c>
    </row>
    <row r="574" spans="1:23" x14ac:dyDescent="0.2">
      <c r="A574" s="52" t="s">
        <v>1885</v>
      </c>
      <c r="B574" s="53">
        <v>45712</v>
      </c>
      <c r="C574" s="53">
        <v>45698</v>
      </c>
      <c r="D574" s="52" t="s">
        <v>235</v>
      </c>
      <c r="E574" s="52" t="s">
        <v>236</v>
      </c>
      <c r="G574" s="52" t="s">
        <v>2153</v>
      </c>
      <c r="H574" s="40" t="s">
        <v>1371</v>
      </c>
      <c r="I574" s="40" t="s">
        <v>1372</v>
      </c>
      <c r="J574" s="43" t="str">
        <f t="shared" si="48"/>
        <v>SCR-</v>
      </c>
      <c r="K574" s="52" t="s">
        <v>10</v>
      </c>
      <c r="L574" s="40">
        <v>500</v>
      </c>
      <c r="M574" s="52" t="s">
        <v>1472</v>
      </c>
      <c r="N574" s="52" t="s">
        <v>11</v>
      </c>
      <c r="O574" s="54">
        <v>0.28810000000000002</v>
      </c>
      <c r="P574" s="45">
        <f t="shared" si="49"/>
        <v>144.05000000000001</v>
      </c>
      <c r="Q574" s="46">
        <f t="shared" si="50"/>
        <v>7.3003400000000003</v>
      </c>
      <c r="R574" s="47">
        <f t="shared" si="51"/>
        <v>3.95E-2</v>
      </c>
      <c r="S574" s="48">
        <f t="shared" si="52"/>
        <v>19.75</v>
      </c>
      <c r="T574" s="47" t="s">
        <v>349</v>
      </c>
      <c r="U574" s="52" t="s">
        <v>166</v>
      </c>
      <c r="V574" s="38">
        <v>7.1692999999999998</v>
      </c>
      <c r="W574" s="49">
        <f t="shared" si="53"/>
        <v>20.092617131379637</v>
      </c>
    </row>
    <row r="575" spans="1:23" x14ac:dyDescent="0.2">
      <c r="A575" s="52" t="s">
        <v>1886</v>
      </c>
      <c r="B575" s="53">
        <v>45702</v>
      </c>
      <c r="C575" s="53">
        <v>45674</v>
      </c>
      <c r="D575" s="52" t="s">
        <v>169</v>
      </c>
      <c r="E575" s="52" t="s">
        <v>170</v>
      </c>
      <c r="G575" s="52" t="s">
        <v>2156</v>
      </c>
      <c r="H575" s="40" t="s">
        <v>1095</v>
      </c>
      <c r="I575" s="40" t="s">
        <v>1096</v>
      </c>
      <c r="J575" s="43" t="str">
        <f t="shared" si="48"/>
        <v>PAP-</v>
      </c>
      <c r="K575" s="52" t="s">
        <v>10</v>
      </c>
      <c r="L575" s="40">
        <v>20000</v>
      </c>
      <c r="M575" s="52" t="s">
        <v>1472</v>
      </c>
      <c r="N575" s="52" t="s">
        <v>11</v>
      </c>
      <c r="O575" s="54">
        <v>0.28999999999999998</v>
      </c>
      <c r="P575" s="45">
        <f t="shared" si="49"/>
        <v>5800</v>
      </c>
      <c r="Q575" s="46">
        <f t="shared" si="50"/>
        <v>7.3003400000000003</v>
      </c>
      <c r="R575" s="47">
        <f t="shared" si="51"/>
        <v>3.9699999999999999E-2</v>
      </c>
      <c r="S575" s="48">
        <f t="shared" si="52"/>
        <v>794</v>
      </c>
      <c r="T575" s="47" t="s">
        <v>349</v>
      </c>
      <c r="U575" s="52" t="s">
        <v>1094</v>
      </c>
      <c r="V575" s="38">
        <v>7.1692999999999998</v>
      </c>
      <c r="W575" s="49">
        <f t="shared" si="53"/>
        <v>809.00506325582683</v>
      </c>
    </row>
    <row r="576" spans="1:23" x14ac:dyDescent="0.2">
      <c r="A576" s="52" t="s">
        <v>1887</v>
      </c>
      <c r="B576" s="53">
        <v>45715</v>
      </c>
      <c r="C576" s="53">
        <v>45712</v>
      </c>
      <c r="D576" s="52" t="s">
        <v>5</v>
      </c>
      <c r="E576" s="52" t="s">
        <v>6</v>
      </c>
      <c r="G576" s="52" t="s">
        <v>2157</v>
      </c>
      <c r="H576" s="40" t="s">
        <v>1621</v>
      </c>
      <c r="I576" s="40" t="s">
        <v>1622</v>
      </c>
      <c r="J576" s="43" t="str">
        <f t="shared" si="48"/>
        <v>STKR</v>
      </c>
      <c r="K576" s="52" t="s">
        <v>10</v>
      </c>
      <c r="L576" s="40">
        <v>3530</v>
      </c>
      <c r="M576" s="52" t="s">
        <v>1472</v>
      </c>
      <c r="N576" s="52" t="s">
        <v>11</v>
      </c>
      <c r="O576" s="54">
        <v>0.28999999999999998</v>
      </c>
      <c r="P576" s="45">
        <f t="shared" si="49"/>
        <v>1023.7</v>
      </c>
      <c r="Q576" s="46">
        <f t="shared" si="50"/>
        <v>7.3003400000000003</v>
      </c>
      <c r="R576" s="47">
        <f t="shared" si="51"/>
        <v>3.9699999999999999E-2</v>
      </c>
      <c r="S576" s="48">
        <f t="shared" si="52"/>
        <v>140.13999999999999</v>
      </c>
      <c r="T576" s="47" t="s">
        <v>349</v>
      </c>
      <c r="U576" s="52" t="s">
        <v>18</v>
      </c>
      <c r="V576" s="38">
        <v>7.1692999999999998</v>
      </c>
      <c r="W576" s="49">
        <f t="shared" si="53"/>
        <v>142.78939366465343</v>
      </c>
    </row>
    <row r="577" spans="1:23" x14ac:dyDescent="0.2">
      <c r="A577" s="52" t="s">
        <v>1888</v>
      </c>
      <c r="B577" s="53">
        <v>45708</v>
      </c>
      <c r="C577" s="53">
        <v>45667</v>
      </c>
      <c r="D577" s="52" t="s">
        <v>806</v>
      </c>
      <c r="E577" s="52" t="s">
        <v>807</v>
      </c>
      <c r="G577" s="52" t="s">
        <v>2142</v>
      </c>
      <c r="H577" s="40" t="s">
        <v>1623</v>
      </c>
      <c r="I577" s="40" t="s">
        <v>1624</v>
      </c>
      <c r="J577" s="43" t="str">
        <f t="shared" si="48"/>
        <v>BAG-</v>
      </c>
      <c r="K577" s="52" t="s">
        <v>10</v>
      </c>
      <c r="L577" s="40">
        <v>4000</v>
      </c>
      <c r="M577" s="52" t="s">
        <v>1472</v>
      </c>
      <c r="N577" s="52" t="s">
        <v>11</v>
      </c>
      <c r="O577" s="54">
        <v>0.3</v>
      </c>
      <c r="P577" s="45">
        <f t="shared" si="49"/>
        <v>1200</v>
      </c>
      <c r="Q577" s="46">
        <f t="shared" si="50"/>
        <v>7.3003400000000003</v>
      </c>
      <c r="R577" s="47">
        <f t="shared" si="51"/>
        <v>4.1099999999999998E-2</v>
      </c>
      <c r="S577" s="48">
        <f t="shared" si="52"/>
        <v>164.4</v>
      </c>
      <c r="T577" s="47" t="s">
        <v>349</v>
      </c>
      <c r="U577" s="52" t="s">
        <v>810</v>
      </c>
      <c r="V577" s="38">
        <v>7.1692999999999998</v>
      </c>
      <c r="W577" s="49">
        <f t="shared" si="53"/>
        <v>167.38035791499865</v>
      </c>
    </row>
    <row r="578" spans="1:23" x14ac:dyDescent="0.2">
      <c r="A578" s="52" t="s">
        <v>1889</v>
      </c>
      <c r="B578" s="53">
        <v>45702</v>
      </c>
      <c r="C578" s="53">
        <v>45677</v>
      </c>
      <c r="D578" s="52" t="s">
        <v>169</v>
      </c>
      <c r="E578" s="52" t="s">
        <v>170</v>
      </c>
      <c r="G578" s="52" t="s">
        <v>2155</v>
      </c>
      <c r="H578" s="40" t="s">
        <v>1625</v>
      </c>
      <c r="I578" s="40" t="s">
        <v>1626</v>
      </c>
      <c r="J578" s="43" t="str">
        <f t="shared" ref="J578:J641" si="54">+LEFT(U578,4)</f>
        <v>U&amp;C-</v>
      </c>
      <c r="K578" s="52" t="s">
        <v>10</v>
      </c>
      <c r="L578" s="40">
        <v>1200</v>
      </c>
      <c r="M578" s="52" t="s">
        <v>1472</v>
      </c>
      <c r="N578" s="52" t="s">
        <v>11</v>
      </c>
      <c r="O578" s="54">
        <v>0.32300000000000001</v>
      </c>
      <c r="P578" s="45">
        <f t="shared" ref="P578:P641" si="55">ROUND(O578*L578,2)</f>
        <v>387.6</v>
      </c>
      <c r="Q578" s="46">
        <f t="shared" ref="Q578:Q641" si="56">IF(N578="HKD",7.8,IF(N578="CNY",7.30034,1))</f>
        <v>7.3003400000000003</v>
      </c>
      <c r="R578" s="47">
        <f t="shared" ref="R578:R641" si="57">+ROUND(O578/Q578,4)</f>
        <v>4.4200000000000003E-2</v>
      </c>
      <c r="S578" s="48">
        <f t="shared" ref="S578:S641" si="58">ROUND(R578*L578,2)</f>
        <v>53.04</v>
      </c>
      <c r="T578" s="47" t="s">
        <v>349</v>
      </c>
      <c r="U578" s="52" t="s">
        <v>177</v>
      </c>
      <c r="V578" s="38">
        <v>7.1692999999999998</v>
      </c>
      <c r="W578" s="49">
        <f t="shared" ref="W578:W641" si="59">IF(N578="CNY",O578/V578*L578,1)</f>
        <v>54.063855606544578</v>
      </c>
    </row>
    <row r="579" spans="1:23" x14ac:dyDescent="0.2">
      <c r="A579" s="52" t="s">
        <v>1890</v>
      </c>
      <c r="B579" s="53">
        <v>45708</v>
      </c>
      <c r="C579" s="53">
        <v>45671</v>
      </c>
      <c r="D579" s="52" t="s">
        <v>169</v>
      </c>
      <c r="E579" s="52" t="s">
        <v>170</v>
      </c>
      <c r="G579" s="52" t="s">
        <v>2154</v>
      </c>
      <c r="H579" s="40" t="s">
        <v>1627</v>
      </c>
      <c r="I579" s="40" t="s">
        <v>1628</v>
      </c>
      <c r="J579" s="43" t="str">
        <f t="shared" si="54"/>
        <v>WACD</v>
      </c>
      <c r="K579" s="52" t="s">
        <v>10</v>
      </c>
      <c r="L579" s="40">
        <v>1500</v>
      </c>
      <c r="M579" s="52" t="s">
        <v>1472</v>
      </c>
      <c r="N579" s="52" t="s">
        <v>11</v>
      </c>
      <c r="O579" s="54">
        <v>0.39200000000000002</v>
      </c>
      <c r="P579" s="45">
        <f t="shared" si="55"/>
        <v>588</v>
      </c>
      <c r="Q579" s="46">
        <f t="shared" si="56"/>
        <v>7.3003400000000003</v>
      </c>
      <c r="R579" s="47">
        <f t="shared" si="57"/>
        <v>5.3699999999999998E-2</v>
      </c>
      <c r="S579" s="48">
        <f t="shared" si="58"/>
        <v>80.55</v>
      </c>
      <c r="T579" s="47" t="s">
        <v>349</v>
      </c>
      <c r="U579" s="52" t="s">
        <v>635</v>
      </c>
      <c r="V579" s="38">
        <v>7.1692999999999998</v>
      </c>
      <c r="W579" s="49">
        <f t="shared" si="59"/>
        <v>82.016375378349352</v>
      </c>
    </row>
    <row r="580" spans="1:23" x14ac:dyDescent="0.2">
      <c r="A580" s="52" t="s">
        <v>1891</v>
      </c>
      <c r="B580" s="53">
        <v>45699</v>
      </c>
      <c r="C580" s="53">
        <v>45674</v>
      </c>
      <c r="D580" s="52" t="s">
        <v>569</v>
      </c>
      <c r="E580" s="52" t="s">
        <v>570</v>
      </c>
      <c r="G580" s="52" t="s">
        <v>2148</v>
      </c>
      <c r="H580" s="40" t="s">
        <v>772</v>
      </c>
      <c r="I580" s="40" t="s">
        <v>773</v>
      </c>
      <c r="J580" s="43" t="str">
        <f t="shared" si="54"/>
        <v>WHR-</v>
      </c>
      <c r="K580" s="52" t="s">
        <v>10</v>
      </c>
      <c r="L580" s="40">
        <v>1300</v>
      </c>
      <c r="M580" s="52" t="s">
        <v>1472</v>
      </c>
      <c r="N580" s="52" t="s">
        <v>11</v>
      </c>
      <c r="O580" s="54">
        <v>0.45</v>
      </c>
      <c r="P580" s="45">
        <f t="shared" si="55"/>
        <v>585</v>
      </c>
      <c r="Q580" s="46">
        <f t="shared" si="56"/>
        <v>7.3003400000000003</v>
      </c>
      <c r="R580" s="47">
        <f t="shared" si="57"/>
        <v>6.1600000000000002E-2</v>
      </c>
      <c r="S580" s="48">
        <f t="shared" si="58"/>
        <v>80.08</v>
      </c>
      <c r="T580" s="47" t="s">
        <v>349</v>
      </c>
      <c r="U580" s="52" t="s">
        <v>248</v>
      </c>
      <c r="V580" s="38">
        <v>7.1692999999999998</v>
      </c>
      <c r="W580" s="49">
        <f t="shared" si="59"/>
        <v>81.597924483561854</v>
      </c>
    </row>
    <row r="581" spans="1:23" x14ac:dyDescent="0.2">
      <c r="A581" s="52" t="s">
        <v>1892</v>
      </c>
      <c r="B581" s="53">
        <v>45712</v>
      </c>
      <c r="C581" s="53">
        <v>45695</v>
      </c>
      <c r="D581" s="52" t="s">
        <v>235</v>
      </c>
      <c r="E581" s="52" t="s">
        <v>236</v>
      </c>
      <c r="G581" s="52" t="s">
        <v>2149</v>
      </c>
      <c r="H581" s="40" t="s">
        <v>1344</v>
      </c>
      <c r="I581" s="40" t="s">
        <v>1345</v>
      </c>
      <c r="J581" s="43" t="str">
        <f t="shared" si="54"/>
        <v>SCR-</v>
      </c>
      <c r="K581" s="52" t="s">
        <v>10</v>
      </c>
      <c r="L581" s="40">
        <v>1750</v>
      </c>
      <c r="M581" s="52" t="s">
        <v>1472</v>
      </c>
      <c r="N581" s="52" t="s">
        <v>11</v>
      </c>
      <c r="O581" s="54">
        <v>0.47449999999999998</v>
      </c>
      <c r="P581" s="45">
        <f t="shared" si="55"/>
        <v>830.38</v>
      </c>
      <c r="Q581" s="46">
        <f t="shared" si="56"/>
        <v>7.3003400000000003</v>
      </c>
      <c r="R581" s="47">
        <f t="shared" si="57"/>
        <v>6.5000000000000002E-2</v>
      </c>
      <c r="S581" s="48">
        <f t="shared" si="58"/>
        <v>113.75</v>
      </c>
      <c r="T581" s="47" t="s">
        <v>349</v>
      </c>
      <c r="U581" s="52" t="s">
        <v>166</v>
      </c>
      <c r="V581" s="38">
        <v>7.1692999999999998</v>
      </c>
      <c r="W581" s="49">
        <f t="shared" si="59"/>
        <v>115.82372058638919</v>
      </c>
    </row>
    <row r="582" spans="1:23" x14ac:dyDescent="0.2">
      <c r="A582" s="52" t="s">
        <v>1893</v>
      </c>
      <c r="B582" s="53">
        <v>45712</v>
      </c>
      <c r="C582" s="53">
        <v>45695</v>
      </c>
      <c r="D582" s="52" t="s">
        <v>28</v>
      </c>
      <c r="E582" s="52" t="s">
        <v>29</v>
      </c>
      <c r="G582" s="52" t="s">
        <v>2158</v>
      </c>
      <c r="H582" s="40" t="s">
        <v>1629</v>
      </c>
      <c r="I582" s="40" t="s">
        <v>1630</v>
      </c>
      <c r="J582" s="43" t="str">
        <f t="shared" si="54"/>
        <v>FG--</v>
      </c>
      <c r="K582" s="52" t="s">
        <v>10</v>
      </c>
      <c r="L582" s="40">
        <v>2000</v>
      </c>
      <c r="M582" s="52" t="s">
        <v>1472</v>
      </c>
      <c r="N582" s="52" t="s">
        <v>11</v>
      </c>
      <c r="O582" s="54">
        <v>0.47620000000000001</v>
      </c>
      <c r="P582" s="45">
        <f t="shared" si="55"/>
        <v>952.4</v>
      </c>
      <c r="Q582" s="46">
        <f t="shared" si="56"/>
        <v>7.3003400000000003</v>
      </c>
      <c r="R582" s="47">
        <f t="shared" si="57"/>
        <v>6.5199999999999994E-2</v>
      </c>
      <c r="S582" s="48">
        <f t="shared" si="58"/>
        <v>130.4</v>
      </c>
      <c r="T582" s="47" t="s">
        <v>349</v>
      </c>
      <c r="U582" s="52" t="s">
        <v>64</v>
      </c>
      <c r="V582" s="38">
        <v>7.1692999999999998</v>
      </c>
      <c r="W582" s="49">
        <f t="shared" si="59"/>
        <v>132.84421073187062</v>
      </c>
    </row>
    <row r="583" spans="1:23" x14ac:dyDescent="0.2">
      <c r="A583" s="52" t="s">
        <v>1894</v>
      </c>
      <c r="B583" s="53">
        <v>45713</v>
      </c>
      <c r="C583" s="53">
        <v>45670</v>
      </c>
      <c r="D583" s="52" t="s">
        <v>709</v>
      </c>
      <c r="E583" s="52" t="s">
        <v>710</v>
      </c>
      <c r="G583" s="52" t="s">
        <v>2159</v>
      </c>
      <c r="H583" s="40" t="s">
        <v>726</v>
      </c>
      <c r="I583" s="40" t="s">
        <v>727</v>
      </c>
      <c r="J583" s="43" t="str">
        <f t="shared" si="54"/>
        <v>KNOB</v>
      </c>
      <c r="K583" s="52" t="s">
        <v>10</v>
      </c>
      <c r="L583" s="40">
        <v>6100</v>
      </c>
      <c r="M583" s="52" t="s">
        <v>1472</v>
      </c>
      <c r="N583" s="52" t="s">
        <v>11</v>
      </c>
      <c r="O583" s="54">
        <v>0.54969999999999997</v>
      </c>
      <c r="P583" s="45">
        <f t="shared" si="55"/>
        <v>3353.17</v>
      </c>
      <c r="Q583" s="46">
        <f t="shared" si="56"/>
        <v>7.3003400000000003</v>
      </c>
      <c r="R583" s="47">
        <f t="shared" si="57"/>
        <v>7.5300000000000006E-2</v>
      </c>
      <c r="S583" s="48">
        <f t="shared" si="58"/>
        <v>459.33</v>
      </c>
      <c r="T583" s="47" t="s">
        <v>349</v>
      </c>
      <c r="U583" s="52" t="s">
        <v>32</v>
      </c>
      <c r="V583" s="38">
        <v>7.1692999999999998</v>
      </c>
      <c r="W583" s="49">
        <f t="shared" si="59"/>
        <v>467.71232895819679</v>
      </c>
    </row>
    <row r="584" spans="1:23" x14ac:dyDescent="0.2">
      <c r="A584" s="52" t="s">
        <v>1895</v>
      </c>
      <c r="B584" s="53">
        <v>45713</v>
      </c>
      <c r="C584" s="53">
        <v>45671</v>
      </c>
      <c r="D584" s="52" t="s">
        <v>709</v>
      </c>
      <c r="E584" s="52" t="s">
        <v>710</v>
      </c>
      <c r="G584" s="52" t="s">
        <v>2159</v>
      </c>
      <c r="H584" s="40" t="s">
        <v>726</v>
      </c>
      <c r="I584" s="40" t="s">
        <v>727</v>
      </c>
      <c r="J584" s="43" t="str">
        <f t="shared" si="54"/>
        <v>KNOB</v>
      </c>
      <c r="K584" s="52" t="s">
        <v>10</v>
      </c>
      <c r="L584" s="40">
        <v>12300</v>
      </c>
      <c r="M584" s="52" t="s">
        <v>1472</v>
      </c>
      <c r="N584" s="52" t="s">
        <v>11</v>
      </c>
      <c r="O584" s="54">
        <v>0.54969999999999997</v>
      </c>
      <c r="P584" s="45">
        <f t="shared" si="55"/>
        <v>6761.31</v>
      </c>
      <c r="Q584" s="46">
        <f t="shared" si="56"/>
        <v>7.3003400000000003</v>
      </c>
      <c r="R584" s="47">
        <f t="shared" si="57"/>
        <v>7.5300000000000006E-2</v>
      </c>
      <c r="S584" s="48">
        <f t="shared" si="58"/>
        <v>926.19</v>
      </c>
      <c r="T584" s="47" t="s">
        <v>349</v>
      </c>
      <c r="U584" s="52" t="s">
        <v>32</v>
      </c>
      <c r="V584" s="38">
        <v>7.1692999999999998</v>
      </c>
      <c r="W584" s="49">
        <f t="shared" si="59"/>
        <v>943.09207314521643</v>
      </c>
    </row>
    <row r="585" spans="1:23" x14ac:dyDescent="0.2">
      <c r="A585" s="52" t="s">
        <v>1896</v>
      </c>
      <c r="B585" s="53">
        <v>45713</v>
      </c>
      <c r="C585" s="53">
        <v>45695</v>
      </c>
      <c r="D585" s="52" t="s">
        <v>709</v>
      </c>
      <c r="E585" s="52" t="s">
        <v>710</v>
      </c>
      <c r="G585" s="52" t="s">
        <v>2159</v>
      </c>
      <c r="H585" s="40" t="s">
        <v>726</v>
      </c>
      <c r="I585" s="40" t="s">
        <v>727</v>
      </c>
      <c r="J585" s="43" t="str">
        <f t="shared" si="54"/>
        <v>KNOB</v>
      </c>
      <c r="K585" s="52" t="s">
        <v>10</v>
      </c>
      <c r="L585" s="40">
        <v>10000</v>
      </c>
      <c r="M585" s="52" t="s">
        <v>1472</v>
      </c>
      <c r="N585" s="52" t="s">
        <v>11</v>
      </c>
      <c r="O585" s="54">
        <v>0.54969999999999997</v>
      </c>
      <c r="P585" s="45">
        <f t="shared" si="55"/>
        <v>5497</v>
      </c>
      <c r="Q585" s="46">
        <f t="shared" si="56"/>
        <v>7.3003400000000003</v>
      </c>
      <c r="R585" s="47">
        <f t="shared" si="57"/>
        <v>7.5300000000000006E-2</v>
      </c>
      <c r="S585" s="48">
        <f t="shared" si="58"/>
        <v>753</v>
      </c>
      <c r="T585" s="47" t="s">
        <v>349</v>
      </c>
      <c r="U585" s="52" t="s">
        <v>32</v>
      </c>
      <c r="V585" s="38">
        <v>7.1692999999999998</v>
      </c>
      <c r="W585" s="49">
        <f t="shared" si="59"/>
        <v>766.74152288228981</v>
      </c>
    </row>
    <row r="586" spans="1:23" x14ac:dyDescent="0.2">
      <c r="A586" s="52" t="s">
        <v>1897</v>
      </c>
      <c r="B586" s="53">
        <v>45712</v>
      </c>
      <c r="C586" s="53">
        <v>45671</v>
      </c>
      <c r="D586" s="52" t="s">
        <v>28</v>
      </c>
      <c r="E586" s="52" t="s">
        <v>29</v>
      </c>
      <c r="G586" s="52" t="s">
        <v>2151</v>
      </c>
      <c r="H586" s="40" t="s">
        <v>1170</v>
      </c>
      <c r="I586" s="40" t="s">
        <v>1171</v>
      </c>
      <c r="J586" s="43" t="str">
        <f t="shared" si="54"/>
        <v>BRKT</v>
      </c>
      <c r="K586" s="52" t="s">
        <v>10</v>
      </c>
      <c r="L586" s="40">
        <v>8500</v>
      </c>
      <c r="M586" s="52" t="s">
        <v>1472</v>
      </c>
      <c r="N586" s="52" t="s">
        <v>11</v>
      </c>
      <c r="O586" s="54">
        <v>0.5877</v>
      </c>
      <c r="P586" s="45">
        <f t="shared" si="55"/>
        <v>4995.45</v>
      </c>
      <c r="Q586" s="46">
        <f t="shared" si="56"/>
        <v>7.3003400000000003</v>
      </c>
      <c r="R586" s="47">
        <f t="shared" si="57"/>
        <v>8.0500000000000002E-2</v>
      </c>
      <c r="S586" s="48">
        <f t="shared" si="58"/>
        <v>684.25</v>
      </c>
      <c r="T586" s="47" t="s">
        <v>349</v>
      </c>
      <c r="U586" s="52" t="s">
        <v>442</v>
      </c>
      <c r="V586" s="38">
        <v>7.1692999999999998</v>
      </c>
      <c r="W586" s="49">
        <f t="shared" si="59"/>
        <v>696.78350745540013</v>
      </c>
    </row>
    <row r="587" spans="1:23" x14ac:dyDescent="0.2">
      <c r="A587" s="52" t="s">
        <v>1898</v>
      </c>
      <c r="B587" s="53">
        <v>45712</v>
      </c>
      <c r="C587" s="53">
        <v>45670</v>
      </c>
      <c r="D587" s="52" t="s">
        <v>28</v>
      </c>
      <c r="E587" s="52" t="s">
        <v>29</v>
      </c>
      <c r="G587" s="52" t="s">
        <v>2151</v>
      </c>
      <c r="H587" s="40" t="s">
        <v>1170</v>
      </c>
      <c r="I587" s="40" t="s">
        <v>1171</v>
      </c>
      <c r="J587" s="43" t="str">
        <f t="shared" si="54"/>
        <v>BRKT</v>
      </c>
      <c r="K587" s="52" t="s">
        <v>10</v>
      </c>
      <c r="L587" s="40">
        <v>2000</v>
      </c>
      <c r="M587" s="52" t="s">
        <v>1472</v>
      </c>
      <c r="N587" s="52" t="s">
        <v>11</v>
      </c>
      <c r="O587" s="54">
        <v>0.59379999999999999</v>
      </c>
      <c r="P587" s="45">
        <f t="shared" si="55"/>
        <v>1187.5999999999999</v>
      </c>
      <c r="Q587" s="46">
        <f t="shared" si="56"/>
        <v>7.3003400000000003</v>
      </c>
      <c r="R587" s="47">
        <f t="shared" si="57"/>
        <v>8.1299999999999997E-2</v>
      </c>
      <c r="S587" s="48">
        <f t="shared" si="58"/>
        <v>162.6</v>
      </c>
      <c r="T587" s="47" t="s">
        <v>349</v>
      </c>
      <c r="U587" s="52" t="s">
        <v>442</v>
      </c>
      <c r="V587" s="38">
        <v>7.1692999999999998</v>
      </c>
      <c r="W587" s="49">
        <f t="shared" si="59"/>
        <v>165.65076088321035</v>
      </c>
    </row>
    <row r="588" spans="1:23" x14ac:dyDescent="0.2">
      <c r="A588" s="52" t="s">
        <v>1899</v>
      </c>
      <c r="B588" s="53">
        <v>45712</v>
      </c>
      <c r="C588" s="53">
        <v>45695</v>
      </c>
      <c r="D588" s="52" t="s">
        <v>28</v>
      </c>
      <c r="E588" s="52" t="s">
        <v>29</v>
      </c>
      <c r="G588" s="52" t="s">
        <v>2151</v>
      </c>
      <c r="H588" s="40" t="s">
        <v>1170</v>
      </c>
      <c r="I588" s="40" t="s">
        <v>1171</v>
      </c>
      <c r="J588" s="43" t="str">
        <f t="shared" si="54"/>
        <v>BRKT</v>
      </c>
      <c r="K588" s="52" t="s">
        <v>10</v>
      </c>
      <c r="L588" s="40">
        <v>4000</v>
      </c>
      <c r="M588" s="52" t="s">
        <v>1472</v>
      </c>
      <c r="N588" s="52" t="s">
        <v>11</v>
      </c>
      <c r="O588" s="54">
        <v>0.59379999999999999</v>
      </c>
      <c r="P588" s="45">
        <f t="shared" si="55"/>
        <v>2375.1999999999998</v>
      </c>
      <c r="Q588" s="46">
        <f t="shared" si="56"/>
        <v>7.3003400000000003</v>
      </c>
      <c r="R588" s="47">
        <f t="shared" si="57"/>
        <v>8.1299999999999997E-2</v>
      </c>
      <c r="S588" s="48">
        <f t="shared" si="58"/>
        <v>325.2</v>
      </c>
      <c r="T588" s="47" t="s">
        <v>349</v>
      </c>
      <c r="U588" s="52" t="s">
        <v>442</v>
      </c>
      <c r="V588" s="38">
        <v>7.1692999999999998</v>
      </c>
      <c r="W588" s="49">
        <f t="shared" si="59"/>
        <v>331.30152176642071</v>
      </c>
    </row>
    <row r="589" spans="1:23" x14ac:dyDescent="0.2">
      <c r="A589" s="52" t="s">
        <v>1900</v>
      </c>
      <c r="B589" s="53">
        <v>45713</v>
      </c>
      <c r="C589" s="53">
        <v>45695</v>
      </c>
      <c r="D589" s="52" t="s">
        <v>709</v>
      </c>
      <c r="E589" s="52" t="s">
        <v>710</v>
      </c>
      <c r="G589" s="52" t="s">
        <v>2160</v>
      </c>
      <c r="H589" s="40" t="s">
        <v>713</v>
      </c>
      <c r="I589" s="40" t="s">
        <v>714</v>
      </c>
      <c r="J589" s="43" t="str">
        <f t="shared" si="54"/>
        <v>KNOB</v>
      </c>
      <c r="K589" s="52" t="s">
        <v>10</v>
      </c>
      <c r="L589" s="40">
        <v>1700</v>
      </c>
      <c r="M589" s="52" t="s">
        <v>1472</v>
      </c>
      <c r="N589" s="52" t="s">
        <v>11</v>
      </c>
      <c r="O589" s="54">
        <v>0.61839999999999995</v>
      </c>
      <c r="P589" s="45">
        <f t="shared" si="55"/>
        <v>1051.28</v>
      </c>
      <c r="Q589" s="46">
        <f t="shared" si="56"/>
        <v>7.3003400000000003</v>
      </c>
      <c r="R589" s="47">
        <f t="shared" si="57"/>
        <v>8.4699999999999998E-2</v>
      </c>
      <c r="S589" s="48">
        <f t="shared" si="58"/>
        <v>143.99</v>
      </c>
      <c r="T589" s="47" t="s">
        <v>349</v>
      </c>
      <c r="U589" s="52" t="s">
        <v>32</v>
      </c>
      <c r="V589" s="38">
        <v>7.1692999999999998</v>
      </c>
      <c r="W589" s="49">
        <f t="shared" si="59"/>
        <v>146.63635222406648</v>
      </c>
    </row>
    <row r="590" spans="1:23" x14ac:dyDescent="0.2">
      <c r="A590" s="52" t="s">
        <v>1901</v>
      </c>
      <c r="B590" s="53">
        <v>45712</v>
      </c>
      <c r="C590" s="53">
        <v>45670</v>
      </c>
      <c r="D590" s="52" t="s">
        <v>21</v>
      </c>
      <c r="E590" s="52" t="s">
        <v>22</v>
      </c>
      <c r="G590" s="52" t="s">
        <v>2161</v>
      </c>
      <c r="H590" s="40" t="s">
        <v>1631</v>
      </c>
      <c r="I590" s="40" t="s">
        <v>1632</v>
      </c>
      <c r="J590" s="43" t="str">
        <f t="shared" si="54"/>
        <v>BRKT</v>
      </c>
      <c r="K590" s="52" t="s">
        <v>10</v>
      </c>
      <c r="L590" s="40">
        <v>1050</v>
      </c>
      <c r="M590" s="52" t="s">
        <v>1472</v>
      </c>
      <c r="N590" s="52" t="s">
        <v>11</v>
      </c>
      <c r="O590" s="54">
        <v>0.63419999999999999</v>
      </c>
      <c r="P590" s="45">
        <f t="shared" si="55"/>
        <v>665.91</v>
      </c>
      <c r="Q590" s="46">
        <f t="shared" si="56"/>
        <v>7.3003400000000003</v>
      </c>
      <c r="R590" s="47">
        <f t="shared" si="57"/>
        <v>8.6900000000000005E-2</v>
      </c>
      <c r="S590" s="48">
        <f t="shared" si="58"/>
        <v>91.25</v>
      </c>
      <c r="T590" s="47" t="s">
        <v>349</v>
      </c>
      <c r="U590" s="52" t="s">
        <v>442</v>
      </c>
      <c r="V590" s="38">
        <v>7.1692999999999998</v>
      </c>
      <c r="W590" s="49">
        <f t="shared" si="59"/>
        <v>92.883545115980638</v>
      </c>
    </row>
    <row r="591" spans="1:23" x14ac:dyDescent="0.2">
      <c r="A591" s="52" t="s">
        <v>1902</v>
      </c>
      <c r="B591" s="53">
        <v>45698</v>
      </c>
      <c r="C591" s="53">
        <v>45698</v>
      </c>
      <c r="D591" s="52" t="s">
        <v>101</v>
      </c>
      <c r="E591" s="52" t="s">
        <v>102</v>
      </c>
      <c r="G591" s="52" t="s">
        <v>2145</v>
      </c>
      <c r="H591" s="40" t="s">
        <v>1633</v>
      </c>
      <c r="I591" s="40" t="s">
        <v>1634</v>
      </c>
      <c r="J591" s="43" t="str">
        <f t="shared" si="54"/>
        <v>STKR</v>
      </c>
      <c r="K591" s="52" t="s">
        <v>10</v>
      </c>
      <c r="L591" s="40">
        <v>100</v>
      </c>
      <c r="M591" s="52" t="s">
        <v>1472</v>
      </c>
      <c r="N591" s="52" t="s">
        <v>11</v>
      </c>
      <c r="O591" s="54">
        <v>0.65</v>
      </c>
      <c r="P591" s="45">
        <f t="shared" si="55"/>
        <v>65</v>
      </c>
      <c r="Q591" s="46">
        <f t="shared" si="56"/>
        <v>7.3003400000000003</v>
      </c>
      <c r="R591" s="47">
        <f t="shared" si="57"/>
        <v>8.8999999999999996E-2</v>
      </c>
      <c r="S591" s="48">
        <f t="shared" si="58"/>
        <v>8.9</v>
      </c>
      <c r="T591" s="47" t="s">
        <v>349</v>
      </c>
      <c r="U591" s="52" t="s">
        <v>18</v>
      </c>
      <c r="V591" s="38">
        <v>7.1692999999999998</v>
      </c>
      <c r="W591" s="49">
        <f t="shared" si="59"/>
        <v>9.0664360537290953</v>
      </c>
    </row>
    <row r="592" spans="1:23" x14ac:dyDescent="0.2">
      <c r="A592" s="52" t="s">
        <v>1903</v>
      </c>
      <c r="B592" s="53">
        <v>45712</v>
      </c>
      <c r="C592" s="53">
        <v>45695</v>
      </c>
      <c r="D592" s="52" t="s">
        <v>28</v>
      </c>
      <c r="E592" s="52" t="s">
        <v>29</v>
      </c>
      <c r="G592" s="52" t="s">
        <v>2158</v>
      </c>
      <c r="H592" s="40" t="s">
        <v>1152</v>
      </c>
      <c r="I592" s="40" t="s">
        <v>1153</v>
      </c>
      <c r="J592" s="43" t="str">
        <f t="shared" si="54"/>
        <v>BRKT</v>
      </c>
      <c r="K592" s="52" t="s">
        <v>10</v>
      </c>
      <c r="L592" s="40">
        <v>1850</v>
      </c>
      <c r="M592" s="52" t="s">
        <v>1472</v>
      </c>
      <c r="N592" s="52" t="s">
        <v>11</v>
      </c>
      <c r="O592" s="54">
        <v>0.6522</v>
      </c>
      <c r="P592" s="45">
        <f t="shared" si="55"/>
        <v>1206.57</v>
      </c>
      <c r="Q592" s="46">
        <f t="shared" si="56"/>
        <v>7.3003400000000003</v>
      </c>
      <c r="R592" s="47">
        <f t="shared" si="57"/>
        <v>8.9300000000000004E-2</v>
      </c>
      <c r="S592" s="48">
        <f t="shared" si="58"/>
        <v>165.21</v>
      </c>
      <c r="T592" s="47" t="s">
        <v>349</v>
      </c>
      <c r="U592" s="52" t="s">
        <v>442</v>
      </c>
      <c r="V592" s="38">
        <v>7.1692999999999998</v>
      </c>
      <c r="W592" s="49">
        <f t="shared" si="59"/>
        <v>168.29676537458332</v>
      </c>
    </row>
    <row r="593" spans="1:23" x14ac:dyDescent="0.2">
      <c r="A593" s="52" t="s">
        <v>1904</v>
      </c>
      <c r="B593" s="53">
        <v>45712</v>
      </c>
      <c r="C593" s="53">
        <v>45695</v>
      </c>
      <c r="D593" s="52" t="s">
        <v>2247</v>
      </c>
      <c r="E593" s="52" t="s">
        <v>2248</v>
      </c>
      <c r="G593" s="52" t="s">
        <v>2162</v>
      </c>
      <c r="H593" s="40" t="s">
        <v>1635</v>
      </c>
      <c r="I593" s="40" t="s">
        <v>1636</v>
      </c>
      <c r="J593" s="43" t="str">
        <f t="shared" si="54"/>
        <v>KNOB</v>
      </c>
      <c r="K593" s="52" t="s">
        <v>10</v>
      </c>
      <c r="L593" s="40">
        <v>2000</v>
      </c>
      <c r="M593" s="52" t="s">
        <v>1472</v>
      </c>
      <c r="N593" s="52" t="s">
        <v>11</v>
      </c>
      <c r="O593" s="54">
        <v>0.68910000000000005</v>
      </c>
      <c r="P593" s="45">
        <f t="shared" si="55"/>
        <v>1378.2</v>
      </c>
      <c r="Q593" s="46">
        <f t="shared" si="56"/>
        <v>7.3003400000000003</v>
      </c>
      <c r="R593" s="47">
        <f t="shared" si="57"/>
        <v>9.4399999999999998E-2</v>
      </c>
      <c r="S593" s="48">
        <f t="shared" si="58"/>
        <v>188.8</v>
      </c>
      <c r="T593" s="47" t="s">
        <v>349</v>
      </c>
      <c r="U593" s="52" t="s">
        <v>32</v>
      </c>
      <c r="V593" s="38">
        <v>7.1692999999999998</v>
      </c>
      <c r="W593" s="49">
        <f t="shared" si="59"/>
        <v>192.236341065376</v>
      </c>
    </row>
    <row r="594" spans="1:23" x14ac:dyDescent="0.2">
      <c r="A594" s="52" t="s">
        <v>1905</v>
      </c>
      <c r="B594" s="53">
        <v>45715</v>
      </c>
      <c r="C594" s="53">
        <v>45715</v>
      </c>
      <c r="D594" s="52" t="s">
        <v>5</v>
      </c>
      <c r="E594" s="52" t="s">
        <v>6</v>
      </c>
      <c r="G594" s="52" t="s">
        <v>2163</v>
      </c>
      <c r="H594" s="40" t="s">
        <v>1637</v>
      </c>
      <c r="I594" s="40" t="s">
        <v>1638</v>
      </c>
      <c r="J594" s="43" t="str">
        <f t="shared" si="54"/>
        <v>U&amp;C-</v>
      </c>
      <c r="K594" s="52" t="s">
        <v>10</v>
      </c>
      <c r="L594" s="40">
        <v>1000</v>
      </c>
      <c r="M594" s="52" t="s">
        <v>1472</v>
      </c>
      <c r="N594" s="52" t="s">
        <v>11</v>
      </c>
      <c r="O594" s="54">
        <v>0.69</v>
      </c>
      <c r="P594" s="45">
        <f t="shared" si="55"/>
        <v>690</v>
      </c>
      <c r="Q594" s="46">
        <f t="shared" si="56"/>
        <v>7.3003400000000003</v>
      </c>
      <c r="R594" s="47">
        <f t="shared" si="57"/>
        <v>9.4500000000000001E-2</v>
      </c>
      <c r="S594" s="48">
        <f t="shared" si="58"/>
        <v>94.5</v>
      </c>
      <c r="T594" s="47" t="s">
        <v>349</v>
      </c>
      <c r="U594" s="52" t="s">
        <v>177</v>
      </c>
      <c r="V594" s="38">
        <v>7.1692999999999998</v>
      </c>
      <c r="W594" s="49">
        <f t="shared" si="59"/>
        <v>96.243705801124236</v>
      </c>
    </row>
    <row r="595" spans="1:23" x14ac:dyDescent="0.2">
      <c r="A595" s="52" t="s">
        <v>1906</v>
      </c>
      <c r="B595" s="53">
        <v>45716</v>
      </c>
      <c r="C595" s="53">
        <v>45715</v>
      </c>
      <c r="D595" s="52" t="s">
        <v>128</v>
      </c>
      <c r="E595" s="52" t="s">
        <v>129</v>
      </c>
      <c r="G595" s="52" t="s">
        <v>2164</v>
      </c>
      <c r="H595" s="40" t="s">
        <v>1639</v>
      </c>
      <c r="I595" s="40" t="s">
        <v>1640</v>
      </c>
      <c r="J595" s="43" t="str">
        <f t="shared" si="54"/>
        <v>FG--</v>
      </c>
      <c r="K595" s="52" t="s">
        <v>10</v>
      </c>
      <c r="L595" s="40">
        <v>50</v>
      </c>
      <c r="M595" s="52" t="s">
        <v>1472</v>
      </c>
      <c r="N595" s="52" t="s">
        <v>11</v>
      </c>
      <c r="O595" s="54">
        <v>0.71950000000000003</v>
      </c>
      <c r="P595" s="45">
        <f t="shared" si="55"/>
        <v>35.979999999999997</v>
      </c>
      <c r="Q595" s="46">
        <f t="shared" si="56"/>
        <v>7.3003400000000003</v>
      </c>
      <c r="R595" s="47">
        <f t="shared" si="57"/>
        <v>9.8599999999999993E-2</v>
      </c>
      <c r="S595" s="48">
        <f t="shared" si="58"/>
        <v>4.93</v>
      </c>
      <c r="T595" s="47" t="s">
        <v>349</v>
      </c>
      <c r="U595" s="52" t="s">
        <v>64</v>
      </c>
      <c r="V595" s="38">
        <v>7.1692999999999998</v>
      </c>
      <c r="W595" s="49">
        <f t="shared" si="59"/>
        <v>5.0179236466600647</v>
      </c>
    </row>
    <row r="596" spans="1:23" x14ac:dyDescent="0.2">
      <c r="A596" s="52" t="s">
        <v>1907</v>
      </c>
      <c r="B596" s="53">
        <v>45706</v>
      </c>
      <c r="C596" s="53">
        <v>45674</v>
      </c>
      <c r="D596" s="52" t="s">
        <v>121</v>
      </c>
      <c r="E596" s="52" t="s">
        <v>122</v>
      </c>
      <c r="G596" s="52" t="s">
        <v>2165</v>
      </c>
      <c r="H596" s="40" t="s">
        <v>1306</v>
      </c>
      <c r="I596" s="40" t="s">
        <v>1307</v>
      </c>
      <c r="J596" s="43" t="str">
        <f t="shared" si="54"/>
        <v>ANYD</v>
      </c>
      <c r="K596" s="52" t="s">
        <v>10</v>
      </c>
      <c r="L596" s="40">
        <v>2000</v>
      </c>
      <c r="M596" s="52" t="s">
        <v>1472</v>
      </c>
      <c r="N596" s="52" t="s">
        <v>11</v>
      </c>
      <c r="O596" s="54">
        <v>0.8</v>
      </c>
      <c r="P596" s="45">
        <f t="shared" si="55"/>
        <v>1600</v>
      </c>
      <c r="Q596" s="46">
        <f t="shared" si="56"/>
        <v>7.3003400000000003</v>
      </c>
      <c r="R596" s="47">
        <f t="shared" si="57"/>
        <v>0.1096</v>
      </c>
      <c r="S596" s="48">
        <f t="shared" si="58"/>
        <v>219.2</v>
      </c>
      <c r="T596" s="47" t="s">
        <v>349</v>
      </c>
      <c r="U596" s="52" t="s">
        <v>36</v>
      </c>
      <c r="V596" s="38">
        <v>7.1692999999999998</v>
      </c>
      <c r="W596" s="49">
        <f t="shared" si="59"/>
        <v>223.17381055333158</v>
      </c>
    </row>
    <row r="597" spans="1:23" x14ac:dyDescent="0.2">
      <c r="A597" s="52" t="s">
        <v>1908</v>
      </c>
      <c r="B597" s="53">
        <v>45706</v>
      </c>
      <c r="C597" s="53">
        <v>45677</v>
      </c>
      <c r="D597" s="52" t="s">
        <v>121</v>
      </c>
      <c r="E597" s="52" t="s">
        <v>122</v>
      </c>
      <c r="G597" s="52" t="s">
        <v>2165</v>
      </c>
      <c r="H597" s="40" t="s">
        <v>1548</v>
      </c>
      <c r="I597" s="40" t="s">
        <v>1549</v>
      </c>
      <c r="J597" s="43" t="str">
        <f t="shared" si="54"/>
        <v>ANYD</v>
      </c>
      <c r="K597" s="52" t="s">
        <v>10</v>
      </c>
      <c r="L597" s="40">
        <v>1020</v>
      </c>
      <c r="M597" s="52" t="s">
        <v>1472</v>
      </c>
      <c r="N597" s="52" t="s">
        <v>11</v>
      </c>
      <c r="O597" s="54">
        <v>0.8</v>
      </c>
      <c r="P597" s="45">
        <f t="shared" si="55"/>
        <v>816</v>
      </c>
      <c r="Q597" s="46">
        <f t="shared" si="56"/>
        <v>7.3003400000000003</v>
      </c>
      <c r="R597" s="47">
        <f t="shared" si="57"/>
        <v>0.1096</v>
      </c>
      <c r="S597" s="48">
        <f t="shared" si="58"/>
        <v>111.79</v>
      </c>
      <c r="T597" s="47" t="s">
        <v>349</v>
      </c>
      <c r="U597" s="52" t="s">
        <v>36</v>
      </c>
      <c r="V597" s="38">
        <v>7.1692999999999998</v>
      </c>
      <c r="W597" s="49">
        <f t="shared" si="59"/>
        <v>113.8186433821991</v>
      </c>
    </row>
    <row r="598" spans="1:23" x14ac:dyDescent="0.2">
      <c r="A598" s="52" t="s">
        <v>1909</v>
      </c>
      <c r="B598" s="53">
        <v>45713</v>
      </c>
      <c r="C598" s="53">
        <v>45674</v>
      </c>
      <c r="D598" s="52" t="s">
        <v>709</v>
      </c>
      <c r="E598" s="52" t="s">
        <v>710</v>
      </c>
      <c r="G598" s="52" t="s">
        <v>2166</v>
      </c>
      <c r="H598" s="40" t="s">
        <v>1641</v>
      </c>
      <c r="I598" s="40" t="s">
        <v>1642</v>
      </c>
      <c r="J598" s="43" t="str">
        <f t="shared" si="54"/>
        <v>KNOB</v>
      </c>
      <c r="K598" s="52" t="s">
        <v>10</v>
      </c>
      <c r="L598" s="40">
        <v>600</v>
      </c>
      <c r="M598" s="52" t="s">
        <v>1472</v>
      </c>
      <c r="N598" s="52" t="s">
        <v>11</v>
      </c>
      <c r="O598" s="54">
        <v>0.89419999999999999</v>
      </c>
      <c r="P598" s="45">
        <f t="shared" si="55"/>
        <v>536.52</v>
      </c>
      <c r="Q598" s="46">
        <f t="shared" si="56"/>
        <v>7.3003400000000003</v>
      </c>
      <c r="R598" s="47">
        <f t="shared" si="57"/>
        <v>0.1225</v>
      </c>
      <c r="S598" s="48">
        <f t="shared" si="58"/>
        <v>73.5</v>
      </c>
      <c r="T598" s="47" t="s">
        <v>349</v>
      </c>
      <c r="U598" s="52" t="s">
        <v>32</v>
      </c>
      <c r="V598" s="38">
        <v>7.1692999999999998</v>
      </c>
      <c r="W598" s="49">
        <f t="shared" si="59"/>
        <v>74.835758023795904</v>
      </c>
    </row>
    <row r="599" spans="1:23" x14ac:dyDescent="0.2">
      <c r="A599" s="52" t="s">
        <v>1910</v>
      </c>
      <c r="B599" s="53">
        <v>45713</v>
      </c>
      <c r="C599" s="53">
        <v>45674</v>
      </c>
      <c r="D599" s="52" t="s">
        <v>709</v>
      </c>
      <c r="E599" s="52" t="s">
        <v>710</v>
      </c>
      <c r="G599" s="52" t="s">
        <v>2166</v>
      </c>
      <c r="H599" s="40" t="s">
        <v>1641</v>
      </c>
      <c r="I599" s="40" t="s">
        <v>1642</v>
      </c>
      <c r="J599" s="43" t="str">
        <f t="shared" si="54"/>
        <v>KNOB</v>
      </c>
      <c r="K599" s="52" t="s">
        <v>10</v>
      </c>
      <c r="L599" s="40">
        <v>200</v>
      </c>
      <c r="M599" s="52" t="s">
        <v>1472</v>
      </c>
      <c r="N599" s="52" t="s">
        <v>11</v>
      </c>
      <c r="O599" s="54">
        <v>0.89419999999999999</v>
      </c>
      <c r="P599" s="45">
        <f t="shared" si="55"/>
        <v>178.84</v>
      </c>
      <c r="Q599" s="46">
        <f t="shared" si="56"/>
        <v>7.3003400000000003</v>
      </c>
      <c r="R599" s="47">
        <f t="shared" si="57"/>
        <v>0.1225</v>
      </c>
      <c r="S599" s="48">
        <f t="shared" si="58"/>
        <v>24.5</v>
      </c>
      <c r="T599" s="47" t="s">
        <v>349</v>
      </c>
      <c r="U599" s="52" t="s">
        <v>32</v>
      </c>
      <c r="V599" s="38">
        <v>7.1692999999999998</v>
      </c>
      <c r="W599" s="49">
        <f t="shared" si="59"/>
        <v>24.945252674598635</v>
      </c>
    </row>
    <row r="600" spans="1:23" x14ac:dyDescent="0.2">
      <c r="A600" s="52" t="s">
        <v>1911</v>
      </c>
      <c r="B600" s="53">
        <v>45712</v>
      </c>
      <c r="C600" s="53">
        <v>45698</v>
      </c>
      <c r="D600" s="52" t="s">
        <v>28</v>
      </c>
      <c r="E600" s="52" t="s">
        <v>29</v>
      </c>
      <c r="G600" s="52" t="s">
        <v>2158</v>
      </c>
      <c r="H600" s="40" t="s">
        <v>1643</v>
      </c>
      <c r="I600" s="40" t="s">
        <v>1644</v>
      </c>
      <c r="J600" s="43" t="str">
        <f t="shared" si="54"/>
        <v>FG--</v>
      </c>
      <c r="K600" s="52" t="s">
        <v>10</v>
      </c>
      <c r="L600" s="40">
        <v>1350</v>
      </c>
      <c r="M600" s="52" t="s">
        <v>1472</v>
      </c>
      <c r="N600" s="52" t="s">
        <v>11</v>
      </c>
      <c r="O600" s="54">
        <v>0.97430000000000005</v>
      </c>
      <c r="P600" s="45">
        <f t="shared" si="55"/>
        <v>1315.31</v>
      </c>
      <c r="Q600" s="46">
        <f t="shared" si="56"/>
        <v>7.3003400000000003</v>
      </c>
      <c r="R600" s="47">
        <f t="shared" si="57"/>
        <v>0.13350000000000001</v>
      </c>
      <c r="S600" s="48">
        <f t="shared" si="58"/>
        <v>180.23</v>
      </c>
      <c r="T600" s="47" t="s">
        <v>349</v>
      </c>
      <c r="U600" s="52" t="s">
        <v>64</v>
      </c>
      <c r="V600" s="38">
        <v>7.1692999999999998</v>
      </c>
      <c r="W600" s="49">
        <f t="shared" si="59"/>
        <v>183.46351805615612</v>
      </c>
    </row>
    <row r="601" spans="1:23" x14ac:dyDescent="0.2">
      <c r="A601" s="52" t="s">
        <v>1912</v>
      </c>
      <c r="B601" s="53">
        <v>45714</v>
      </c>
      <c r="C601" s="53">
        <v>45671</v>
      </c>
      <c r="D601" s="52" t="s">
        <v>128</v>
      </c>
      <c r="E601" s="52" t="s">
        <v>129</v>
      </c>
      <c r="G601" s="52" t="s">
        <v>2167</v>
      </c>
      <c r="H601" s="40" t="s">
        <v>443</v>
      </c>
      <c r="I601" s="40" t="s">
        <v>444</v>
      </c>
      <c r="J601" s="43" t="str">
        <f t="shared" si="54"/>
        <v>FG--</v>
      </c>
      <c r="K601" s="52" t="s">
        <v>10</v>
      </c>
      <c r="L601" s="40">
        <v>1000</v>
      </c>
      <c r="M601" s="52" t="s">
        <v>1472</v>
      </c>
      <c r="N601" s="52" t="s">
        <v>11</v>
      </c>
      <c r="O601" s="54">
        <v>1.0021</v>
      </c>
      <c r="P601" s="45">
        <f t="shared" si="55"/>
        <v>1002.1</v>
      </c>
      <c r="Q601" s="46">
        <f t="shared" si="56"/>
        <v>7.3003400000000003</v>
      </c>
      <c r="R601" s="47">
        <f t="shared" si="57"/>
        <v>0.13730000000000001</v>
      </c>
      <c r="S601" s="48">
        <f t="shared" si="58"/>
        <v>137.30000000000001</v>
      </c>
      <c r="T601" s="47" t="s">
        <v>349</v>
      </c>
      <c r="U601" s="52" t="s">
        <v>64</v>
      </c>
      <c r="V601" s="38">
        <v>7.1692999999999998</v>
      </c>
      <c r="W601" s="49">
        <f t="shared" si="59"/>
        <v>139.77654722218347</v>
      </c>
    </row>
    <row r="602" spans="1:23" x14ac:dyDescent="0.2">
      <c r="A602" s="52" t="s">
        <v>1913</v>
      </c>
      <c r="B602" s="53">
        <v>45714</v>
      </c>
      <c r="C602" s="53">
        <v>45670</v>
      </c>
      <c r="D602" s="52" t="s">
        <v>128</v>
      </c>
      <c r="E602" s="52" t="s">
        <v>129</v>
      </c>
      <c r="G602" s="52" t="s">
        <v>2167</v>
      </c>
      <c r="H602" s="40" t="s">
        <v>443</v>
      </c>
      <c r="I602" s="40" t="s">
        <v>444</v>
      </c>
      <c r="J602" s="43" t="str">
        <f t="shared" si="54"/>
        <v>FG--</v>
      </c>
      <c r="K602" s="52" t="s">
        <v>10</v>
      </c>
      <c r="L602" s="40">
        <v>4020</v>
      </c>
      <c r="M602" s="52" t="s">
        <v>1472</v>
      </c>
      <c r="N602" s="52" t="s">
        <v>11</v>
      </c>
      <c r="O602" s="54">
        <v>1.0124</v>
      </c>
      <c r="P602" s="45">
        <f t="shared" si="55"/>
        <v>4069.85</v>
      </c>
      <c r="Q602" s="46">
        <f t="shared" si="56"/>
        <v>7.3003400000000003</v>
      </c>
      <c r="R602" s="47">
        <f t="shared" si="57"/>
        <v>0.13869999999999999</v>
      </c>
      <c r="S602" s="48">
        <f t="shared" si="58"/>
        <v>557.57000000000005</v>
      </c>
      <c r="T602" s="47" t="s">
        <v>349</v>
      </c>
      <c r="U602" s="52" t="s">
        <v>64</v>
      </c>
      <c r="V602" s="38">
        <v>7.1692999999999998</v>
      </c>
      <c r="W602" s="49">
        <f t="shared" si="59"/>
        <v>567.6771790830345</v>
      </c>
    </row>
    <row r="603" spans="1:23" x14ac:dyDescent="0.2">
      <c r="A603" s="52" t="s">
        <v>1914</v>
      </c>
      <c r="B603" s="53">
        <v>45713</v>
      </c>
      <c r="C603" s="53">
        <v>45653</v>
      </c>
      <c r="D603" s="52" t="s">
        <v>709</v>
      </c>
      <c r="E603" s="52" t="s">
        <v>710</v>
      </c>
      <c r="G603" s="52" t="s">
        <v>2166</v>
      </c>
      <c r="H603" s="40" t="s">
        <v>1645</v>
      </c>
      <c r="I603" s="40" t="s">
        <v>1646</v>
      </c>
      <c r="J603" s="43" t="str">
        <f t="shared" si="54"/>
        <v>T&amp;G-</v>
      </c>
      <c r="K603" s="52" t="s">
        <v>10</v>
      </c>
      <c r="L603" s="40">
        <v>20000</v>
      </c>
      <c r="M603" s="52" t="s">
        <v>1472</v>
      </c>
      <c r="N603" s="52" t="s">
        <v>11</v>
      </c>
      <c r="O603" s="54">
        <v>1.0768</v>
      </c>
      <c r="P603" s="45">
        <f t="shared" si="55"/>
        <v>21536</v>
      </c>
      <c r="Q603" s="46">
        <f t="shared" si="56"/>
        <v>7.3003400000000003</v>
      </c>
      <c r="R603" s="47">
        <f t="shared" si="57"/>
        <v>0.14749999999999999</v>
      </c>
      <c r="S603" s="48">
        <f t="shared" si="58"/>
        <v>2950</v>
      </c>
      <c r="T603" s="47" t="s">
        <v>349</v>
      </c>
      <c r="U603" s="52" t="s">
        <v>2245</v>
      </c>
      <c r="V603" s="38">
        <v>7.1692999999999998</v>
      </c>
      <c r="W603" s="49">
        <f t="shared" si="59"/>
        <v>3003.9194900478428</v>
      </c>
    </row>
    <row r="604" spans="1:23" x14ac:dyDescent="0.2">
      <c r="A604" s="52" t="s">
        <v>1915</v>
      </c>
      <c r="B604" s="53">
        <v>45713</v>
      </c>
      <c r="C604" s="53">
        <v>45674</v>
      </c>
      <c r="D604" s="52" t="s">
        <v>709</v>
      </c>
      <c r="E604" s="52" t="s">
        <v>710</v>
      </c>
      <c r="G604" s="52" t="s">
        <v>2166</v>
      </c>
      <c r="H604" s="40" t="s">
        <v>1647</v>
      </c>
      <c r="I604" s="40" t="s">
        <v>1648</v>
      </c>
      <c r="J604" s="43" t="str">
        <f t="shared" si="54"/>
        <v>KNOB</v>
      </c>
      <c r="K604" s="52" t="s">
        <v>10</v>
      </c>
      <c r="L604" s="40">
        <v>510</v>
      </c>
      <c r="M604" s="52" t="s">
        <v>1472</v>
      </c>
      <c r="N604" s="52" t="s">
        <v>11</v>
      </c>
      <c r="O604" s="54">
        <v>1.0902000000000001</v>
      </c>
      <c r="P604" s="45">
        <f t="shared" si="55"/>
        <v>556</v>
      </c>
      <c r="Q604" s="46">
        <f t="shared" si="56"/>
        <v>7.3003400000000003</v>
      </c>
      <c r="R604" s="47">
        <f t="shared" si="57"/>
        <v>0.14929999999999999</v>
      </c>
      <c r="S604" s="48">
        <f t="shared" si="58"/>
        <v>76.14</v>
      </c>
      <c r="T604" s="47" t="s">
        <v>349</v>
      </c>
      <c r="U604" s="52" t="s">
        <v>32</v>
      </c>
      <c r="V604" s="38">
        <v>7.1692999999999998</v>
      </c>
      <c r="W604" s="49">
        <f t="shared" si="59"/>
        <v>77.553178134545917</v>
      </c>
    </row>
    <row r="605" spans="1:23" x14ac:dyDescent="0.2">
      <c r="A605" s="52" t="s">
        <v>1916</v>
      </c>
      <c r="B605" s="53">
        <v>45713</v>
      </c>
      <c r="C605" s="53">
        <v>45695</v>
      </c>
      <c r="D605" s="52" t="s">
        <v>709</v>
      </c>
      <c r="E605" s="52" t="s">
        <v>710</v>
      </c>
      <c r="G605" s="52" t="s">
        <v>2159</v>
      </c>
      <c r="H605" s="40" t="s">
        <v>1649</v>
      </c>
      <c r="I605" s="40" t="s">
        <v>1650</v>
      </c>
      <c r="J605" s="43" t="str">
        <f t="shared" si="54"/>
        <v>HDL-</v>
      </c>
      <c r="K605" s="52" t="s">
        <v>10</v>
      </c>
      <c r="L605" s="40">
        <v>3050</v>
      </c>
      <c r="M605" s="52" t="s">
        <v>1472</v>
      </c>
      <c r="N605" s="52" t="s">
        <v>11</v>
      </c>
      <c r="O605" s="54">
        <v>1.1255999999999999</v>
      </c>
      <c r="P605" s="45">
        <f t="shared" si="55"/>
        <v>3433.08</v>
      </c>
      <c r="Q605" s="46">
        <f t="shared" si="56"/>
        <v>7.3003400000000003</v>
      </c>
      <c r="R605" s="47">
        <f t="shared" si="57"/>
        <v>0.1542</v>
      </c>
      <c r="S605" s="48">
        <f t="shared" si="58"/>
        <v>470.31</v>
      </c>
      <c r="T605" s="47" t="s">
        <v>349</v>
      </c>
      <c r="U605" s="52" t="s">
        <v>228</v>
      </c>
      <c r="V605" s="38">
        <v>7.1692999999999998</v>
      </c>
      <c r="W605" s="49">
        <f t="shared" si="59"/>
        <v>478.85846595901967</v>
      </c>
    </row>
    <row r="606" spans="1:23" x14ac:dyDescent="0.2">
      <c r="A606" s="52" t="s">
        <v>1917</v>
      </c>
      <c r="B606" s="53">
        <v>45712</v>
      </c>
      <c r="C606" s="53">
        <v>45698</v>
      </c>
      <c r="D606" s="52" t="s">
        <v>268</v>
      </c>
      <c r="E606" s="52" t="s">
        <v>269</v>
      </c>
      <c r="G606" s="52" t="s">
        <v>2168</v>
      </c>
      <c r="H606" s="40" t="s">
        <v>1651</v>
      </c>
      <c r="I606" s="40" t="s">
        <v>1652</v>
      </c>
      <c r="J606" s="43" t="str">
        <f t="shared" si="54"/>
        <v>MISC</v>
      </c>
      <c r="K606" s="52" t="s">
        <v>10</v>
      </c>
      <c r="L606" s="40">
        <v>47</v>
      </c>
      <c r="M606" s="52" t="s">
        <v>136</v>
      </c>
      <c r="N606" s="52" t="s">
        <v>11</v>
      </c>
      <c r="O606" s="54">
        <v>1.2390000000000001</v>
      </c>
      <c r="P606" s="45">
        <f t="shared" si="55"/>
        <v>58.23</v>
      </c>
      <c r="Q606" s="46">
        <f t="shared" si="56"/>
        <v>7.3003400000000003</v>
      </c>
      <c r="R606" s="47">
        <f t="shared" si="57"/>
        <v>0.16969999999999999</v>
      </c>
      <c r="S606" s="48">
        <f t="shared" si="58"/>
        <v>7.98</v>
      </c>
      <c r="T606" s="47" t="s">
        <v>349</v>
      </c>
      <c r="U606" s="52" t="s">
        <v>25</v>
      </c>
      <c r="V606" s="38">
        <v>7.1692999999999998</v>
      </c>
      <c r="W606" s="49">
        <f t="shared" si="59"/>
        <v>8.1225503187200978</v>
      </c>
    </row>
    <row r="607" spans="1:23" x14ac:dyDescent="0.2">
      <c r="A607" s="52" t="s">
        <v>1918</v>
      </c>
      <c r="B607" s="53">
        <v>45712</v>
      </c>
      <c r="C607" s="53">
        <v>45670</v>
      </c>
      <c r="D607" s="52" t="s">
        <v>28</v>
      </c>
      <c r="E607" s="52" t="s">
        <v>29</v>
      </c>
      <c r="G607" s="52" t="s">
        <v>2158</v>
      </c>
      <c r="H607" s="40" t="s">
        <v>1167</v>
      </c>
      <c r="I607" s="40" t="s">
        <v>1168</v>
      </c>
      <c r="J607" s="43" t="str">
        <f t="shared" si="54"/>
        <v>FG--</v>
      </c>
      <c r="K607" s="52" t="s">
        <v>10</v>
      </c>
      <c r="L607" s="40">
        <v>2010</v>
      </c>
      <c r="M607" s="52" t="s">
        <v>1472</v>
      </c>
      <c r="N607" s="52" t="s">
        <v>11</v>
      </c>
      <c r="O607" s="54">
        <v>1.2692000000000001</v>
      </c>
      <c r="P607" s="45">
        <f t="shared" si="55"/>
        <v>2551.09</v>
      </c>
      <c r="Q607" s="46">
        <f t="shared" si="56"/>
        <v>7.3003400000000003</v>
      </c>
      <c r="R607" s="47">
        <f t="shared" si="57"/>
        <v>0.1739</v>
      </c>
      <c r="S607" s="48">
        <f t="shared" si="58"/>
        <v>349.54</v>
      </c>
      <c r="T607" s="47" t="s">
        <v>349</v>
      </c>
      <c r="U607" s="52" t="s">
        <v>64</v>
      </c>
      <c r="V607" s="38">
        <v>7.1692999999999998</v>
      </c>
      <c r="W607" s="49">
        <f t="shared" si="59"/>
        <v>355.83557669507491</v>
      </c>
    </row>
    <row r="608" spans="1:23" x14ac:dyDescent="0.2">
      <c r="A608" s="52" t="s">
        <v>1919</v>
      </c>
      <c r="B608" s="53">
        <v>45713</v>
      </c>
      <c r="C608" s="53">
        <v>45695</v>
      </c>
      <c r="D608" s="52" t="s">
        <v>709</v>
      </c>
      <c r="E608" s="52" t="s">
        <v>710</v>
      </c>
      <c r="G608" s="52" t="s">
        <v>2159</v>
      </c>
      <c r="H608" s="40" t="s">
        <v>1653</v>
      </c>
      <c r="I608" s="40" t="s">
        <v>1654</v>
      </c>
      <c r="J608" s="43" t="str">
        <f t="shared" si="54"/>
        <v>HDL-</v>
      </c>
      <c r="K608" s="52" t="s">
        <v>10</v>
      </c>
      <c r="L608" s="40">
        <v>3000</v>
      </c>
      <c r="M608" s="52" t="s">
        <v>1472</v>
      </c>
      <c r="N608" s="52" t="s">
        <v>11</v>
      </c>
      <c r="O608" s="54">
        <v>1.278</v>
      </c>
      <c r="P608" s="45">
        <f t="shared" si="55"/>
        <v>3834</v>
      </c>
      <c r="Q608" s="46">
        <f t="shared" si="56"/>
        <v>7.3003400000000003</v>
      </c>
      <c r="R608" s="47">
        <f t="shared" si="57"/>
        <v>0.17510000000000001</v>
      </c>
      <c r="S608" s="48">
        <f t="shared" si="58"/>
        <v>525.29999999999995</v>
      </c>
      <c r="T608" s="47" t="s">
        <v>349</v>
      </c>
      <c r="U608" s="52" t="s">
        <v>228</v>
      </c>
      <c r="V608" s="38">
        <v>7.1692999999999998</v>
      </c>
      <c r="W608" s="49">
        <f t="shared" si="59"/>
        <v>534.78024353842079</v>
      </c>
    </row>
    <row r="609" spans="1:23" x14ac:dyDescent="0.2">
      <c r="A609" s="52" t="s">
        <v>1920</v>
      </c>
      <c r="B609" s="53">
        <v>45709</v>
      </c>
      <c r="C609" s="53">
        <v>45674</v>
      </c>
      <c r="D609" s="52" t="s">
        <v>252</v>
      </c>
      <c r="E609" s="52" t="s">
        <v>253</v>
      </c>
      <c r="G609" s="52" t="s">
        <v>2169</v>
      </c>
      <c r="H609" s="40" t="s">
        <v>1022</v>
      </c>
      <c r="I609" s="40" t="s">
        <v>1023</v>
      </c>
      <c r="J609" s="43" t="str">
        <f t="shared" si="54"/>
        <v>ANYD</v>
      </c>
      <c r="K609" s="52" t="s">
        <v>10</v>
      </c>
      <c r="L609" s="40">
        <v>2050</v>
      </c>
      <c r="M609" s="52" t="s">
        <v>1472</v>
      </c>
      <c r="N609" s="52" t="s">
        <v>11</v>
      </c>
      <c r="O609" s="54">
        <v>1.2838000000000001</v>
      </c>
      <c r="P609" s="45">
        <f t="shared" si="55"/>
        <v>2631.79</v>
      </c>
      <c r="Q609" s="46">
        <f t="shared" si="56"/>
        <v>7.3003400000000003</v>
      </c>
      <c r="R609" s="47">
        <f t="shared" si="57"/>
        <v>0.1759</v>
      </c>
      <c r="S609" s="48">
        <f t="shared" si="58"/>
        <v>360.6</v>
      </c>
      <c r="T609" s="47" t="s">
        <v>349</v>
      </c>
      <c r="U609" s="52" t="s">
        <v>36</v>
      </c>
      <c r="V609" s="38">
        <v>7.1692999999999998</v>
      </c>
      <c r="W609" s="49">
        <f t="shared" si="59"/>
        <v>367.09162679759532</v>
      </c>
    </row>
    <row r="610" spans="1:23" x14ac:dyDescent="0.2">
      <c r="A610" s="52" t="s">
        <v>1921</v>
      </c>
      <c r="B610" s="53">
        <v>45708</v>
      </c>
      <c r="C610" s="53">
        <v>45674</v>
      </c>
      <c r="D610" s="52" t="s">
        <v>169</v>
      </c>
      <c r="E610" s="52" t="s">
        <v>170</v>
      </c>
      <c r="G610" s="52" t="s">
        <v>2170</v>
      </c>
      <c r="H610" s="40" t="s">
        <v>1655</v>
      </c>
      <c r="I610" s="40" t="s">
        <v>1656</v>
      </c>
      <c r="J610" s="43" t="str">
        <f t="shared" si="54"/>
        <v>PRIM</v>
      </c>
      <c r="K610" s="52" t="s">
        <v>10</v>
      </c>
      <c r="L610" s="40">
        <v>2000</v>
      </c>
      <c r="M610" s="52" t="s">
        <v>1472</v>
      </c>
      <c r="N610" s="52" t="s">
        <v>11</v>
      </c>
      <c r="O610" s="54">
        <v>1.29</v>
      </c>
      <c r="P610" s="45">
        <f t="shared" si="55"/>
        <v>2580</v>
      </c>
      <c r="Q610" s="46">
        <f t="shared" si="56"/>
        <v>7.3003400000000003</v>
      </c>
      <c r="R610" s="47">
        <f t="shared" si="57"/>
        <v>0.1767</v>
      </c>
      <c r="S610" s="48">
        <f t="shared" si="58"/>
        <v>353.4</v>
      </c>
      <c r="T610" s="47" t="s">
        <v>349</v>
      </c>
      <c r="U610" s="52" t="s">
        <v>181</v>
      </c>
      <c r="V610" s="38">
        <v>7.1692999999999998</v>
      </c>
      <c r="W610" s="49">
        <f t="shared" si="59"/>
        <v>359.86776951724721</v>
      </c>
    </row>
    <row r="611" spans="1:23" x14ac:dyDescent="0.2">
      <c r="A611" s="52" t="s">
        <v>1922</v>
      </c>
      <c r="B611" s="53">
        <v>45702</v>
      </c>
      <c r="C611" s="53">
        <v>45674</v>
      </c>
      <c r="D611" s="52" t="s">
        <v>169</v>
      </c>
      <c r="E611" s="52" t="s">
        <v>170</v>
      </c>
      <c r="G611" s="52" t="s">
        <v>2171</v>
      </c>
      <c r="H611" s="40" t="s">
        <v>642</v>
      </c>
      <c r="I611" s="40" t="s">
        <v>643</v>
      </c>
      <c r="J611" s="43" t="str">
        <f t="shared" si="54"/>
        <v>U&amp;C-</v>
      </c>
      <c r="K611" s="52" t="s">
        <v>10</v>
      </c>
      <c r="L611" s="40">
        <v>2020</v>
      </c>
      <c r="M611" s="52" t="s">
        <v>1472</v>
      </c>
      <c r="N611" s="52" t="s">
        <v>11</v>
      </c>
      <c r="O611" s="54">
        <v>1.29</v>
      </c>
      <c r="P611" s="45">
        <f t="shared" si="55"/>
        <v>2605.8000000000002</v>
      </c>
      <c r="Q611" s="46">
        <f t="shared" si="56"/>
        <v>7.3003400000000003</v>
      </c>
      <c r="R611" s="47">
        <f t="shared" si="57"/>
        <v>0.1767</v>
      </c>
      <c r="S611" s="48">
        <f t="shared" si="58"/>
        <v>356.93</v>
      </c>
      <c r="T611" s="47" t="s">
        <v>349</v>
      </c>
      <c r="U611" s="52" t="s">
        <v>177</v>
      </c>
      <c r="V611" s="38">
        <v>7.1692999999999998</v>
      </c>
      <c r="W611" s="49">
        <f t="shared" si="59"/>
        <v>363.46644721241967</v>
      </c>
    </row>
    <row r="612" spans="1:23" x14ac:dyDescent="0.2">
      <c r="A612" s="52" t="s">
        <v>1923</v>
      </c>
      <c r="B612" s="53">
        <v>45702</v>
      </c>
      <c r="C612" s="53">
        <v>45674</v>
      </c>
      <c r="D612" s="52" t="s">
        <v>169</v>
      </c>
      <c r="E612" s="52" t="s">
        <v>170</v>
      </c>
      <c r="G612" s="52" t="s">
        <v>2171</v>
      </c>
      <c r="H612" s="40" t="s">
        <v>1124</v>
      </c>
      <c r="I612" s="40" t="s">
        <v>643</v>
      </c>
      <c r="J612" s="43" t="str">
        <f t="shared" si="54"/>
        <v>U&amp;C-</v>
      </c>
      <c r="K612" s="52" t="s">
        <v>10</v>
      </c>
      <c r="L612" s="40">
        <v>2020</v>
      </c>
      <c r="M612" s="52" t="s">
        <v>1472</v>
      </c>
      <c r="N612" s="52" t="s">
        <v>11</v>
      </c>
      <c r="O612" s="54">
        <v>1.29</v>
      </c>
      <c r="P612" s="45">
        <f t="shared" si="55"/>
        <v>2605.8000000000002</v>
      </c>
      <c r="Q612" s="46">
        <f t="shared" si="56"/>
        <v>7.3003400000000003</v>
      </c>
      <c r="R612" s="47">
        <f t="shared" si="57"/>
        <v>0.1767</v>
      </c>
      <c r="S612" s="48">
        <f t="shared" si="58"/>
        <v>356.93</v>
      </c>
      <c r="T612" s="47" t="s">
        <v>349</v>
      </c>
      <c r="U612" s="52" t="s">
        <v>177</v>
      </c>
      <c r="V612" s="38">
        <v>7.1692999999999998</v>
      </c>
      <c r="W612" s="49">
        <f t="shared" si="59"/>
        <v>363.46644721241967</v>
      </c>
    </row>
    <row r="613" spans="1:23" x14ac:dyDescent="0.2">
      <c r="A613" s="52" t="s">
        <v>1924</v>
      </c>
      <c r="B613" s="53">
        <v>45709</v>
      </c>
      <c r="C613" s="53">
        <v>45677</v>
      </c>
      <c r="D613" s="52" t="s">
        <v>252</v>
      </c>
      <c r="E613" s="52" t="s">
        <v>253</v>
      </c>
      <c r="G613" s="52" t="s">
        <v>2169</v>
      </c>
      <c r="H613" s="40" t="s">
        <v>1022</v>
      </c>
      <c r="I613" s="40" t="s">
        <v>1023</v>
      </c>
      <c r="J613" s="43" t="str">
        <f t="shared" si="54"/>
        <v>ANYD</v>
      </c>
      <c r="K613" s="52" t="s">
        <v>10</v>
      </c>
      <c r="L613" s="40">
        <v>1500</v>
      </c>
      <c r="M613" s="52" t="s">
        <v>1472</v>
      </c>
      <c r="N613" s="52" t="s">
        <v>11</v>
      </c>
      <c r="O613" s="54">
        <v>1.31</v>
      </c>
      <c r="P613" s="45">
        <f t="shared" si="55"/>
        <v>1965</v>
      </c>
      <c r="Q613" s="46">
        <f t="shared" si="56"/>
        <v>7.3003400000000003</v>
      </c>
      <c r="R613" s="47">
        <f t="shared" si="57"/>
        <v>0.1794</v>
      </c>
      <c r="S613" s="48">
        <f t="shared" si="58"/>
        <v>269.10000000000002</v>
      </c>
      <c r="T613" s="47" t="s">
        <v>349</v>
      </c>
      <c r="U613" s="52" t="s">
        <v>36</v>
      </c>
      <c r="V613" s="38">
        <v>7.1692999999999998</v>
      </c>
      <c r="W613" s="49">
        <f t="shared" si="59"/>
        <v>274.08533608581035</v>
      </c>
    </row>
    <row r="614" spans="1:23" x14ac:dyDescent="0.2">
      <c r="A614" s="52" t="s">
        <v>1925</v>
      </c>
      <c r="B614" s="53">
        <v>45709</v>
      </c>
      <c r="C614" s="53">
        <v>45674</v>
      </c>
      <c r="D614" s="52" t="s">
        <v>252</v>
      </c>
      <c r="E614" s="52" t="s">
        <v>253</v>
      </c>
      <c r="G614" s="52" t="s">
        <v>2169</v>
      </c>
      <c r="H614" s="40" t="s">
        <v>682</v>
      </c>
      <c r="I614" s="40" t="s">
        <v>683</v>
      </c>
      <c r="J614" s="43" t="str">
        <f t="shared" si="54"/>
        <v>ANYD</v>
      </c>
      <c r="K614" s="52" t="s">
        <v>10</v>
      </c>
      <c r="L614" s="40">
        <v>3050</v>
      </c>
      <c r="M614" s="52" t="s">
        <v>1472</v>
      </c>
      <c r="N614" s="52" t="s">
        <v>11</v>
      </c>
      <c r="O614" s="54">
        <v>1.3524</v>
      </c>
      <c r="P614" s="45">
        <f t="shared" si="55"/>
        <v>4124.82</v>
      </c>
      <c r="Q614" s="46">
        <f t="shared" si="56"/>
        <v>7.3003400000000003</v>
      </c>
      <c r="R614" s="47">
        <f t="shared" si="57"/>
        <v>0.18529999999999999</v>
      </c>
      <c r="S614" s="48">
        <f t="shared" si="58"/>
        <v>565.16999999999996</v>
      </c>
      <c r="T614" s="47" t="s">
        <v>349</v>
      </c>
      <c r="U614" s="52" t="s">
        <v>36</v>
      </c>
      <c r="V614" s="38">
        <v>7.1692999999999998</v>
      </c>
      <c r="W614" s="49">
        <f t="shared" si="59"/>
        <v>575.34487327912075</v>
      </c>
    </row>
    <row r="615" spans="1:23" x14ac:dyDescent="0.2">
      <c r="A615" s="52" t="s">
        <v>1926</v>
      </c>
      <c r="B615" s="53">
        <v>45712</v>
      </c>
      <c r="C615" s="53">
        <v>45671</v>
      </c>
      <c r="D615" s="52" t="s">
        <v>28</v>
      </c>
      <c r="E615" s="52" t="s">
        <v>29</v>
      </c>
      <c r="G615" s="52" t="s">
        <v>2158</v>
      </c>
      <c r="H615" s="40" t="s">
        <v>1158</v>
      </c>
      <c r="I615" s="40" t="s">
        <v>1159</v>
      </c>
      <c r="J615" s="43" t="str">
        <f t="shared" si="54"/>
        <v>FG--</v>
      </c>
      <c r="K615" s="52" t="s">
        <v>10</v>
      </c>
      <c r="L615" s="40">
        <v>3100</v>
      </c>
      <c r="M615" s="52" t="s">
        <v>1472</v>
      </c>
      <c r="N615" s="52" t="s">
        <v>11</v>
      </c>
      <c r="O615" s="54">
        <v>1.3540000000000001</v>
      </c>
      <c r="P615" s="45">
        <f t="shared" si="55"/>
        <v>4197.3999999999996</v>
      </c>
      <c r="Q615" s="46">
        <f t="shared" si="56"/>
        <v>7.3003400000000003</v>
      </c>
      <c r="R615" s="47">
        <f t="shared" si="57"/>
        <v>0.1855</v>
      </c>
      <c r="S615" s="48">
        <f t="shared" si="58"/>
        <v>575.04999999999995</v>
      </c>
      <c r="T615" s="47" t="s">
        <v>349</v>
      </c>
      <c r="U615" s="52" t="s">
        <v>64</v>
      </c>
      <c r="V615" s="38">
        <v>7.1692999999999998</v>
      </c>
      <c r="W615" s="49">
        <f t="shared" si="59"/>
        <v>585.46859526034621</v>
      </c>
    </row>
    <row r="616" spans="1:23" x14ac:dyDescent="0.2">
      <c r="A616" s="52" t="s">
        <v>1927</v>
      </c>
      <c r="B616" s="53">
        <v>45709</v>
      </c>
      <c r="C616" s="53">
        <v>45674</v>
      </c>
      <c r="D616" s="52" t="s">
        <v>252</v>
      </c>
      <c r="E616" s="52" t="s">
        <v>253</v>
      </c>
      <c r="G616" s="52" t="s">
        <v>2169</v>
      </c>
      <c r="H616" s="40" t="s">
        <v>678</v>
      </c>
      <c r="I616" s="40" t="s">
        <v>679</v>
      </c>
      <c r="J616" s="43" t="str">
        <f t="shared" si="54"/>
        <v>ANYD</v>
      </c>
      <c r="K616" s="52" t="s">
        <v>10</v>
      </c>
      <c r="L616" s="40">
        <v>1000</v>
      </c>
      <c r="M616" s="52" t="s">
        <v>1472</v>
      </c>
      <c r="N616" s="52" t="s">
        <v>11</v>
      </c>
      <c r="O616" s="54">
        <v>1.38</v>
      </c>
      <c r="P616" s="45">
        <f t="shared" si="55"/>
        <v>1380</v>
      </c>
      <c r="Q616" s="46">
        <f t="shared" si="56"/>
        <v>7.3003400000000003</v>
      </c>
      <c r="R616" s="47">
        <f t="shared" si="57"/>
        <v>0.189</v>
      </c>
      <c r="S616" s="48">
        <f t="shared" si="58"/>
        <v>189</v>
      </c>
      <c r="T616" s="47" t="s">
        <v>349</v>
      </c>
      <c r="U616" s="52" t="s">
        <v>36</v>
      </c>
      <c r="V616" s="38">
        <v>7.1692999999999998</v>
      </c>
      <c r="W616" s="49">
        <f t="shared" si="59"/>
        <v>192.48741160224847</v>
      </c>
    </row>
    <row r="617" spans="1:23" x14ac:dyDescent="0.2">
      <c r="A617" s="52" t="s">
        <v>1928</v>
      </c>
      <c r="B617" s="53">
        <v>45709</v>
      </c>
      <c r="C617" s="53">
        <v>45677</v>
      </c>
      <c r="D617" s="52" t="s">
        <v>252</v>
      </c>
      <c r="E617" s="52" t="s">
        <v>253</v>
      </c>
      <c r="G617" s="52" t="s">
        <v>2169</v>
      </c>
      <c r="H617" s="40" t="s">
        <v>678</v>
      </c>
      <c r="I617" s="40" t="s">
        <v>679</v>
      </c>
      <c r="J617" s="43" t="str">
        <f t="shared" si="54"/>
        <v>ANYD</v>
      </c>
      <c r="K617" s="52" t="s">
        <v>10</v>
      </c>
      <c r="L617" s="40">
        <v>1020</v>
      </c>
      <c r="M617" s="52" t="s">
        <v>1472</v>
      </c>
      <c r="N617" s="52" t="s">
        <v>11</v>
      </c>
      <c r="O617" s="54">
        <v>1.38</v>
      </c>
      <c r="P617" s="45">
        <f t="shared" si="55"/>
        <v>1407.6</v>
      </c>
      <c r="Q617" s="46">
        <f t="shared" si="56"/>
        <v>7.3003400000000003</v>
      </c>
      <c r="R617" s="47">
        <f t="shared" si="57"/>
        <v>0.189</v>
      </c>
      <c r="S617" s="48">
        <f t="shared" si="58"/>
        <v>192.78</v>
      </c>
      <c r="T617" s="47" t="s">
        <v>349</v>
      </c>
      <c r="U617" s="52" t="s">
        <v>36</v>
      </c>
      <c r="V617" s="38">
        <v>7.1692999999999998</v>
      </c>
      <c r="W617" s="49">
        <f t="shared" si="59"/>
        <v>196.33715983429343</v>
      </c>
    </row>
    <row r="618" spans="1:23" x14ac:dyDescent="0.2">
      <c r="A618" s="52" t="s">
        <v>1929</v>
      </c>
      <c r="B618" s="53">
        <v>45702</v>
      </c>
      <c r="C618" s="53">
        <v>45674</v>
      </c>
      <c r="D618" s="52" t="s">
        <v>169</v>
      </c>
      <c r="E618" s="52" t="s">
        <v>170</v>
      </c>
      <c r="G618" s="52" t="s">
        <v>2171</v>
      </c>
      <c r="H618" s="40" t="s">
        <v>1657</v>
      </c>
      <c r="I618" s="40" t="s">
        <v>1658</v>
      </c>
      <c r="J618" s="43" t="str">
        <f t="shared" si="54"/>
        <v>PRIM</v>
      </c>
      <c r="K618" s="52" t="s">
        <v>10</v>
      </c>
      <c r="L618" s="40">
        <v>1900</v>
      </c>
      <c r="M618" s="52" t="s">
        <v>1472</v>
      </c>
      <c r="N618" s="52" t="s">
        <v>11</v>
      </c>
      <c r="O618" s="54">
        <v>1.51</v>
      </c>
      <c r="P618" s="45">
        <f t="shared" si="55"/>
        <v>2869</v>
      </c>
      <c r="Q618" s="46">
        <f t="shared" si="56"/>
        <v>7.3003400000000003</v>
      </c>
      <c r="R618" s="47">
        <f t="shared" si="57"/>
        <v>0.20680000000000001</v>
      </c>
      <c r="S618" s="48">
        <f t="shared" si="58"/>
        <v>392.92</v>
      </c>
      <c r="T618" s="47" t="s">
        <v>349</v>
      </c>
      <c r="U618" s="52" t="s">
        <v>181</v>
      </c>
      <c r="V618" s="38">
        <v>7.1692999999999998</v>
      </c>
      <c r="W618" s="49">
        <f t="shared" si="59"/>
        <v>400.1785390484427</v>
      </c>
    </row>
    <row r="619" spans="1:23" x14ac:dyDescent="0.2">
      <c r="A619" s="52" t="s">
        <v>1930</v>
      </c>
      <c r="B619" s="53">
        <v>45713</v>
      </c>
      <c r="C619" s="53">
        <v>45670</v>
      </c>
      <c r="D619" s="52" t="s">
        <v>709</v>
      </c>
      <c r="E619" s="52" t="s">
        <v>710</v>
      </c>
      <c r="G619" s="52" t="s">
        <v>2159</v>
      </c>
      <c r="H619" s="40" t="s">
        <v>729</v>
      </c>
      <c r="I619" s="40" t="s">
        <v>730</v>
      </c>
      <c r="J619" s="43" t="str">
        <f t="shared" si="54"/>
        <v>HDL-</v>
      </c>
      <c r="K619" s="52" t="s">
        <v>10</v>
      </c>
      <c r="L619" s="40">
        <v>6100</v>
      </c>
      <c r="M619" s="52" t="s">
        <v>1472</v>
      </c>
      <c r="N619" s="52" t="s">
        <v>11</v>
      </c>
      <c r="O619" s="54">
        <v>1.5156000000000001</v>
      </c>
      <c r="P619" s="45">
        <f t="shared" si="55"/>
        <v>9245.16</v>
      </c>
      <c r="Q619" s="46">
        <f t="shared" si="56"/>
        <v>7.3003400000000003</v>
      </c>
      <c r="R619" s="47">
        <f t="shared" si="57"/>
        <v>0.20760000000000001</v>
      </c>
      <c r="S619" s="48">
        <f t="shared" si="58"/>
        <v>1266.3599999999999</v>
      </c>
      <c r="T619" s="47" t="s">
        <v>349</v>
      </c>
      <c r="U619" s="52" t="s">
        <v>228</v>
      </c>
      <c r="V619" s="38">
        <v>7.1692999999999998</v>
      </c>
      <c r="W619" s="49">
        <f t="shared" si="59"/>
        <v>1289.5484914845244</v>
      </c>
    </row>
    <row r="620" spans="1:23" x14ac:dyDescent="0.2">
      <c r="A620" s="52" t="s">
        <v>1931</v>
      </c>
      <c r="B620" s="53">
        <v>45713</v>
      </c>
      <c r="C620" s="53">
        <v>45671</v>
      </c>
      <c r="D620" s="52" t="s">
        <v>709</v>
      </c>
      <c r="E620" s="52" t="s">
        <v>710</v>
      </c>
      <c r="G620" s="52" t="s">
        <v>2159</v>
      </c>
      <c r="H620" s="40" t="s">
        <v>729</v>
      </c>
      <c r="I620" s="40" t="s">
        <v>730</v>
      </c>
      <c r="J620" s="43" t="str">
        <f t="shared" si="54"/>
        <v>HDL-</v>
      </c>
      <c r="K620" s="52" t="s">
        <v>10</v>
      </c>
      <c r="L620" s="40">
        <v>8200</v>
      </c>
      <c r="M620" s="52" t="s">
        <v>1472</v>
      </c>
      <c r="N620" s="52" t="s">
        <v>11</v>
      </c>
      <c r="O620" s="54">
        <v>1.5156000000000001</v>
      </c>
      <c r="P620" s="45">
        <f t="shared" si="55"/>
        <v>12427.92</v>
      </c>
      <c r="Q620" s="46">
        <f t="shared" si="56"/>
        <v>7.3003400000000003</v>
      </c>
      <c r="R620" s="47">
        <f t="shared" si="57"/>
        <v>0.20760000000000001</v>
      </c>
      <c r="S620" s="48">
        <f t="shared" si="58"/>
        <v>1702.32</v>
      </c>
      <c r="T620" s="47" t="s">
        <v>349</v>
      </c>
      <c r="U620" s="52" t="s">
        <v>228</v>
      </c>
      <c r="V620" s="38">
        <v>7.1692999999999998</v>
      </c>
      <c r="W620" s="49">
        <f t="shared" si="59"/>
        <v>1733.4914147824754</v>
      </c>
    </row>
    <row r="621" spans="1:23" x14ac:dyDescent="0.2">
      <c r="A621" s="52" t="s">
        <v>1932</v>
      </c>
      <c r="B621" s="53">
        <v>45702</v>
      </c>
      <c r="C621" s="53">
        <v>45674</v>
      </c>
      <c r="D621" s="52" t="s">
        <v>169</v>
      </c>
      <c r="E621" s="52" t="s">
        <v>170</v>
      </c>
      <c r="G621" s="52" t="s">
        <v>2171</v>
      </c>
      <c r="H621" s="40" t="s">
        <v>178</v>
      </c>
      <c r="I621" s="40" t="s">
        <v>179</v>
      </c>
      <c r="J621" s="43" t="str">
        <f t="shared" si="54"/>
        <v>PRIM</v>
      </c>
      <c r="K621" s="52" t="s">
        <v>10</v>
      </c>
      <c r="L621" s="40">
        <v>4000</v>
      </c>
      <c r="M621" s="52" t="s">
        <v>1472</v>
      </c>
      <c r="N621" s="52" t="s">
        <v>11</v>
      </c>
      <c r="O621" s="54">
        <v>1.53</v>
      </c>
      <c r="P621" s="45">
        <f t="shared" si="55"/>
        <v>6120</v>
      </c>
      <c r="Q621" s="46">
        <f t="shared" si="56"/>
        <v>7.3003400000000003</v>
      </c>
      <c r="R621" s="47">
        <f t="shared" si="57"/>
        <v>0.20960000000000001</v>
      </c>
      <c r="S621" s="48">
        <f t="shared" si="58"/>
        <v>838.4</v>
      </c>
      <c r="T621" s="47" t="s">
        <v>349</v>
      </c>
      <c r="U621" s="52" t="s">
        <v>181</v>
      </c>
      <c r="V621" s="38">
        <v>7.1692999999999998</v>
      </c>
      <c r="W621" s="49">
        <f t="shared" si="59"/>
        <v>853.63982536649326</v>
      </c>
    </row>
    <row r="622" spans="1:23" x14ac:dyDescent="0.2">
      <c r="A622" s="52" t="s">
        <v>1933</v>
      </c>
      <c r="B622" s="53">
        <v>45708</v>
      </c>
      <c r="C622" s="53">
        <v>45674</v>
      </c>
      <c r="D622" s="52" t="s">
        <v>169</v>
      </c>
      <c r="E622" s="52" t="s">
        <v>170</v>
      </c>
      <c r="G622" s="52" t="s">
        <v>2170</v>
      </c>
      <c r="H622" s="40" t="s">
        <v>1659</v>
      </c>
      <c r="I622" s="40" t="s">
        <v>643</v>
      </c>
      <c r="J622" s="43" t="str">
        <f t="shared" si="54"/>
        <v>U&amp;C-</v>
      </c>
      <c r="K622" s="52" t="s">
        <v>10</v>
      </c>
      <c r="L622" s="40">
        <v>3000</v>
      </c>
      <c r="M622" s="52" t="s">
        <v>1472</v>
      </c>
      <c r="N622" s="52" t="s">
        <v>11</v>
      </c>
      <c r="O622" s="54">
        <v>1.53</v>
      </c>
      <c r="P622" s="45">
        <f t="shared" si="55"/>
        <v>4590</v>
      </c>
      <c r="Q622" s="46">
        <f t="shared" si="56"/>
        <v>7.3003400000000003</v>
      </c>
      <c r="R622" s="47">
        <f t="shared" si="57"/>
        <v>0.20960000000000001</v>
      </c>
      <c r="S622" s="48">
        <f t="shared" si="58"/>
        <v>628.79999999999995</v>
      </c>
      <c r="T622" s="47" t="s">
        <v>349</v>
      </c>
      <c r="U622" s="52" t="s">
        <v>177</v>
      </c>
      <c r="V622" s="38">
        <v>7.1692999999999998</v>
      </c>
      <c r="W622" s="49">
        <f t="shared" si="59"/>
        <v>640.22986902487003</v>
      </c>
    </row>
    <row r="623" spans="1:23" x14ac:dyDescent="0.2">
      <c r="A623" s="52" t="s">
        <v>1934</v>
      </c>
      <c r="B623" s="53">
        <v>45713</v>
      </c>
      <c r="C623" s="53">
        <v>45695</v>
      </c>
      <c r="D623" s="52" t="s">
        <v>709</v>
      </c>
      <c r="E623" s="52" t="s">
        <v>710</v>
      </c>
      <c r="G623" s="52" t="s">
        <v>2159</v>
      </c>
      <c r="H623" s="40" t="s">
        <v>729</v>
      </c>
      <c r="I623" s="40" t="s">
        <v>730</v>
      </c>
      <c r="J623" s="43" t="str">
        <f t="shared" si="54"/>
        <v>HDL-</v>
      </c>
      <c r="K623" s="52" t="s">
        <v>10</v>
      </c>
      <c r="L623" s="40">
        <v>2000</v>
      </c>
      <c r="M623" s="52" t="s">
        <v>1472</v>
      </c>
      <c r="N623" s="52" t="s">
        <v>11</v>
      </c>
      <c r="O623" s="54">
        <v>1.5313000000000001</v>
      </c>
      <c r="P623" s="45">
        <f t="shared" si="55"/>
        <v>3062.6</v>
      </c>
      <c r="Q623" s="46">
        <f t="shared" si="56"/>
        <v>7.3003400000000003</v>
      </c>
      <c r="R623" s="47">
        <f t="shared" si="57"/>
        <v>0.20979999999999999</v>
      </c>
      <c r="S623" s="48">
        <f t="shared" si="58"/>
        <v>419.6</v>
      </c>
      <c r="T623" s="47" t="s">
        <v>349</v>
      </c>
      <c r="U623" s="52" t="s">
        <v>228</v>
      </c>
      <c r="V623" s="38">
        <v>7.1692999999999998</v>
      </c>
      <c r="W623" s="49">
        <f t="shared" si="59"/>
        <v>427.18257012539584</v>
      </c>
    </row>
    <row r="624" spans="1:23" x14ac:dyDescent="0.2">
      <c r="A624" s="52" t="s">
        <v>1935</v>
      </c>
      <c r="B624" s="53">
        <v>45713</v>
      </c>
      <c r="C624" s="53">
        <v>45698</v>
      </c>
      <c r="D624" s="52" t="s">
        <v>709</v>
      </c>
      <c r="E624" s="52" t="s">
        <v>710</v>
      </c>
      <c r="G624" s="52" t="s">
        <v>2159</v>
      </c>
      <c r="H624" s="40" t="s">
        <v>729</v>
      </c>
      <c r="I624" s="40" t="s">
        <v>730</v>
      </c>
      <c r="J624" s="43" t="str">
        <f t="shared" si="54"/>
        <v>HDL-</v>
      </c>
      <c r="K624" s="52" t="s">
        <v>10</v>
      </c>
      <c r="L624" s="40">
        <v>2010</v>
      </c>
      <c r="M624" s="52" t="s">
        <v>1472</v>
      </c>
      <c r="N624" s="52" t="s">
        <v>11</v>
      </c>
      <c r="O624" s="54">
        <v>1.5313000000000001</v>
      </c>
      <c r="P624" s="45">
        <f t="shared" si="55"/>
        <v>3077.91</v>
      </c>
      <c r="Q624" s="46">
        <f t="shared" si="56"/>
        <v>7.3003400000000003</v>
      </c>
      <c r="R624" s="47">
        <f t="shared" si="57"/>
        <v>0.20979999999999999</v>
      </c>
      <c r="S624" s="48">
        <f t="shared" si="58"/>
        <v>421.7</v>
      </c>
      <c r="T624" s="47" t="s">
        <v>349</v>
      </c>
      <c r="U624" s="52" t="s">
        <v>228</v>
      </c>
      <c r="V624" s="38">
        <v>7.1692999999999998</v>
      </c>
      <c r="W624" s="49">
        <f t="shared" si="59"/>
        <v>429.31848297602284</v>
      </c>
    </row>
    <row r="625" spans="1:23" x14ac:dyDescent="0.2">
      <c r="A625" s="52" t="s">
        <v>1936</v>
      </c>
      <c r="B625" s="53">
        <v>45699</v>
      </c>
      <c r="C625" s="53">
        <v>45677</v>
      </c>
      <c r="D625" s="52" t="s">
        <v>5</v>
      </c>
      <c r="E625" s="52" t="s">
        <v>6</v>
      </c>
      <c r="G625" s="52" t="s">
        <v>2172</v>
      </c>
      <c r="H625" s="40" t="s">
        <v>1660</v>
      </c>
      <c r="I625" s="40" t="s">
        <v>1661</v>
      </c>
      <c r="J625" s="43" t="str">
        <f t="shared" si="54"/>
        <v>SHTS</v>
      </c>
      <c r="K625" s="52" t="s">
        <v>10</v>
      </c>
      <c r="L625" s="40">
        <v>2020</v>
      </c>
      <c r="M625" s="52" t="s">
        <v>1472</v>
      </c>
      <c r="N625" s="52" t="s">
        <v>11</v>
      </c>
      <c r="O625" s="54">
        <v>1.63</v>
      </c>
      <c r="P625" s="45">
        <f t="shared" si="55"/>
        <v>3292.6</v>
      </c>
      <c r="Q625" s="46">
        <f t="shared" si="56"/>
        <v>7.3003400000000003</v>
      </c>
      <c r="R625" s="47">
        <f t="shared" si="57"/>
        <v>0.2233</v>
      </c>
      <c r="S625" s="48">
        <f t="shared" si="58"/>
        <v>451.07</v>
      </c>
      <c r="T625" s="47" t="s">
        <v>349</v>
      </c>
      <c r="U625" s="52" t="s">
        <v>9</v>
      </c>
      <c r="V625" s="38">
        <v>7.1692999999999998</v>
      </c>
      <c r="W625" s="49">
        <f t="shared" si="59"/>
        <v>459.26380539243718</v>
      </c>
    </row>
    <row r="626" spans="1:23" x14ac:dyDescent="0.2">
      <c r="A626" s="52" t="s">
        <v>1937</v>
      </c>
      <c r="B626" s="53">
        <v>45699</v>
      </c>
      <c r="C626" s="53">
        <v>45677</v>
      </c>
      <c r="D626" s="52" t="s">
        <v>5</v>
      </c>
      <c r="E626" s="52" t="s">
        <v>6</v>
      </c>
      <c r="G626" s="52" t="s">
        <v>2172</v>
      </c>
      <c r="H626" s="40" t="s">
        <v>493</v>
      </c>
      <c r="I626" s="40" t="s">
        <v>494</v>
      </c>
      <c r="J626" s="43" t="str">
        <f t="shared" si="54"/>
        <v>SHTS</v>
      </c>
      <c r="K626" s="52" t="s">
        <v>10</v>
      </c>
      <c r="L626" s="40">
        <v>1010</v>
      </c>
      <c r="M626" s="52" t="s">
        <v>1472</v>
      </c>
      <c r="N626" s="52" t="s">
        <v>11</v>
      </c>
      <c r="O626" s="54">
        <v>1.64</v>
      </c>
      <c r="P626" s="45">
        <f t="shared" si="55"/>
        <v>1656.4</v>
      </c>
      <c r="Q626" s="46">
        <f t="shared" si="56"/>
        <v>7.3003400000000003</v>
      </c>
      <c r="R626" s="47">
        <f t="shared" si="57"/>
        <v>0.22459999999999999</v>
      </c>
      <c r="S626" s="48">
        <f t="shared" si="58"/>
        <v>226.85</v>
      </c>
      <c r="T626" s="47" t="s">
        <v>349</v>
      </c>
      <c r="U626" s="52" t="s">
        <v>9</v>
      </c>
      <c r="V626" s="38">
        <v>7.1692999999999998</v>
      </c>
      <c r="W626" s="49">
        <f t="shared" si="59"/>
        <v>231.04068737533649</v>
      </c>
    </row>
    <row r="627" spans="1:23" x14ac:dyDescent="0.2">
      <c r="A627" s="52" t="s">
        <v>1938</v>
      </c>
      <c r="B627" s="53">
        <v>45707</v>
      </c>
      <c r="C627" s="53">
        <v>45677</v>
      </c>
      <c r="D627" s="52" t="s">
        <v>5</v>
      </c>
      <c r="E627" s="52" t="s">
        <v>6</v>
      </c>
      <c r="G627" s="52" t="s">
        <v>2173</v>
      </c>
      <c r="H627" s="40" t="s">
        <v>493</v>
      </c>
      <c r="I627" s="40" t="s">
        <v>494</v>
      </c>
      <c r="J627" s="43" t="str">
        <f t="shared" si="54"/>
        <v>SHTS</v>
      </c>
      <c r="K627" s="52" t="s">
        <v>10</v>
      </c>
      <c r="L627" s="40">
        <v>2020</v>
      </c>
      <c r="M627" s="52" t="s">
        <v>1472</v>
      </c>
      <c r="N627" s="52" t="s">
        <v>11</v>
      </c>
      <c r="O627" s="54">
        <v>1.64</v>
      </c>
      <c r="P627" s="45">
        <f t="shared" si="55"/>
        <v>3312.8</v>
      </c>
      <c r="Q627" s="46">
        <f t="shared" si="56"/>
        <v>7.3003400000000003</v>
      </c>
      <c r="R627" s="47">
        <f t="shared" si="57"/>
        <v>0.22459999999999999</v>
      </c>
      <c r="S627" s="48">
        <f t="shared" si="58"/>
        <v>453.69</v>
      </c>
      <c r="T627" s="47" t="s">
        <v>349</v>
      </c>
      <c r="U627" s="52" t="s">
        <v>9</v>
      </c>
      <c r="V627" s="38">
        <v>7.1692999999999998</v>
      </c>
      <c r="W627" s="49">
        <f t="shared" si="59"/>
        <v>462.08137475067298</v>
      </c>
    </row>
    <row r="628" spans="1:23" x14ac:dyDescent="0.2">
      <c r="A628" s="52" t="s">
        <v>1939</v>
      </c>
      <c r="B628" s="53">
        <v>45713</v>
      </c>
      <c r="C628" s="53">
        <v>45671</v>
      </c>
      <c r="D628" s="52" t="s">
        <v>709</v>
      </c>
      <c r="E628" s="52" t="s">
        <v>710</v>
      </c>
      <c r="G628" s="52" t="s">
        <v>2159</v>
      </c>
      <c r="H628" s="40" t="s">
        <v>723</v>
      </c>
      <c r="I628" s="40" t="s">
        <v>724</v>
      </c>
      <c r="J628" s="43" t="str">
        <f t="shared" si="54"/>
        <v>SHDL</v>
      </c>
      <c r="K628" s="52" t="s">
        <v>10</v>
      </c>
      <c r="L628" s="40">
        <v>4100</v>
      </c>
      <c r="M628" s="52" t="s">
        <v>1472</v>
      </c>
      <c r="N628" s="52" t="s">
        <v>11</v>
      </c>
      <c r="O628" s="54">
        <v>1.6517999999999999</v>
      </c>
      <c r="P628" s="45">
        <f t="shared" si="55"/>
        <v>6772.38</v>
      </c>
      <c r="Q628" s="46">
        <f t="shared" si="56"/>
        <v>7.3003400000000003</v>
      </c>
      <c r="R628" s="47">
        <f t="shared" si="57"/>
        <v>0.2263</v>
      </c>
      <c r="S628" s="48">
        <f t="shared" si="58"/>
        <v>927.83</v>
      </c>
      <c r="T628" s="47" t="s">
        <v>349</v>
      </c>
      <c r="U628" s="52" t="s">
        <v>722</v>
      </c>
      <c r="V628" s="38">
        <v>7.1692999999999998</v>
      </c>
      <c r="W628" s="49">
        <f t="shared" si="59"/>
        <v>944.63615694698228</v>
      </c>
    </row>
    <row r="629" spans="1:23" x14ac:dyDescent="0.2">
      <c r="A629" s="52" t="s">
        <v>1940</v>
      </c>
      <c r="B629" s="53">
        <v>45713</v>
      </c>
      <c r="C629" s="53">
        <v>45695</v>
      </c>
      <c r="D629" s="52" t="s">
        <v>709</v>
      </c>
      <c r="E629" s="52" t="s">
        <v>710</v>
      </c>
      <c r="G629" s="52" t="s">
        <v>2159</v>
      </c>
      <c r="H629" s="40" t="s">
        <v>723</v>
      </c>
      <c r="I629" s="40" t="s">
        <v>724</v>
      </c>
      <c r="J629" s="43" t="str">
        <f t="shared" si="54"/>
        <v>SHDL</v>
      </c>
      <c r="K629" s="52" t="s">
        <v>10</v>
      </c>
      <c r="L629" s="40">
        <v>2000</v>
      </c>
      <c r="M629" s="52" t="s">
        <v>1472</v>
      </c>
      <c r="N629" s="52" t="s">
        <v>11</v>
      </c>
      <c r="O629" s="54">
        <v>1.6517999999999999</v>
      </c>
      <c r="P629" s="45">
        <f t="shared" si="55"/>
        <v>3303.6</v>
      </c>
      <c r="Q629" s="46">
        <f t="shared" si="56"/>
        <v>7.3003400000000003</v>
      </c>
      <c r="R629" s="47">
        <f t="shared" si="57"/>
        <v>0.2263</v>
      </c>
      <c r="S629" s="48">
        <f t="shared" si="58"/>
        <v>452.6</v>
      </c>
      <c r="T629" s="47" t="s">
        <v>349</v>
      </c>
      <c r="U629" s="52" t="s">
        <v>722</v>
      </c>
      <c r="V629" s="38">
        <v>7.1692999999999998</v>
      </c>
      <c r="W629" s="49">
        <f t="shared" si="59"/>
        <v>460.79812533999137</v>
      </c>
    </row>
    <row r="630" spans="1:23" x14ac:dyDescent="0.2">
      <c r="A630" s="52" t="s">
        <v>1941</v>
      </c>
      <c r="B630" s="53">
        <v>45699</v>
      </c>
      <c r="C630" s="53">
        <v>45653</v>
      </c>
      <c r="D630" s="52" t="s">
        <v>5</v>
      </c>
      <c r="E630" s="52" t="s">
        <v>6</v>
      </c>
      <c r="G630" s="52" t="s">
        <v>2172</v>
      </c>
      <c r="H630" s="40" t="s">
        <v>489</v>
      </c>
      <c r="I630" s="40" t="s">
        <v>490</v>
      </c>
      <c r="J630" s="43" t="str">
        <f t="shared" si="54"/>
        <v>SHTS</v>
      </c>
      <c r="K630" s="52" t="s">
        <v>10</v>
      </c>
      <c r="L630" s="40">
        <v>1010</v>
      </c>
      <c r="M630" s="52" t="s">
        <v>1472</v>
      </c>
      <c r="N630" s="52" t="s">
        <v>11</v>
      </c>
      <c r="O630" s="54">
        <v>1.66</v>
      </c>
      <c r="P630" s="45">
        <f t="shared" si="55"/>
        <v>1676.6</v>
      </c>
      <c r="Q630" s="46">
        <f t="shared" si="56"/>
        <v>7.3003400000000003</v>
      </c>
      <c r="R630" s="47">
        <f t="shared" si="57"/>
        <v>0.22739999999999999</v>
      </c>
      <c r="S630" s="48">
        <f t="shared" si="58"/>
        <v>229.67</v>
      </c>
      <c r="T630" s="47" t="s">
        <v>349</v>
      </c>
      <c r="U630" s="52" t="s">
        <v>9</v>
      </c>
      <c r="V630" s="38">
        <v>7.1692999999999998</v>
      </c>
      <c r="W630" s="49">
        <f t="shared" si="59"/>
        <v>233.85825673357232</v>
      </c>
    </row>
    <row r="631" spans="1:23" x14ac:dyDescent="0.2">
      <c r="A631" s="52" t="s">
        <v>1942</v>
      </c>
      <c r="B631" s="53">
        <v>45699</v>
      </c>
      <c r="C631" s="53">
        <v>45653</v>
      </c>
      <c r="D631" s="52" t="s">
        <v>5</v>
      </c>
      <c r="E631" s="52" t="s">
        <v>6</v>
      </c>
      <c r="G631" s="52" t="s">
        <v>2172</v>
      </c>
      <c r="H631" s="40" t="s">
        <v>489</v>
      </c>
      <c r="I631" s="40" t="s">
        <v>490</v>
      </c>
      <c r="J631" s="43" t="str">
        <f t="shared" si="54"/>
        <v>SHTS</v>
      </c>
      <c r="K631" s="52" t="s">
        <v>10</v>
      </c>
      <c r="L631" s="40">
        <v>2020</v>
      </c>
      <c r="M631" s="52" t="s">
        <v>1472</v>
      </c>
      <c r="N631" s="52" t="s">
        <v>11</v>
      </c>
      <c r="O631" s="54">
        <v>1.66</v>
      </c>
      <c r="P631" s="45">
        <f t="shared" si="55"/>
        <v>3353.2</v>
      </c>
      <c r="Q631" s="46">
        <f t="shared" si="56"/>
        <v>7.3003400000000003</v>
      </c>
      <c r="R631" s="47">
        <f t="shared" si="57"/>
        <v>0.22739999999999999</v>
      </c>
      <c r="S631" s="48">
        <f t="shared" si="58"/>
        <v>459.35</v>
      </c>
      <c r="T631" s="47" t="s">
        <v>349</v>
      </c>
      <c r="U631" s="52" t="s">
        <v>9</v>
      </c>
      <c r="V631" s="38">
        <v>7.1692999999999998</v>
      </c>
      <c r="W631" s="49">
        <f t="shared" si="59"/>
        <v>467.71651346714464</v>
      </c>
    </row>
    <row r="632" spans="1:23" x14ac:dyDescent="0.2">
      <c r="A632" s="52" t="s">
        <v>1943</v>
      </c>
      <c r="B632" s="53">
        <v>45698</v>
      </c>
      <c r="C632" s="53">
        <v>45653</v>
      </c>
      <c r="D632" s="52" t="s">
        <v>5</v>
      </c>
      <c r="E632" s="52" t="s">
        <v>6</v>
      </c>
      <c r="G632" s="52" t="s">
        <v>2174</v>
      </c>
      <c r="H632" s="40" t="s">
        <v>1662</v>
      </c>
      <c r="I632" s="40" t="s">
        <v>1663</v>
      </c>
      <c r="J632" s="43" t="str">
        <f t="shared" si="54"/>
        <v>SHTS</v>
      </c>
      <c r="K632" s="52" t="s">
        <v>10</v>
      </c>
      <c r="L632" s="40">
        <v>1010</v>
      </c>
      <c r="M632" s="52" t="s">
        <v>1472</v>
      </c>
      <c r="N632" s="52" t="s">
        <v>11</v>
      </c>
      <c r="O632" s="54">
        <v>1.77</v>
      </c>
      <c r="P632" s="45">
        <f t="shared" si="55"/>
        <v>1787.7</v>
      </c>
      <c r="Q632" s="46">
        <f t="shared" si="56"/>
        <v>7.3003400000000003</v>
      </c>
      <c r="R632" s="47">
        <f t="shared" si="57"/>
        <v>0.24249999999999999</v>
      </c>
      <c r="S632" s="48">
        <f t="shared" si="58"/>
        <v>244.93</v>
      </c>
      <c r="T632" s="47" t="s">
        <v>349</v>
      </c>
      <c r="U632" s="52" t="s">
        <v>9</v>
      </c>
      <c r="V632" s="38">
        <v>7.1692999999999998</v>
      </c>
      <c r="W632" s="49">
        <f t="shared" si="59"/>
        <v>249.35488820386928</v>
      </c>
    </row>
    <row r="633" spans="1:23" x14ac:dyDescent="0.2">
      <c r="A633" s="52" t="s">
        <v>1944</v>
      </c>
      <c r="B633" s="53">
        <v>45699</v>
      </c>
      <c r="C633" s="53">
        <v>45677</v>
      </c>
      <c r="D633" s="52" t="s">
        <v>5</v>
      </c>
      <c r="E633" s="52" t="s">
        <v>6</v>
      </c>
      <c r="G633" s="52" t="s">
        <v>2172</v>
      </c>
      <c r="H633" s="40" t="s">
        <v>1664</v>
      </c>
      <c r="I633" s="40" t="s">
        <v>1665</v>
      </c>
      <c r="J633" s="43" t="str">
        <f t="shared" si="54"/>
        <v>SHTS</v>
      </c>
      <c r="K633" s="52" t="s">
        <v>10</v>
      </c>
      <c r="L633" s="40">
        <v>3020</v>
      </c>
      <c r="M633" s="52" t="s">
        <v>1472</v>
      </c>
      <c r="N633" s="52" t="s">
        <v>11</v>
      </c>
      <c r="O633" s="54">
        <v>1.82</v>
      </c>
      <c r="P633" s="45">
        <f t="shared" si="55"/>
        <v>5496.4</v>
      </c>
      <c r="Q633" s="46">
        <f t="shared" si="56"/>
        <v>7.3003400000000003</v>
      </c>
      <c r="R633" s="47">
        <f t="shared" si="57"/>
        <v>0.24929999999999999</v>
      </c>
      <c r="S633" s="48">
        <f t="shared" si="58"/>
        <v>752.89</v>
      </c>
      <c r="T633" s="47" t="s">
        <v>349</v>
      </c>
      <c r="U633" s="52" t="s">
        <v>9</v>
      </c>
      <c r="V633" s="38">
        <v>7.1692999999999998</v>
      </c>
      <c r="W633" s="49">
        <f t="shared" si="59"/>
        <v>766.65783270333236</v>
      </c>
    </row>
    <row r="634" spans="1:23" x14ac:dyDescent="0.2">
      <c r="A634" s="52" t="s">
        <v>1945</v>
      </c>
      <c r="B634" s="53">
        <v>45713</v>
      </c>
      <c r="C634" s="53">
        <v>45671</v>
      </c>
      <c r="D634" s="52" t="s">
        <v>709</v>
      </c>
      <c r="E634" s="52" t="s">
        <v>710</v>
      </c>
      <c r="G634" s="52" t="s">
        <v>2166</v>
      </c>
      <c r="H634" s="40" t="s">
        <v>732</v>
      </c>
      <c r="I634" s="40" t="s">
        <v>733</v>
      </c>
      <c r="J634" s="43" t="str">
        <f t="shared" si="54"/>
        <v>HDL-</v>
      </c>
      <c r="K634" s="52" t="s">
        <v>10</v>
      </c>
      <c r="L634" s="40">
        <v>6300</v>
      </c>
      <c r="M634" s="52" t="s">
        <v>1472</v>
      </c>
      <c r="N634" s="52" t="s">
        <v>11</v>
      </c>
      <c r="O634" s="54">
        <v>1.849</v>
      </c>
      <c r="P634" s="45">
        <f t="shared" si="55"/>
        <v>11648.7</v>
      </c>
      <c r="Q634" s="46">
        <f t="shared" si="56"/>
        <v>7.3003400000000003</v>
      </c>
      <c r="R634" s="47">
        <f t="shared" si="57"/>
        <v>0.25330000000000003</v>
      </c>
      <c r="S634" s="48">
        <f t="shared" si="58"/>
        <v>1595.79</v>
      </c>
      <c r="T634" s="47" t="s">
        <v>349</v>
      </c>
      <c r="U634" s="52" t="s">
        <v>228</v>
      </c>
      <c r="V634" s="38">
        <v>7.1692999999999998</v>
      </c>
      <c r="W634" s="49">
        <f t="shared" si="59"/>
        <v>1624.8029793703708</v>
      </c>
    </row>
    <row r="635" spans="1:23" x14ac:dyDescent="0.2">
      <c r="A635" s="52" t="s">
        <v>1946</v>
      </c>
      <c r="B635" s="53">
        <v>45707</v>
      </c>
      <c r="C635" s="53">
        <v>45664</v>
      </c>
      <c r="D635" s="52" t="s">
        <v>2249</v>
      </c>
      <c r="E635" s="52" t="s">
        <v>2250</v>
      </c>
      <c r="G635" s="52" t="s">
        <v>2175</v>
      </c>
      <c r="H635" s="40" t="s">
        <v>1666</v>
      </c>
      <c r="I635" s="40" t="s">
        <v>1667</v>
      </c>
      <c r="J635" s="43" t="str">
        <f t="shared" si="54"/>
        <v>SHDL</v>
      </c>
      <c r="K635" s="52" t="s">
        <v>10</v>
      </c>
      <c r="L635" s="40">
        <v>2000</v>
      </c>
      <c r="M635" s="52" t="s">
        <v>1472</v>
      </c>
      <c r="N635" s="52" t="s">
        <v>11</v>
      </c>
      <c r="O635" s="54">
        <v>1.8651</v>
      </c>
      <c r="P635" s="45">
        <f t="shared" si="55"/>
        <v>3730.2</v>
      </c>
      <c r="Q635" s="46">
        <f t="shared" si="56"/>
        <v>7.3003400000000003</v>
      </c>
      <c r="R635" s="47">
        <f t="shared" si="57"/>
        <v>0.2555</v>
      </c>
      <c r="S635" s="48">
        <f t="shared" si="58"/>
        <v>511</v>
      </c>
      <c r="T635" s="47" t="s">
        <v>349</v>
      </c>
      <c r="U635" s="52" t="s">
        <v>722</v>
      </c>
      <c r="V635" s="38">
        <v>7.1692999999999998</v>
      </c>
      <c r="W635" s="49">
        <f t="shared" si="59"/>
        <v>520.3018425787734</v>
      </c>
    </row>
    <row r="636" spans="1:23" x14ac:dyDescent="0.2">
      <c r="A636" s="52" t="s">
        <v>1947</v>
      </c>
      <c r="B636" s="53">
        <v>45713</v>
      </c>
      <c r="C636" s="53">
        <v>45695</v>
      </c>
      <c r="D636" s="52" t="s">
        <v>709</v>
      </c>
      <c r="E636" s="52" t="s">
        <v>710</v>
      </c>
      <c r="G636" s="52" t="s">
        <v>2166</v>
      </c>
      <c r="H636" s="40" t="s">
        <v>732</v>
      </c>
      <c r="I636" s="40" t="s">
        <v>733</v>
      </c>
      <c r="J636" s="43" t="str">
        <f t="shared" si="54"/>
        <v>HDL-</v>
      </c>
      <c r="K636" s="52" t="s">
        <v>10</v>
      </c>
      <c r="L636" s="40">
        <v>3000</v>
      </c>
      <c r="M636" s="52" t="s">
        <v>1472</v>
      </c>
      <c r="N636" s="52" t="s">
        <v>11</v>
      </c>
      <c r="O636" s="54">
        <v>1.8681000000000001</v>
      </c>
      <c r="P636" s="45">
        <f t="shared" si="55"/>
        <v>5604.3</v>
      </c>
      <c r="Q636" s="46">
        <f t="shared" si="56"/>
        <v>7.3003400000000003</v>
      </c>
      <c r="R636" s="47">
        <f t="shared" si="57"/>
        <v>0.25590000000000002</v>
      </c>
      <c r="S636" s="48">
        <f t="shared" si="58"/>
        <v>767.7</v>
      </c>
      <c r="T636" s="47" t="s">
        <v>349</v>
      </c>
      <c r="U636" s="52" t="s">
        <v>228</v>
      </c>
      <c r="V636" s="38">
        <v>7.1692999999999998</v>
      </c>
      <c r="W636" s="49">
        <f t="shared" si="59"/>
        <v>781.7081165525226</v>
      </c>
    </row>
    <row r="637" spans="1:23" x14ac:dyDescent="0.2">
      <c r="A637" s="52" t="s">
        <v>1948</v>
      </c>
      <c r="B637" s="53">
        <v>45713</v>
      </c>
      <c r="C637" s="53">
        <v>45670</v>
      </c>
      <c r="D637" s="52" t="s">
        <v>709</v>
      </c>
      <c r="E637" s="52" t="s">
        <v>710</v>
      </c>
      <c r="G637" s="52" t="s">
        <v>2160</v>
      </c>
      <c r="H637" s="40" t="s">
        <v>719</v>
      </c>
      <c r="I637" s="40" t="s">
        <v>720</v>
      </c>
      <c r="J637" s="43" t="str">
        <f t="shared" si="54"/>
        <v>SHDL</v>
      </c>
      <c r="K637" s="52" t="s">
        <v>10</v>
      </c>
      <c r="L637" s="40">
        <v>2030</v>
      </c>
      <c r="M637" s="52" t="s">
        <v>1472</v>
      </c>
      <c r="N637" s="52" t="s">
        <v>11</v>
      </c>
      <c r="O637" s="54">
        <v>1.8811</v>
      </c>
      <c r="P637" s="45">
        <f t="shared" si="55"/>
        <v>3818.63</v>
      </c>
      <c r="Q637" s="46">
        <f t="shared" si="56"/>
        <v>7.3003400000000003</v>
      </c>
      <c r="R637" s="47">
        <f t="shared" si="57"/>
        <v>0.25769999999999998</v>
      </c>
      <c r="S637" s="48">
        <f t="shared" si="58"/>
        <v>523.13</v>
      </c>
      <c r="T637" s="47" t="s">
        <v>349</v>
      </c>
      <c r="U637" s="52" t="s">
        <v>722</v>
      </c>
      <c r="V637" s="38">
        <v>7.1692999999999998</v>
      </c>
      <c r="W637" s="49">
        <f t="shared" si="59"/>
        <v>532.63679857168756</v>
      </c>
    </row>
    <row r="638" spans="1:23" x14ac:dyDescent="0.2">
      <c r="A638" s="52" t="s">
        <v>1949</v>
      </c>
      <c r="B638" s="53">
        <v>45713</v>
      </c>
      <c r="C638" s="53">
        <v>45671</v>
      </c>
      <c r="D638" s="52" t="s">
        <v>709</v>
      </c>
      <c r="E638" s="52" t="s">
        <v>710</v>
      </c>
      <c r="G638" s="52" t="s">
        <v>2160</v>
      </c>
      <c r="H638" s="40" t="s">
        <v>719</v>
      </c>
      <c r="I638" s="40" t="s">
        <v>720</v>
      </c>
      <c r="J638" s="43" t="str">
        <f t="shared" si="54"/>
        <v>SHDL</v>
      </c>
      <c r="K638" s="52" t="s">
        <v>10</v>
      </c>
      <c r="L638" s="40">
        <v>4100</v>
      </c>
      <c r="M638" s="52" t="s">
        <v>1472</v>
      </c>
      <c r="N638" s="52" t="s">
        <v>11</v>
      </c>
      <c r="O638" s="54">
        <v>1.8811</v>
      </c>
      <c r="P638" s="45">
        <f t="shared" si="55"/>
        <v>7712.51</v>
      </c>
      <c r="Q638" s="46">
        <f t="shared" si="56"/>
        <v>7.3003400000000003</v>
      </c>
      <c r="R638" s="47">
        <f t="shared" si="57"/>
        <v>0.25769999999999998</v>
      </c>
      <c r="S638" s="48">
        <f t="shared" si="58"/>
        <v>1056.57</v>
      </c>
      <c r="T638" s="47" t="s">
        <v>349</v>
      </c>
      <c r="U638" s="52" t="s">
        <v>722</v>
      </c>
      <c r="V638" s="38">
        <v>7.1692999999999998</v>
      </c>
      <c r="W638" s="49">
        <f t="shared" si="59"/>
        <v>1075.768903519172</v>
      </c>
    </row>
    <row r="639" spans="1:23" x14ac:dyDescent="0.2">
      <c r="A639" s="52" t="s">
        <v>1950</v>
      </c>
      <c r="B639" s="53">
        <v>45713</v>
      </c>
      <c r="C639" s="53">
        <v>45695</v>
      </c>
      <c r="D639" s="52" t="s">
        <v>709</v>
      </c>
      <c r="E639" s="52" t="s">
        <v>710</v>
      </c>
      <c r="G639" s="52" t="s">
        <v>2160</v>
      </c>
      <c r="H639" s="40" t="s">
        <v>719</v>
      </c>
      <c r="I639" s="40" t="s">
        <v>720</v>
      </c>
      <c r="J639" s="43" t="str">
        <f t="shared" si="54"/>
        <v>SHDL</v>
      </c>
      <c r="K639" s="52" t="s">
        <v>10</v>
      </c>
      <c r="L639" s="40">
        <v>2000</v>
      </c>
      <c r="M639" s="52" t="s">
        <v>1472</v>
      </c>
      <c r="N639" s="52" t="s">
        <v>11</v>
      </c>
      <c r="O639" s="54">
        <v>1.8811</v>
      </c>
      <c r="P639" s="45">
        <f t="shared" si="55"/>
        <v>3762.2</v>
      </c>
      <c r="Q639" s="46">
        <f t="shared" si="56"/>
        <v>7.3003400000000003</v>
      </c>
      <c r="R639" s="47">
        <f t="shared" si="57"/>
        <v>0.25769999999999998</v>
      </c>
      <c r="S639" s="48">
        <f t="shared" si="58"/>
        <v>515.4</v>
      </c>
      <c r="T639" s="47" t="s">
        <v>349</v>
      </c>
      <c r="U639" s="52" t="s">
        <v>722</v>
      </c>
      <c r="V639" s="38">
        <v>7.1692999999999998</v>
      </c>
      <c r="W639" s="49">
        <f t="shared" si="59"/>
        <v>524.76531878983997</v>
      </c>
    </row>
    <row r="640" spans="1:23" x14ac:dyDescent="0.2">
      <c r="A640" s="52" t="s">
        <v>1951</v>
      </c>
      <c r="B640" s="53">
        <v>45713</v>
      </c>
      <c r="C640" s="53">
        <v>45670</v>
      </c>
      <c r="D640" s="52" t="s">
        <v>709</v>
      </c>
      <c r="E640" s="52" t="s">
        <v>710</v>
      </c>
      <c r="G640" s="52" t="s">
        <v>2166</v>
      </c>
      <c r="H640" s="40" t="s">
        <v>732</v>
      </c>
      <c r="I640" s="40" t="s">
        <v>733</v>
      </c>
      <c r="J640" s="43" t="str">
        <f t="shared" si="54"/>
        <v>HDL-</v>
      </c>
      <c r="K640" s="52" t="s">
        <v>10</v>
      </c>
      <c r="L640" s="40">
        <v>1900</v>
      </c>
      <c r="M640" s="52" t="s">
        <v>1472</v>
      </c>
      <c r="N640" s="52" t="s">
        <v>11</v>
      </c>
      <c r="O640" s="54">
        <v>1.9061999999999999</v>
      </c>
      <c r="P640" s="45">
        <f t="shared" si="55"/>
        <v>3621.78</v>
      </c>
      <c r="Q640" s="46">
        <f t="shared" si="56"/>
        <v>7.3003400000000003</v>
      </c>
      <c r="R640" s="47">
        <f t="shared" si="57"/>
        <v>0.2611</v>
      </c>
      <c r="S640" s="48">
        <f t="shared" si="58"/>
        <v>496.09</v>
      </c>
      <c r="T640" s="47" t="s">
        <v>349</v>
      </c>
      <c r="U640" s="52" t="s">
        <v>228</v>
      </c>
      <c r="V640" s="38">
        <v>7.1692999999999998</v>
      </c>
      <c r="W640" s="49">
        <f t="shared" si="59"/>
        <v>505.17902724115322</v>
      </c>
    </row>
    <row r="641" spans="1:23" x14ac:dyDescent="0.2">
      <c r="A641" s="52" t="s">
        <v>1952</v>
      </c>
      <c r="B641" s="53">
        <v>45707</v>
      </c>
      <c r="C641" s="53">
        <v>45706</v>
      </c>
      <c r="D641" s="52" t="s">
        <v>5</v>
      </c>
      <c r="E641" s="52" t="s">
        <v>6</v>
      </c>
      <c r="G641" s="52" t="s">
        <v>2173</v>
      </c>
      <c r="H641" s="40" t="s">
        <v>1668</v>
      </c>
      <c r="I641" s="40" t="s">
        <v>1669</v>
      </c>
      <c r="J641" s="43" t="str">
        <f t="shared" si="54"/>
        <v>SHTS</v>
      </c>
      <c r="K641" s="52" t="s">
        <v>10</v>
      </c>
      <c r="L641" s="40">
        <v>2010</v>
      </c>
      <c r="M641" s="52" t="s">
        <v>1472</v>
      </c>
      <c r="N641" s="52" t="s">
        <v>11</v>
      </c>
      <c r="O641" s="54">
        <v>1.96</v>
      </c>
      <c r="P641" s="45">
        <f t="shared" si="55"/>
        <v>3939.6</v>
      </c>
      <c r="Q641" s="46">
        <f t="shared" si="56"/>
        <v>7.3003400000000003</v>
      </c>
      <c r="R641" s="47">
        <f t="shared" si="57"/>
        <v>0.26850000000000002</v>
      </c>
      <c r="S641" s="48">
        <f t="shared" si="58"/>
        <v>539.69000000000005</v>
      </c>
      <c r="T641" s="47" t="s">
        <v>349</v>
      </c>
      <c r="U641" s="52" t="s">
        <v>9</v>
      </c>
      <c r="V641" s="38">
        <v>7.1692999999999998</v>
      </c>
      <c r="W641" s="49">
        <f t="shared" si="59"/>
        <v>549.50971503494065</v>
      </c>
    </row>
    <row r="642" spans="1:23" x14ac:dyDescent="0.2">
      <c r="A642" s="52" t="s">
        <v>1953</v>
      </c>
      <c r="B642" s="53">
        <v>45699</v>
      </c>
      <c r="C642" s="53">
        <v>45677</v>
      </c>
      <c r="D642" s="52" t="s">
        <v>5</v>
      </c>
      <c r="E642" s="52" t="s">
        <v>6</v>
      </c>
      <c r="G642" s="52" t="s">
        <v>2172</v>
      </c>
      <c r="H642" s="40" t="s">
        <v>1670</v>
      </c>
      <c r="I642" s="40" t="s">
        <v>1671</v>
      </c>
      <c r="J642" s="43" t="str">
        <f t="shared" ref="J642:J705" si="60">+LEFT(U642,4)</f>
        <v>SHTS</v>
      </c>
      <c r="K642" s="52" t="s">
        <v>10</v>
      </c>
      <c r="L642" s="40">
        <v>1010</v>
      </c>
      <c r="M642" s="52" t="s">
        <v>1472</v>
      </c>
      <c r="N642" s="52" t="s">
        <v>11</v>
      </c>
      <c r="O642" s="54">
        <v>2.02</v>
      </c>
      <c r="P642" s="45">
        <f t="shared" ref="P642:P705" si="61">ROUND(O642*L642,2)</f>
        <v>2040.2</v>
      </c>
      <c r="Q642" s="46">
        <f t="shared" ref="Q642:Q705" si="62">IF(N642="HKD",7.8,IF(N642="CNY",7.30034,1))</f>
        <v>7.3003400000000003</v>
      </c>
      <c r="R642" s="47">
        <f t="shared" ref="R642:R705" si="63">+ROUND(O642/Q642,4)</f>
        <v>0.2767</v>
      </c>
      <c r="S642" s="48">
        <f t="shared" ref="S642:S705" si="64">ROUND(R642*L642,2)</f>
        <v>279.47000000000003</v>
      </c>
      <c r="T642" s="47" t="s">
        <v>349</v>
      </c>
      <c r="U642" s="52" t="s">
        <v>9</v>
      </c>
      <c r="V642" s="38">
        <v>7.1692999999999998</v>
      </c>
      <c r="W642" s="49">
        <f t="shared" ref="W642:W705" si="65">IF(N642="CNY",O642/V642*L642,1)</f>
        <v>284.57450518181696</v>
      </c>
    </row>
    <row r="643" spans="1:23" x14ac:dyDescent="0.2">
      <c r="A643" s="52" t="s">
        <v>1954</v>
      </c>
      <c r="B643" s="53">
        <v>45715</v>
      </c>
      <c r="C643" s="53">
        <v>45677</v>
      </c>
      <c r="D643" s="52" t="s">
        <v>5</v>
      </c>
      <c r="E643" s="52" t="s">
        <v>6</v>
      </c>
      <c r="G643" s="52" t="s">
        <v>2176</v>
      </c>
      <c r="H643" s="40" t="s">
        <v>1670</v>
      </c>
      <c r="I643" s="40" t="s">
        <v>1671</v>
      </c>
      <c r="J643" s="43" t="str">
        <f t="shared" si="60"/>
        <v>SHTS</v>
      </c>
      <c r="K643" s="52" t="s">
        <v>10</v>
      </c>
      <c r="L643" s="40">
        <v>1010</v>
      </c>
      <c r="M643" s="52" t="s">
        <v>1472</v>
      </c>
      <c r="N643" s="52" t="s">
        <v>11</v>
      </c>
      <c r="O643" s="54">
        <v>2.02</v>
      </c>
      <c r="P643" s="45">
        <f t="shared" si="61"/>
        <v>2040.2</v>
      </c>
      <c r="Q643" s="46">
        <f t="shared" si="62"/>
        <v>7.3003400000000003</v>
      </c>
      <c r="R643" s="47">
        <f t="shared" si="63"/>
        <v>0.2767</v>
      </c>
      <c r="S643" s="48">
        <f t="shared" si="64"/>
        <v>279.47000000000003</v>
      </c>
      <c r="T643" s="47" t="s">
        <v>349</v>
      </c>
      <c r="U643" s="52" t="s">
        <v>9</v>
      </c>
      <c r="V643" s="38">
        <v>7.1692999999999998</v>
      </c>
      <c r="W643" s="49">
        <f t="shared" si="65"/>
        <v>284.57450518181696</v>
      </c>
    </row>
    <row r="644" spans="1:23" x14ac:dyDescent="0.2">
      <c r="A644" s="52" t="s">
        <v>1955</v>
      </c>
      <c r="B644" s="53">
        <v>45699</v>
      </c>
      <c r="C644" s="53">
        <v>45677</v>
      </c>
      <c r="D644" s="52" t="s">
        <v>5</v>
      </c>
      <c r="E644" s="52" t="s">
        <v>6</v>
      </c>
      <c r="G644" s="52" t="s">
        <v>2172</v>
      </c>
      <c r="H644" s="40" t="s">
        <v>1672</v>
      </c>
      <c r="I644" s="40" t="s">
        <v>1673</v>
      </c>
      <c r="J644" s="43" t="str">
        <f t="shared" si="60"/>
        <v>SHTS</v>
      </c>
      <c r="K644" s="52" t="s">
        <v>10</v>
      </c>
      <c r="L644" s="40">
        <v>2020</v>
      </c>
      <c r="M644" s="52" t="s">
        <v>1472</v>
      </c>
      <c r="N644" s="52" t="s">
        <v>11</v>
      </c>
      <c r="O644" s="54">
        <v>2.12</v>
      </c>
      <c r="P644" s="45">
        <f t="shared" si="61"/>
        <v>4282.3999999999996</v>
      </c>
      <c r="Q644" s="46">
        <f t="shared" si="62"/>
        <v>7.3003400000000003</v>
      </c>
      <c r="R644" s="47">
        <f t="shared" si="63"/>
        <v>0.29039999999999999</v>
      </c>
      <c r="S644" s="48">
        <f t="shared" si="64"/>
        <v>586.61</v>
      </c>
      <c r="T644" s="47" t="s">
        <v>349</v>
      </c>
      <c r="U644" s="52" t="s">
        <v>9</v>
      </c>
      <c r="V644" s="38">
        <v>7.1692999999999998</v>
      </c>
      <c r="W644" s="49">
        <f t="shared" si="65"/>
        <v>597.32470394599193</v>
      </c>
    </row>
    <row r="645" spans="1:23" x14ac:dyDescent="0.2">
      <c r="A645" s="52" t="s">
        <v>1956</v>
      </c>
      <c r="B645" s="53">
        <v>45712</v>
      </c>
      <c r="C645" s="53">
        <v>45695</v>
      </c>
      <c r="D645" s="52" t="s">
        <v>651</v>
      </c>
      <c r="E645" s="52" t="s">
        <v>652</v>
      </c>
      <c r="G645" s="52" t="s">
        <v>2177</v>
      </c>
      <c r="H645" s="40" t="s">
        <v>1674</v>
      </c>
      <c r="I645" s="40" t="s">
        <v>1675</v>
      </c>
      <c r="J645" s="43" t="str">
        <f t="shared" si="60"/>
        <v>HDL-</v>
      </c>
      <c r="K645" s="52" t="s">
        <v>10</v>
      </c>
      <c r="L645" s="40">
        <v>1300</v>
      </c>
      <c r="M645" s="52" t="s">
        <v>1472</v>
      </c>
      <c r="N645" s="52" t="s">
        <v>11</v>
      </c>
      <c r="O645" s="54">
        <v>2.1269999999999998</v>
      </c>
      <c r="P645" s="45">
        <f t="shared" si="61"/>
        <v>2765.1</v>
      </c>
      <c r="Q645" s="46">
        <f t="shared" si="62"/>
        <v>7.3003400000000003</v>
      </c>
      <c r="R645" s="47">
        <f t="shared" si="63"/>
        <v>0.29139999999999999</v>
      </c>
      <c r="S645" s="48">
        <f t="shared" si="64"/>
        <v>378.82</v>
      </c>
      <c r="T645" s="47" t="s">
        <v>349</v>
      </c>
      <c r="U645" s="52" t="s">
        <v>228</v>
      </c>
      <c r="V645" s="38">
        <v>7.1692999999999998</v>
      </c>
      <c r="W645" s="49">
        <f t="shared" si="65"/>
        <v>385.68618972563564</v>
      </c>
    </row>
    <row r="646" spans="1:23" x14ac:dyDescent="0.2">
      <c r="A646" s="52" t="s">
        <v>1957</v>
      </c>
      <c r="B646" s="53">
        <v>45712</v>
      </c>
      <c r="C646" s="53">
        <v>45698</v>
      </c>
      <c r="D646" s="52" t="s">
        <v>651</v>
      </c>
      <c r="E646" s="52" t="s">
        <v>652</v>
      </c>
      <c r="G646" s="52" t="s">
        <v>2177</v>
      </c>
      <c r="H646" s="40" t="s">
        <v>1674</v>
      </c>
      <c r="I646" s="40" t="s">
        <v>1675</v>
      </c>
      <c r="J646" s="43" t="str">
        <f t="shared" si="60"/>
        <v>HDL-</v>
      </c>
      <c r="K646" s="52" t="s">
        <v>10</v>
      </c>
      <c r="L646" s="40">
        <v>500</v>
      </c>
      <c r="M646" s="52" t="s">
        <v>1472</v>
      </c>
      <c r="N646" s="52" t="s">
        <v>11</v>
      </c>
      <c r="O646" s="54">
        <v>2.1269999999999998</v>
      </c>
      <c r="P646" s="45">
        <f t="shared" si="61"/>
        <v>1063.5</v>
      </c>
      <c r="Q646" s="46">
        <f t="shared" si="62"/>
        <v>7.3003400000000003</v>
      </c>
      <c r="R646" s="47">
        <f t="shared" si="63"/>
        <v>0.29139999999999999</v>
      </c>
      <c r="S646" s="48">
        <f t="shared" si="64"/>
        <v>145.69999999999999</v>
      </c>
      <c r="T646" s="47" t="s">
        <v>349</v>
      </c>
      <c r="U646" s="52" t="s">
        <v>228</v>
      </c>
      <c r="V646" s="38">
        <v>7.1692999999999998</v>
      </c>
      <c r="W646" s="49">
        <f t="shared" si="65"/>
        <v>148.34084220216755</v>
      </c>
    </row>
    <row r="647" spans="1:23" x14ac:dyDescent="0.2">
      <c r="A647" s="52" t="s">
        <v>1958</v>
      </c>
      <c r="B647" s="53">
        <v>45699</v>
      </c>
      <c r="C647" s="53">
        <v>45677</v>
      </c>
      <c r="D647" s="52" t="s">
        <v>5</v>
      </c>
      <c r="E647" s="52" t="s">
        <v>6</v>
      </c>
      <c r="G647" s="52" t="s">
        <v>2172</v>
      </c>
      <c r="H647" s="40" t="s">
        <v>1676</v>
      </c>
      <c r="I647" s="40" t="s">
        <v>1677</v>
      </c>
      <c r="J647" s="43" t="str">
        <f t="shared" si="60"/>
        <v>SHTS</v>
      </c>
      <c r="K647" s="52" t="s">
        <v>10</v>
      </c>
      <c r="L647" s="40">
        <v>1010</v>
      </c>
      <c r="M647" s="52" t="s">
        <v>1472</v>
      </c>
      <c r="N647" s="52" t="s">
        <v>11</v>
      </c>
      <c r="O647" s="54">
        <v>2.27</v>
      </c>
      <c r="P647" s="45">
        <f t="shared" si="61"/>
        <v>2292.6999999999998</v>
      </c>
      <c r="Q647" s="46">
        <f t="shared" si="62"/>
        <v>7.3003400000000003</v>
      </c>
      <c r="R647" s="47">
        <f t="shared" si="63"/>
        <v>0.31090000000000001</v>
      </c>
      <c r="S647" s="48">
        <f t="shared" si="64"/>
        <v>314.01</v>
      </c>
      <c r="T647" s="47" t="s">
        <v>349</v>
      </c>
      <c r="U647" s="52" t="s">
        <v>9</v>
      </c>
      <c r="V647" s="38">
        <v>7.1692999999999998</v>
      </c>
      <c r="W647" s="49">
        <f t="shared" si="65"/>
        <v>319.79412215976453</v>
      </c>
    </row>
    <row r="648" spans="1:23" x14ac:dyDescent="0.2">
      <c r="A648" s="52" t="s">
        <v>1959</v>
      </c>
      <c r="B648" s="53">
        <v>45712</v>
      </c>
      <c r="C648" s="53">
        <v>45695</v>
      </c>
      <c r="D648" s="52" t="s">
        <v>651</v>
      </c>
      <c r="E648" s="52" t="s">
        <v>652</v>
      </c>
      <c r="G648" s="52" t="s">
        <v>2177</v>
      </c>
      <c r="H648" s="40" t="s">
        <v>1678</v>
      </c>
      <c r="I648" s="40" t="s">
        <v>1679</v>
      </c>
      <c r="J648" s="43" t="str">
        <f t="shared" si="60"/>
        <v>HDL-</v>
      </c>
      <c r="K648" s="52" t="s">
        <v>10</v>
      </c>
      <c r="L648" s="40">
        <v>950</v>
      </c>
      <c r="M648" s="52" t="s">
        <v>1472</v>
      </c>
      <c r="N648" s="52" t="s">
        <v>11</v>
      </c>
      <c r="O648" s="54">
        <v>2.2766999999999999</v>
      </c>
      <c r="P648" s="45">
        <f t="shared" si="61"/>
        <v>2162.87</v>
      </c>
      <c r="Q648" s="46">
        <f t="shared" si="62"/>
        <v>7.3003400000000003</v>
      </c>
      <c r="R648" s="47">
        <f t="shared" si="63"/>
        <v>0.31190000000000001</v>
      </c>
      <c r="S648" s="48">
        <f t="shared" si="64"/>
        <v>296.31</v>
      </c>
      <c r="T648" s="47" t="s">
        <v>349</v>
      </c>
      <c r="U648" s="52" t="s">
        <v>228</v>
      </c>
      <c r="V648" s="38">
        <v>7.1692999999999998</v>
      </c>
      <c r="W648" s="49">
        <f t="shared" si="65"/>
        <v>301.68426485151969</v>
      </c>
    </row>
    <row r="649" spans="1:23" x14ac:dyDescent="0.2">
      <c r="A649" s="52" t="s">
        <v>1960</v>
      </c>
      <c r="B649" s="53">
        <v>45698</v>
      </c>
      <c r="C649" s="53">
        <v>45677</v>
      </c>
      <c r="D649" s="52" t="s">
        <v>5</v>
      </c>
      <c r="E649" s="52" t="s">
        <v>6</v>
      </c>
      <c r="G649" s="52" t="s">
        <v>2174</v>
      </c>
      <c r="H649" s="40" t="s">
        <v>512</v>
      </c>
      <c r="I649" s="40" t="s">
        <v>513</v>
      </c>
      <c r="J649" s="43" t="str">
        <f t="shared" si="60"/>
        <v>SHTS</v>
      </c>
      <c r="K649" s="52" t="s">
        <v>10</v>
      </c>
      <c r="L649" s="40">
        <v>1010</v>
      </c>
      <c r="M649" s="52" t="s">
        <v>1472</v>
      </c>
      <c r="N649" s="52" t="s">
        <v>11</v>
      </c>
      <c r="O649" s="54">
        <v>2.56</v>
      </c>
      <c r="P649" s="45">
        <f t="shared" si="61"/>
        <v>2585.6</v>
      </c>
      <c r="Q649" s="46">
        <f t="shared" si="62"/>
        <v>7.3003400000000003</v>
      </c>
      <c r="R649" s="47">
        <f t="shared" si="63"/>
        <v>0.35070000000000001</v>
      </c>
      <c r="S649" s="48">
        <f t="shared" si="64"/>
        <v>354.21</v>
      </c>
      <c r="T649" s="47" t="s">
        <v>349</v>
      </c>
      <c r="U649" s="52" t="s">
        <v>9</v>
      </c>
      <c r="V649" s="38">
        <v>7.1692999999999998</v>
      </c>
      <c r="W649" s="49">
        <f t="shared" si="65"/>
        <v>360.64887785418387</v>
      </c>
    </row>
    <row r="650" spans="1:23" x14ac:dyDescent="0.2">
      <c r="A650" s="52" t="s">
        <v>1961</v>
      </c>
      <c r="B650" s="53">
        <v>45707</v>
      </c>
      <c r="C650" s="53">
        <v>45677</v>
      </c>
      <c r="D650" s="52" t="s">
        <v>5</v>
      </c>
      <c r="E650" s="52" t="s">
        <v>6</v>
      </c>
      <c r="G650" s="52" t="s">
        <v>2173</v>
      </c>
      <c r="H650" s="40" t="s">
        <v>1680</v>
      </c>
      <c r="I650" s="40" t="s">
        <v>1681</v>
      </c>
      <c r="J650" s="43" t="str">
        <f t="shared" si="60"/>
        <v>SHTS</v>
      </c>
      <c r="K650" s="52" t="s">
        <v>10</v>
      </c>
      <c r="L650" s="40">
        <v>1260</v>
      </c>
      <c r="M650" s="52" t="s">
        <v>1472</v>
      </c>
      <c r="N650" s="52" t="s">
        <v>11</v>
      </c>
      <c r="O650" s="54">
        <v>2.59</v>
      </c>
      <c r="P650" s="45">
        <f t="shared" si="61"/>
        <v>3263.4</v>
      </c>
      <c r="Q650" s="46">
        <f t="shared" si="62"/>
        <v>7.3003400000000003</v>
      </c>
      <c r="R650" s="47">
        <f t="shared" si="63"/>
        <v>0.3548</v>
      </c>
      <c r="S650" s="48">
        <f t="shared" si="64"/>
        <v>447.05</v>
      </c>
      <c r="T650" s="47" t="s">
        <v>349</v>
      </c>
      <c r="U650" s="52" t="s">
        <v>9</v>
      </c>
      <c r="V650" s="38">
        <v>7.1692999999999998</v>
      </c>
      <c r="W650" s="49">
        <f t="shared" si="65"/>
        <v>455.19088334983888</v>
      </c>
    </row>
    <row r="651" spans="1:23" x14ac:dyDescent="0.2">
      <c r="A651" s="52" t="s">
        <v>1962</v>
      </c>
      <c r="B651" s="53">
        <v>45699</v>
      </c>
      <c r="C651" s="53">
        <v>45677</v>
      </c>
      <c r="D651" s="52" t="s">
        <v>5</v>
      </c>
      <c r="E651" s="52" t="s">
        <v>6</v>
      </c>
      <c r="G651" s="52" t="s">
        <v>2172</v>
      </c>
      <c r="H651" s="40" t="s">
        <v>1680</v>
      </c>
      <c r="I651" s="40" t="s">
        <v>1681</v>
      </c>
      <c r="J651" s="43" t="str">
        <f t="shared" si="60"/>
        <v>SHTS</v>
      </c>
      <c r="K651" s="52" t="s">
        <v>10</v>
      </c>
      <c r="L651" s="40">
        <v>1260</v>
      </c>
      <c r="M651" s="52" t="s">
        <v>1472</v>
      </c>
      <c r="N651" s="52" t="s">
        <v>11</v>
      </c>
      <c r="O651" s="54">
        <v>2.59</v>
      </c>
      <c r="P651" s="45">
        <f t="shared" si="61"/>
        <v>3263.4</v>
      </c>
      <c r="Q651" s="46">
        <f t="shared" si="62"/>
        <v>7.3003400000000003</v>
      </c>
      <c r="R651" s="47">
        <f t="shared" si="63"/>
        <v>0.3548</v>
      </c>
      <c r="S651" s="48">
        <f t="shared" si="64"/>
        <v>447.05</v>
      </c>
      <c r="T651" s="47" t="s">
        <v>349</v>
      </c>
      <c r="U651" s="52" t="s">
        <v>9</v>
      </c>
      <c r="V651" s="38">
        <v>7.1692999999999998</v>
      </c>
      <c r="W651" s="49">
        <f t="shared" si="65"/>
        <v>455.19088334983888</v>
      </c>
    </row>
    <row r="652" spans="1:23" x14ac:dyDescent="0.2">
      <c r="A652" s="52" t="s">
        <v>1963</v>
      </c>
      <c r="B652" s="53">
        <v>45713</v>
      </c>
      <c r="C652" s="53">
        <v>45698</v>
      </c>
      <c r="D652" s="52" t="s">
        <v>709</v>
      </c>
      <c r="E652" s="52" t="s">
        <v>710</v>
      </c>
      <c r="G652" s="52" t="s">
        <v>2166</v>
      </c>
      <c r="H652" s="40" t="s">
        <v>1682</v>
      </c>
      <c r="I652" s="40" t="s">
        <v>1683</v>
      </c>
      <c r="J652" s="43" t="str">
        <f t="shared" si="60"/>
        <v>LHDL</v>
      </c>
      <c r="K652" s="52" t="s">
        <v>10</v>
      </c>
      <c r="L652" s="40">
        <v>380</v>
      </c>
      <c r="M652" s="52" t="s">
        <v>1472</v>
      </c>
      <c r="N652" s="52" t="s">
        <v>11</v>
      </c>
      <c r="O652" s="54">
        <v>2.6436000000000002</v>
      </c>
      <c r="P652" s="45">
        <f t="shared" si="61"/>
        <v>1004.57</v>
      </c>
      <c r="Q652" s="46">
        <f t="shared" si="62"/>
        <v>7.3003400000000003</v>
      </c>
      <c r="R652" s="47">
        <f t="shared" si="63"/>
        <v>0.36209999999999998</v>
      </c>
      <c r="S652" s="48">
        <f t="shared" si="64"/>
        <v>137.6</v>
      </c>
      <c r="T652" s="47" t="s">
        <v>349</v>
      </c>
      <c r="U652" s="52" t="s">
        <v>125</v>
      </c>
      <c r="V652" s="38">
        <v>7.1692999999999998</v>
      </c>
      <c r="W652" s="49">
        <f t="shared" si="65"/>
        <v>140.120792824962</v>
      </c>
    </row>
    <row r="653" spans="1:23" x14ac:dyDescent="0.2">
      <c r="A653" s="52" t="s">
        <v>1964</v>
      </c>
      <c r="B653" s="53">
        <v>45713</v>
      </c>
      <c r="C653" s="53">
        <v>45702</v>
      </c>
      <c r="D653" s="52" t="s">
        <v>709</v>
      </c>
      <c r="E653" s="52" t="s">
        <v>710</v>
      </c>
      <c r="G653" s="52" t="s">
        <v>2166</v>
      </c>
      <c r="H653" s="40" t="s">
        <v>1682</v>
      </c>
      <c r="I653" s="40" t="s">
        <v>1683</v>
      </c>
      <c r="J653" s="43" t="str">
        <f t="shared" si="60"/>
        <v>LHDL</v>
      </c>
      <c r="K653" s="52" t="s">
        <v>10</v>
      </c>
      <c r="L653" s="40">
        <v>150</v>
      </c>
      <c r="M653" s="52" t="s">
        <v>1472</v>
      </c>
      <c r="N653" s="52" t="s">
        <v>11</v>
      </c>
      <c r="O653" s="54">
        <v>2.6436000000000002</v>
      </c>
      <c r="P653" s="45">
        <f t="shared" si="61"/>
        <v>396.54</v>
      </c>
      <c r="Q653" s="46">
        <f t="shared" si="62"/>
        <v>7.3003400000000003</v>
      </c>
      <c r="R653" s="47">
        <f t="shared" si="63"/>
        <v>0.36209999999999998</v>
      </c>
      <c r="S653" s="48">
        <f t="shared" si="64"/>
        <v>54.32</v>
      </c>
      <c r="T653" s="47" t="s">
        <v>349</v>
      </c>
      <c r="U653" s="52" t="s">
        <v>125</v>
      </c>
      <c r="V653" s="38">
        <v>7.1692999999999998</v>
      </c>
      <c r="W653" s="49">
        <f t="shared" si="65"/>
        <v>55.310839273011318</v>
      </c>
    </row>
    <row r="654" spans="1:23" x14ac:dyDescent="0.2">
      <c r="A654" s="52" t="s">
        <v>1965</v>
      </c>
      <c r="B654" s="53">
        <v>45713</v>
      </c>
      <c r="C654" s="53">
        <v>45660</v>
      </c>
      <c r="D654" s="52" t="s">
        <v>709</v>
      </c>
      <c r="E654" s="52" t="s">
        <v>710</v>
      </c>
      <c r="G654" s="52" t="s">
        <v>2166</v>
      </c>
      <c r="H654" s="40" t="s">
        <v>1684</v>
      </c>
      <c r="I654" s="40" t="s">
        <v>1685</v>
      </c>
      <c r="J654" s="43" t="str">
        <f t="shared" si="60"/>
        <v>SHDL</v>
      </c>
      <c r="K654" s="52" t="s">
        <v>10</v>
      </c>
      <c r="L654" s="40">
        <v>1800</v>
      </c>
      <c r="M654" s="52" t="s">
        <v>1472</v>
      </c>
      <c r="N654" s="52" t="s">
        <v>11</v>
      </c>
      <c r="O654" s="54">
        <v>2.6659999999999999</v>
      </c>
      <c r="P654" s="45">
        <f t="shared" si="61"/>
        <v>4798.8</v>
      </c>
      <c r="Q654" s="46">
        <f t="shared" si="62"/>
        <v>7.3003400000000003</v>
      </c>
      <c r="R654" s="47">
        <f t="shared" si="63"/>
        <v>0.36520000000000002</v>
      </c>
      <c r="S654" s="48">
        <f t="shared" si="64"/>
        <v>657.36</v>
      </c>
      <c r="T654" s="47" t="s">
        <v>349</v>
      </c>
      <c r="U654" s="52" t="s">
        <v>722</v>
      </c>
      <c r="V654" s="38">
        <v>7.1692999999999998</v>
      </c>
      <c r="W654" s="49">
        <f t="shared" si="65"/>
        <v>669.35405130207971</v>
      </c>
    </row>
    <row r="655" spans="1:23" x14ac:dyDescent="0.2">
      <c r="A655" s="52" t="s">
        <v>1966</v>
      </c>
      <c r="B655" s="53">
        <v>45712</v>
      </c>
      <c r="C655" s="53">
        <v>45707</v>
      </c>
      <c r="D655" s="52" t="s">
        <v>2251</v>
      </c>
      <c r="E655" s="52" t="s">
        <v>2252</v>
      </c>
      <c r="G655" s="52" t="s">
        <v>2178</v>
      </c>
      <c r="H655" s="40" t="s">
        <v>1686</v>
      </c>
      <c r="I655" s="40" t="s">
        <v>1687</v>
      </c>
      <c r="J655" s="43" t="str">
        <f t="shared" si="60"/>
        <v>MISC</v>
      </c>
      <c r="K655" s="52" t="s">
        <v>10</v>
      </c>
      <c r="L655" s="40">
        <v>3000</v>
      </c>
      <c r="M655" s="52" t="s">
        <v>1472</v>
      </c>
      <c r="N655" s="52" t="s">
        <v>11</v>
      </c>
      <c r="O655" s="54">
        <v>2.6814</v>
      </c>
      <c r="P655" s="45">
        <f t="shared" si="61"/>
        <v>8044.2</v>
      </c>
      <c r="Q655" s="46">
        <f t="shared" si="62"/>
        <v>7.3003400000000003</v>
      </c>
      <c r="R655" s="47">
        <f t="shared" si="63"/>
        <v>0.36730000000000002</v>
      </c>
      <c r="S655" s="48">
        <f t="shared" si="64"/>
        <v>1101.9000000000001</v>
      </c>
      <c r="T655" s="47" t="s">
        <v>349</v>
      </c>
      <c r="U655" s="52" t="s">
        <v>25</v>
      </c>
      <c r="V655" s="38">
        <v>7.1692999999999998</v>
      </c>
      <c r="W655" s="49">
        <f t="shared" si="65"/>
        <v>1122.0342292831938</v>
      </c>
    </row>
    <row r="656" spans="1:23" x14ac:dyDescent="0.2">
      <c r="A656" s="52" t="s">
        <v>1967</v>
      </c>
      <c r="B656" s="53">
        <v>45712</v>
      </c>
      <c r="C656" s="53">
        <v>45707</v>
      </c>
      <c r="D656" s="52" t="s">
        <v>2251</v>
      </c>
      <c r="E656" s="52" t="s">
        <v>2252</v>
      </c>
      <c r="G656" s="52" t="s">
        <v>2178</v>
      </c>
      <c r="H656" s="40" t="s">
        <v>1686</v>
      </c>
      <c r="I656" s="40" t="s">
        <v>1687</v>
      </c>
      <c r="J656" s="43" t="str">
        <f t="shared" si="60"/>
        <v>MISC</v>
      </c>
      <c r="K656" s="52" t="s">
        <v>10</v>
      </c>
      <c r="L656" s="40">
        <v>2000</v>
      </c>
      <c r="M656" s="52" t="s">
        <v>1472</v>
      </c>
      <c r="N656" s="52" t="s">
        <v>11</v>
      </c>
      <c r="O656" s="54">
        <v>2.6814</v>
      </c>
      <c r="P656" s="45">
        <f t="shared" si="61"/>
        <v>5362.8</v>
      </c>
      <c r="Q656" s="46">
        <f t="shared" si="62"/>
        <v>7.3003400000000003</v>
      </c>
      <c r="R656" s="47">
        <f t="shared" si="63"/>
        <v>0.36730000000000002</v>
      </c>
      <c r="S656" s="48">
        <f t="shared" si="64"/>
        <v>734.6</v>
      </c>
      <c r="T656" s="47" t="s">
        <v>349</v>
      </c>
      <c r="U656" s="52" t="s">
        <v>25</v>
      </c>
      <c r="V656" s="38">
        <v>7.1692999999999998</v>
      </c>
      <c r="W656" s="49">
        <f t="shared" si="65"/>
        <v>748.02281952212911</v>
      </c>
    </row>
    <row r="657" spans="1:23" x14ac:dyDescent="0.2">
      <c r="A657" s="52" t="s">
        <v>1968</v>
      </c>
      <c r="B657" s="53">
        <v>45714</v>
      </c>
      <c r="C657" s="53">
        <v>45714</v>
      </c>
      <c r="D657" s="52" t="s">
        <v>898</v>
      </c>
      <c r="E657" s="52" t="s">
        <v>899</v>
      </c>
      <c r="G657" s="52" t="s">
        <v>2179</v>
      </c>
      <c r="H657" s="40" t="s">
        <v>1688</v>
      </c>
      <c r="I657" s="40" t="s">
        <v>1188</v>
      </c>
      <c r="J657" s="43" t="str">
        <f t="shared" si="60"/>
        <v>GLID</v>
      </c>
      <c r="K657" s="52" t="s">
        <v>10</v>
      </c>
      <c r="L657" s="40">
        <v>50</v>
      </c>
      <c r="M657" s="52" t="s">
        <v>1472</v>
      </c>
      <c r="N657" s="52" t="s">
        <v>11</v>
      </c>
      <c r="O657" s="54">
        <v>2.6817000000000002</v>
      </c>
      <c r="P657" s="45">
        <f t="shared" si="61"/>
        <v>134.09</v>
      </c>
      <c r="Q657" s="46">
        <f t="shared" si="62"/>
        <v>7.3003400000000003</v>
      </c>
      <c r="R657" s="47">
        <f t="shared" si="63"/>
        <v>0.36730000000000002</v>
      </c>
      <c r="S657" s="48">
        <f t="shared" si="64"/>
        <v>18.37</v>
      </c>
      <c r="T657" s="47" t="s">
        <v>349</v>
      </c>
      <c r="U657" s="52" t="s">
        <v>78</v>
      </c>
      <c r="V657" s="38">
        <v>7.1692999999999998</v>
      </c>
      <c r="W657" s="49">
        <f t="shared" si="65"/>
        <v>18.702662742527167</v>
      </c>
    </row>
    <row r="658" spans="1:23" x14ac:dyDescent="0.2">
      <c r="A658" s="52" t="s">
        <v>1969</v>
      </c>
      <c r="B658" s="53">
        <v>45715</v>
      </c>
      <c r="C658" s="53">
        <v>45664</v>
      </c>
      <c r="D658" s="52" t="s">
        <v>149</v>
      </c>
      <c r="E658" s="52" t="s">
        <v>150</v>
      </c>
      <c r="G658" s="52" t="s">
        <v>2180</v>
      </c>
      <c r="H658" s="40" t="s">
        <v>1689</v>
      </c>
      <c r="I658" s="40" t="s">
        <v>1690</v>
      </c>
      <c r="J658" s="43" t="str">
        <f t="shared" si="60"/>
        <v>GLID</v>
      </c>
      <c r="K658" s="52" t="s">
        <v>10</v>
      </c>
      <c r="L658" s="40">
        <v>330</v>
      </c>
      <c r="M658" s="52" t="s">
        <v>1472</v>
      </c>
      <c r="N658" s="52" t="s">
        <v>11</v>
      </c>
      <c r="O658" s="54">
        <v>2.7103999999999999</v>
      </c>
      <c r="P658" s="45">
        <f t="shared" si="61"/>
        <v>894.43</v>
      </c>
      <c r="Q658" s="46">
        <f t="shared" si="62"/>
        <v>7.3003400000000003</v>
      </c>
      <c r="R658" s="47">
        <f t="shared" si="63"/>
        <v>0.37130000000000002</v>
      </c>
      <c r="S658" s="48">
        <f t="shared" si="64"/>
        <v>122.53</v>
      </c>
      <c r="T658" s="47" t="s">
        <v>349</v>
      </c>
      <c r="U658" s="52" t="s">
        <v>78</v>
      </c>
      <c r="V658" s="38">
        <v>7.1692999999999998</v>
      </c>
      <c r="W658" s="49">
        <f t="shared" si="65"/>
        <v>124.7586235755234</v>
      </c>
    </row>
    <row r="659" spans="1:23" x14ac:dyDescent="0.2">
      <c r="A659" s="52" t="s">
        <v>1969</v>
      </c>
      <c r="B659" s="53">
        <v>45713</v>
      </c>
      <c r="C659" s="53">
        <v>45664</v>
      </c>
      <c r="D659" s="52" t="s">
        <v>149</v>
      </c>
      <c r="E659" s="52" t="s">
        <v>150</v>
      </c>
      <c r="G659" s="52" t="s">
        <v>2181</v>
      </c>
      <c r="H659" s="40" t="s">
        <v>1689</v>
      </c>
      <c r="I659" s="40" t="s">
        <v>1690</v>
      </c>
      <c r="J659" s="43" t="str">
        <f t="shared" si="60"/>
        <v>GLID</v>
      </c>
      <c r="K659" s="52" t="s">
        <v>10</v>
      </c>
      <c r="L659" s="40">
        <v>1200</v>
      </c>
      <c r="M659" s="52" t="s">
        <v>1472</v>
      </c>
      <c r="N659" s="52" t="s">
        <v>11</v>
      </c>
      <c r="O659" s="54">
        <v>2.7103999999999999</v>
      </c>
      <c r="P659" s="45">
        <f t="shared" si="61"/>
        <v>3252.48</v>
      </c>
      <c r="Q659" s="46">
        <f t="shared" si="62"/>
        <v>7.3003400000000003</v>
      </c>
      <c r="R659" s="47">
        <f t="shared" si="63"/>
        <v>0.37130000000000002</v>
      </c>
      <c r="S659" s="48">
        <f t="shared" si="64"/>
        <v>445.56</v>
      </c>
      <c r="T659" s="47" t="s">
        <v>349</v>
      </c>
      <c r="U659" s="52" t="s">
        <v>78</v>
      </c>
      <c r="V659" s="38">
        <v>7.1692999999999998</v>
      </c>
      <c r="W659" s="49">
        <f t="shared" si="65"/>
        <v>453.66772209281237</v>
      </c>
    </row>
    <row r="660" spans="1:23" x14ac:dyDescent="0.2">
      <c r="A660" s="52" t="s">
        <v>1970</v>
      </c>
      <c r="B660" s="53">
        <v>45713</v>
      </c>
      <c r="C660" s="53">
        <v>45698</v>
      </c>
      <c r="D660" s="52" t="s">
        <v>149</v>
      </c>
      <c r="E660" s="52" t="s">
        <v>150</v>
      </c>
      <c r="G660" s="52" t="s">
        <v>2181</v>
      </c>
      <c r="H660" s="40" t="s">
        <v>786</v>
      </c>
      <c r="I660" s="40" t="s">
        <v>787</v>
      </c>
      <c r="J660" s="43" t="str">
        <f t="shared" si="60"/>
        <v>GLID</v>
      </c>
      <c r="K660" s="52" t="s">
        <v>10</v>
      </c>
      <c r="L660" s="40">
        <v>1530</v>
      </c>
      <c r="M660" s="52" t="s">
        <v>1472</v>
      </c>
      <c r="N660" s="52" t="s">
        <v>11</v>
      </c>
      <c r="O660" s="54">
        <v>2.7494000000000001</v>
      </c>
      <c r="P660" s="45">
        <f t="shared" si="61"/>
        <v>4206.58</v>
      </c>
      <c r="Q660" s="46">
        <f t="shared" si="62"/>
        <v>7.3003400000000003</v>
      </c>
      <c r="R660" s="47">
        <f t="shared" si="63"/>
        <v>0.37659999999999999</v>
      </c>
      <c r="S660" s="48">
        <f t="shared" si="64"/>
        <v>576.20000000000005</v>
      </c>
      <c r="T660" s="47" t="s">
        <v>349</v>
      </c>
      <c r="U660" s="52" t="s">
        <v>78</v>
      </c>
      <c r="V660" s="38">
        <v>7.1692999999999998</v>
      </c>
      <c r="W660" s="49">
        <f t="shared" si="65"/>
        <v>586.74933396565916</v>
      </c>
    </row>
    <row r="661" spans="1:23" x14ac:dyDescent="0.2">
      <c r="A661" s="52" t="s">
        <v>1971</v>
      </c>
      <c r="B661" s="53">
        <v>45699</v>
      </c>
      <c r="C661" s="53">
        <v>45674</v>
      </c>
      <c r="D661" s="52" t="s">
        <v>569</v>
      </c>
      <c r="E661" s="52" t="s">
        <v>570</v>
      </c>
      <c r="G661" s="52" t="s">
        <v>2148</v>
      </c>
      <c r="H661" s="40" t="s">
        <v>1425</v>
      </c>
      <c r="I661" s="40" t="s">
        <v>1426</v>
      </c>
      <c r="J661" s="43" t="str">
        <f t="shared" si="60"/>
        <v>ANYD</v>
      </c>
      <c r="K661" s="52" t="s">
        <v>10</v>
      </c>
      <c r="L661" s="40">
        <v>1050</v>
      </c>
      <c r="M661" s="52" t="s">
        <v>1472</v>
      </c>
      <c r="N661" s="52" t="s">
        <v>11</v>
      </c>
      <c r="O661" s="54">
        <v>2.75</v>
      </c>
      <c r="P661" s="45">
        <f t="shared" si="61"/>
        <v>2887.5</v>
      </c>
      <c r="Q661" s="46">
        <f t="shared" si="62"/>
        <v>7.3003400000000003</v>
      </c>
      <c r="R661" s="47">
        <f t="shared" si="63"/>
        <v>0.37669999999999998</v>
      </c>
      <c r="S661" s="48">
        <f t="shared" si="64"/>
        <v>395.54</v>
      </c>
      <c r="T661" s="47" t="s">
        <v>349</v>
      </c>
      <c r="U661" s="52" t="s">
        <v>36</v>
      </c>
      <c r="V661" s="38">
        <v>7.1692999999999998</v>
      </c>
      <c r="W661" s="49">
        <f t="shared" si="65"/>
        <v>402.75898623296553</v>
      </c>
    </row>
    <row r="662" spans="1:23" x14ac:dyDescent="0.2">
      <c r="A662" s="52" t="s">
        <v>1972</v>
      </c>
      <c r="B662" s="53">
        <v>45708</v>
      </c>
      <c r="C662" s="53">
        <v>45677</v>
      </c>
      <c r="D662" s="52" t="s">
        <v>569</v>
      </c>
      <c r="E662" s="52" t="s">
        <v>570</v>
      </c>
      <c r="G662" s="52" t="s">
        <v>2182</v>
      </c>
      <c r="H662" s="40" t="s">
        <v>1425</v>
      </c>
      <c r="I662" s="40" t="s">
        <v>1426</v>
      </c>
      <c r="J662" s="43" t="str">
        <f t="shared" si="60"/>
        <v>ANYD</v>
      </c>
      <c r="K662" s="52" t="s">
        <v>10</v>
      </c>
      <c r="L662" s="40">
        <v>1000</v>
      </c>
      <c r="M662" s="52" t="s">
        <v>1472</v>
      </c>
      <c r="N662" s="52" t="s">
        <v>11</v>
      </c>
      <c r="O662" s="54">
        <v>2.75</v>
      </c>
      <c r="P662" s="45">
        <f t="shared" si="61"/>
        <v>2750</v>
      </c>
      <c r="Q662" s="46">
        <f t="shared" si="62"/>
        <v>7.3003400000000003</v>
      </c>
      <c r="R662" s="47">
        <f t="shared" si="63"/>
        <v>0.37669999999999998</v>
      </c>
      <c r="S662" s="48">
        <f t="shared" si="64"/>
        <v>376.7</v>
      </c>
      <c r="T662" s="47" t="s">
        <v>349</v>
      </c>
      <c r="U662" s="52" t="s">
        <v>36</v>
      </c>
      <c r="V662" s="38">
        <v>7.1692999999999998</v>
      </c>
      <c r="W662" s="49">
        <f t="shared" si="65"/>
        <v>383.5799868885386</v>
      </c>
    </row>
    <row r="663" spans="1:23" x14ac:dyDescent="0.2">
      <c r="A663" s="52" t="s">
        <v>1973</v>
      </c>
      <c r="B663" s="53">
        <v>45698</v>
      </c>
      <c r="C663" s="53">
        <v>45677</v>
      </c>
      <c r="D663" s="52" t="s">
        <v>5</v>
      </c>
      <c r="E663" s="52" t="s">
        <v>6</v>
      </c>
      <c r="G663" s="52" t="s">
        <v>2174</v>
      </c>
      <c r="H663" s="40" t="s">
        <v>1691</v>
      </c>
      <c r="I663" s="40" t="s">
        <v>1692</v>
      </c>
      <c r="J663" s="43" t="str">
        <f t="shared" si="60"/>
        <v>SHTS</v>
      </c>
      <c r="K663" s="52" t="s">
        <v>10</v>
      </c>
      <c r="L663" s="40">
        <v>1010</v>
      </c>
      <c r="M663" s="52" t="s">
        <v>1472</v>
      </c>
      <c r="N663" s="52" t="s">
        <v>11</v>
      </c>
      <c r="O663" s="54">
        <v>2.8</v>
      </c>
      <c r="P663" s="45">
        <f t="shared" si="61"/>
        <v>2828</v>
      </c>
      <c r="Q663" s="46">
        <f t="shared" si="62"/>
        <v>7.3003400000000003</v>
      </c>
      <c r="R663" s="47">
        <f t="shared" si="63"/>
        <v>0.38350000000000001</v>
      </c>
      <c r="S663" s="48">
        <f t="shared" si="64"/>
        <v>387.34</v>
      </c>
      <c r="T663" s="47" t="s">
        <v>349</v>
      </c>
      <c r="U663" s="52" t="s">
        <v>9</v>
      </c>
      <c r="V663" s="38">
        <v>7.1692999999999998</v>
      </c>
      <c r="W663" s="49">
        <f t="shared" si="65"/>
        <v>394.45971015301353</v>
      </c>
    </row>
    <row r="664" spans="1:23" x14ac:dyDescent="0.2">
      <c r="A664" s="52" t="s">
        <v>1974</v>
      </c>
      <c r="B664" s="53">
        <v>45707</v>
      </c>
      <c r="C664" s="53">
        <v>45706</v>
      </c>
      <c r="D664" s="52" t="s">
        <v>5</v>
      </c>
      <c r="E664" s="52" t="s">
        <v>6</v>
      </c>
      <c r="G664" s="52" t="s">
        <v>2183</v>
      </c>
      <c r="H664" s="40" t="s">
        <v>1693</v>
      </c>
      <c r="I664" s="40" t="s">
        <v>1694</v>
      </c>
      <c r="J664" s="43" t="str">
        <f t="shared" si="60"/>
        <v>SHTS</v>
      </c>
      <c r="K664" s="52" t="s">
        <v>10</v>
      </c>
      <c r="L664" s="40">
        <v>1010</v>
      </c>
      <c r="M664" s="52" t="s">
        <v>1472</v>
      </c>
      <c r="N664" s="52" t="s">
        <v>11</v>
      </c>
      <c r="O664" s="54">
        <v>2.9</v>
      </c>
      <c r="P664" s="45">
        <f t="shared" si="61"/>
        <v>2929</v>
      </c>
      <c r="Q664" s="46">
        <f t="shared" si="62"/>
        <v>7.3003400000000003</v>
      </c>
      <c r="R664" s="47">
        <f t="shared" si="63"/>
        <v>0.3972</v>
      </c>
      <c r="S664" s="48">
        <f t="shared" si="64"/>
        <v>401.17</v>
      </c>
      <c r="T664" s="47" t="s">
        <v>349</v>
      </c>
      <c r="U664" s="52" t="s">
        <v>9</v>
      </c>
      <c r="V664" s="38">
        <v>7.1692999999999998</v>
      </c>
      <c r="W664" s="49">
        <f t="shared" si="65"/>
        <v>408.54755694419259</v>
      </c>
    </row>
    <row r="665" spans="1:23" x14ac:dyDescent="0.2">
      <c r="A665" s="52" t="s">
        <v>1975</v>
      </c>
      <c r="B665" s="53">
        <v>45713</v>
      </c>
      <c r="C665" s="53">
        <v>45700</v>
      </c>
      <c r="D665" s="52" t="s">
        <v>149</v>
      </c>
      <c r="E665" s="52" t="s">
        <v>150</v>
      </c>
      <c r="G665" s="52" t="s">
        <v>2181</v>
      </c>
      <c r="H665" s="40" t="s">
        <v>1695</v>
      </c>
      <c r="I665" s="40" t="s">
        <v>1696</v>
      </c>
      <c r="J665" s="43" t="str">
        <f t="shared" si="60"/>
        <v>GLID</v>
      </c>
      <c r="K665" s="52" t="s">
        <v>10</v>
      </c>
      <c r="L665" s="40">
        <v>450</v>
      </c>
      <c r="M665" s="52" t="s">
        <v>1472</v>
      </c>
      <c r="N665" s="52" t="s">
        <v>11</v>
      </c>
      <c r="O665" s="54">
        <v>2.9073000000000002</v>
      </c>
      <c r="P665" s="45">
        <f t="shared" si="61"/>
        <v>1308.29</v>
      </c>
      <c r="Q665" s="46">
        <f t="shared" si="62"/>
        <v>7.3003400000000003</v>
      </c>
      <c r="R665" s="47">
        <f t="shared" si="63"/>
        <v>0.3982</v>
      </c>
      <c r="S665" s="48">
        <f t="shared" si="64"/>
        <v>179.19</v>
      </c>
      <c r="T665" s="47" t="s">
        <v>349</v>
      </c>
      <c r="U665" s="52" t="s">
        <v>78</v>
      </c>
      <c r="V665" s="38">
        <v>7.1692999999999998</v>
      </c>
      <c r="W665" s="49">
        <f t="shared" si="65"/>
        <v>182.4843429623534</v>
      </c>
    </row>
    <row r="666" spans="1:23" x14ac:dyDescent="0.2">
      <c r="A666" s="52" t="s">
        <v>1976</v>
      </c>
      <c r="B666" s="53">
        <v>45715</v>
      </c>
      <c r="C666" s="53">
        <v>45695</v>
      </c>
      <c r="D666" s="52" t="s">
        <v>1006</v>
      </c>
      <c r="E666" s="52" t="s">
        <v>1007</v>
      </c>
      <c r="G666" s="52" t="s">
        <v>2184</v>
      </c>
      <c r="H666" s="40" t="s">
        <v>1697</v>
      </c>
      <c r="I666" s="40" t="s">
        <v>1698</v>
      </c>
      <c r="J666" s="43" t="str">
        <f t="shared" si="60"/>
        <v>ALM-</v>
      </c>
      <c r="K666" s="52" t="s">
        <v>98</v>
      </c>
      <c r="L666" s="40">
        <v>672</v>
      </c>
      <c r="M666" s="52" t="s">
        <v>186</v>
      </c>
      <c r="N666" s="52" t="s">
        <v>11</v>
      </c>
      <c r="O666" s="54">
        <v>2.9203999999999999</v>
      </c>
      <c r="P666" s="45">
        <f t="shared" si="61"/>
        <v>1962.51</v>
      </c>
      <c r="Q666" s="46">
        <f t="shared" si="62"/>
        <v>7.3003400000000003</v>
      </c>
      <c r="R666" s="47">
        <f t="shared" si="63"/>
        <v>0.4</v>
      </c>
      <c r="S666" s="48">
        <f t="shared" si="64"/>
        <v>268.8</v>
      </c>
      <c r="T666" s="47" t="s">
        <v>349</v>
      </c>
      <c r="U666" s="52" t="s">
        <v>191</v>
      </c>
      <c r="V666" s="38">
        <v>7.1692999999999998</v>
      </c>
      <c r="W666" s="49">
        <f t="shared" si="65"/>
        <v>273.73785446277878</v>
      </c>
    </row>
    <row r="667" spans="1:23" x14ac:dyDescent="0.2">
      <c r="A667" s="52" t="s">
        <v>1977</v>
      </c>
      <c r="B667" s="53">
        <v>45715</v>
      </c>
      <c r="C667" s="53">
        <v>45695</v>
      </c>
      <c r="D667" s="52" t="s">
        <v>1006</v>
      </c>
      <c r="E667" s="52" t="s">
        <v>1007</v>
      </c>
      <c r="G667" s="52" t="s">
        <v>2184</v>
      </c>
      <c r="H667" s="40" t="s">
        <v>1019</v>
      </c>
      <c r="I667" s="40" t="s">
        <v>1020</v>
      </c>
      <c r="J667" s="43" t="str">
        <f t="shared" si="60"/>
        <v>ALM-</v>
      </c>
      <c r="K667" s="52" t="s">
        <v>98</v>
      </c>
      <c r="L667" s="40">
        <v>2032</v>
      </c>
      <c r="M667" s="52" t="s">
        <v>186</v>
      </c>
      <c r="N667" s="52" t="s">
        <v>11</v>
      </c>
      <c r="O667" s="54">
        <v>2.9203999999999999</v>
      </c>
      <c r="P667" s="45">
        <f t="shared" si="61"/>
        <v>5934.25</v>
      </c>
      <c r="Q667" s="46">
        <f t="shared" si="62"/>
        <v>7.3003400000000003</v>
      </c>
      <c r="R667" s="47">
        <f t="shared" si="63"/>
        <v>0.4</v>
      </c>
      <c r="S667" s="48">
        <f t="shared" si="64"/>
        <v>812.8</v>
      </c>
      <c r="T667" s="47" t="s">
        <v>349</v>
      </c>
      <c r="U667" s="52" t="s">
        <v>191</v>
      </c>
      <c r="V667" s="38">
        <v>7.1692999999999998</v>
      </c>
      <c r="W667" s="49">
        <f t="shared" si="65"/>
        <v>827.73113135173583</v>
      </c>
    </row>
    <row r="668" spans="1:23" x14ac:dyDescent="0.2">
      <c r="A668" s="52" t="s">
        <v>1978</v>
      </c>
      <c r="B668" s="53">
        <v>45715</v>
      </c>
      <c r="C668" s="53">
        <v>45695</v>
      </c>
      <c r="D668" s="52" t="s">
        <v>1006</v>
      </c>
      <c r="E668" s="52" t="s">
        <v>1007</v>
      </c>
      <c r="G668" s="52" t="s">
        <v>2184</v>
      </c>
      <c r="H668" s="40" t="s">
        <v>1699</v>
      </c>
      <c r="I668" s="40" t="s">
        <v>1700</v>
      </c>
      <c r="J668" s="43" t="str">
        <f t="shared" si="60"/>
        <v>ALM-</v>
      </c>
      <c r="K668" s="52" t="s">
        <v>98</v>
      </c>
      <c r="L668" s="40">
        <v>1564</v>
      </c>
      <c r="M668" s="52" t="s">
        <v>186</v>
      </c>
      <c r="N668" s="52" t="s">
        <v>11</v>
      </c>
      <c r="O668" s="54">
        <v>2.9203999999999999</v>
      </c>
      <c r="P668" s="45">
        <f t="shared" si="61"/>
        <v>4567.51</v>
      </c>
      <c r="Q668" s="46">
        <f t="shared" si="62"/>
        <v>7.3003400000000003</v>
      </c>
      <c r="R668" s="47">
        <f t="shared" si="63"/>
        <v>0.4</v>
      </c>
      <c r="S668" s="48">
        <f t="shared" si="64"/>
        <v>625.6</v>
      </c>
      <c r="T668" s="47" t="s">
        <v>349</v>
      </c>
      <c r="U668" s="52" t="s">
        <v>191</v>
      </c>
      <c r="V668" s="38">
        <v>7.1692999999999998</v>
      </c>
      <c r="W668" s="49">
        <f t="shared" si="65"/>
        <v>637.09226842230066</v>
      </c>
    </row>
    <row r="669" spans="1:23" x14ac:dyDescent="0.2">
      <c r="A669" s="52" t="s">
        <v>1979</v>
      </c>
      <c r="B669" s="53">
        <v>45715</v>
      </c>
      <c r="C669" s="53">
        <v>45695</v>
      </c>
      <c r="D669" s="52" t="s">
        <v>1006</v>
      </c>
      <c r="E669" s="52" t="s">
        <v>1007</v>
      </c>
      <c r="G669" s="52" t="s">
        <v>2184</v>
      </c>
      <c r="H669" s="40" t="s">
        <v>1701</v>
      </c>
      <c r="I669" s="40" t="s">
        <v>1702</v>
      </c>
      <c r="J669" s="43" t="str">
        <f t="shared" si="60"/>
        <v>ALM-</v>
      </c>
      <c r="K669" s="52" t="s">
        <v>98</v>
      </c>
      <c r="L669" s="40">
        <v>1254</v>
      </c>
      <c r="M669" s="52" t="s">
        <v>186</v>
      </c>
      <c r="N669" s="52" t="s">
        <v>11</v>
      </c>
      <c r="O669" s="54">
        <v>2.9203999999999999</v>
      </c>
      <c r="P669" s="45">
        <f t="shared" si="61"/>
        <v>3662.18</v>
      </c>
      <c r="Q669" s="46">
        <f t="shared" si="62"/>
        <v>7.3003400000000003</v>
      </c>
      <c r="R669" s="47">
        <f t="shared" si="63"/>
        <v>0.4</v>
      </c>
      <c r="S669" s="48">
        <f t="shared" si="64"/>
        <v>501.6</v>
      </c>
      <c r="T669" s="47" t="s">
        <v>349</v>
      </c>
      <c r="U669" s="52" t="s">
        <v>191</v>
      </c>
      <c r="V669" s="38">
        <v>7.1692999999999998</v>
      </c>
      <c r="W669" s="49">
        <f t="shared" si="65"/>
        <v>510.81438913143541</v>
      </c>
    </row>
    <row r="670" spans="1:23" x14ac:dyDescent="0.2">
      <c r="A670" s="52" t="s">
        <v>1980</v>
      </c>
      <c r="B670" s="53">
        <v>45715</v>
      </c>
      <c r="C670" s="53">
        <v>45698</v>
      </c>
      <c r="D670" s="52" t="s">
        <v>1006</v>
      </c>
      <c r="E670" s="52" t="s">
        <v>1007</v>
      </c>
      <c r="G670" s="52" t="s">
        <v>2184</v>
      </c>
      <c r="H670" s="40" t="s">
        <v>1703</v>
      </c>
      <c r="I670" s="40" t="s">
        <v>1704</v>
      </c>
      <c r="J670" s="43" t="str">
        <f t="shared" si="60"/>
        <v>ALM-</v>
      </c>
      <c r="K670" s="52" t="s">
        <v>98</v>
      </c>
      <c r="L670" s="40">
        <v>628</v>
      </c>
      <c r="M670" s="52" t="s">
        <v>186</v>
      </c>
      <c r="N670" s="52" t="s">
        <v>11</v>
      </c>
      <c r="O670" s="54">
        <v>2.9203999999999999</v>
      </c>
      <c r="P670" s="45">
        <f t="shared" si="61"/>
        <v>1834.01</v>
      </c>
      <c r="Q670" s="46">
        <f t="shared" si="62"/>
        <v>7.3003400000000003</v>
      </c>
      <c r="R670" s="47">
        <f t="shared" si="63"/>
        <v>0.4</v>
      </c>
      <c r="S670" s="48">
        <f t="shared" si="64"/>
        <v>251.2</v>
      </c>
      <c r="T670" s="47" t="s">
        <v>349</v>
      </c>
      <c r="U670" s="52" t="s">
        <v>191</v>
      </c>
      <c r="V670" s="38">
        <v>7.1692999999999998</v>
      </c>
      <c r="W670" s="49">
        <f t="shared" si="65"/>
        <v>255.81454256343017</v>
      </c>
    </row>
    <row r="671" spans="1:23" x14ac:dyDescent="0.2">
      <c r="A671" s="52" t="s">
        <v>1981</v>
      </c>
      <c r="B671" s="53">
        <v>45715</v>
      </c>
      <c r="C671" s="53">
        <v>45698</v>
      </c>
      <c r="D671" s="52" t="s">
        <v>1006</v>
      </c>
      <c r="E671" s="52" t="s">
        <v>1007</v>
      </c>
      <c r="G671" s="52" t="s">
        <v>2184</v>
      </c>
      <c r="H671" s="40" t="s">
        <v>1705</v>
      </c>
      <c r="I671" s="40" t="s">
        <v>1706</v>
      </c>
      <c r="J671" s="43" t="str">
        <f t="shared" si="60"/>
        <v>ALM-</v>
      </c>
      <c r="K671" s="52" t="s">
        <v>98</v>
      </c>
      <c r="L671" s="40">
        <v>1387</v>
      </c>
      <c r="M671" s="52" t="s">
        <v>186</v>
      </c>
      <c r="N671" s="52" t="s">
        <v>11</v>
      </c>
      <c r="O671" s="54">
        <v>2.9203999999999999</v>
      </c>
      <c r="P671" s="45">
        <f t="shared" si="61"/>
        <v>4050.59</v>
      </c>
      <c r="Q671" s="46">
        <f t="shared" si="62"/>
        <v>7.3003400000000003</v>
      </c>
      <c r="R671" s="47">
        <f t="shared" si="63"/>
        <v>0.4</v>
      </c>
      <c r="S671" s="48">
        <f t="shared" si="64"/>
        <v>554.79999999999995</v>
      </c>
      <c r="T671" s="47" t="s">
        <v>349</v>
      </c>
      <c r="U671" s="52" t="s">
        <v>191</v>
      </c>
      <c r="V671" s="38">
        <v>7.1692999999999998</v>
      </c>
      <c r="W671" s="49">
        <f t="shared" si="65"/>
        <v>564.99167282719372</v>
      </c>
    </row>
    <row r="672" spans="1:23" x14ac:dyDescent="0.2">
      <c r="A672" s="52" t="s">
        <v>1982</v>
      </c>
      <c r="B672" s="53">
        <v>45715</v>
      </c>
      <c r="C672" s="53">
        <v>45698</v>
      </c>
      <c r="D672" s="52" t="s">
        <v>1006</v>
      </c>
      <c r="E672" s="52" t="s">
        <v>1007</v>
      </c>
      <c r="G672" s="52" t="s">
        <v>2184</v>
      </c>
      <c r="H672" s="40" t="s">
        <v>1699</v>
      </c>
      <c r="I672" s="40" t="s">
        <v>1700</v>
      </c>
      <c r="J672" s="43" t="str">
        <f t="shared" si="60"/>
        <v>ALM-</v>
      </c>
      <c r="K672" s="52" t="s">
        <v>98</v>
      </c>
      <c r="L672" s="40">
        <v>756</v>
      </c>
      <c r="M672" s="52" t="s">
        <v>186</v>
      </c>
      <c r="N672" s="52" t="s">
        <v>11</v>
      </c>
      <c r="O672" s="54">
        <v>2.9203999999999999</v>
      </c>
      <c r="P672" s="45">
        <f t="shared" si="61"/>
        <v>2207.8200000000002</v>
      </c>
      <c r="Q672" s="46">
        <f t="shared" si="62"/>
        <v>7.3003400000000003</v>
      </c>
      <c r="R672" s="47">
        <f t="shared" si="63"/>
        <v>0.4</v>
      </c>
      <c r="S672" s="48">
        <f t="shared" si="64"/>
        <v>302.39999999999998</v>
      </c>
      <c r="T672" s="47" t="s">
        <v>349</v>
      </c>
      <c r="U672" s="52" t="s">
        <v>191</v>
      </c>
      <c r="V672" s="38">
        <v>7.1692999999999998</v>
      </c>
      <c r="W672" s="49">
        <f t="shared" si="65"/>
        <v>307.95508627062611</v>
      </c>
    </row>
    <row r="673" spans="1:23" x14ac:dyDescent="0.2">
      <c r="A673" s="52" t="s">
        <v>1983</v>
      </c>
      <c r="B673" s="53">
        <v>45707</v>
      </c>
      <c r="C673" s="53">
        <v>45706</v>
      </c>
      <c r="D673" s="52" t="s">
        <v>5</v>
      </c>
      <c r="E673" s="52" t="s">
        <v>6</v>
      </c>
      <c r="G673" s="52" t="s">
        <v>2183</v>
      </c>
      <c r="H673" s="40" t="s">
        <v>1707</v>
      </c>
      <c r="I673" s="40" t="s">
        <v>1708</v>
      </c>
      <c r="J673" s="43" t="str">
        <f t="shared" si="60"/>
        <v>SHTS</v>
      </c>
      <c r="K673" s="52" t="s">
        <v>10</v>
      </c>
      <c r="L673" s="40">
        <v>1010</v>
      </c>
      <c r="M673" s="52" t="s">
        <v>1472</v>
      </c>
      <c r="N673" s="52" t="s">
        <v>11</v>
      </c>
      <c r="O673" s="54">
        <v>2.96</v>
      </c>
      <c r="P673" s="45">
        <f t="shared" si="61"/>
        <v>2989.6</v>
      </c>
      <c r="Q673" s="46">
        <f t="shared" si="62"/>
        <v>7.3003400000000003</v>
      </c>
      <c r="R673" s="47">
        <f t="shared" si="63"/>
        <v>0.40550000000000003</v>
      </c>
      <c r="S673" s="48">
        <f t="shared" si="64"/>
        <v>409.56</v>
      </c>
      <c r="T673" s="47" t="s">
        <v>349</v>
      </c>
      <c r="U673" s="52" t="s">
        <v>9</v>
      </c>
      <c r="V673" s="38">
        <v>7.1692999999999998</v>
      </c>
      <c r="W673" s="49">
        <f t="shared" si="65"/>
        <v>417.00026501890005</v>
      </c>
    </row>
    <row r="674" spans="1:23" x14ac:dyDescent="0.2">
      <c r="A674" s="52" t="s">
        <v>1984</v>
      </c>
      <c r="B674" s="53">
        <v>45707</v>
      </c>
      <c r="C674" s="53">
        <v>45706</v>
      </c>
      <c r="D674" s="52" t="s">
        <v>5</v>
      </c>
      <c r="E674" s="52" t="s">
        <v>6</v>
      </c>
      <c r="G674" s="52" t="s">
        <v>2173</v>
      </c>
      <c r="H674" s="40" t="s">
        <v>489</v>
      </c>
      <c r="I674" s="40" t="s">
        <v>490</v>
      </c>
      <c r="J674" s="43" t="str">
        <f t="shared" si="60"/>
        <v>SHTS</v>
      </c>
      <c r="K674" s="52" t="s">
        <v>10</v>
      </c>
      <c r="L674" s="40">
        <v>1010</v>
      </c>
      <c r="M674" s="52" t="s">
        <v>1472</v>
      </c>
      <c r="N674" s="52" t="s">
        <v>11</v>
      </c>
      <c r="O674" s="54">
        <v>3</v>
      </c>
      <c r="P674" s="45">
        <f t="shared" si="61"/>
        <v>3030</v>
      </c>
      <c r="Q674" s="46">
        <f t="shared" si="62"/>
        <v>7.3003400000000003</v>
      </c>
      <c r="R674" s="47">
        <f t="shared" si="63"/>
        <v>0.41089999999999999</v>
      </c>
      <c r="S674" s="48">
        <f t="shared" si="64"/>
        <v>415.01</v>
      </c>
      <c r="T674" s="47" t="s">
        <v>349</v>
      </c>
      <c r="U674" s="52" t="s">
        <v>9</v>
      </c>
      <c r="V674" s="38">
        <v>7.1692999999999998</v>
      </c>
      <c r="W674" s="49">
        <f t="shared" si="65"/>
        <v>422.63540373537165</v>
      </c>
    </row>
    <row r="675" spans="1:23" x14ac:dyDescent="0.2">
      <c r="A675" s="52" t="s">
        <v>1985</v>
      </c>
      <c r="B675" s="53">
        <v>45713</v>
      </c>
      <c r="C675" s="53">
        <v>45664</v>
      </c>
      <c r="D675" s="52" t="s">
        <v>149</v>
      </c>
      <c r="E675" s="52" t="s">
        <v>150</v>
      </c>
      <c r="G675" s="52" t="s">
        <v>2181</v>
      </c>
      <c r="H675" s="40" t="s">
        <v>1709</v>
      </c>
      <c r="I675" s="40" t="s">
        <v>1710</v>
      </c>
      <c r="J675" s="43" t="str">
        <f t="shared" si="60"/>
        <v>GLID</v>
      </c>
      <c r="K675" s="52" t="s">
        <v>10</v>
      </c>
      <c r="L675" s="40">
        <v>520</v>
      </c>
      <c r="M675" s="52" t="s">
        <v>1472</v>
      </c>
      <c r="N675" s="52" t="s">
        <v>11</v>
      </c>
      <c r="O675" s="54">
        <v>3.0331000000000001</v>
      </c>
      <c r="P675" s="45">
        <f t="shared" si="61"/>
        <v>1577.21</v>
      </c>
      <c r="Q675" s="46">
        <f t="shared" si="62"/>
        <v>7.3003400000000003</v>
      </c>
      <c r="R675" s="47">
        <f t="shared" si="63"/>
        <v>0.41549999999999998</v>
      </c>
      <c r="S675" s="48">
        <f t="shared" si="64"/>
        <v>216.06</v>
      </c>
      <c r="T675" s="47" t="s">
        <v>349</v>
      </c>
      <c r="U675" s="52" t="s">
        <v>78</v>
      </c>
      <c r="V675" s="38">
        <v>7.1692999999999998</v>
      </c>
      <c r="W675" s="49">
        <f t="shared" si="65"/>
        <v>219.99525755652576</v>
      </c>
    </row>
    <row r="676" spans="1:23" x14ac:dyDescent="0.2">
      <c r="A676" s="52" t="s">
        <v>1986</v>
      </c>
      <c r="B676" s="53">
        <v>45707</v>
      </c>
      <c r="C676" s="53">
        <v>45706</v>
      </c>
      <c r="D676" s="52" t="s">
        <v>5</v>
      </c>
      <c r="E676" s="52" t="s">
        <v>6</v>
      </c>
      <c r="G676" s="52" t="s">
        <v>2185</v>
      </c>
      <c r="H676" s="40" t="s">
        <v>459</v>
      </c>
      <c r="I676" s="40" t="s">
        <v>460</v>
      </c>
      <c r="J676" s="43" t="str">
        <f t="shared" si="60"/>
        <v>BOX-</v>
      </c>
      <c r="K676" s="52" t="s">
        <v>10</v>
      </c>
      <c r="L676" s="40">
        <v>2020</v>
      </c>
      <c r="M676" s="52" t="s">
        <v>1472</v>
      </c>
      <c r="N676" s="52" t="s">
        <v>11</v>
      </c>
      <c r="O676" s="54">
        <v>3.05</v>
      </c>
      <c r="P676" s="45">
        <f t="shared" si="61"/>
        <v>6161</v>
      </c>
      <c r="Q676" s="46">
        <f t="shared" si="62"/>
        <v>7.3003400000000003</v>
      </c>
      <c r="R676" s="47">
        <f t="shared" si="63"/>
        <v>0.4178</v>
      </c>
      <c r="S676" s="48">
        <f t="shared" si="64"/>
        <v>843.96</v>
      </c>
      <c r="T676" s="47" t="s">
        <v>349</v>
      </c>
      <c r="U676" s="52" t="s">
        <v>1</v>
      </c>
      <c r="V676" s="38">
        <v>7.1692999999999998</v>
      </c>
      <c r="W676" s="49">
        <f t="shared" si="65"/>
        <v>859.35865426192231</v>
      </c>
    </row>
    <row r="677" spans="1:23" x14ac:dyDescent="0.2">
      <c r="A677" s="52" t="s">
        <v>1987</v>
      </c>
      <c r="B677" s="53">
        <v>45715</v>
      </c>
      <c r="C677" s="53">
        <v>45714</v>
      </c>
      <c r="D677" s="52" t="s">
        <v>5</v>
      </c>
      <c r="E677" s="52" t="s">
        <v>6</v>
      </c>
      <c r="G677" s="52" t="s">
        <v>2176</v>
      </c>
      <c r="H677" s="40" t="s">
        <v>518</v>
      </c>
      <c r="I677" s="40" t="s">
        <v>519</v>
      </c>
      <c r="J677" s="43" t="str">
        <f t="shared" si="60"/>
        <v>SHTS</v>
      </c>
      <c r="K677" s="52" t="s">
        <v>10</v>
      </c>
      <c r="L677" s="40">
        <v>505</v>
      </c>
      <c r="M677" s="52" t="s">
        <v>1472</v>
      </c>
      <c r="N677" s="52" t="s">
        <v>11</v>
      </c>
      <c r="O677" s="54">
        <v>3.08</v>
      </c>
      <c r="P677" s="45">
        <f t="shared" si="61"/>
        <v>1555.4</v>
      </c>
      <c r="Q677" s="46">
        <f t="shared" si="62"/>
        <v>7.3003400000000003</v>
      </c>
      <c r="R677" s="47">
        <f t="shared" si="63"/>
        <v>0.4219</v>
      </c>
      <c r="S677" s="48">
        <f t="shared" si="64"/>
        <v>213.06</v>
      </c>
      <c r="T677" s="47" t="s">
        <v>349</v>
      </c>
      <c r="U677" s="52" t="s">
        <v>9</v>
      </c>
      <c r="V677" s="38">
        <v>7.1692999999999998</v>
      </c>
      <c r="W677" s="49">
        <f t="shared" si="65"/>
        <v>216.95284058415746</v>
      </c>
    </row>
    <row r="678" spans="1:23" x14ac:dyDescent="0.2">
      <c r="A678" s="52" t="s">
        <v>1988</v>
      </c>
      <c r="B678" s="53">
        <v>45699</v>
      </c>
      <c r="C678" s="53">
        <v>45677</v>
      </c>
      <c r="D678" s="52" t="s">
        <v>5</v>
      </c>
      <c r="E678" s="52" t="s">
        <v>6</v>
      </c>
      <c r="G678" s="52" t="s">
        <v>2172</v>
      </c>
      <c r="H678" s="40" t="s">
        <v>1711</v>
      </c>
      <c r="I678" s="40" t="s">
        <v>1712</v>
      </c>
      <c r="J678" s="43" t="str">
        <f t="shared" si="60"/>
        <v>SHTS</v>
      </c>
      <c r="K678" s="52" t="s">
        <v>10</v>
      </c>
      <c r="L678" s="40">
        <v>1010</v>
      </c>
      <c r="M678" s="52" t="s">
        <v>1472</v>
      </c>
      <c r="N678" s="52" t="s">
        <v>11</v>
      </c>
      <c r="O678" s="54">
        <v>3.09</v>
      </c>
      <c r="P678" s="45">
        <f t="shared" si="61"/>
        <v>3120.9</v>
      </c>
      <c r="Q678" s="46">
        <f t="shared" si="62"/>
        <v>7.3003400000000003</v>
      </c>
      <c r="R678" s="47">
        <f t="shared" si="63"/>
        <v>0.42330000000000001</v>
      </c>
      <c r="S678" s="48">
        <f t="shared" si="64"/>
        <v>427.53</v>
      </c>
      <c r="T678" s="47" t="s">
        <v>349</v>
      </c>
      <c r="U678" s="52" t="s">
        <v>9</v>
      </c>
      <c r="V678" s="38">
        <v>7.1692999999999998</v>
      </c>
      <c r="W678" s="49">
        <f t="shared" si="65"/>
        <v>435.31446584743281</v>
      </c>
    </row>
    <row r="679" spans="1:23" x14ac:dyDescent="0.2">
      <c r="A679" s="52" t="s">
        <v>1989</v>
      </c>
      <c r="B679" s="53">
        <v>45715</v>
      </c>
      <c r="C679" s="53">
        <v>45695</v>
      </c>
      <c r="D679" s="52" t="s">
        <v>1006</v>
      </c>
      <c r="E679" s="52" t="s">
        <v>1007</v>
      </c>
      <c r="G679" s="52" t="s">
        <v>2184</v>
      </c>
      <c r="H679" s="40" t="s">
        <v>1713</v>
      </c>
      <c r="I679" s="40" t="s">
        <v>1714</v>
      </c>
      <c r="J679" s="43" t="str">
        <f t="shared" si="60"/>
        <v>ALM-</v>
      </c>
      <c r="K679" s="52" t="s">
        <v>98</v>
      </c>
      <c r="L679" s="40">
        <v>585</v>
      </c>
      <c r="M679" s="52" t="s">
        <v>186</v>
      </c>
      <c r="N679" s="52" t="s">
        <v>11</v>
      </c>
      <c r="O679" s="54">
        <v>3.0973000000000002</v>
      </c>
      <c r="P679" s="45">
        <f t="shared" si="61"/>
        <v>1811.92</v>
      </c>
      <c r="Q679" s="46">
        <f t="shared" si="62"/>
        <v>7.3003400000000003</v>
      </c>
      <c r="R679" s="47">
        <f t="shared" si="63"/>
        <v>0.42430000000000001</v>
      </c>
      <c r="S679" s="48">
        <f t="shared" si="64"/>
        <v>248.22</v>
      </c>
      <c r="T679" s="47" t="s">
        <v>349</v>
      </c>
      <c r="U679" s="52" t="s">
        <v>191</v>
      </c>
      <c r="V679" s="38">
        <v>7.1692999999999998</v>
      </c>
      <c r="W679" s="49">
        <f t="shared" si="65"/>
        <v>252.73325150293616</v>
      </c>
    </row>
    <row r="680" spans="1:23" x14ac:dyDescent="0.2">
      <c r="A680" s="52" t="s">
        <v>1990</v>
      </c>
      <c r="B680" s="53">
        <v>45715</v>
      </c>
      <c r="C680" s="53">
        <v>45698</v>
      </c>
      <c r="D680" s="52" t="s">
        <v>1006</v>
      </c>
      <c r="E680" s="52" t="s">
        <v>1007</v>
      </c>
      <c r="G680" s="52" t="s">
        <v>2184</v>
      </c>
      <c r="H680" s="40" t="s">
        <v>1016</v>
      </c>
      <c r="I680" s="40" t="s">
        <v>1017</v>
      </c>
      <c r="J680" s="43" t="str">
        <f t="shared" si="60"/>
        <v>ALM-</v>
      </c>
      <c r="K680" s="52" t="s">
        <v>98</v>
      </c>
      <c r="L680" s="40">
        <v>484</v>
      </c>
      <c r="M680" s="52" t="s">
        <v>186</v>
      </c>
      <c r="N680" s="52" t="s">
        <v>11</v>
      </c>
      <c r="O680" s="54">
        <v>3.0973000000000002</v>
      </c>
      <c r="P680" s="45">
        <f t="shared" si="61"/>
        <v>1499.09</v>
      </c>
      <c r="Q680" s="46">
        <f t="shared" si="62"/>
        <v>7.3003400000000003</v>
      </c>
      <c r="R680" s="47">
        <f t="shared" si="63"/>
        <v>0.42430000000000001</v>
      </c>
      <c r="S680" s="48">
        <f t="shared" si="64"/>
        <v>205.36</v>
      </c>
      <c r="T680" s="47" t="s">
        <v>349</v>
      </c>
      <c r="U680" s="52" t="s">
        <v>191</v>
      </c>
      <c r="V680" s="38">
        <v>7.1692999999999998</v>
      </c>
      <c r="W680" s="49">
        <f t="shared" si="65"/>
        <v>209.09896363661727</v>
      </c>
    </row>
    <row r="681" spans="1:23" x14ac:dyDescent="0.2">
      <c r="A681" s="52" t="s">
        <v>1991</v>
      </c>
      <c r="B681" s="53">
        <v>45699</v>
      </c>
      <c r="C681" s="53">
        <v>45677</v>
      </c>
      <c r="D681" s="52" t="s">
        <v>569</v>
      </c>
      <c r="E681" s="52" t="s">
        <v>570</v>
      </c>
      <c r="G681" s="52" t="s">
        <v>2186</v>
      </c>
      <c r="H681" s="40" t="s">
        <v>1419</v>
      </c>
      <c r="I681" s="40" t="s">
        <v>1420</v>
      </c>
      <c r="J681" s="43" t="str">
        <f t="shared" si="60"/>
        <v>ANYD</v>
      </c>
      <c r="K681" s="52" t="s">
        <v>10</v>
      </c>
      <c r="L681" s="40">
        <v>1000</v>
      </c>
      <c r="M681" s="52" t="s">
        <v>1472</v>
      </c>
      <c r="N681" s="52" t="s">
        <v>11</v>
      </c>
      <c r="O681" s="54">
        <v>3.1</v>
      </c>
      <c r="P681" s="45">
        <f t="shared" si="61"/>
        <v>3100</v>
      </c>
      <c r="Q681" s="46">
        <f t="shared" si="62"/>
        <v>7.3003400000000003</v>
      </c>
      <c r="R681" s="47">
        <f t="shared" si="63"/>
        <v>0.42459999999999998</v>
      </c>
      <c r="S681" s="48">
        <f t="shared" si="64"/>
        <v>424.6</v>
      </c>
      <c r="T681" s="47" t="s">
        <v>349</v>
      </c>
      <c r="U681" s="52" t="s">
        <v>36</v>
      </c>
      <c r="V681" s="38">
        <v>7.1692999999999998</v>
      </c>
      <c r="W681" s="49">
        <f t="shared" si="65"/>
        <v>432.39925794707995</v>
      </c>
    </row>
    <row r="682" spans="1:23" x14ac:dyDescent="0.2">
      <c r="A682" s="52" t="s">
        <v>1992</v>
      </c>
      <c r="B682" s="53">
        <v>45714</v>
      </c>
      <c r="C682" s="53">
        <v>45671</v>
      </c>
      <c r="D682" s="52" t="s">
        <v>187</v>
      </c>
      <c r="E682" s="52" t="s">
        <v>188</v>
      </c>
      <c r="G682" s="52" t="s">
        <v>2187</v>
      </c>
      <c r="H682" s="40" t="s">
        <v>211</v>
      </c>
      <c r="I682" s="40" t="s">
        <v>212</v>
      </c>
      <c r="J682" s="43" t="str">
        <f t="shared" si="60"/>
        <v>ALM-</v>
      </c>
      <c r="K682" s="52" t="s">
        <v>98</v>
      </c>
      <c r="L682" s="40">
        <v>1200</v>
      </c>
      <c r="M682" s="52" t="s">
        <v>186</v>
      </c>
      <c r="N682" s="52" t="s">
        <v>11</v>
      </c>
      <c r="O682" s="54">
        <v>3.1415999999999999</v>
      </c>
      <c r="P682" s="45">
        <f t="shared" si="61"/>
        <v>3769.92</v>
      </c>
      <c r="Q682" s="46">
        <f t="shared" si="62"/>
        <v>7.3003400000000003</v>
      </c>
      <c r="R682" s="47">
        <f t="shared" si="63"/>
        <v>0.43030000000000002</v>
      </c>
      <c r="S682" s="48">
        <f t="shared" si="64"/>
        <v>516.36</v>
      </c>
      <c r="T682" s="47" t="s">
        <v>349</v>
      </c>
      <c r="U682" s="52" t="s">
        <v>191</v>
      </c>
      <c r="V682" s="38">
        <v>7.1692999999999998</v>
      </c>
      <c r="W682" s="49">
        <f t="shared" si="65"/>
        <v>525.84213242575981</v>
      </c>
    </row>
    <row r="683" spans="1:23" x14ac:dyDescent="0.2">
      <c r="A683" s="52" t="s">
        <v>1993</v>
      </c>
      <c r="B683" s="53">
        <v>45714</v>
      </c>
      <c r="C683" s="53">
        <v>45671</v>
      </c>
      <c r="D683" s="52" t="s">
        <v>187</v>
      </c>
      <c r="E683" s="52" t="s">
        <v>188</v>
      </c>
      <c r="G683" s="52" t="s">
        <v>2187</v>
      </c>
      <c r="H683" s="40" t="s">
        <v>214</v>
      </c>
      <c r="I683" s="40" t="s">
        <v>215</v>
      </c>
      <c r="J683" s="43" t="str">
        <f t="shared" si="60"/>
        <v>ALM-</v>
      </c>
      <c r="K683" s="52" t="s">
        <v>98</v>
      </c>
      <c r="L683" s="40">
        <v>500</v>
      </c>
      <c r="M683" s="52" t="s">
        <v>186</v>
      </c>
      <c r="N683" s="52" t="s">
        <v>11</v>
      </c>
      <c r="O683" s="54">
        <v>3.1415999999999999</v>
      </c>
      <c r="P683" s="45">
        <f t="shared" si="61"/>
        <v>1570.8</v>
      </c>
      <c r="Q683" s="46">
        <f t="shared" si="62"/>
        <v>7.3003400000000003</v>
      </c>
      <c r="R683" s="47">
        <f t="shared" si="63"/>
        <v>0.43030000000000002</v>
      </c>
      <c r="S683" s="48">
        <f t="shared" si="64"/>
        <v>215.15</v>
      </c>
      <c r="T683" s="47" t="s">
        <v>349</v>
      </c>
      <c r="U683" s="52" t="s">
        <v>191</v>
      </c>
      <c r="V683" s="38">
        <v>7.1692999999999998</v>
      </c>
      <c r="W683" s="49">
        <f t="shared" si="65"/>
        <v>219.10088851073326</v>
      </c>
    </row>
    <row r="684" spans="1:23" x14ac:dyDescent="0.2">
      <c r="A684" s="52" t="s">
        <v>1994</v>
      </c>
      <c r="B684" s="53">
        <v>45714</v>
      </c>
      <c r="C684" s="53">
        <v>45671</v>
      </c>
      <c r="D684" s="52" t="s">
        <v>187</v>
      </c>
      <c r="E684" s="52" t="s">
        <v>188</v>
      </c>
      <c r="G684" s="52" t="s">
        <v>2187</v>
      </c>
      <c r="H684" s="40" t="s">
        <v>199</v>
      </c>
      <c r="I684" s="40" t="s">
        <v>200</v>
      </c>
      <c r="J684" s="43" t="str">
        <f t="shared" si="60"/>
        <v>ALM-</v>
      </c>
      <c r="K684" s="52" t="s">
        <v>98</v>
      </c>
      <c r="L684" s="40">
        <v>1000</v>
      </c>
      <c r="M684" s="52" t="s">
        <v>186</v>
      </c>
      <c r="N684" s="52" t="s">
        <v>11</v>
      </c>
      <c r="O684" s="54">
        <v>3.1415999999999999</v>
      </c>
      <c r="P684" s="45">
        <f t="shared" si="61"/>
        <v>3141.6</v>
      </c>
      <c r="Q684" s="46">
        <f t="shared" si="62"/>
        <v>7.3003400000000003</v>
      </c>
      <c r="R684" s="47">
        <f t="shared" si="63"/>
        <v>0.43030000000000002</v>
      </c>
      <c r="S684" s="48">
        <f t="shared" si="64"/>
        <v>430.3</v>
      </c>
      <c r="T684" s="47" t="s">
        <v>349</v>
      </c>
      <c r="U684" s="52" t="s">
        <v>191</v>
      </c>
      <c r="V684" s="38">
        <v>7.1692999999999998</v>
      </c>
      <c r="W684" s="49">
        <f t="shared" si="65"/>
        <v>438.20177702146651</v>
      </c>
    </row>
    <row r="685" spans="1:23" x14ac:dyDescent="0.2">
      <c r="A685" s="52" t="s">
        <v>1995</v>
      </c>
      <c r="B685" s="53">
        <v>45714</v>
      </c>
      <c r="C685" s="53">
        <v>45675</v>
      </c>
      <c r="D685" s="52" t="s">
        <v>187</v>
      </c>
      <c r="E685" s="52" t="s">
        <v>188</v>
      </c>
      <c r="G685" s="52" t="s">
        <v>2187</v>
      </c>
      <c r="H685" s="40" t="s">
        <v>208</v>
      </c>
      <c r="I685" s="40" t="s">
        <v>209</v>
      </c>
      <c r="J685" s="43" t="str">
        <f t="shared" si="60"/>
        <v>ALM-</v>
      </c>
      <c r="K685" s="52" t="s">
        <v>98</v>
      </c>
      <c r="L685" s="40">
        <v>500</v>
      </c>
      <c r="M685" s="52" t="s">
        <v>186</v>
      </c>
      <c r="N685" s="52" t="s">
        <v>11</v>
      </c>
      <c r="O685" s="54">
        <v>3.1415999999999999</v>
      </c>
      <c r="P685" s="45">
        <f t="shared" si="61"/>
        <v>1570.8</v>
      </c>
      <c r="Q685" s="46">
        <f t="shared" si="62"/>
        <v>7.3003400000000003</v>
      </c>
      <c r="R685" s="47">
        <f t="shared" si="63"/>
        <v>0.43030000000000002</v>
      </c>
      <c r="S685" s="48">
        <f t="shared" si="64"/>
        <v>215.15</v>
      </c>
      <c r="T685" s="47" t="s">
        <v>349</v>
      </c>
      <c r="U685" s="52" t="s">
        <v>191</v>
      </c>
      <c r="V685" s="38">
        <v>7.1692999999999998</v>
      </c>
      <c r="W685" s="49">
        <f t="shared" si="65"/>
        <v>219.10088851073326</v>
      </c>
    </row>
    <row r="686" spans="1:23" x14ac:dyDescent="0.2">
      <c r="A686" s="52" t="s">
        <v>1996</v>
      </c>
      <c r="B686" s="53">
        <v>45714</v>
      </c>
      <c r="C686" s="53">
        <v>45675</v>
      </c>
      <c r="D686" s="52" t="s">
        <v>187</v>
      </c>
      <c r="E686" s="52" t="s">
        <v>188</v>
      </c>
      <c r="G686" s="52" t="s">
        <v>2187</v>
      </c>
      <c r="H686" s="40" t="s">
        <v>202</v>
      </c>
      <c r="I686" s="40" t="s">
        <v>203</v>
      </c>
      <c r="J686" s="43" t="str">
        <f t="shared" si="60"/>
        <v>ALM-</v>
      </c>
      <c r="K686" s="52" t="s">
        <v>98</v>
      </c>
      <c r="L686" s="40">
        <v>300</v>
      </c>
      <c r="M686" s="52" t="s">
        <v>186</v>
      </c>
      <c r="N686" s="52" t="s">
        <v>11</v>
      </c>
      <c r="O686" s="54">
        <v>3.1415999999999999</v>
      </c>
      <c r="P686" s="45">
        <f t="shared" si="61"/>
        <v>942.48</v>
      </c>
      <c r="Q686" s="46">
        <f t="shared" si="62"/>
        <v>7.3003400000000003</v>
      </c>
      <c r="R686" s="47">
        <f t="shared" si="63"/>
        <v>0.43030000000000002</v>
      </c>
      <c r="S686" s="48">
        <f t="shared" si="64"/>
        <v>129.09</v>
      </c>
      <c r="T686" s="47" t="s">
        <v>349</v>
      </c>
      <c r="U686" s="52" t="s">
        <v>191</v>
      </c>
      <c r="V686" s="38">
        <v>7.1692999999999998</v>
      </c>
      <c r="W686" s="49">
        <f t="shared" si="65"/>
        <v>131.46053310643995</v>
      </c>
    </row>
    <row r="687" spans="1:23" x14ac:dyDescent="0.2">
      <c r="A687" s="52" t="s">
        <v>1997</v>
      </c>
      <c r="B687" s="53">
        <v>45714</v>
      </c>
      <c r="C687" s="53">
        <v>45675</v>
      </c>
      <c r="D687" s="52" t="s">
        <v>187</v>
      </c>
      <c r="E687" s="52" t="s">
        <v>188</v>
      </c>
      <c r="G687" s="52" t="s">
        <v>2187</v>
      </c>
      <c r="H687" s="40" t="s">
        <v>1217</v>
      </c>
      <c r="I687" s="40" t="s">
        <v>1218</v>
      </c>
      <c r="J687" s="43" t="str">
        <f t="shared" si="60"/>
        <v>ALM-</v>
      </c>
      <c r="K687" s="52" t="s">
        <v>98</v>
      </c>
      <c r="L687" s="40">
        <v>250</v>
      </c>
      <c r="M687" s="52" t="s">
        <v>186</v>
      </c>
      <c r="N687" s="52" t="s">
        <v>11</v>
      </c>
      <c r="O687" s="54">
        <v>3.1415999999999999</v>
      </c>
      <c r="P687" s="45">
        <f t="shared" si="61"/>
        <v>785.4</v>
      </c>
      <c r="Q687" s="46">
        <f t="shared" si="62"/>
        <v>7.3003400000000003</v>
      </c>
      <c r="R687" s="47">
        <f t="shared" si="63"/>
        <v>0.43030000000000002</v>
      </c>
      <c r="S687" s="48">
        <f t="shared" si="64"/>
        <v>107.58</v>
      </c>
      <c r="T687" s="47" t="s">
        <v>349</v>
      </c>
      <c r="U687" s="52" t="s">
        <v>191</v>
      </c>
      <c r="V687" s="38">
        <v>7.1692999999999998</v>
      </c>
      <c r="W687" s="49">
        <f t="shared" si="65"/>
        <v>109.55044425536663</v>
      </c>
    </row>
    <row r="688" spans="1:23" x14ac:dyDescent="0.2">
      <c r="A688" s="52" t="s">
        <v>1998</v>
      </c>
      <c r="B688" s="53">
        <v>45714</v>
      </c>
      <c r="C688" s="53">
        <v>45675</v>
      </c>
      <c r="D688" s="52" t="s">
        <v>187</v>
      </c>
      <c r="E688" s="52" t="s">
        <v>188</v>
      </c>
      <c r="G688" s="52" t="s">
        <v>2188</v>
      </c>
      <c r="H688" s="40" t="s">
        <v>214</v>
      </c>
      <c r="I688" s="40" t="s">
        <v>215</v>
      </c>
      <c r="J688" s="43" t="str">
        <f t="shared" si="60"/>
        <v>ALM-</v>
      </c>
      <c r="K688" s="52" t="s">
        <v>98</v>
      </c>
      <c r="L688" s="40">
        <v>150</v>
      </c>
      <c r="M688" s="52" t="s">
        <v>186</v>
      </c>
      <c r="N688" s="52" t="s">
        <v>11</v>
      </c>
      <c r="O688" s="54">
        <v>3.1415999999999999</v>
      </c>
      <c r="P688" s="45">
        <f t="shared" si="61"/>
        <v>471.24</v>
      </c>
      <c r="Q688" s="46">
        <f t="shared" si="62"/>
        <v>7.3003400000000003</v>
      </c>
      <c r="R688" s="47">
        <f t="shared" si="63"/>
        <v>0.43030000000000002</v>
      </c>
      <c r="S688" s="48">
        <f t="shared" si="64"/>
        <v>64.55</v>
      </c>
      <c r="T688" s="47" t="s">
        <v>349</v>
      </c>
      <c r="U688" s="52" t="s">
        <v>191</v>
      </c>
      <c r="V688" s="38">
        <v>7.1692999999999998</v>
      </c>
      <c r="W688" s="49">
        <f t="shared" si="65"/>
        <v>65.730266553219977</v>
      </c>
    </row>
    <row r="689" spans="1:23" x14ac:dyDescent="0.2">
      <c r="A689" s="52" t="s">
        <v>1999</v>
      </c>
      <c r="B689" s="53">
        <v>45714</v>
      </c>
      <c r="C689" s="53">
        <v>45698</v>
      </c>
      <c r="D689" s="52" t="s">
        <v>187</v>
      </c>
      <c r="E689" s="52" t="s">
        <v>188</v>
      </c>
      <c r="G689" s="52" t="s">
        <v>2187</v>
      </c>
      <c r="H689" s="40" t="s">
        <v>205</v>
      </c>
      <c r="I689" s="40" t="s">
        <v>206</v>
      </c>
      <c r="J689" s="43" t="str">
        <f t="shared" si="60"/>
        <v>ALM-</v>
      </c>
      <c r="K689" s="52" t="s">
        <v>98</v>
      </c>
      <c r="L689" s="40">
        <v>550</v>
      </c>
      <c r="M689" s="52" t="s">
        <v>186</v>
      </c>
      <c r="N689" s="52" t="s">
        <v>11</v>
      </c>
      <c r="O689" s="54">
        <v>3.1415999999999999</v>
      </c>
      <c r="P689" s="45">
        <f t="shared" si="61"/>
        <v>1727.88</v>
      </c>
      <c r="Q689" s="46">
        <f t="shared" si="62"/>
        <v>7.3003400000000003</v>
      </c>
      <c r="R689" s="47">
        <f t="shared" si="63"/>
        <v>0.43030000000000002</v>
      </c>
      <c r="S689" s="48">
        <f t="shared" si="64"/>
        <v>236.67</v>
      </c>
      <c r="T689" s="47" t="s">
        <v>349</v>
      </c>
      <c r="U689" s="52" t="s">
        <v>191</v>
      </c>
      <c r="V689" s="38">
        <v>7.1692999999999998</v>
      </c>
      <c r="W689" s="49">
        <f t="shared" si="65"/>
        <v>241.01097736180657</v>
      </c>
    </row>
    <row r="690" spans="1:23" x14ac:dyDescent="0.2">
      <c r="A690" s="52" t="s">
        <v>2000</v>
      </c>
      <c r="B690" s="53">
        <v>45714</v>
      </c>
      <c r="C690" s="53">
        <v>45698</v>
      </c>
      <c r="D690" s="52" t="s">
        <v>187</v>
      </c>
      <c r="E690" s="52" t="s">
        <v>188</v>
      </c>
      <c r="G690" s="52" t="s">
        <v>2187</v>
      </c>
      <c r="H690" s="40" t="s">
        <v>214</v>
      </c>
      <c r="I690" s="40" t="s">
        <v>215</v>
      </c>
      <c r="J690" s="43" t="str">
        <f t="shared" si="60"/>
        <v>ALM-</v>
      </c>
      <c r="K690" s="52" t="s">
        <v>98</v>
      </c>
      <c r="L690" s="40">
        <v>300</v>
      </c>
      <c r="M690" s="52" t="s">
        <v>186</v>
      </c>
      <c r="N690" s="52" t="s">
        <v>11</v>
      </c>
      <c r="O690" s="54">
        <v>3.1415999999999999</v>
      </c>
      <c r="P690" s="45">
        <f t="shared" si="61"/>
        <v>942.48</v>
      </c>
      <c r="Q690" s="46">
        <f t="shared" si="62"/>
        <v>7.3003400000000003</v>
      </c>
      <c r="R690" s="47">
        <f t="shared" si="63"/>
        <v>0.43030000000000002</v>
      </c>
      <c r="S690" s="48">
        <f t="shared" si="64"/>
        <v>129.09</v>
      </c>
      <c r="T690" s="47" t="s">
        <v>349</v>
      </c>
      <c r="U690" s="52" t="s">
        <v>191</v>
      </c>
      <c r="V690" s="38">
        <v>7.1692999999999998</v>
      </c>
      <c r="W690" s="49">
        <f t="shared" si="65"/>
        <v>131.46053310643995</v>
      </c>
    </row>
    <row r="691" spans="1:23" x14ac:dyDescent="0.2">
      <c r="A691" s="52" t="s">
        <v>2001</v>
      </c>
      <c r="B691" s="53">
        <v>45714</v>
      </c>
      <c r="C691" s="53">
        <v>45698</v>
      </c>
      <c r="D691" s="52" t="s">
        <v>187</v>
      </c>
      <c r="E691" s="52" t="s">
        <v>188</v>
      </c>
      <c r="G691" s="52" t="s">
        <v>2187</v>
      </c>
      <c r="H691" s="40" t="s">
        <v>211</v>
      </c>
      <c r="I691" s="40" t="s">
        <v>212</v>
      </c>
      <c r="J691" s="43" t="str">
        <f t="shared" si="60"/>
        <v>ALM-</v>
      </c>
      <c r="K691" s="52" t="s">
        <v>98</v>
      </c>
      <c r="L691" s="40">
        <v>1000</v>
      </c>
      <c r="M691" s="52" t="s">
        <v>186</v>
      </c>
      <c r="N691" s="52" t="s">
        <v>11</v>
      </c>
      <c r="O691" s="54">
        <v>3.1415999999999999</v>
      </c>
      <c r="P691" s="45">
        <f t="shared" si="61"/>
        <v>3141.6</v>
      </c>
      <c r="Q691" s="46">
        <f t="shared" si="62"/>
        <v>7.3003400000000003</v>
      </c>
      <c r="R691" s="47">
        <f t="shared" si="63"/>
        <v>0.43030000000000002</v>
      </c>
      <c r="S691" s="48">
        <f t="shared" si="64"/>
        <v>430.3</v>
      </c>
      <c r="T691" s="47" t="s">
        <v>349</v>
      </c>
      <c r="U691" s="52" t="s">
        <v>191</v>
      </c>
      <c r="V691" s="38">
        <v>7.1692999999999998</v>
      </c>
      <c r="W691" s="49">
        <f t="shared" si="65"/>
        <v>438.20177702146651</v>
      </c>
    </row>
    <row r="692" spans="1:23" x14ac:dyDescent="0.2">
      <c r="A692" s="52" t="s">
        <v>2002</v>
      </c>
      <c r="B692" s="53">
        <v>45714</v>
      </c>
      <c r="C692" s="53">
        <v>45698</v>
      </c>
      <c r="D692" s="52" t="s">
        <v>187</v>
      </c>
      <c r="E692" s="52" t="s">
        <v>188</v>
      </c>
      <c r="G692" s="52" t="s">
        <v>2187</v>
      </c>
      <c r="H692" s="40" t="s">
        <v>1715</v>
      </c>
      <c r="I692" s="40" t="s">
        <v>1716</v>
      </c>
      <c r="J692" s="43" t="str">
        <f t="shared" si="60"/>
        <v>ALM-</v>
      </c>
      <c r="K692" s="52" t="s">
        <v>98</v>
      </c>
      <c r="L692" s="40">
        <v>100</v>
      </c>
      <c r="M692" s="52" t="s">
        <v>186</v>
      </c>
      <c r="N692" s="52" t="s">
        <v>11</v>
      </c>
      <c r="O692" s="54">
        <v>3.1415999999999999</v>
      </c>
      <c r="P692" s="45">
        <f t="shared" si="61"/>
        <v>314.16000000000003</v>
      </c>
      <c r="Q692" s="46">
        <f t="shared" si="62"/>
        <v>7.3003400000000003</v>
      </c>
      <c r="R692" s="47">
        <f t="shared" si="63"/>
        <v>0.43030000000000002</v>
      </c>
      <c r="S692" s="48">
        <f t="shared" si="64"/>
        <v>43.03</v>
      </c>
      <c r="T692" s="47" t="s">
        <v>349</v>
      </c>
      <c r="U692" s="52" t="s">
        <v>191</v>
      </c>
      <c r="V692" s="38">
        <v>7.1692999999999998</v>
      </c>
      <c r="W692" s="49">
        <f t="shared" si="65"/>
        <v>43.820177702146651</v>
      </c>
    </row>
    <row r="693" spans="1:23" x14ac:dyDescent="0.2">
      <c r="A693" s="52" t="s">
        <v>2003</v>
      </c>
      <c r="B693" s="53">
        <v>45714</v>
      </c>
      <c r="C693" s="53">
        <v>45698</v>
      </c>
      <c r="D693" s="52" t="s">
        <v>187</v>
      </c>
      <c r="E693" s="52" t="s">
        <v>188</v>
      </c>
      <c r="G693" s="52" t="s">
        <v>2187</v>
      </c>
      <c r="H693" s="40" t="s">
        <v>1717</v>
      </c>
      <c r="I693" s="40" t="s">
        <v>1214</v>
      </c>
      <c r="J693" s="43" t="str">
        <f t="shared" si="60"/>
        <v>ALM-</v>
      </c>
      <c r="K693" s="52" t="s">
        <v>98</v>
      </c>
      <c r="L693" s="40">
        <v>50</v>
      </c>
      <c r="M693" s="52" t="s">
        <v>186</v>
      </c>
      <c r="N693" s="52" t="s">
        <v>11</v>
      </c>
      <c r="O693" s="54">
        <v>3.1415999999999999</v>
      </c>
      <c r="P693" s="45">
        <f t="shared" si="61"/>
        <v>157.08000000000001</v>
      </c>
      <c r="Q693" s="46">
        <f t="shared" si="62"/>
        <v>7.3003400000000003</v>
      </c>
      <c r="R693" s="47">
        <f t="shared" si="63"/>
        <v>0.43030000000000002</v>
      </c>
      <c r="S693" s="48">
        <f t="shared" si="64"/>
        <v>21.52</v>
      </c>
      <c r="T693" s="47" t="s">
        <v>349</v>
      </c>
      <c r="U693" s="52" t="s">
        <v>191</v>
      </c>
      <c r="V693" s="38">
        <v>7.1692999999999998</v>
      </c>
      <c r="W693" s="49">
        <f t="shared" si="65"/>
        <v>21.910088851073326</v>
      </c>
    </row>
    <row r="694" spans="1:23" x14ac:dyDescent="0.2">
      <c r="A694" s="52" t="s">
        <v>2004</v>
      </c>
      <c r="B694" s="53">
        <v>45714</v>
      </c>
      <c r="C694" s="53">
        <v>45698</v>
      </c>
      <c r="D694" s="52" t="s">
        <v>187</v>
      </c>
      <c r="E694" s="52" t="s">
        <v>188</v>
      </c>
      <c r="G694" s="52" t="s">
        <v>2187</v>
      </c>
      <c r="H694" s="40" t="s">
        <v>1718</v>
      </c>
      <c r="I694" s="40" t="s">
        <v>1719</v>
      </c>
      <c r="J694" s="43" t="str">
        <f t="shared" si="60"/>
        <v>ALM-</v>
      </c>
      <c r="K694" s="52" t="s">
        <v>98</v>
      </c>
      <c r="L694" s="40">
        <v>300</v>
      </c>
      <c r="M694" s="52" t="s">
        <v>186</v>
      </c>
      <c r="N694" s="52" t="s">
        <v>11</v>
      </c>
      <c r="O694" s="54">
        <v>3.1415999999999999</v>
      </c>
      <c r="P694" s="45">
        <f t="shared" si="61"/>
        <v>942.48</v>
      </c>
      <c r="Q694" s="46">
        <f t="shared" si="62"/>
        <v>7.3003400000000003</v>
      </c>
      <c r="R694" s="47">
        <f t="shared" si="63"/>
        <v>0.43030000000000002</v>
      </c>
      <c r="S694" s="48">
        <f t="shared" si="64"/>
        <v>129.09</v>
      </c>
      <c r="T694" s="47" t="s">
        <v>349</v>
      </c>
      <c r="U694" s="52" t="s">
        <v>191</v>
      </c>
      <c r="V694" s="38">
        <v>7.1692999999999998</v>
      </c>
      <c r="W694" s="49">
        <f t="shared" si="65"/>
        <v>131.46053310643995</v>
      </c>
    </row>
    <row r="695" spans="1:23" x14ac:dyDescent="0.2">
      <c r="A695" s="52" t="s">
        <v>2005</v>
      </c>
      <c r="B695" s="53">
        <v>45714</v>
      </c>
      <c r="C695" s="53">
        <v>45698</v>
      </c>
      <c r="D695" s="52" t="s">
        <v>187</v>
      </c>
      <c r="E695" s="52" t="s">
        <v>188</v>
      </c>
      <c r="G695" s="52" t="s">
        <v>2187</v>
      </c>
      <c r="H695" s="40" t="s">
        <v>199</v>
      </c>
      <c r="I695" s="40" t="s">
        <v>200</v>
      </c>
      <c r="J695" s="43" t="str">
        <f t="shared" si="60"/>
        <v>ALM-</v>
      </c>
      <c r="K695" s="52" t="s">
        <v>98</v>
      </c>
      <c r="L695" s="40">
        <v>1500</v>
      </c>
      <c r="M695" s="52" t="s">
        <v>186</v>
      </c>
      <c r="N695" s="52" t="s">
        <v>11</v>
      </c>
      <c r="O695" s="54">
        <v>3.1415999999999999</v>
      </c>
      <c r="P695" s="45">
        <f t="shared" si="61"/>
        <v>4712.3999999999996</v>
      </c>
      <c r="Q695" s="46">
        <f t="shared" si="62"/>
        <v>7.3003400000000003</v>
      </c>
      <c r="R695" s="47">
        <f t="shared" si="63"/>
        <v>0.43030000000000002</v>
      </c>
      <c r="S695" s="48">
        <f t="shared" si="64"/>
        <v>645.45000000000005</v>
      </c>
      <c r="T695" s="47" t="s">
        <v>349</v>
      </c>
      <c r="U695" s="52" t="s">
        <v>191</v>
      </c>
      <c r="V695" s="38">
        <v>7.1692999999999998</v>
      </c>
      <c r="W695" s="49">
        <f t="shared" si="65"/>
        <v>657.30266553219974</v>
      </c>
    </row>
    <row r="696" spans="1:23" x14ac:dyDescent="0.2">
      <c r="A696" s="52" t="s">
        <v>2006</v>
      </c>
      <c r="B696" s="53">
        <v>45714</v>
      </c>
      <c r="C696" s="53">
        <v>45698</v>
      </c>
      <c r="D696" s="52" t="s">
        <v>187</v>
      </c>
      <c r="E696" s="52" t="s">
        <v>188</v>
      </c>
      <c r="G696" s="52" t="s">
        <v>2187</v>
      </c>
      <c r="H696" s="40" t="s">
        <v>1720</v>
      </c>
      <c r="I696" s="40" t="s">
        <v>1721</v>
      </c>
      <c r="J696" s="43" t="str">
        <f t="shared" si="60"/>
        <v>ALM-</v>
      </c>
      <c r="K696" s="52" t="s">
        <v>98</v>
      </c>
      <c r="L696" s="40">
        <v>400</v>
      </c>
      <c r="M696" s="52" t="s">
        <v>186</v>
      </c>
      <c r="N696" s="52" t="s">
        <v>11</v>
      </c>
      <c r="O696" s="54">
        <v>3.1415999999999999</v>
      </c>
      <c r="P696" s="45">
        <f t="shared" si="61"/>
        <v>1256.6400000000001</v>
      </c>
      <c r="Q696" s="46">
        <f t="shared" si="62"/>
        <v>7.3003400000000003</v>
      </c>
      <c r="R696" s="47">
        <f t="shared" si="63"/>
        <v>0.43030000000000002</v>
      </c>
      <c r="S696" s="48">
        <f t="shared" si="64"/>
        <v>172.12</v>
      </c>
      <c r="T696" s="47" t="s">
        <v>349</v>
      </c>
      <c r="U696" s="52" t="s">
        <v>191</v>
      </c>
      <c r="V696" s="38">
        <v>7.1692999999999998</v>
      </c>
      <c r="W696" s="49">
        <f t="shared" si="65"/>
        <v>175.2807108085866</v>
      </c>
    </row>
    <row r="697" spans="1:23" x14ac:dyDescent="0.2">
      <c r="A697" s="52" t="s">
        <v>2007</v>
      </c>
      <c r="B697" s="53">
        <v>45714</v>
      </c>
      <c r="C697" s="53">
        <v>45698</v>
      </c>
      <c r="D697" s="52" t="s">
        <v>187</v>
      </c>
      <c r="E697" s="52" t="s">
        <v>188</v>
      </c>
      <c r="G697" s="52" t="s">
        <v>2187</v>
      </c>
      <c r="H697" s="40" t="s">
        <v>1722</v>
      </c>
      <c r="I697" s="40" t="s">
        <v>1723</v>
      </c>
      <c r="J697" s="43" t="str">
        <f t="shared" si="60"/>
        <v>ALM-</v>
      </c>
      <c r="K697" s="52" t="s">
        <v>98</v>
      </c>
      <c r="L697" s="40">
        <v>350</v>
      </c>
      <c r="M697" s="52" t="s">
        <v>186</v>
      </c>
      <c r="N697" s="52" t="s">
        <v>11</v>
      </c>
      <c r="O697" s="54">
        <v>3.1415999999999999</v>
      </c>
      <c r="P697" s="45">
        <f t="shared" si="61"/>
        <v>1099.56</v>
      </c>
      <c r="Q697" s="46">
        <f t="shared" si="62"/>
        <v>7.3003400000000003</v>
      </c>
      <c r="R697" s="47">
        <f t="shared" si="63"/>
        <v>0.43030000000000002</v>
      </c>
      <c r="S697" s="48">
        <f t="shared" si="64"/>
        <v>150.61000000000001</v>
      </c>
      <c r="T697" s="47" t="s">
        <v>349</v>
      </c>
      <c r="U697" s="52" t="s">
        <v>191</v>
      </c>
      <c r="V697" s="38">
        <v>7.1692999999999998</v>
      </c>
      <c r="W697" s="49">
        <f t="shared" si="65"/>
        <v>153.37062195751326</v>
      </c>
    </row>
    <row r="698" spans="1:23" x14ac:dyDescent="0.2">
      <c r="A698" s="52" t="s">
        <v>2008</v>
      </c>
      <c r="B698" s="53">
        <v>45714</v>
      </c>
      <c r="C698" s="53">
        <v>45701</v>
      </c>
      <c r="D698" s="52" t="s">
        <v>187</v>
      </c>
      <c r="E698" s="52" t="s">
        <v>188</v>
      </c>
      <c r="G698" s="52" t="s">
        <v>2189</v>
      </c>
      <c r="H698" s="40" t="s">
        <v>202</v>
      </c>
      <c r="I698" s="40" t="s">
        <v>203</v>
      </c>
      <c r="J698" s="43" t="str">
        <f t="shared" si="60"/>
        <v>ALM-</v>
      </c>
      <c r="K698" s="52" t="s">
        <v>98</v>
      </c>
      <c r="L698" s="40">
        <v>500</v>
      </c>
      <c r="M698" s="52" t="s">
        <v>186</v>
      </c>
      <c r="N698" s="52" t="s">
        <v>11</v>
      </c>
      <c r="O698" s="54">
        <v>3.1415999999999999</v>
      </c>
      <c r="P698" s="45">
        <f t="shared" si="61"/>
        <v>1570.8</v>
      </c>
      <c r="Q698" s="46">
        <f t="shared" si="62"/>
        <v>7.3003400000000003</v>
      </c>
      <c r="R698" s="47">
        <f t="shared" si="63"/>
        <v>0.43030000000000002</v>
      </c>
      <c r="S698" s="48">
        <f t="shared" si="64"/>
        <v>215.15</v>
      </c>
      <c r="T698" s="47" t="s">
        <v>349</v>
      </c>
      <c r="U698" s="52" t="s">
        <v>191</v>
      </c>
      <c r="V698" s="38">
        <v>7.1692999999999998</v>
      </c>
      <c r="W698" s="49">
        <f t="shared" si="65"/>
        <v>219.10088851073326</v>
      </c>
    </row>
    <row r="699" spans="1:23" x14ac:dyDescent="0.2">
      <c r="A699" s="52" t="s">
        <v>2009</v>
      </c>
      <c r="B699" s="53">
        <v>45714</v>
      </c>
      <c r="C699" s="53">
        <v>45701</v>
      </c>
      <c r="D699" s="52" t="s">
        <v>187</v>
      </c>
      <c r="E699" s="52" t="s">
        <v>188</v>
      </c>
      <c r="G699" s="52" t="s">
        <v>2187</v>
      </c>
      <c r="H699" s="40" t="s">
        <v>205</v>
      </c>
      <c r="I699" s="40" t="s">
        <v>206</v>
      </c>
      <c r="J699" s="43" t="str">
        <f t="shared" si="60"/>
        <v>ALM-</v>
      </c>
      <c r="K699" s="52" t="s">
        <v>98</v>
      </c>
      <c r="L699" s="40">
        <v>550</v>
      </c>
      <c r="M699" s="52" t="s">
        <v>186</v>
      </c>
      <c r="N699" s="52" t="s">
        <v>11</v>
      </c>
      <c r="O699" s="54">
        <v>3.1415999999999999</v>
      </c>
      <c r="P699" s="45">
        <f t="shared" si="61"/>
        <v>1727.88</v>
      </c>
      <c r="Q699" s="46">
        <f t="shared" si="62"/>
        <v>7.3003400000000003</v>
      </c>
      <c r="R699" s="47">
        <f t="shared" si="63"/>
        <v>0.43030000000000002</v>
      </c>
      <c r="S699" s="48">
        <f t="shared" si="64"/>
        <v>236.67</v>
      </c>
      <c r="T699" s="47" t="s">
        <v>349</v>
      </c>
      <c r="U699" s="52" t="s">
        <v>191</v>
      </c>
      <c r="V699" s="38">
        <v>7.1692999999999998</v>
      </c>
      <c r="W699" s="49">
        <f t="shared" si="65"/>
        <v>241.01097736180657</v>
      </c>
    </row>
    <row r="700" spans="1:23" x14ac:dyDescent="0.2">
      <c r="A700" s="52" t="s">
        <v>2010</v>
      </c>
      <c r="B700" s="53">
        <v>45715</v>
      </c>
      <c r="C700" s="53">
        <v>45714</v>
      </c>
      <c r="D700" s="52" t="s">
        <v>5</v>
      </c>
      <c r="E700" s="52" t="s">
        <v>6</v>
      </c>
      <c r="G700" s="52" t="s">
        <v>2190</v>
      </c>
      <c r="H700" s="40" t="s">
        <v>1724</v>
      </c>
      <c r="I700" s="40" t="s">
        <v>1725</v>
      </c>
      <c r="J700" s="43" t="str">
        <f t="shared" si="60"/>
        <v>BOX-</v>
      </c>
      <c r="K700" s="52" t="s">
        <v>10</v>
      </c>
      <c r="L700" s="40">
        <v>1500</v>
      </c>
      <c r="M700" s="52" t="s">
        <v>1472</v>
      </c>
      <c r="N700" s="52" t="s">
        <v>11</v>
      </c>
      <c r="O700" s="54">
        <v>3.16</v>
      </c>
      <c r="P700" s="45">
        <f t="shared" si="61"/>
        <v>4740</v>
      </c>
      <c r="Q700" s="46">
        <f t="shared" si="62"/>
        <v>7.3003400000000003</v>
      </c>
      <c r="R700" s="47">
        <f t="shared" si="63"/>
        <v>0.43290000000000001</v>
      </c>
      <c r="S700" s="48">
        <f t="shared" si="64"/>
        <v>649.35</v>
      </c>
      <c r="T700" s="47" t="s">
        <v>349</v>
      </c>
      <c r="U700" s="52" t="s">
        <v>1</v>
      </c>
      <c r="V700" s="38">
        <v>7.1692999999999998</v>
      </c>
      <c r="W700" s="49">
        <f t="shared" si="65"/>
        <v>661.1524137642449</v>
      </c>
    </row>
    <row r="701" spans="1:23" x14ac:dyDescent="0.2">
      <c r="A701" s="52" t="s">
        <v>2011</v>
      </c>
      <c r="B701" s="53">
        <v>45707</v>
      </c>
      <c r="C701" s="53">
        <v>45706</v>
      </c>
      <c r="D701" s="52" t="s">
        <v>5</v>
      </c>
      <c r="E701" s="52" t="s">
        <v>6</v>
      </c>
      <c r="G701" s="52" t="s">
        <v>2173</v>
      </c>
      <c r="H701" s="40" t="s">
        <v>1660</v>
      </c>
      <c r="I701" s="40" t="s">
        <v>1661</v>
      </c>
      <c r="J701" s="43" t="str">
        <f t="shared" si="60"/>
        <v>SHTS</v>
      </c>
      <c r="K701" s="52" t="s">
        <v>10</v>
      </c>
      <c r="L701" s="40">
        <v>1000</v>
      </c>
      <c r="M701" s="52" t="s">
        <v>1472</v>
      </c>
      <c r="N701" s="52" t="s">
        <v>11</v>
      </c>
      <c r="O701" s="54">
        <v>3.18</v>
      </c>
      <c r="P701" s="45">
        <f t="shared" si="61"/>
        <v>3180</v>
      </c>
      <c r="Q701" s="46">
        <f t="shared" si="62"/>
        <v>7.3003400000000003</v>
      </c>
      <c r="R701" s="47">
        <f t="shared" si="63"/>
        <v>0.43559999999999999</v>
      </c>
      <c r="S701" s="48">
        <f t="shared" si="64"/>
        <v>435.6</v>
      </c>
      <c r="T701" s="47" t="s">
        <v>349</v>
      </c>
      <c r="U701" s="52" t="s">
        <v>9</v>
      </c>
      <c r="V701" s="38">
        <v>7.1692999999999998</v>
      </c>
      <c r="W701" s="49">
        <f t="shared" si="65"/>
        <v>443.55794847474652</v>
      </c>
    </row>
    <row r="702" spans="1:23" x14ac:dyDescent="0.2">
      <c r="A702" s="52" t="s">
        <v>2012</v>
      </c>
      <c r="B702" s="53">
        <v>45714</v>
      </c>
      <c r="C702" s="53">
        <v>45714</v>
      </c>
      <c r="D702" s="52" t="s">
        <v>898</v>
      </c>
      <c r="E702" s="52" t="s">
        <v>899</v>
      </c>
      <c r="G702" s="52" t="s">
        <v>2179</v>
      </c>
      <c r="H702" s="40" t="s">
        <v>1726</v>
      </c>
      <c r="I702" s="40" t="s">
        <v>1727</v>
      </c>
      <c r="J702" s="43" t="str">
        <f t="shared" si="60"/>
        <v>GLID</v>
      </c>
      <c r="K702" s="52" t="s">
        <v>10</v>
      </c>
      <c r="L702" s="40">
        <v>75</v>
      </c>
      <c r="M702" s="52" t="s">
        <v>1472</v>
      </c>
      <c r="N702" s="52" t="s">
        <v>11</v>
      </c>
      <c r="O702" s="54">
        <v>3.1972</v>
      </c>
      <c r="P702" s="45">
        <f t="shared" si="61"/>
        <v>239.79</v>
      </c>
      <c r="Q702" s="46">
        <f t="shared" si="62"/>
        <v>7.3003400000000003</v>
      </c>
      <c r="R702" s="47">
        <f t="shared" si="63"/>
        <v>0.438</v>
      </c>
      <c r="S702" s="48">
        <f t="shared" si="64"/>
        <v>32.85</v>
      </c>
      <c r="T702" s="47" t="s">
        <v>349</v>
      </c>
      <c r="U702" s="52" t="s">
        <v>78</v>
      </c>
      <c r="V702" s="38">
        <v>7.1692999999999998</v>
      </c>
      <c r="W702" s="49">
        <f t="shared" si="65"/>
        <v>33.446780020364614</v>
      </c>
    </row>
    <row r="703" spans="1:23" x14ac:dyDescent="0.2">
      <c r="A703" s="52" t="s">
        <v>2013</v>
      </c>
      <c r="B703" s="53">
        <v>45716</v>
      </c>
      <c r="C703" s="53">
        <v>45576</v>
      </c>
      <c r="D703" s="52" t="s">
        <v>94</v>
      </c>
      <c r="E703" s="52" t="s">
        <v>95</v>
      </c>
      <c r="G703" s="52" t="s">
        <v>2191</v>
      </c>
      <c r="H703" s="40" t="s">
        <v>1728</v>
      </c>
      <c r="I703" s="40" t="s">
        <v>1729</v>
      </c>
      <c r="J703" s="43" t="str">
        <f t="shared" si="60"/>
        <v>LID-</v>
      </c>
      <c r="K703" s="52" t="s">
        <v>98</v>
      </c>
      <c r="L703" s="40">
        <v>765</v>
      </c>
      <c r="M703" s="52" t="s">
        <v>1472</v>
      </c>
      <c r="N703" s="52" t="s">
        <v>11</v>
      </c>
      <c r="O703" s="54">
        <v>3.3</v>
      </c>
      <c r="P703" s="45">
        <f t="shared" si="61"/>
        <v>2524.5</v>
      </c>
      <c r="Q703" s="46">
        <f t="shared" si="62"/>
        <v>7.3003400000000003</v>
      </c>
      <c r="R703" s="47">
        <f t="shared" si="63"/>
        <v>0.45200000000000001</v>
      </c>
      <c r="S703" s="48">
        <f t="shared" si="64"/>
        <v>345.78</v>
      </c>
      <c r="T703" s="47" t="s">
        <v>349</v>
      </c>
      <c r="U703" s="52" t="s">
        <v>368</v>
      </c>
      <c r="V703" s="38">
        <v>7.1692999999999998</v>
      </c>
      <c r="W703" s="49">
        <f t="shared" si="65"/>
        <v>352.12642796367845</v>
      </c>
    </row>
    <row r="704" spans="1:23" x14ac:dyDescent="0.2">
      <c r="A704" s="52" t="s">
        <v>2014</v>
      </c>
      <c r="B704" s="53">
        <v>45715</v>
      </c>
      <c r="C704" s="53">
        <v>45664</v>
      </c>
      <c r="D704" s="52" t="s">
        <v>149</v>
      </c>
      <c r="E704" s="52" t="s">
        <v>150</v>
      </c>
      <c r="G704" s="52" t="s">
        <v>2180</v>
      </c>
      <c r="H704" s="40" t="s">
        <v>1730</v>
      </c>
      <c r="I704" s="40" t="s">
        <v>1731</v>
      </c>
      <c r="J704" s="43" t="str">
        <f t="shared" si="60"/>
        <v>GLID</v>
      </c>
      <c r="K704" s="52" t="s">
        <v>10</v>
      </c>
      <c r="L704" s="40">
        <v>1510</v>
      </c>
      <c r="M704" s="52" t="s">
        <v>1472</v>
      </c>
      <c r="N704" s="52" t="s">
        <v>11</v>
      </c>
      <c r="O704" s="54">
        <v>3.3490000000000002</v>
      </c>
      <c r="P704" s="45">
        <f t="shared" si="61"/>
        <v>5056.99</v>
      </c>
      <c r="Q704" s="46">
        <f t="shared" si="62"/>
        <v>7.3003400000000003</v>
      </c>
      <c r="R704" s="47">
        <f t="shared" si="63"/>
        <v>0.4587</v>
      </c>
      <c r="S704" s="48">
        <f t="shared" si="64"/>
        <v>692.64</v>
      </c>
      <c r="T704" s="47" t="s">
        <v>349</v>
      </c>
      <c r="U704" s="52" t="s">
        <v>78</v>
      </c>
      <c r="V704" s="38">
        <v>7.1692999999999998</v>
      </c>
      <c r="W704" s="49">
        <f t="shared" si="65"/>
        <v>705.36733014380764</v>
      </c>
    </row>
    <row r="705" spans="1:23" x14ac:dyDescent="0.2">
      <c r="A705" s="52" t="s">
        <v>2015</v>
      </c>
      <c r="B705" s="53">
        <v>45712</v>
      </c>
      <c r="C705" s="53">
        <v>45706</v>
      </c>
      <c r="D705" s="52" t="s">
        <v>28</v>
      </c>
      <c r="E705" s="52" t="s">
        <v>29</v>
      </c>
      <c r="G705" s="52" t="s">
        <v>2158</v>
      </c>
      <c r="H705" s="40" t="s">
        <v>1155</v>
      </c>
      <c r="I705" s="40" t="s">
        <v>1156</v>
      </c>
      <c r="J705" s="43" t="str">
        <f t="shared" si="60"/>
        <v>KNOB</v>
      </c>
      <c r="K705" s="52" t="s">
        <v>10</v>
      </c>
      <c r="L705" s="40">
        <v>15</v>
      </c>
      <c r="M705" s="52" t="s">
        <v>1472</v>
      </c>
      <c r="N705" s="52" t="s">
        <v>11</v>
      </c>
      <c r="O705" s="54">
        <v>3.3721999999999999</v>
      </c>
      <c r="P705" s="45">
        <f t="shared" si="61"/>
        <v>50.58</v>
      </c>
      <c r="Q705" s="46">
        <f t="shared" si="62"/>
        <v>7.3003400000000003</v>
      </c>
      <c r="R705" s="47">
        <f t="shared" si="63"/>
        <v>0.46189999999999998</v>
      </c>
      <c r="S705" s="48">
        <f t="shared" si="64"/>
        <v>6.93</v>
      </c>
      <c r="T705" s="47" t="s">
        <v>349</v>
      </c>
      <c r="U705" s="52" t="s">
        <v>32</v>
      </c>
      <c r="V705" s="38">
        <v>7.1692999999999998</v>
      </c>
      <c r="W705" s="49">
        <f t="shared" si="65"/>
        <v>7.055500537011981</v>
      </c>
    </row>
    <row r="706" spans="1:23" x14ac:dyDescent="0.2">
      <c r="A706" s="52" t="s">
        <v>2016</v>
      </c>
      <c r="B706" s="53">
        <v>45715</v>
      </c>
      <c r="C706" s="53">
        <v>45714</v>
      </c>
      <c r="D706" s="52" t="s">
        <v>5</v>
      </c>
      <c r="E706" s="52" t="s">
        <v>6</v>
      </c>
      <c r="G706" s="52" t="s">
        <v>2176</v>
      </c>
      <c r="H706" s="40" t="s">
        <v>1732</v>
      </c>
      <c r="I706" s="40" t="s">
        <v>1733</v>
      </c>
      <c r="J706" s="43" t="str">
        <f t="shared" ref="J706:J769" si="66">+LEFT(U706,4)</f>
        <v>SHTS</v>
      </c>
      <c r="K706" s="52" t="s">
        <v>10</v>
      </c>
      <c r="L706" s="40">
        <v>505</v>
      </c>
      <c r="M706" s="52" t="s">
        <v>1472</v>
      </c>
      <c r="N706" s="52" t="s">
        <v>11</v>
      </c>
      <c r="O706" s="54">
        <v>3.4</v>
      </c>
      <c r="P706" s="45">
        <f t="shared" ref="P706:P769" si="67">ROUND(O706*L706,2)</f>
        <v>1717</v>
      </c>
      <c r="Q706" s="46">
        <f t="shared" ref="Q706:Q769" si="68">IF(N706="HKD",7.8,IF(N706="CNY",7.30034,1))</f>
        <v>7.3003400000000003</v>
      </c>
      <c r="R706" s="47">
        <f t="shared" ref="R706:R769" si="69">+ROUND(O706/Q706,4)</f>
        <v>0.4657</v>
      </c>
      <c r="S706" s="48">
        <f t="shared" ref="S706:S769" si="70">ROUND(R706*L706,2)</f>
        <v>235.18</v>
      </c>
      <c r="T706" s="47" t="s">
        <v>349</v>
      </c>
      <c r="U706" s="52" t="s">
        <v>9</v>
      </c>
      <c r="V706" s="38">
        <v>7.1692999999999998</v>
      </c>
      <c r="W706" s="49">
        <f t="shared" ref="W706:W769" si="71">IF(N706="CNY",O706/V706*L706,1)</f>
        <v>239.49339545004395</v>
      </c>
    </row>
    <row r="707" spans="1:23" x14ac:dyDescent="0.2">
      <c r="A707" s="52" t="s">
        <v>2017</v>
      </c>
      <c r="B707" s="53">
        <v>45707</v>
      </c>
      <c r="C707" s="53">
        <v>45636</v>
      </c>
      <c r="D707" s="52" t="s">
        <v>94</v>
      </c>
      <c r="E707" s="52" t="s">
        <v>95</v>
      </c>
      <c r="G707" s="52" t="s">
        <v>2192</v>
      </c>
      <c r="H707" s="40" t="s">
        <v>1001</v>
      </c>
      <c r="I707" s="40" t="s">
        <v>1002</v>
      </c>
      <c r="J707" s="43" t="str">
        <f t="shared" si="66"/>
        <v>LID-</v>
      </c>
      <c r="K707" s="52" t="s">
        <v>369</v>
      </c>
      <c r="L707" s="40">
        <v>760</v>
      </c>
      <c r="M707" s="52" t="s">
        <v>1472</v>
      </c>
      <c r="N707" s="52" t="s">
        <v>11</v>
      </c>
      <c r="O707" s="54">
        <v>3.42</v>
      </c>
      <c r="P707" s="45">
        <f t="shared" si="67"/>
        <v>2599.1999999999998</v>
      </c>
      <c r="Q707" s="46">
        <f t="shared" si="68"/>
        <v>7.3003400000000003</v>
      </c>
      <c r="R707" s="47">
        <f t="shared" si="69"/>
        <v>0.46850000000000003</v>
      </c>
      <c r="S707" s="48">
        <f t="shared" si="70"/>
        <v>356.06</v>
      </c>
      <c r="T707" s="47" t="s">
        <v>349</v>
      </c>
      <c r="U707" s="52" t="s">
        <v>368</v>
      </c>
      <c r="V707" s="38">
        <v>7.1692999999999998</v>
      </c>
      <c r="W707" s="49">
        <f t="shared" si="71"/>
        <v>362.54585524388716</v>
      </c>
    </row>
    <row r="708" spans="1:23" x14ac:dyDescent="0.2">
      <c r="A708" s="52" t="s">
        <v>2017</v>
      </c>
      <c r="B708" s="53">
        <v>45705</v>
      </c>
      <c r="C708" s="53">
        <v>45636</v>
      </c>
      <c r="D708" s="52" t="s">
        <v>94</v>
      </c>
      <c r="E708" s="52" t="s">
        <v>95</v>
      </c>
      <c r="G708" s="52" t="s">
        <v>2193</v>
      </c>
      <c r="H708" s="40" t="s">
        <v>1001</v>
      </c>
      <c r="I708" s="40" t="s">
        <v>1002</v>
      </c>
      <c r="J708" s="43" t="str">
        <f t="shared" si="66"/>
        <v>LID-</v>
      </c>
      <c r="K708" s="52" t="s">
        <v>369</v>
      </c>
      <c r="L708" s="40">
        <v>3360</v>
      </c>
      <c r="M708" s="52" t="s">
        <v>1472</v>
      </c>
      <c r="N708" s="52" t="s">
        <v>11</v>
      </c>
      <c r="O708" s="54">
        <v>3.42</v>
      </c>
      <c r="P708" s="45">
        <f t="shared" si="67"/>
        <v>11491.2</v>
      </c>
      <c r="Q708" s="46">
        <f t="shared" si="68"/>
        <v>7.3003400000000003</v>
      </c>
      <c r="R708" s="47">
        <f t="shared" si="69"/>
        <v>0.46850000000000003</v>
      </c>
      <c r="S708" s="48">
        <f t="shared" si="70"/>
        <v>1574.16</v>
      </c>
      <c r="T708" s="47" t="s">
        <v>349</v>
      </c>
      <c r="U708" s="52" t="s">
        <v>368</v>
      </c>
      <c r="V708" s="38">
        <v>7.1692999999999998</v>
      </c>
      <c r="W708" s="49">
        <f t="shared" si="71"/>
        <v>1602.8343073940275</v>
      </c>
    </row>
    <row r="709" spans="1:23" x14ac:dyDescent="0.2">
      <c r="A709" s="52" t="s">
        <v>2018</v>
      </c>
      <c r="B709" s="53">
        <v>45707</v>
      </c>
      <c r="C709" s="53">
        <v>45636</v>
      </c>
      <c r="D709" s="52" t="s">
        <v>94</v>
      </c>
      <c r="E709" s="52" t="s">
        <v>95</v>
      </c>
      <c r="G709" s="52" t="s">
        <v>2192</v>
      </c>
      <c r="H709" s="40" t="s">
        <v>1001</v>
      </c>
      <c r="I709" s="40" t="s">
        <v>1002</v>
      </c>
      <c r="J709" s="43" t="str">
        <f t="shared" si="66"/>
        <v>LID-</v>
      </c>
      <c r="K709" s="52" t="s">
        <v>369</v>
      </c>
      <c r="L709" s="40">
        <v>1030</v>
      </c>
      <c r="M709" s="52" t="s">
        <v>1472</v>
      </c>
      <c r="N709" s="52" t="s">
        <v>11</v>
      </c>
      <c r="O709" s="54">
        <v>3.42</v>
      </c>
      <c r="P709" s="45">
        <f t="shared" si="67"/>
        <v>3522.6</v>
      </c>
      <c r="Q709" s="46">
        <f t="shared" si="68"/>
        <v>7.3003400000000003</v>
      </c>
      <c r="R709" s="47">
        <f t="shared" si="69"/>
        <v>0.46850000000000003</v>
      </c>
      <c r="S709" s="48">
        <f t="shared" si="70"/>
        <v>482.56</v>
      </c>
      <c r="T709" s="47" t="s">
        <v>349</v>
      </c>
      <c r="U709" s="52" t="s">
        <v>368</v>
      </c>
      <c r="V709" s="38">
        <v>7.1692999999999998</v>
      </c>
      <c r="W709" s="49">
        <f t="shared" si="71"/>
        <v>491.34504065947863</v>
      </c>
    </row>
    <row r="710" spans="1:23" x14ac:dyDescent="0.2">
      <c r="A710" s="52" t="s">
        <v>2019</v>
      </c>
      <c r="B710" s="53">
        <v>45716</v>
      </c>
      <c r="C710" s="53">
        <v>45700</v>
      </c>
      <c r="D710" s="52" t="s">
        <v>94</v>
      </c>
      <c r="E710" s="52" t="s">
        <v>95</v>
      </c>
      <c r="G710" s="52" t="s">
        <v>2191</v>
      </c>
      <c r="H710" s="40" t="s">
        <v>1001</v>
      </c>
      <c r="I710" s="40" t="s">
        <v>1002</v>
      </c>
      <c r="J710" s="43" t="str">
        <f t="shared" si="66"/>
        <v>LID-</v>
      </c>
      <c r="K710" s="52" t="s">
        <v>369</v>
      </c>
      <c r="L710" s="40">
        <v>331</v>
      </c>
      <c r="M710" s="52" t="s">
        <v>1472</v>
      </c>
      <c r="N710" s="52" t="s">
        <v>11</v>
      </c>
      <c r="O710" s="54">
        <v>3.42</v>
      </c>
      <c r="P710" s="45">
        <f t="shared" si="67"/>
        <v>1132.02</v>
      </c>
      <c r="Q710" s="46">
        <f t="shared" si="68"/>
        <v>7.3003400000000003</v>
      </c>
      <c r="R710" s="47">
        <f t="shared" si="69"/>
        <v>0.46850000000000003</v>
      </c>
      <c r="S710" s="48">
        <f t="shared" si="70"/>
        <v>155.07</v>
      </c>
      <c r="T710" s="47" t="s">
        <v>349</v>
      </c>
      <c r="U710" s="52" t="s">
        <v>368</v>
      </c>
      <c r="V710" s="38">
        <v>7.1692999999999998</v>
      </c>
      <c r="W710" s="49">
        <f t="shared" si="71"/>
        <v>157.898260639114</v>
      </c>
    </row>
    <row r="711" spans="1:23" x14ac:dyDescent="0.2">
      <c r="A711" s="52" t="s">
        <v>2020</v>
      </c>
      <c r="B711" s="53">
        <v>45708</v>
      </c>
      <c r="C711" s="53">
        <v>45636</v>
      </c>
      <c r="D711" s="52" t="s">
        <v>94</v>
      </c>
      <c r="E711" s="52" t="s">
        <v>95</v>
      </c>
      <c r="G711" s="52" t="s">
        <v>2194</v>
      </c>
      <c r="H711" s="40" t="s">
        <v>1734</v>
      </c>
      <c r="I711" s="40" t="s">
        <v>1735</v>
      </c>
      <c r="J711" s="43" t="str">
        <f t="shared" si="66"/>
        <v>LID-</v>
      </c>
      <c r="K711" s="52" t="s">
        <v>369</v>
      </c>
      <c r="L711" s="40">
        <v>1410</v>
      </c>
      <c r="M711" s="52" t="s">
        <v>1472</v>
      </c>
      <c r="N711" s="52" t="s">
        <v>11</v>
      </c>
      <c r="O711" s="54">
        <v>3.53</v>
      </c>
      <c r="P711" s="45">
        <f t="shared" si="67"/>
        <v>4977.3</v>
      </c>
      <c r="Q711" s="46">
        <f t="shared" si="68"/>
        <v>7.3003400000000003</v>
      </c>
      <c r="R711" s="47">
        <f t="shared" si="69"/>
        <v>0.48349999999999999</v>
      </c>
      <c r="S711" s="48">
        <f t="shared" si="70"/>
        <v>681.74</v>
      </c>
      <c r="T711" s="47" t="s">
        <v>349</v>
      </c>
      <c r="U711" s="52" t="s">
        <v>368</v>
      </c>
      <c r="V711" s="38">
        <v>7.1692999999999998</v>
      </c>
      <c r="W711" s="49">
        <f t="shared" si="71"/>
        <v>694.25187954193575</v>
      </c>
    </row>
    <row r="712" spans="1:23" x14ac:dyDescent="0.2">
      <c r="A712" s="52" t="s">
        <v>2020</v>
      </c>
      <c r="B712" s="53">
        <v>45707</v>
      </c>
      <c r="C712" s="53">
        <v>45636</v>
      </c>
      <c r="D712" s="52" t="s">
        <v>94</v>
      </c>
      <c r="E712" s="52" t="s">
        <v>95</v>
      </c>
      <c r="G712" s="52" t="s">
        <v>2192</v>
      </c>
      <c r="H712" s="40" t="s">
        <v>1734</v>
      </c>
      <c r="I712" s="40" t="s">
        <v>1735</v>
      </c>
      <c r="J712" s="43" t="str">
        <f t="shared" si="66"/>
        <v>LID-</v>
      </c>
      <c r="K712" s="52" t="s">
        <v>369</v>
      </c>
      <c r="L712" s="40">
        <v>1680</v>
      </c>
      <c r="M712" s="52" t="s">
        <v>1472</v>
      </c>
      <c r="N712" s="52" t="s">
        <v>11</v>
      </c>
      <c r="O712" s="54">
        <v>3.53</v>
      </c>
      <c r="P712" s="45">
        <f t="shared" si="67"/>
        <v>5930.4</v>
      </c>
      <c r="Q712" s="46">
        <f t="shared" si="68"/>
        <v>7.3003400000000003</v>
      </c>
      <c r="R712" s="47">
        <f t="shared" si="69"/>
        <v>0.48349999999999999</v>
      </c>
      <c r="S712" s="48">
        <f t="shared" si="70"/>
        <v>812.28</v>
      </c>
      <c r="T712" s="47" t="s">
        <v>349</v>
      </c>
      <c r="U712" s="52" t="s">
        <v>368</v>
      </c>
      <c r="V712" s="38">
        <v>7.1692999999999998</v>
      </c>
      <c r="W712" s="49">
        <f t="shared" si="71"/>
        <v>827.19372881592346</v>
      </c>
    </row>
    <row r="713" spans="1:23" x14ac:dyDescent="0.2">
      <c r="A713" s="52" t="s">
        <v>2021</v>
      </c>
      <c r="B713" s="53">
        <v>45708</v>
      </c>
      <c r="C713" s="53">
        <v>45636</v>
      </c>
      <c r="D713" s="52" t="s">
        <v>94</v>
      </c>
      <c r="E713" s="52" t="s">
        <v>95</v>
      </c>
      <c r="G713" s="52" t="s">
        <v>2194</v>
      </c>
      <c r="H713" s="40" t="s">
        <v>1734</v>
      </c>
      <c r="I713" s="40" t="s">
        <v>1735</v>
      </c>
      <c r="J713" s="43" t="str">
        <f t="shared" si="66"/>
        <v>LID-</v>
      </c>
      <c r="K713" s="52" t="s">
        <v>369</v>
      </c>
      <c r="L713" s="40">
        <v>1030</v>
      </c>
      <c r="M713" s="52" t="s">
        <v>1472</v>
      </c>
      <c r="N713" s="52" t="s">
        <v>11</v>
      </c>
      <c r="O713" s="54">
        <v>3.53</v>
      </c>
      <c r="P713" s="45">
        <f t="shared" si="67"/>
        <v>3635.9</v>
      </c>
      <c r="Q713" s="46">
        <f t="shared" si="68"/>
        <v>7.3003400000000003</v>
      </c>
      <c r="R713" s="47">
        <f t="shared" si="69"/>
        <v>0.48349999999999999</v>
      </c>
      <c r="S713" s="48">
        <f t="shared" si="70"/>
        <v>498.01</v>
      </c>
      <c r="T713" s="47" t="s">
        <v>349</v>
      </c>
      <c r="U713" s="52" t="s">
        <v>368</v>
      </c>
      <c r="V713" s="38">
        <v>7.1692999999999998</v>
      </c>
      <c r="W713" s="49">
        <f t="shared" si="71"/>
        <v>507.1485361192864</v>
      </c>
    </row>
    <row r="714" spans="1:23" x14ac:dyDescent="0.2">
      <c r="A714" s="52" t="s">
        <v>2022</v>
      </c>
      <c r="B714" s="53">
        <v>45713</v>
      </c>
      <c r="C714" s="53">
        <v>45671</v>
      </c>
      <c r="D714" s="52" t="s">
        <v>121</v>
      </c>
      <c r="E714" s="52" t="s">
        <v>122</v>
      </c>
      <c r="G714" s="52" t="s">
        <v>2195</v>
      </c>
      <c r="H714" s="40" t="s">
        <v>357</v>
      </c>
      <c r="I714" s="40" t="s">
        <v>358</v>
      </c>
      <c r="J714" s="43" t="str">
        <f t="shared" si="66"/>
        <v>HDL-</v>
      </c>
      <c r="K714" s="52" t="s">
        <v>10</v>
      </c>
      <c r="L714" s="40">
        <v>195</v>
      </c>
      <c r="M714" s="52" t="s">
        <v>1472</v>
      </c>
      <c r="N714" s="52" t="s">
        <v>11</v>
      </c>
      <c r="O714" s="54">
        <v>3.5398000000000001</v>
      </c>
      <c r="P714" s="45">
        <f t="shared" si="67"/>
        <v>690.26</v>
      </c>
      <c r="Q714" s="46">
        <f t="shared" si="68"/>
        <v>7.3003400000000003</v>
      </c>
      <c r="R714" s="47">
        <f t="shared" si="69"/>
        <v>0.4849</v>
      </c>
      <c r="S714" s="48">
        <f t="shared" si="70"/>
        <v>94.56</v>
      </c>
      <c r="T714" s="47" t="s">
        <v>349</v>
      </c>
      <c r="U714" s="52" t="s">
        <v>228</v>
      </c>
      <c r="V714" s="38">
        <v>7.1692999999999998</v>
      </c>
      <c r="W714" s="49">
        <f t="shared" si="71"/>
        <v>96.280111028970751</v>
      </c>
    </row>
    <row r="715" spans="1:23" x14ac:dyDescent="0.2">
      <c r="A715" s="52" t="s">
        <v>2023</v>
      </c>
      <c r="B715" s="53">
        <v>45714</v>
      </c>
      <c r="C715" s="53">
        <v>45675</v>
      </c>
      <c r="D715" s="52" t="s">
        <v>187</v>
      </c>
      <c r="E715" s="52" t="s">
        <v>188</v>
      </c>
      <c r="G715" s="52" t="s">
        <v>2187</v>
      </c>
      <c r="H715" s="40" t="s">
        <v>192</v>
      </c>
      <c r="I715" s="40" t="s">
        <v>193</v>
      </c>
      <c r="J715" s="43" t="str">
        <f t="shared" si="66"/>
        <v>ALM-</v>
      </c>
      <c r="K715" s="52" t="s">
        <v>98</v>
      </c>
      <c r="L715" s="40">
        <v>50</v>
      </c>
      <c r="M715" s="52" t="s">
        <v>186</v>
      </c>
      <c r="N715" s="52" t="s">
        <v>11</v>
      </c>
      <c r="O715" s="54">
        <v>3.6282999999999999</v>
      </c>
      <c r="P715" s="45">
        <f t="shared" si="67"/>
        <v>181.42</v>
      </c>
      <c r="Q715" s="46">
        <f t="shared" si="68"/>
        <v>7.3003400000000003</v>
      </c>
      <c r="R715" s="47">
        <f t="shared" si="69"/>
        <v>0.497</v>
      </c>
      <c r="S715" s="48">
        <f t="shared" si="70"/>
        <v>24.85</v>
      </c>
      <c r="T715" s="47" t="s">
        <v>349</v>
      </c>
      <c r="U715" s="52" t="s">
        <v>191</v>
      </c>
      <c r="V715" s="38">
        <v>7.1692999999999998</v>
      </c>
      <c r="W715" s="49">
        <f t="shared" si="71"/>
        <v>25.304423025957906</v>
      </c>
    </row>
    <row r="716" spans="1:23" x14ac:dyDescent="0.2">
      <c r="A716" s="52" t="s">
        <v>2024</v>
      </c>
      <c r="B716" s="53">
        <v>45714</v>
      </c>
      <c r="C716" s="53">
        <v>45675</v>
      </c>
      <c r="D716" s="52" t="s">
        <v>187</v>
      </c>
      <c r="E716" s="52" t="s">
        <v>188</v>
      </c>
      <c r="G716" s="52" t="s">
        <v>2187</v>
      </c>
      <c r="H716" s="40" t="s">
        <v>1736</v>
      </c>
      <c r="I716" s="40" t="s">
        <v>1737</v>
      </c>
      <c r="J716" s="43" t="str">
        <f t="shared" si="66"/>
        <v>ALM-</v>
      </c>
      <c r="K716" s="52" t="s">
        <v>98</v>
      </c>
      <c r="L716" s="40">
        <v>50</v>
      </c>
      <c r="M716" s="52" t="s">
        <v>186</v>
      </c>
      <c r="N716" s="52" t="s">
        <v>11</v>
      </c>
      <c r="O716" s="54">
        <v>3.6282999999999999</v>
      </c>
      <c r="P716" s="45">
        <f t="shared" si="67"/>
        <v>181.42</v>
      </c>
      <c r="Q716" s="46">
        <f t="shared" si="68"/>
        <v>7.3003400000000003</v>
      </c>
      <c r="R716" s="47">
        <f t="shared" si="69"/>
        <v>0.497</v>
      </c>
      <c r="S716" s="48">
        <f t="shared" si="70"/>
        <v>24.85</v>
      </c>
      <c r="T716" s="47" t="s">
        <v>349</v>
      </c>
      <c r="U716" s="52" t="s">
        <v>191</v>
      </c>
      <c r="V716" s="38">
        <v>7.1692999999999998</v>
      </c>
      <c r="W716" s="49">
        <f t="shared" si="71"/>
        <v>25.304423025957906</v>
      </c>
    </row>
    <row r="717" spans="1:23" x14ac:dyDescent="0.2">
      <c r="A717" s="52" t="s">
        <v>2025</v>
      </c>
      <c r="B717" s="53">
        <v>45714</v>
      </c>
      <c r="C717" s="53">
        <v>45675</v>
      </c>
      <c r="D717" s="52" t="s">
        <v>187</v>
      </c>
      <c r="E717" s="52" t="s">
        <v>188</v>
      </c>
      <c r="G717" s="52" t="s">
        <v>2187</v>
      </c>
      <c r="H717" s="40" t="s">
        <v>1200</v>
      </c>
      <c r="I717" s="40" t="s">
        <v>1201</v>
      </c>
      <c r="J717" s="43" t="str">
        <f t="shared" si="66"/>
        <v>ALM-</v>
      </c>
      <c r="K717" s="52" t="s">
        <v>98</v>
      </c>
      <c r="L717" s="40">
        <v>80</v>
      </c>
      <c r="M717" s="52" t="s">
        <v>186</v>
      </c>
      <c r="N717" s="52" t="s">
        <v>11</v>
      </c>
      <c r="O717" s="54">
        <v>3.6282999999999999</v>
      </c>
      <c r="P717" s="45">
        <f t="shared" si="67"/>
        <v>290.26</v>
      </c>
      <c r="Q717" s="46">
        <f t="shared" si="68"/>
        <v>7.3003400000000003</v>
      </c>
      <c r="R717" s="47">
        <f t="shared" si="69"/>
        <v>0.497</v>
      </c>
      <c r="S717" s="48">
        <f t="shared" si="70"/>
        <v>39.76</v>
      </c>
      <c r="T717" s="47" t="s">
        <v>349</v>
      </c>
      <c r="U717" s="52" t="s">
        <v>191</v>
      </c>
      <c r="V717" s="38">
        <v>7.1692999999999998</v>
      </c>
      <c r="W717" s="49">
        <f t="shared" si="71"/>
        <v>40.487076841532648</v>
      </c>
    </row>
    <row r="718" spans="1:23" x14ac:dyDescent="0.2">
      <c r="A718" s="52" t="s">
        <v>2026</v>
      </c>
      <c r="B718" s="53">
        <v>45714</v>
      </c>
      <c r="C718" s="53">
        <v>45675</v>
      </c>
      <c r="D718" s="52" t="s">
        <v>187</v>
      </c>
      <c r="E718" s="52" t="s">
        <v>188</v>
      </c>
      <c r="G718" s="52" t="s">
        <v>2187</v>
      </c>
      <c r="H718" s="40" t="s">
        <v>1226</v>
      </c>
      <c r="I718" s="40" t="s">
        <v>1227</v>
      </c>
      <c r="J718" s="43" t="str">
        <f t="shared" si="66"/>
        <v>ALM-</v>
      </c>
      <c r="K718" s="52" t="s">
        <v>98</v>
      </c>
      <c r="L718" s="40">
        <v>170</v>
      </c>
      <c r="M718" s="52" t="s">
        <v>186</v>
      </c>
      <c r="N718" s="52" t="s">
        <v>11</v>
      </c>
      <c r="O718" s="54">
        <v>3.6282999999999999</v>
      </c>
      <c r="P718" s="45">
        <f t="shared" si="67"/>
        <v>616.80999999999995</v>
      </c>
      <c r="Q718" s="46">
        <f t="shared" si="68"/>
        <v>7.3003400000000003</v>
      </c>
      <c r="R718" s="47">
        <f t="shared" si="69"/>
        <v>0.497</v>
      </c>
      <c r="S718" s="48">
        <f t="shared" si="70"/>
        <v>84.49</v>
      </c>
      <c r="T718" s="47" t="s">
        <v>349</v>
      </c>
      <c r="U718" s="52" t="s">
        <v>191</v>
      </c>
      <c r="V718" s="38">
        <v>7.1692999999999998</v>
      </c>
      <c r="W718" s="49">
        <f t="shared" si="71"/>
        <v>86.035038288256885</v>
      </c>
    </row>
    <row r="719" spans="1:23" x14ac:dyDescent="0.2">
      <c r="A719" s="52" t="s">
        <v>2027</v>
      </c>
      <c r="B719" s="53">
        <v>45714</v>
      </c>
      <c r="C719" s="53">
        <v>45698</v>
      </c>
      <c r="D719" s="52" t="s">
        <v>187</v>
      </c>
      <c r="E719" s="52" t="s">
        <v>188</v>
      </c>
      <c r="G719" s="52" t="s">
        <v>2187</v>
      </c>
      <c r="H719" s="40" t="s">
        <v>1736</v>
      </c>
      <c r="I719" s="40" t="s">
        <v>1737</v>
      </c>
      <c r="J719" s="43" t="str">
        <f t="shared" si="66"/>
        <v>ALM-</v>
      </c>
      <c r="K719" s="52" t="s">
        <v>98</v>
      </c>
      <c r="L719" s="40">
        <v>50</v>
      </c>
      <c r="M719" s="52" t="s">
        <v>186</v>
      </c>
      <c r="N719" s="52" t="s">
        <v>11</v>
      </c>
      <c r="O719" s="54">
        <v>3.6282999999999999</v>
      </c>
      <c r="P719" s="45">
        <f t="shared" si="67"/>
        <v>181.42</v>
      </c>
      <c r="Q719" s="46">
        <f t="shared" si="68"/>
        <v>7.3003400000000003</v>
      </c>
      <c r="R719" s="47">
        <f t="shared" si="69"/>
        <v>0.497</v>
      </c>
      <c r="S719" s="48">
        <f t="shared" si="70"/>
        <v>24.85</v>
      </c>
      <c r="T719" s="47" t="s">
        <v>349</v>
      </c>
      <c r="U719" s="52" t="s">
        <v>191</v>
      </c>
      <c r="V719" s="38">
        <v>7.1692999999999998</v>
      </c>
      <c r="W719" s="49">
        <f t="shared" si="71"/>
        <v>25.304423025957906</v>
      </c>
    </row>
    <row r="720" spans="1:23" x14ac:dyDescent="0.2">
      <c r="A720" s="52" t="s">
        <v>2028</v>
      </c>
      <c r="B720" s="53">
        <v>45714</v>
      </c>
      <c r="C720" s="53">
        <v>45698</v>
      </c>
      <c r="D720" s="52" t="s">
        <v>187</v>
      </c>
      <c r="E720" s="52" t="s">
        <v>188</v>
      </c>
      <c r="G720" s="52" t="s">
        <v>2187</v>
      </c>
      <c r="H720" s="40" t="s">
        <v>1738</v>
      </c>
      <c r="I720" s="40" t="s">
        <v>1739</v>
      </c>
      <c r="J720" s="43" t="str">
        <f t="shared" si="66"/>
        <v>ALM-</v>
      </c>
      <c r="K720" s="52" t="s">
        <v>98</v>
      </c>
      <c r="L720" s="40">
        <v>100</v>
      </c>
      <c r="M720" s="52" t="s">
        <v>186</v>
      </c>
      <c r="N720" s="52" t="s">
        <v>11</v>
      </c>
      <c r="O720" s="54">
        <v>3.6282999999999999</v>
      </c>
      <c r="P720" s="45">
        <f t="shared" si="67"/>
        <v>362.83</v>
      </c>
      <c r="Q720" s="46">
        <f t="shared" si="68"/>
        <v>7.3003400000000003</v>
      </c>
      <c r="R720" s="47">
        <f t="shared" si="69"/>
        <v>0.497</v>
      </c>
      <c r="S720" s="48">
        <f t="shared" si="70"/>
        <v>49.7</v>
      </c>
      <c r="T720" s="47" t="s">
        <v>349</v>
      </c>
      <c r="U720" s="52" t="s">
        <v>191</v>
      </c>
      <c r="V720" s="38">
        <v>7.1692999999999998</v>
      </c>
      <c r="W720" s="49">
        <f t="shared" si="71"/>
        <v>50.608846051915812</v>
      </c>
    </row>
    <row r="721" spans="1:23" x14ac:dyDescent="0.2">
      <c r="A721" s="52" t="s">
        <v>2029</v>
      </c>
      <c r="B721" s="53">
        <v>45714</v>
      </c>
      <c r="C721" s="53">
        <v>45698</v>
      </c>
      <c r="D721" s="52" t="s">
        <v>187</v>
      </c>
      <c r="E721" s="52" t="s">
        <v>188</v>
      </c>
      <c r="G721" s="52" t="s">
        <v>2187</v>
      </c>
      <c r="H721" s="40" t="s">
        <v>1740</v>
      </c>
      <c r="I721" s="40" t="s">
        <v>1741</v>
      </c>
      <c r="J721" s="43" t="str">
        <f t="shared" si="66"/>
        <v>ALM-</v>
      </c>
      <c r="K721" s="52" t="s">
        <v>98</v>
      </c>
      <c r="L721" s="40">
        <v>150</v>
      </c>
      <c r="M721" s="52" t="s">
        <v>186</v>
      </c>
      <c r="N721" s="52" t="s">
        <v>11</v>
      </c>
      <c r="O721" s="54">
        <v>3.6282999999999999</v>
      </c>
      <c r="P721" s="45">
        <f t="shared" si="67"/>
        <v>544.25</v>
      </c>
      <c r="Q721" s="46">
        <f t="shared" si="68"/>
        <v>7.3003400000000003</v>
      </c>
      <c r="R721" s="47">
        <f t="shared" si="69"/>
        <v>0.497</v>
      </c>
      <c r="S721" s="48">
        <f t="shared" si="70"/>
        <v>74.55</v>
      </c>
      <c r="T721" s="47" t="s">
        <v>349</v>
      </c>
      <c r="U721" s="52" t="s">
        <v>191</v>
      </c>
      <c r="V721" s="38">
        <v>7.1692999999999998</v>
      </c>
      <c r="W721" s="49">
        <f t="shared" si="71"/>
        <v>75.913269077873721</v>
      </c>
    </row>
    <row r="722" spans="1:23" x14ac:dyDescent="0.2">
      <c r="A722" s="52" t="s">
        <v>2030</v>
      </c>
      <c r="B722" s="53">
        <v>45709</v>
      </c>
      <c r="C722" s="53">
        <v>45636</v>
      </c>
      <c r="D722" s="52" t="s">
        <v>94</v>
      </c>
      <c r="E722" s="52" t="s">
        <v>95</v>
      </c>
      <c r="G722" s="52" t="s">
        <v>2196</v>
      </c>
      <c r="H722" s="40" t="s">
        <v>997</v>
      </c>
      <c r="I722" s="40" t="s">
        <v>998</v>
      </c>
      <c r="J722" s="43" t="str">
        <f t="shared" si="66"/>
        <v>LID-</v>
      </c>
      <c r="K722" s="52" t="s">
        <v>369</v>
      </c>
      <c r="L722" s="40">
        <v>860</v>
      </c>
      <c r="M722" s="52" t="s">
        <v>1472</v>
      </c>
      <c r="N722" s="52" t="s">
        <v>11</v>
      </c>
      <c r="O722" s="54">
        <v>3.64</v>
      </c>
      <c r="P722" s="45">
        <f t="shared" si="67"/>
        <v>3130.4</v>
      </c>
      <c r="Q722" s="46">
        <f t="shared" si="68"/>
        <v>7.3003400000000003</v>
      </c>
      <c r="R722" s="47">
        <f t="shared" si="69"/>
        <v>0.49859999999999999</v>
      </c>
      <c r="S722" s="48">
        <f t="shared" si="70"/>
        <v>428.8</v>
      </c>
      <c r="T722" s="47" t="s">
        <v>349</v>
      </c>
      <c r="U722" s="52" t="s">
        <v>368</v>
      </c>
      <c r="V722" s="38">
        <v>7.1692999999999998</v>
      </c>
      <c r="W722" s="49">
        <f t="shared" si="71"/>
        <v>436.63956034759326</v>
      </c>
    </row>
    <row r="723" spans="1:23" x14ac:dyDescent="0.2">
      <c r="A723" s="52" t="s">
        <v>2030</v>
      </c>
      <c r="B723" s="53">
        <v>45707</v>
      </c>
      <c r="C723" s="53">
        <v>45636</v>
      </c>
      <c r="D723" s="52" t="s">
        <v>94</v>
      </c>
      <c r="E723" s="52" t="s">
        <v>95</v>
      </c>
      <c r="G723" s="52" t="s">
        <v>2192</v>
      </c>
      <c r="H723" s="40" t="s">
        <v>997</v>
      </c>
      <c r="I723" s="40" t="s">
        <v>998</v>
      </c>
      <c r="J723" s="43" t="str">
        <f t="shared" si="66"/>
        <v>LID-</v>
      </c>
      <c r="K723" s="52" t="s">
        <v>369</v>
      </c>
      <c r="L723" s="40">
        <v>1200</v>
      </c>
      <c r="M723" s="52" t="s">
        <v>1472</v>
      </c>
      <c r="N723" s="52" t="s">
        <v>11</v>
      </c>
      <c r="O723" s="54">
        <v>3.64</v>
      </c>
      <c r="P723" s="45">
        <f t="shared" si="67"/>
        <v>4368</v>
      </c>
      <c r="Q723" s="46">
        <f t="shared" si="68"/>
        <v>7.3003400000000003</v>
      </c>
      <c r="R723" s="47">
        <f t="shared" si="69"/>
        <v>0.49859999999999999</v>
      </c>
      <c r="S723" s="48">
        <f t="shared" si="70"/>
        <v>598.32000000000005</v>
      </c>
      <c r="T723" s="47" t="s">
        <v>349</v>
      </c>
      <c r="U723" s="52" t="s">
        <v>368</v>
      </c>
      <c r="V723" s="38">
        <v>7.1692999999999998</v>
      </c>
      <c r="W723" s="49">
        <f t="shared" si="71"/>
        <v>609.26450281059522</v>
      </c>
    </row>
    <row r="724" spans="1:23" x14ac:dyDescent="0.2">
      <c r="A724" s="52" t="s">
        <v>2031</v>
      </c>
      <c r="B724" s="53">
        <v>45712</v>
      </c>
      <c r="C724" s="53">
        <v>45636</v>
      </c>
      <c r="D724" s="52" t="s">
        <v>94</v>
      </c>
      <c r="E724" s="52" t="s">
        <v>95</v>
      </c>
      <c r="G724" s="52" t="s">
        <v>2197</v>
      </c>
      <c r="H724" s="40" t="s">
        <v>997</v>
      </c>
      <c r="I724" s="40" t="s">
        <v>998</v>
      </c>
      <c r="J724" s="43" t="str">
        <f t="shared" si="66"/>
        <v>LID-</v>
      </c>
      <c r="K724" s="52" t="s">
        <v>369</v>
      </c>
      <c r="L724" s="40">
        <v>1250</v>
      </c>
      <c r="M724" s="52" t="s">
        <v>1472</v>
      </c>
      <c r="N724" s="52" t="s">
        <v>11</v>
      </c>
      <c r="O724" s="54">
        <v>3.64</v>
      </c>
      <c r="P724" s="45">
        <f t="shared" si="67"/>
        <v>4550</v>
      </c>
      <c r="Q724" s="46">
        <f t="shared" si="68"/>
        <v>7.3003400000000003</v>
      </c>
      <c r="R724" s="47">
        <f t="shared" si="69"/>
        <v>0.49859999999999999</v>
      </c>
      <c r="S724" s="48">
        <f t="shared" si="70"/>
        <v>623.25</v>
      </c>
      <c r="T724" s="47" t="s">
        <v>349</v>
      </c>
      <c r="U724" s="52" t="s">
        <v>368</v>
      </c>
      <c r="V724" s="38">
        <v>7.1692999999999998</v>
      </c>
      <c r="W724" s="49">
        <f t="shared" si="71"/>
        <v>634.65052376103665</v>
      </c>
    </row>
    <row r="725" spans="1:23" x14ac:dyDescent="0.2">
      <c r="A725" s="52" t="s">
        <v>2031</v>
      </c>
      <c r="B725" s="53">
        <v>45709</v>
      </c>
      <c r="C725" s="53">
        <v>45636</v>
      </c>
      <c r="D725" s="52" t="s">
        <v>94</v>
      </c>
      <c r="E725" s="52" t="s">
        <v>95</v>
      </c>
      <c r="G725" s="52" t="s">
        <v>2196</v>
      </c>
      <c r="H725" s="40" t="s">
        <v>997</v>
      </c>
      <c r="I725" s="40" t="s">
        <v>998</v>
      </c>
      <c r="J725" s="43" t="str">
        <f t="shared" si="66"/>
        <v>LID-</v>
      </c>
      <c r="K725" s="52" t="s">
        <v>369</v>
      </c>
      <c r="L725" s="40">
        <v>1840</v>
      </c>
      <c r="M725" s="52" t="s">
        <v>1472</v>
      </c>
      <c r="N725" s="52" t="s">
        <v>11</v>
      </c>
      <c r="O725" s="54">
        <v>3.64</v>
      </c>
      <c r="P725" s="45">
        <f t="shared" si="67"/>
        <v>6697.6</v>
      </c>
      <c r="Q725" s="46">
        <f t="shared" si="68"/>
        <v>7.3003400000000003</v>
      </c>
      <c r="R725" s="47">
        <f t="shared" si="69"/>
        <v>0.49859999999999999</v>
      </c>
      <c r="S725" s="48">
        <f t="shared" si="70"/>
        <v>917.42</v>
      </c>
      <c r="T725" s="47" t="s">
        <v>349</v>
      </c>
      <c r="U725" s="52" t="s">
        <v>368</v>
      </c>
      <c r="V725" s="38">
        <v>7.1692999999999998</v>
      </c>
      <c r="W725" s="49">
        <f t="shared" si="71"/>
        <v>934.20557097624601</v>
      </c>
    </row>
    <row r="726" spans="1:23" x14ac:dyDescent="0.2">
      <c r="A726" s="52" t="s">
        <v>2032</v>
      </c>
      <c r="B726" s="53">
        <v>45698</v>
      </c>
      <c r="C726" s="53">
        <v>45636</v>
      </c>
      <c r="D726" s="52" t="s">
        <v>94</v>
      </c>
      <c r="E726" s="52" t="s">
        <v>95</v>
      </c>
      <c r="G726" s="52" t="s">
        <v>2198</v>
      </c>
      <c r="H726" s="40" t="s">
        <v>1742</v>
      </c>
      <c r="I726" s="40" t="s">
        <v>1743</v>
      </c>
      <c r="J726" s="43" t="str">
        <f t="shared" si="66"/>
        <v>LID-</v>
      </c>
      <c r="K726" s="52" t="s">
        <v>369</v>
      </c>
      <c r="L726" s="40">
        <v>3090</v>
      </c>
      <c r="M726" s="52" t="s">
        <v>1472</v>
      </c>
      <c r="N726" s="52" t="s">
        <v>11</v>
      </c>
      <c r="O726" s="54">
        <v>3.75</v>
      </c>
      <c r="P726" s="45">
        <f t="shared" si="67"/>
        <v>11587.5</v>
      </c>
      <c r="Q726" s="46">
        <f t="shared" si="68"/>
        <v>7.3003400000000003</v>
      </c>
      <c r="R726" s="47">
        <f t="shared" si="69"/>
        <v>0.51370000000000005</v>
      </c>
      <c r="S726" s="48">
        <f t="shared" si="70"/>
        <v>1587.33</v>
      </c>
      <c r="T726" s="47" t="s">
        <v>349</v>
      </c>
      <c r="U726" s="52" t="s">
        <v>368</v>
      </c>
      <c r="V726" s="38">
        <v>7.1692999999999998</v>
      </c>
      <c r="W726" s="49">
        <f t="shared" si="71"/>
        <v>1616.266581116706</v>
      </c>
    </row>
    <row r="727" spans="1:23" x14ac:dyDescent="0.2">
      <c r="A727" s="52" t="s">
        <v>2033</v>
      </c>
      <c r="B727" s="53">
        <v>45698</v>
      </c>
      <c r="C727" s="53">
        <v>45636</v>
      </c>
      <c r="D727" s="52" t="s">
        <v>94</v>
      </c>
      <c r="E727" s="52" t="s">
        <v>95</v>
      </c>
      <c r="G727" s="52" t="s">
        <v>2198</v>
      </c>
      <c r="H727" s="40" t="s">
        <v>1742</v>
      </c>
      <c r="I727" s="40" t="s">
        <v>1743</v>
      </c>
      <c r="J727" s="43" t="str">
        <f t="shared" si="66"/>
        <v>LID-</v>
      </c>
      <c r="K727" s="52" t="s">
        <v>369</v>
      </c>
      <c r="L727" s="40">
        <v>1030</v>
      </c>
      <c r="M727" s="52" t="s">
        <v>1472</v>
      </c>
      <c r="N727" s="52" t="s">
        <v>11</v>
      </c>
      <c r="O727" s="54">
        <v>3.75</v>
      </c>
      <c r="P727" s="45">
        <f t="shared" si="67"/>
        <v>3862.5</v>
      </c>
      <c r="Q727" s="46">
        <f t="shared" si="68"/>
        <v>7.3003400000000003</v>
      </c>
      <c r="R727" s="47">
        <f t="shared" si="69"/>
        <v>0.51370000000000005</v>
      </c>
      <c r="S727" s="48">
        <f t="shared" si="70"/>
        <v>529.11</v>
      </c>
      <c r="T727" s="47" t="s">
        <v>349</v>
      </c>
      <c r="U727" s="52" t="s">
        <v>368</v>
      </c>
      <c r="V727" s="38">
        <v>7.1692999999999998</v>
      </c>
      <c r="W727" s="49">
        <f t="shared" si="71"/>
        <v>538.75552703890196</v>
      </c>
    </row>
    <row r="728" spans="1:23" x14ac:dyDescent="0.2">
      <c r="A728" s="52" t="s">
        <v>2034</v>
      </c>
      <c r="B728" s="53">
        <v>45706</v>
      </c>
      <c r="C728" s="53">
        <v>45609</v>
      </c>
      <c r="D728" s="52" t="s">
        <v>128</v>
      </c>
      <c r="E728" s="52" t="s">
        <v>129</v>
      </c>
      <c r="G728" s="52" t="s">
        <v>2199</v>
      </c>
      <c r="H728" s="40" t="s">
        <v>1744</v>
      </c>
      <c r="I728" s="40" t="s">
        <v>1745</v>
      </c>
      <c r="J728" s="43" t="str">
        <f t="shared" si="66"/>
        <v>HDL-</v>
      </c>
      <c r="K728" s="52" t="s">
        <v>10</v>
      </c>
      <c r="L728" s="40">
        <v>-18</v>
      </c>
      <c r="M728" s="52" t="s">
        <v>1472</v>
      </c>
      <c r="N728" s="52" t="s">
        <v>11</v>
      </c>
      <c r="O728" s="54">
        <v>3.7610000000000001</v>
      </c>
      <c r="P728" s="45">
        <f t="shared" si="67"/>
        <v>-67.7</v>
      </c>
      <c r="Q728" s="46">
        <f t="shared" si="68"/>
        <v>7.3003400000000003</v>
      </c>
      <c r="R728" s="47">
        <f t="shared" si="69"/>
        <v>0.51519999999999999</v>
      </c>
      <c r="S728" s="48">
        <f t="shared" si="70"/>
        <v>-9.27</v>
      </c>
      <c r="T728" s="47" t="s">
        <v>349</v>
      </c>
      <c r="U728" s="52" t="s">
        <v>228</v>
      </c>
      <c r="V728" s="38">
        <v>7.1692999999999998</v>
      </c>
      <c r="W728" s="49">
        <f t="shared" si="71"/>
        <v>-9.4427628917746507</v>
      </c>
    </row>
    <row r="729" spans="1:23" x14ac:dyDescent="0.2">
      <c r="A729" s="52" t="s">
        <v>2035</v>
      </c>
      <c r="B729" s="53">
        <v>45713</v>
      </c>
      <c r="C729" s="53">
        <v>45674</v>
      </c>
      <c r="D729" s="52" t="s">
        <v>149</v>
      </c>
      <c r="E729" s="52" t="s">
        <v>150</v>
      </c>
      <c r="G729" s="52" t="s">
        <v>2181</v>
      </c>
      <c r="H729" s="40" t="s">
        <v>1746</v>
      </c>
      <c r="I729" s="40" t="s">
        <v>1747</v>
      </c>
      <c r="J729" s="43" t="str">
        <f t="shared" si="66"/>
        <v>GLID</v>
      </c>
      <c r="K729" s="52" t="s">
        <v>10</v>
      </c>
      <c r="L729" s="40">
        <v>510</v>
      </c>
      <c r="M729" s="52" t="s">
        <v>1472</v>
      </c>
      <c r="N729" s="52" t="s">
        <v>11</v>
      </c>
      <c r="O729" s="54">
        <v>3.8246000000000002</v>
      </c>
      <c r="P729" s="45">
        <f t="shared" si="67"/>
        <v>1950.55</v>
      </c>
      <c r="Q729" s="46">
        <f t="shared" si="68"/>
        <v>7.3003400000000003</v>
      </c>
      <c r="R729" s="47">
        <f t="shared" si="69"/>
        <v>0.52390000000000003</v>
      </c>
      <c r="S729" s="48">
        <f t="shared" si="70"/>
        <v>267.19</v>
      </c>
      <c r="T729" s="47" t="s">
        <v>349</v>
      </c>
      <c r="U729" s="52" t="s">
        <v>78</v>
      </c>
      <c r="V729" s="38">
        <v>7.1692999999999998</v>
      </c>
      <c r="W729" s="49">
        <f t="shared" si="71"/>
        <v>272.0692396747242</v>
      </c>
    </row>
    <row r="730" spans="1:23" x14ac:dyDescent="0.2">
      <c r="A730" s="52" t="s">
        <v>2036</v>
      </c>
      <c r="B730" s="53">
        <v>45708</v>
      </c>
      <c r="C730" s="53">
        <v>45674</v>
      </c>
      <c r="D730" s="52" t="s">
        <v>696</v>
      </c>
      <c r="E730" s="52" t="s">
        <v>697</v>
      </c>
      <c r="G730" s="52" t="s">
        <v>2200</v>
      </c>
      <c r="H730" s="40" t="s">
        <v>1537</v>
      </c>
      <c r="I730" s="40" t="s">
        <v>1538</v>
      </c>
      <c r="J730" s="43" t="str">
        <f t="shared" si="66"/>
        <v>ANYD</v>
      </c>
      <c r="K730" s="52" t="s">
        <v>10</v>
      </c>
      <c r="L730" s="40">
        <v>1050</v>
      </c>
      <c r="M730" s="52" t="s">
        <v>1472</v>
      </c>
      <c r="N730" s="52" t="s">
        <v>11</v>
      </c>
      <c r="O730" s="54">
        <v>3.85</v>
      </c>
      <c r="P730" s="45">
        <f t="shared" si="67"/>
        <v>4042.5</v>
      </c>
      <c r="Q730" s="46">
        <f t="shared" si="68"/>
        <v>7.3003400000000003</v>
      </c>
      <c r="R730" s="47">
        <f t="shared" si="69"/>
        <v>0.52739999999999998</v>
      </c>
      <c r="S730" s="48">
        <f t="shared" si="70"/>
        <v>553.77</v>
      </c>
      <c r="T730" s="47" t="s">
        <v>349</v>
      </c>
      <c r="U730" s="52" t="s">
        <v>36</v>
      </c>
      <c r="V730" s="38">
        <v>7.1692999999999998</v>
      </c>
      <c r="W730" s="49">
        <f t="shared" si="71"/>
        <v>563.8625807261518</v>
      </c>
    </row>
    <row r="731" spans="1:23" x14ac:dyDescent="0.2">
      <c r="A731" s="52" t="s">
        <v>2037</v>
      </c>
      <c r="B731" s="53">
        <v>45708</v>
      </c>
      <c r="C731" s="53">
        <v>45677</v>
      </c>
      <c r="D731" s="52" t="s">
        <v>696</v>
      </c>
      <c r="E731" s="52" t="s">
        <v>697</v>
      </c>
      <c r="G731" s="52" t="s">
        <v>2200</v>
      </c>
      <c r="H731" s="40" t="s">
        <v>1537</v>
      </c>
      <c r="I731" s="40" t="s">
        <v>1538</v>
      </c>
      <c r="J731" s="43" t="str">
        <f t="shared" si="66"/>
        <v>ANYD</v>
      </c>
      <c r="K731" s="52" t="s">
        <v>10</v>
      </c>
      <c r="L731" s="40">
        <v>1000</v>
      </c>
      <c r="M731" s="52" t="s">
        <v>1472</v>
      </c>
      <c r="N731" s="52" t="s">
        <v>11</v>
      </c>
      <c r="O731" s="54">
        <v>3.85</v>
      </c>
      <c r="P731" s="45">
        <f t="shared" si="67"/>
        <v>3850</v>
      </c>
      <c r="Q731" s="46">
        <f t="shared" si="68"/>
        <v>7.3003400000000003</v>
      </c>
      <c r="R731" s="47">
        <f t="shared" si="69"/>
        <v>0.52739999999999998</v>
      </c>
      <c r="S731" s="48">
        <f t="shared" si="70"/>
        <v>527.4</v>
      </c>
      <c r="T731" s="47" t="s">
        <v>349</v>
      </c>
      <c r="U731" s="52" t="s">
        <v>36</v>
      </c>
      <c r="V731" s="38">
        <v>7.1692999999999998</v>
      </c>
      <c r="W731" s="49">
        <f t="shared" si="71"/>
        <v>537.01198164395419</v>
      </c>
    </row>
    <row r="732" spans="1:23" x14ac:dyDescent="0.2">
      <c r="A732" s="52" t="s">
        <v>2038</v>
      </c>
      <c r="B732" s="53">
        <v>45708</v>
      </c>
      <c r="C732" s="53">
        <v>45680</v>
      </c>
      <c r="D732" s="52" t="s">
        <v>696</v>
      </c>
      <c r="E732" s="52" t="s">
        <v>697</v>
      </c>
      <c r="G732" s="52" t="s">
        <v>2200</v>
      </c>
      <c r="H732" s="40" t="s">
        <v>1537</v>
      </c>
      <c r="I732" s="40" t="s">
        <v>1538</v>
      </c>
      <c r="J732" s="43" t="str">
        <f t="shared" si="66"/>
        <v>ANYD</v>
      </c>
      <c r="K732" s="52" t="s">
        <v>10</v>
      </c>
      <c r="L732" s="40">
        <v>1600</v>
      </c>
      <c r="M732" s="52" t="s">
        <v>1472</v>
      </c>
      <c r="N732" s="52" t="s">
        <v>11</v>
      </c>
      <c r="O732" s="54">
        <v>3.85</v>
      </c>
      <c r="P732" s="45">
        <f t="shared" si="67"/>
        <v>6160</v>
      </c>
      <c r="Q732" s="46">
        <f t="shared" si="68"/>
        <v>7.3003400000000003</v>
      </c>
      <c r="R732" s="47">
        <f t="shared" si="69"/>
        <v>0.52739999999999998</v>
      </c>
      <c r="S732" s="48">
        <f t="shared" si="70"/>
        <v>843.84</v>
      </c>
      <c r="T732" s="47" t="s">
        <v>349</v>
      </c>
      <c r="U732" s="52" t="s">
        <v>36</v>
      </c>
      <c r="V732" s="38">
        <v>7.1692999999999998</v>
      </c>
      <c r="W732" s="49">
        <f t="shared" si="71"/>
        <v>859.21917063032663</v>
      </c>
    </row>
    <row r="733" spans="1:23" x14ac:dyDescent="0.2">
      <c r="A733" s="52" t="s">
        <v>2039</v>
      </c>
      <c r="B733" s="53">
        <v>45707</v>
      </c>
      <c r="C733" s="53">
        <v>45706</v>
      </c>
      <c r="D733" s="52" t="s">
        <v>5</v>
      </c>
      <c r="E733" s="52" t="s">
        <v>6</v>
      </c>
      <c r="G733" s="52" t="s">
        <v>2185</v>
      </c>
      <c r="H733" s="40" t="s">
        <v>1748</v>
      </c>
      <c r="I733" s="40" t="s">
        <v>1749</v>
      </c>
      <c r="J733" s="43" t="str">
        <f t="shared" si="66"/>
        <v>BOX-</v>
      </c>
      <c r="K733" s="52" t="s">
        <v>10</v>
      </c>
      <c r="L733" s="40">
        <v>2020</v>
      </c>
      <c r="M733" s="52" t="s">
        <v>1472</v>
      </c>
      <c r="N733" s="52" t="s">
        <v>11</v>
      </c>
      <c r="O733" s="54">
        <v>3.87</v>
      </c>
      <c r="P733" s="45">
        <f t="shared" si="67"/>
        <v>7817.4</v>
      </c>
      <c r="Q733" s="46">
        <f t="shared" si="68"/>
        <v>7.3003400000000003</v>
      </c>
      <c r="R733" s="47">
        <f t="shared" si="69"/>
        <v>0.53010000000000002</v>
      </c>
      <c r="S733" s="48">
        <f t="shared" si="70"/>
        <v>1070.8</v>
      </c>
      <c r="T733" s="47" t="s">
        <v>349</v>
      </c>
      <c r="U733" s="52" t="s">
        <v>1</v>
      </c>
      <c r="V733" s="38">
        <v>7.1692999999999998</v>
      </c>
      <c r="W733" s="49">
        <f t="shared" si="71"/>
        <v>1090.3993416372589</v>
      </c>
    </row>
    <row r="734" spans="1:23" x14ac:dyDescent="0.2">
      <c r="A734" s="52" t="s">
        <v>2040</v>
      </c>
      <c r="B734" s="53">
        <v>45716</v>
      </c>
      <c r="C734" s="53">
        <v>45636</v>
      </c>
      <c r="D734" s="52" t="s">
        <v>94</v>
      </c>
      <c r="E734" s="52" t="s">
        <v>95</v>
      </c>
      <c r="G734" s="52" t="s">
        <v>2201</v>
      </c>
      <c r="H734" s="40" t="s">
        <v>1750</v>
      </c>
      <c r="I734" s="40" t="s">
        <v>1751</v>
      </c>
      <c r="J734" s="43" t="str">
        <f t="shared" si="66"/>
        <v>LID-</v>
      </c>
      <c r="K734" s="52" t="s">
        <v>369</v>
      </c>
      <c r="L734" s="40">
        <v>2060</v>
      </c>
      <c r="M734" s="52" t="s">
        <v>1472</v>
      </c>
      <c r="N734" s="52" t="s">
        <v>11</v>
      </c>
      <c r="O734" s="54">
        <v>3.92</v>
      </c>
      <c r="P734" s="45">
        <f t="shared" si="67"/>
        <v>8075.2</v>
      </c>
      <c r="Q734" s="46">
        <f t="shared" si="68"/>
        <v>7.3003400000000003</v>
      </c>
      <c r="R734" s="47">
        <f t="shared" si="69"/>
        <v>0.53700000000000003</v>
      </c>
      <c r="S734" s="48">
        <f t="shared" si="70"/>
        <v>1106.22</v>
      </c>
      <c r="T734" s="47" t="s">
        <v>349</v>
      </c>
      <c r="U734" s="52" t="s">
        <v>368</v>
      </c>
      <c r="V734" s="38">
        <v>7.1692999999999998</v>
      </c>
      <c r="W734" s="49">
        <f t="shared" si="71"/>
        <v>1126.3582218626645</v>
      </c>
    </row>
    <row r="735" spans="1:23" x14ac:dyDescent="0.2">
      <c r="A735" s="52" t="s">
        <v>2040</v>
      </c>
      <c r="B735" s="53">
        <v>45715</v>
      </c>
      <c r="C735" s="53">
        <v>45636</v>
      </c>
      <c r="D735" s="52" t="s">
        <v>94</v>
      </c>
      <c r="E735" s="52" t="s">
        <v>95</v>
      </c>
      <c r="G735" s="52" t="s">
        <v>2202</v>
      </c>
      <c r="H735" s="40" t="s">
        <v>1750</v>
      </c>
      <c r="I735" s="40" t="s">
        <v>1751</v>
      </c>
      <c r="J735" s="43" t="str">
        <f t="shared" si="66"/>
        <v>LID-</v>
      </c>
      <c r="K735" s="52" t="s">
        <v>369</v>
      </c>
      <c r="L735" s="40">
        <v>2450</v>
      </c>
      <c r="M735" s="52" t="s">
        <v>1472</v>
      </c>
      <c r="N735" s="52" t="s">
        <v>11</v>
      </c>
      <c r="O735" s="54">
        <v>3.92</v>
      </c>
      <c r="P735" s="45">
        <f t="shared" si="67"/>
        <v>9604</v>
      </c>
      <c r="Q735" s="46">
        <f t="shared" si="68"/>
        <v>7.3003400000000003</v>
      </c>
      <c r="R735" s="47">
        <f t="shared" si="69"/>
        <v>0.53700000000000003</v>
      </c>
      <c r="S735" s="48">
        <f t="shared" si="70"/>
        <v>1315.65</v>
      </c>
      <c r="T735" s="47" t="s">
        <v>349</v>
      </c>
      <c r="U735" s="52" t="s">
        <v>368</v>
      </c>
      <c r="V735" s="38">
        <v>7.1692999999999998</v>
      </c>
      <c r="W735" s="49">
        <f t="shared" si="71"/>
        <v>1339.6007978463729</v>
      </c>
    </row>
    <row r="736" spans="1:23" x14ac:dyDescent="0.2">
      <c r="A736" s="52" t="s">
        <v>2040</v>
      </c>
      <c r="B736" s="53">
        <v>45714</v>
      </c>
      <c r="C736" s="53">
        <v>45636</v>
      </c>
      <c r="D736" s="52" t="s">
        <v>94</v>
      </c>
      <c r="E736" s="52" t="s">
        <v>95</v>
      </c>
      <c r="G736" s="52" t="s">
        <v>2203</v>
      </c>
      <c r="H736" s="40" t="s">
        <v>1750</v>
      </c>
      <c r="I736" s="40" t="s">
        <v>1751</v>
      </c>
      <c r="J736" s="43" t="str">
        <f t="shared" si="66"/>
        <v>LID-</v>
      </c>
      <c r="K736" s="52" t="s">
        <v>369</v>
      </c>
      <c r="L736" s="40">
        <v>640</v>
      </c>
      <c r="M736" s="52" t="s">
        <v>1472</v>
      </c>
      <c r="N736" s="52" t="s">
        <v>11</v>
      </c>
      <c r="O736" s="54">
        <v>3.92</v>
      </c>
      <c r="P736" s="45">
        <f t="shared" si="67"/>
        <v>2508.8000000000002</v>
      </c>
      <c r="Q736" s="46">
        <f t="shared" si="68"/>
        <v>7.3003400000000003</v>
      </c>
      <c r="R736" s="47">
        <f t="shared" si="69"/>
        <v>0.53700000000000003</v>
      </c>
      <c r="S736" s="48">
        <f t="shared" si="70"/>
        <v>343.68</v>
      </c>
      <c r="T736" s="47" t="s">
        <v>349</v>
      </c>
      <c r="U736" s="52" t="s">
        <v>368</v>
      </c>
      <c r="V736" s="38">
        <v>7.1692999999999998</v>
      </c>
      <c r="W736" s="49">
        <f t="shared" si="71"/>
        <v>349.9365349476239</v>
      </c>
    </row>
    <row r="737" spans="1:23" x14ac:dyDescent="0.2">
      <c r="A737" s="52" t="s">
        <v>2041</v>
      </c>
      <c r="B737" s="53">
        <v>45716</v>
      </c>
      <c r="C737" s="53">
        <v>45636</v>
      </c>
      <c r="D737" s="52" t="s">
        <v>94</v>
      </c>
      <c r="E737" s="52" t="s">
        <v>95</v>
      </c>
      <c r="G737" s="52" t="s">
        <v>2191</v>
      </c>
      <c r="H737" s="40" t="s">
        <v>1750</v>
      </c>
      <c r="I737" s="40" t="s">
        <v>1751</v>
      </c>
      <c r="J737" s="43" t="str">
        <f t="shared" si="66"/>
        <v>LID-</v>
      </c>
      <c r="K737" s="52" t="s">
        <v>369</v>
      </c>
      <c r="L737" s="40">
        <v>484</v>
      </c>
      <c r="M737" s="52" t="s">
        <v>1472</v>
      </c>
      <c r="N737" s="52" t="s">
        <v>11</v>
      </c>
      <c r="O737" s="54">
        <v>3.92</v>
      </c>
      <c r="P737" s="45">
        <f t="shared" si="67"/>
        <v>1897.28</v>
      </c>
      <c r="Q737" s="46">
        <f t="shared" si="68"/>
        <v>7.3003400000000003</v>
      </c>
      <c r="R737" s="47">
        <f t="shared" si="69"/>
        <v>0.53700000000000003</v>
      </c>
      <c r="S737" s="48">
        <f t="shared" si="70"/>
        <v>259.91000000000003</v>
      </c>
      <c r="T737" s="47" t="s">
        <v>349</v>
      </c>
      <c r="U737" s="52" t="s">
        <v>368</v>
      </c>
      <c r="V737" s="38">
        <v>7.1692999999999998</v>
      </c>
      <c r="W737" s="49">
        <f t="shared" si="71"/>
        <v>264.63950455414056</v>
      </c>
    </row>
    <row r="738" spans="1:23" x14ac:dyDescent="0.2">
      <c r="A738" s="52" t="s">
        <v>2041</v>
      </c>
      <c r="B738" s="53">
        <v>45716</v>
      </c>
      <c r="C738" s="53">
        <v>45636</v>
      </c>
      <c r="D738" s="52" t="s">
        <v>94</v>
      </c>
      <c r="E738" s="52" t="s">
        <v>95</v>
      </c>
      <c r="G738" s="52" t="s">
        <v>2201</v>
      </c>
      <c r="H738" s="40" t="s">
        <v>1750</v>
      </c>
      <c r="I738" s="40" t="s">
        <v>1751</v>
      </c>
      <c r="J738" s="43" t="str">
        <f t="shared" si="66"/>
        <v>LID-</v>
      </c>
      <c r="K738" s="52" t="s">
        <v>369</v>
      </c>
      <c r="L738" s="40">
        <v>500</v>
      </c>
      <c r="M738" s="52" t="s">
        <v>1472</v>
      </c>
      <c r="N738" s="52" t="s">
        <v>11</v>
      </c>
      <c r="O738" s="54">
        <v>3.92</v>
      </c>
      <c r="P738" s="45">
        <f t="shared" si="67"/>
        <v>1960</v>
      </c>
      <c r="Q738" s="46">
        <f t="shared" si="68"/>
        <v>7.3003400000000003</v>
      </c>
      <c r="R738" s="47">
        <f t="shared" si="69"/>
        <v>0.53700000000000003</v>
      </c>
      <c r="S738" s="48">
        <f t="shared" si="70"/>
        <v>268.5</v>
      </c>
      <c r="T738" s="47" t="s">
        <v>349</v>
      </c>
      <c r="U738" s="52" t="s">
        <v>368</v>
      </c>
      <c r="V738" s="38">
        <v>7.1692999999999998</v>
      </c>
      <c r="W738" s="49">
        <f t="shared" si="71"/>
        <v>273.38791792783115</v>
      </c>
    </row>
    <row r="739" spans="1:23" x14ac:dyDescent="0.2">
      <c r="A739" s="52" t="s">
        <v>2042</v>
      </c>
      <c r="B739" s="53">
        <v>45714</v>
      </c>
      <c r="C739" s="53">
        <v>45576</v>
      </c>
      <c r="D739" s="52" t="s">
        <v>94</v>
      </c>
      <c r="E739" s="52" t="s">
        <v>95</v>
      </c>
      <c r="G739" s="52" t="s">
        <v>2203</v>
      </c>
      <c r="H739" s="40" t="s">
        <v>1752</v>
      </c>
      <c r="I739" s="40" t="s">
        <v>1753</v>
      </c>
      <c r="J739" s="43" t="str">
        <f t="shared" si="66"/>
        <v>LID-</v>
      </c>
      <c r="K739" s="52" t="s">
        <v>98</v>
      </c>
      <c r="L739" s="40">
        <v>427</v>
      </c>
      <c r="M739" s="52" t="s">
        <v>1472</v>
      </c>
      <c r="N739" s="52" t="s">
        <v>11</v>
      </c>
      <c r="O739" s="54">
        <v>4</v>
      </c>
      <c r="P739" s="45">
        <f t="shared" si="67"/>
        <v>1708</v>
      </c>
      <c r="Q739" s="46">
        <f t="shared" si="68"/>
        <v>7.3003400000000003</v>
      </c>
      <c r="R739" s="47">
        <f t="shared" si="69"/>
        <v>0.54790000000000005</v>
      </c>
      <c r="S739" s="48">
        <f t="shared" si="70"/>
        <v>233.95</v>
      </c>
      <c r="T739" s="47" t="s">
        <v>349</v>
      </c>
      <c r="U739" s="52" t="s">
        <v>368</v>
      </c>
      <c r="V739" s="38">
        <v>7.1692999999999998</v>
      </c>
      <c r="W739" s="49">
        <f t="shared" si="71"/>
        <v>238.23804276568146</v>
      </c>
    </row>
    <row r="740" spans="1:23" x14ac:dyDescent="0.2">
      <c r="A740" s="52" t="s">
        <v>2043</v>
      </c>
      <c r="B740" s="53">
        <v>45698</v>
      </c>
      <c r="C740" s="53">
        <v>45677</v>
      </c>
      <c r="D740" s="52" t="s">
        <v>5</v>
      </c>
      <c r="E740" s="52" t="s">
        <v>6</v>
      </c>
      <c r="G740" s="52" t="s">
        <v>2174</v>
      </c>
      <c r="H740" s="40" t="s">
        <v>1754</v>
      </c>
      <c r="I740" s="40" t="s">
        <v>1755</v>
      </c>
      <c r="J740" s="43" t="str">
        <f t="shared" si="66"/>
        <v>SHTS</v>
      </c>
      <c r="K740" s="52" t="s">
        <v>10</v>
      </c>
      <c r="L740" s="40">
        <v>1010</v>
      </c>
      <c r="M740" s="52" t="s">
        <v>1472</v>
      </c>
      <c r="N740" s="52" t="s">
        <v>11</v>
      </c>
      <c r="O740" s="54">
        <v>4.0199999999999996</v>
      </c>
      <c r="P740" s="45">
        <f t="shared" si="67"/>
        <v>4060.2</v>
      </c>
      <c r="Q740" s="46">
        <f t="shared" si="68"/>
        <v>7.3003400000000003</v>
      </c>
      <c r="R740" s="47">
        <f t="shared" si="69"/>
        <v>0.55069999999999997</v>
      </c>
      <c r="S740" s="48">
        <f t="shared" si="70"/>
        <v>556.21</v>
      </c>
      <c r="T740" s="47" t="s">
        <v>349</v>
      </c>
      <c r="U740" s="52" t="s">
        <v>9</v>
      </c>
      <c r="V740" s="38">
        <v>7.1692999999999998</v>
      </c>
      <c r="W740" s="49">
        <f t="shared" si="71"/>
        <v>566.33144100539801</v>
      </c>
    </row>
    <row r="741" spans="1:23" x14ac:dyDescent="0.2">
      <c r="A741" s="52" t="s">
        <v>2044</v>
      </c>
      <c r="B741" s="53">
        <v>45708</v>
      </c>
      <c r="C741" s="53">
        <v>45677</v>
      </c>
      <c r="D741" s="52" t="s">
        <v>696</v>
      </c>
      <c r="E741" s="52" t="s">
        <v>697</v>
      </c>
      <c r="G741" s="52" t="s">
        <v>2200</v>
      </c>
      <c r="H741" s="40" t="s">
        <v>1539</v>
      </c>
      <c r="I741" s="40" t="s">
        <v>1540</v>
      </c>
      <c r="J741" s="43" t="str">
        <f t="shared" si="66"/>
        <v>ANYD</v>
      </c>
      <c r="K741" s="52" t="s">
        <v>10</v>
      </c>
      <c r="L741" s="40">
        <v>1000</v>
      </c>
      <c r="M741" s="52" t="s">
        <v>1472</v>
      </c>
      <c r="N741" s="52" t="s">
        <v>11</v>
      </c>
      <c r="O741" s="54">
        <v>4.04</v>
      </c>
      <c r="P741" s="45">
        <f t="shared" si="67"/>
        <v>4040</v>
      </c>
      <c r="Q741" s="46">
        <f t="shared" si="68"/>
        <v>7.3003400000000003</v>
      </c>
      <c r="R741" s="47">
        <f t="shared" si="69"/>
        <v>0.5534</v>
      </c>
      <c r="S741" s="48">
        <f t="shared" si="70"/>
        <v>553.4</v>
      </c>
      <c r="T741" s="47" t="s">
        <v>349</v>
      </c>
      <c r="U741" s="52" t="s">
        <v>36</v>
      </c>
      <c r="V741" s="38">
        <v>7.1692999999999998</v>
      </c>
      <c r="W741" s="49">
        <f t="shared" si="71"/>
        <v>563.51387164716232</v>
      </c>
    </row>
    <row r="742" spans="1:23" x14ac:dyDescent="0.2">
      <c r="A742" s="52" t="s">
        <v>2045</v>
      </c>
      <c r="B742" s="53">
        <v>45708</v>
      </c>
      <c r="C742" s="53">
        <v>45680</v>
      </c>
      <c r="D742" s="52" t="s">
        <v>696</v>
      </c>
      <c r="E742" s="52" t="s">
        <v>697</v>
      </c>
      <c r="G742" s="52" t="s">
        <v>2200</v>
      </c>
      <c r="H742" s="40" t="s">
        <v>1539</v>
      </c>
      <c r="I742" s="40" t="s">
        <v>1540</v>
      </c>
      <c r="J742" s="43" t="str">
        <f t="shared" si="66"/>
        <v>ANYD</v>
      </c>
      <c r="K742" s="52" t="s">
        <v>10</v>
      </c>
      <c r="L742" s="40">
        <v>2200</v>
      </c>
      <c r="M742" s="52" t="s">
        <v>1472</v>
      </c>
      <c r="N742" s="52" t="s">
        <v>11</v>
      </c>
      <c r="O742" s="54">
        <v>4.04</v>
      </c>
      <c r="P742" s="45">
        <f t="shared" si="67"/>
        <v>8888</v>
      </c>
      <c r="Q742" s="46">
        <f t="shared" si="68"/>
        <v>7.3003400000000003</v>
      </c>
      <c r="R742" s="47">
        <f t="shared" si="69"/>
        <v>0.5534</v>
      </c>
      <c r="S742" s="48">
        <f t="shared" si="70"/>
        <v>1217.48</v>
      </c>
      <c r="T742" s="47" t="s">
        <v>349</v>
      </c>
      <c r="U742" s="52" t="s">
        <v>36</v>
      </c>
      <c r="V742" s="38">
        <v>7.1692999999999998</v>
      </c>
      <c r="W742" s="49">
        <f t="shared" si="71"/>
        <v>1239.7305176237569</v>
      </c>
    </row>
    <row r="743" spans="1:23" x14ac:dyDescent="0.2">
      <c r="A743" s="52" t="s">
        <v>2046</v>
      </c>
      <c r="B743" s="53">
        <v>45713</v>
      </c>
      <c r="C743" s="53">
        <v>45698</v>
      </c>
      <c r="D743" s="52" t="s">
        <v>709</v>
      </c>
      <c r="E743" s="52" t="s">
        <v>710</v>
      </c>
      <c r="G743" s="52" t="s">
        <v>2166</v>
      </c>
      <c r="H743" s="40" t="s">
        <v>1756</v>
      </c>
      <c r="I743" s="40" t="s">
        <v>1757</v>
      </c>
      <c r="J743" s="43" t="str">
        <f t="shared" si="66"/>
        <v>HDL-</v>
      </c>
      <c r="K743" s="52" t="s">
        <v>10</v>
      </c>
      <c r="L743" s="40">
        <v>400</v>
      </c>
      <c r="M743" s="52" t="s">
        <v>1472</v>
      </c>
      <c r="N743" s="52" t="s">
        <v>11</v>
      </c>
      <c r="O743" s="54">
        <v>4.0471000000000004</v>
      </c>
      <c r="P743" s="45">
        <f t="shared" si="67"/>
        <v>1618.84</v>
      </c>
      <c r="Q743" s="46">
        <f t="shared" si="68"/>
        <v>7.3003400000000003</v>
      </c>
      <c r="R743" s="47">
        <f t="shared" si="69"/>
        <v>0.5544</v>
      </c>
      <c r="S743" s="48">
        <f t="shared" si="70"/>
        <v>221.76</v>
      </c>
      <c r="T743" s="47" t="s">
        <v>349</v>
      </c>
      <c r="U743" s="52" t="s">
        <v>228</v>
      </c>
      <c r="V743" s="38">
        <v>7.1692999999999998</v>
      </c>
      <c r="W743" s="49">
        <f t="shared" si="71"/>
        <v>225.80168217259708</v>
      </c>
    </row>
    <row r="744" spans="1:23" x14ac:dyDescent="0.2">
      <c r="A744" s="52" t="s">
        <v>2047</v>
      </c>
      <c r="B744" s="53">
        <v>45715</v>
      </c>
      <c r="C744" s="53">
        <v>45664</v>
      </c>
      <c r="D744" s="52" t="s">
        <v>149</v>
      </c>
      <c r="E744" s="52" t="s">
        <v>150</v>
      </c>
      <c r="G744" s="52" t="s">
        <v>2180</v>
      </c>
      <c r="H744" s="40" t="s">
        <v>1758</v>
      </c>
      <c r="I744" s="40" t="s">
        <v>1759</v>
      </c>
      <c r="J744" s="43" t="str">
        <f t="shared" si="66"/>
        <v>GLID</v>
      </c>
      <c r="K744" s="52" t="s">
        <v>10</v>
      </c>
      <c r="L744" s="40">
        <v>1020</v>
      </c>
      <c r="M744" s="52" t="s">
        <v>1472</v>
      </c>
      <c r="N744" s="52" t="s">
        <v>11</v>
      </c>
      <c r="O744" s="54">
        <v>4.1127000000000002</v>
      </c>
      <c r="P744" s="45">
        <f t="shared" si="67"/>
        <v>4194.95</v>
      </c>
      <c r="Q744" s="46">
        <f t="shared" si="68"/>
        <v>7.3003400000000003</v>
      </c>
      <c r="R744" s="47">
        <f t="shared" si="69"/>
        <v>0.56340000000000001</v>
      </c>
      <c r="S744" s="48">
        <f t="shared" si="70"/>
        <v>574.66999999999996</v>
      </c>
      <c r="T744" s="47" t="s">
        <v>349</v>
      </c>
      <c r="U744" s="52" t="s">
        <v>78</v>
      </c>
      <c r="V744" s="38">
        <v>7.1692999999999998</v>
      </c>
      <c r="W744" s="49">
        <f t="shared" si="71"/>
        <v>585.12741829746278</v>
      </c>
    </row>
    <row r="745" spans="1:23" x14ac:dyDescent="0.2">
      <c r="A745" s="52" t="s">
        <v>2048</v>
      </c>
      <c r="B745" s="53">
        <v>45708</v>
      </c>
      <c r="C745" s="53">
        <v>45674</v>
      </c>
      <c r="D745" s="52" t="s">
        <v>569</v>
      </c>
      <c r="E745" s="52" t="s">
        <v>570</v>
      </c>
      <c r="G745" s="52" t="s">
        <v>2182</v>
      </c>
      <c r="H745" s="40" t="s">
        <v>1503</v>
      </c>
      <c r="I745" s="40" t="s">
        <v>1504</v>
      </c>
      <c r="J745" s="43" t="str">
        <f t="shared" si="66"/>
        <v>ANYD</v>
      </c>
      <c r="K745" s="52" t="s">
        <v>10</v>
      </c>
      <c r="L745" s="40">
        <v>1000</v>
      </c>
      <c r="M745" s="52" t="s">
        <v>1472</v>
      </c>
      <c r="N745" s="52" t="s">
        <v>11</v>
      </c>
      <c r="O745" s="54">
        <v>4.2</v>
      </c>
      <c r="P745" s="45">
        <f t="shared" si="67"/>
        <v>4200</v>
      </c>
      <c r="Q745" s="46">
        <f t="shared" si="68"/>
        <v>7.3003400000000003</v>
      </c>
      <c r="R745" s="47">
        <f t="shared" si="69"/>
        <v>0.57530000000000003</v>
      </c>
      <c r="S745" s="48">
        <f t="shared" si="70"/>
        <v>575.29999999999995</v>
      </c>
      <c r="T745" s="47" t="s">
        <v>349</v>
      </c>
      <c r="U745" s="52" t="s">
        <v>36</v>
      </c>
      <c r="V745" s="38">
        <v>7.1692999999999998</v>
      </c>
      <c r="W745" s="49">
        <f t="shared" si="71"/>
        <v>585.83125270249536</v>
      </c>
    </row>
    <row r="746" spans="1:23" x14ac:dyDescent="0.2">
      <c r="A746" s="52" t="s">
        <v>2049</v>
      </c>
      <c r="B746" s="53">
        <v>45698</v>
      </c>
      <c r="C746" s="53">
        <v>45630</v>
      </c>
      <c r="D746" s="52" t="s">
        <v>651</v>
      </c>
      <c r="E746" s="52" t="s">
        <v>652</v>
      </c>
      <c r="G746" s="52" t="s">
        <v>2204</v>
      </c>
      <c r="H746" s="40" t="s">
        <v>1760</v>
      </c>
      <c r="I746" s="40" t="s">
        <v>1761</v>
      </c>
      <c r="J746" s="43" t="str">
        <f t="shared" si="66"/>
        <v>KNOB</v>
      </c>
      <c r="K746" s="52" t="s">
        <v>10</v>
      </c>
      <c r="L746" s="40">
        <v>19000</v>
      </c>
      <c r="M746" s="52" t="s">
        <v>1472</v>
      </c>
      <c r="N746" s="52" t="s">
        <v>11</v>
      </c>
      <c r="O746" s="54">
        <v>4.4320000000000004</v>
      </c>
      <c r="P746" s="45">
        <f t="shared" si="67"/>
        <v>84208</v>
      </c>
      <c r="Q746" s="46">
        <f t="shared" si="68"/>
        <v>7.3003400000000003</v>
      </c>
      <c r="R746" s="47">
        <f t="shared" si="69"/>
        <v>0.60709999999999997</v>
      </c>
      <c r="S746" s="48">
        <f t="shared" si="70"/>
        <v>11534.9</v>
      </c>
      <c r="T746" s="47" t="s">
        <v>349</v>
      </c>
      <c r="U746" s="52" t="s">
        <v>32</v>
      </c>
      <c r="V746" s="38">
        <v>7.1692999999999998</v>
      </c>
      <c r="W746" s="49">
        <f t="shared" si="71"/>
        <v>11745.637649421842</v>
      </c>
    </row>
    <row r="747" spans="1:23" x14ac:dyDescent="0.2">
      <c r="A747" s="52" t="s">
        <v>2050</v>
      </c>
      <c r="B747" s="53">
        <v>45698</v>
      </c>
      <c r="C747" s="53">
        <v>45646</v>
      </c>
      <c r="D747" s="52" t="s">
        <v>651</v>
      </c>
      <c r="E747" s="52" t="s">
        <v>652</v>
      </c>
      <c r="G747" s="52" t="s">
        <v>2204</v>
      </c>
      <c r="H747" s="40" t="s">
        <v>1760</v>
      </c>
      <c r="I747" s="40" t="s">
        <v>1761</v>
      </c>
      <c r="J747" s="43" t="str">
        <f t="shared" si="66"/>
        <v>KNOB</v>
      </c>
      <c r="K747" s="52" t="s">
        <v>10</v>
      </c>
      <c r="L747" s="40">
        <v>13500</v>
      </c>
      <c r="M747" s="52" t="s">
        <v>1472</v>
      </c>
      <c r="N747" s="52" t="s">
        <v>11</v>
      </c>
      <c r="O747" s="54">
        <v>4.4320000000000004</v>
      </c>
      <c r="P747" s="45">
        <f t="shared" si="67"/>
        <v>59832</v>
      </c>
      <c r="Q747" s="46">
        <f t="shared" si="68"/>
        <v>7.3003400000000003</v>
      </c>
      <c r="R747" s="47">
        <f t="shared" si="69"/>
        <v>0.60709999999999997</v>
      </c>
      <c r="S747" s="48">
        <f t="shared" si="70"/>
        <v>8195.85</v>
      </c>
      <c r="T747" s="47" t="s">
        <v>349</v>
      </c>
      <c r="U747" s="52" t="s">
        <v>32</v>
      </c>
      <c r="V747" s="38">
        <v>7.1692999999999998</v>
      </c>
      <c r="W747" s="49">
        <f t="shared" si="71"/>
        <v>8345.5846456418349</v>
      </c>
    </row>
    <row r="748" spans="1:23" x14ac:dyDescent="0.2">
      <c r="A748" s="52" t="s">
        <v>2051</v>
      </c>
      <c r="B748" s="53">
        <v>45707</v>
      </c>
      <c r="C748" s="53">
        <v>45706</v>
      </c>
      <c r="D748" s="52" t="s">
        <v>5</v>
      </c>
      <c r="E748" s="52" t="s">
        <v>6</v>
      </c>
      <c r="G748" s="52" t="s">
        <v>2173</v>
      </c>
      <c r="H748" s="40" t="s">
        <v>1680</v>
      </c>
      <c r="I748" s="40" t="s">
        <v>1681</v>
      </c>
      <c r="J748" s="43" t="str">
        <f t="shared" si="66"/>
        <v>SHTS</v>
      </c>
      <c r="K748" s="52" t="s">
        <v>10</v>
      </c>
      <c r="L748" s="40">
        <v>1010</v>
      </c>
      <c r="M748" s="52" t="s">
        <v>1472</v>
      </c>
      <c r="N748" s="52" t="s">
        <v>11</v>
      </c>
      <c r="O748" s="54">
        <v>4.47</v>
      </c>
      <c r="P748" s="45">
        <f t="shared" si="67"/>
        <v>4514.7</v>
      </c>
      <c r="Q748" s="46">
        <f t="shared" si="68"/>
        <v>7.3003400000000003</v>
      </c>
      <c r="R748" s="47">
        <f t="shared" si="69"/>
        <v>0.61229999999999996</v>
      </c>
      <c r="S748" s="48">
        <f t="shared" si="70"/>
        <v>618.41999999999996</v>
      </c>
      <c r="T748" s="47" t="s">
        <v>349</v>
      </c>
      <c r="U748" s="52" t="s">
        <v>9</v>
      </c>
      <c r="V748" s="38">
        <v>7.1692999999999998</v>
      </c>
      <c r="W748" s="49">
        <f t="shared" si="71"/>
        <v>629.72675156570381</v>
      </c>
    </row>
    <row r="749" spans="1:23" x14ac:dyDescent="0.2">
      <c r="A749" s="52" t="s">
        <v>2052</v>
      </c>
      <c r="B749" s="53">
        <v>45699</v>
      </c>
      <c r="C749" s="53">
        <v>45677</v>
      </c>
      <c r="D749" s="52" t="s">
        <v>5</v>
      </c>
      <c r="E749" s="52" t="s">
        <v>6</v>
      </c>
      <c r="G749" s="52" t="s">
        <v>2172</v>
      </c>
      <c r="H749" s="40" t="s">
        <v>1081</v>
      </c>
      <c r="I749" s="40" t="s">
        <v>1082</v>
      </c>
      <c r="J749" s="43" t="str">
        <f t="shared" si="66"/>
        <v>SHTS</v>
      </c>
      <c r="K749" s="52" t="s">
        <v>10</v>
      </c>
      <c r="L749" s="40">
        <v>1010</v>
      </c>
      <c r="M749" s="52" t="s">
        <v>1472</v>
      </c>
      <c r="N749" s="52" t="s">
        <v>11</v>
      </c>
      <c r="O749" s="54">
        <v>4.5199999999999996</v>
      </c>
      <c r="P749" s="45">
        <f t="shared" si="67"/>
        <v>4565.2</v>
      </c>
      <c r="Q749" s="46">
        <f t="shared" si="68"/>
        <v>7.3003400000000003</v>
      </c>
      <c r="R749" s="47">
        <f t="shared" si="69"/>
        <v>0.61909999999999998</v>
      </c>
      <c r="S749" s="48">
        <f t="shared" si="70"/>
        <v>625.29</v>
      </c>
      <c r="T749" s="47" t="s">
        <v>349</v>
      </c>
      <c r="U749" s="52" t="s">
        <v>9</v>
      </c>
      <c r="V749" s="38">
        <v>7.1692999999999998</v>
      </c>
      <c r="W749" s="49">
        <f t="shared" si="71"/>
        <v>636.77067496129325</v>
      </c>
    </row>
    <row r="750" spans="1:23" x14ac:dyDescent="0.2">
      <c r="A750" s="52" t="s">
        <v>2053</v>
      </c>
      <c r="B750" s="53">
        <v>45706</v>
      </c>
      <c r="C750" s="53">
        <v>45350</v>
      </c>
      <c r="D750" s="52" t="s">
        <v>128</v>
      </c>
      <c r="E750" s="52" t="s">
        <v>129</v>
      </c>
      <c r="G750" s="52" t="s">
        <v>2199</v>
      </c>
      <c r="H750" s="40" t="s">
        <v>1762</v>
      </c>
      <c r="I750" s="40" t="s">
        <v>1763</v>
      </c>
      <c r="J750" s="43" t="str">
        <f t="shared" si="66"/>
        <v>HDL-</v>
      </c>
      <c r="K750" s="52" t="s">
        <v>10</v>
      </c>
      <c r="L750" s="40">
        <v>-1820</v>
      </c>
      <c r="M750" s="52" t="s">
        <v>1472</v>
      </c>
      <c r="N750" s="52" t="s">
        <v>11</v>
      </c>
      <c r="O750" s="54">
        <v>4.5491999999999999</v>
      </c>
      <c r="P750" s="45">
        <f t="shared" si="67"/>
        <v>-8279.5400000000009</v>
      </c>
      <c r="Q750" s="46">
        <f t="shared" si="68"/>
        <v>7.3003400000000003</v>
      </c>
      <c r="R750" s="47">
        <f t="shared" si="69"/>
        <v>0.62309999999999999</v>
      </c>
      <c r="S750" s="48">
        <f t="shared" si="70"/>
        <v>-1134.04</v>
      </c>
      <c r="T750" s="47" t="s">
        <v>349</v>
      </c>
      <c r="U750" s="52" t="s">
        <v>228</v>
      </c>
      <c r="V750" s="38">
        <v>7.1692999999999998</v>
      </c>
      <c r="W750" s="49">
        <f t="shared" si="71"/>
        <v>-1154.8608650774831</v>
      </c>
    </row>
    <row r="751" spans="1:23" x14ac:dyDescent="0.2">
      <c r="A751" s="52" t="s">
        <v>2054</v>
      </c>
      <c r="B751" s="53">
        <v>45716</v>
      </c>
      <c r="C751" s="53">
        <v>45656</v>
      </c>
      <c r="D751" s="52" t="s">
        <v>128</v>
      </c>
      <c r="E751" s="52" t="s">
        <v>129</v>
      </c>
      <c r="G751" s="52" t="s">
        <v>2164</v>
      </c>
      <c r="H751" s="40" t="s">
        <v>1762</v>
      </c>
      <c r="I751" s="40" t="s">
        <v>1763</v>
      </c>
      <c r="J751" s="43" t="str">
        <f t="shared" si="66"/>
        <v>HDL-</v>
      </c>
      <c r="K751" s="52" t="s">
        <v>10</v>
      </c>
      <c r="L751" s="40">
        <v>1050</v>
      </c>
      <c r="M751" s="52" t="s">
        <v>1472</v>
      </c>
      <c r="N751" s="52" t="s">
        <v>11</v>
      </c>
      <c r="O751" s="54">
        <v>4.5491999999999999</v>
      </c>
      <c r="P751" s="45">
        <f t="shared" si="67"/>
        <v>4776.66</v>
      </c>
      <c r="Q751" s="46">
        <f t="shared" si="68"/>
        <v>7.3003400000000003</v>
      </c>
      <c r="R751" s="47">
        <f t="shared" si="69"/>
        <v>0.62309999999999999</v>
      </c>
      <c r="S751" s="48">
        <f t="shared" si="70"/>
        <v>654.26</v>
      </c>
      <c r="T751" s="47" t="s">
        <v>349</v>
      </c>
      <c r="U751" s="52" t="s">
        <v>228</v>
      </c>
      <c r="V751" s="38">
        <v>7.1692999999999998</v>
      </c>
      <c r="W751" s="49">
        <f t="shared" si="71"/>
        <v>666.26588369854801</v>
      </c>
    </row>
    <row r="752" spans="1:23" x14ac:dyDescent="0.2">
      <c r="A752" s="52" t="s">
        <v>2054</v>
      </c>
      <c r="B752" s="53">
        <v>45714</v>
      </c>
      <c r="C752" s="53">
        <v>45656</v>
      </c>
      <c r="D752" s="52" t="s">
        <v>128</v>
      </c>
      <c r="E752" s="52" t="s">
        <v>129</v>
      </c>
      <c r="G752" s="52" t="s">
        <v>2167</v>
      </c>
      <c r="H752" s="40" t="s">
        <v>1762</v>
      </c>
      <c r="I752" s="40" t="s">
        <v>1763</v>
      </c>
      <c r="J752" s="43" t="str">
        <f t="shared" si="66"/>
        <v>HDL-</v>
      </c>
      <c r="K752" s="52" t="s">
        <v>10</v>
      </c>
      <c r="L752" s="40">
        <v>1050</v>
      </c>
      <c r="M752" s="52" t="s">
        <v>1472</v>
      </c>
      <c r="N752" s="52" t="s">
        <v>11</v>
      </c>
      <c r="O752" s="54">
        <v>4.5491999999999999</v>
      </c>
      <c r="P752" s="45">
        <f t="shared" si="67"/>
        <v>4776.66</v>
      </c>
      <c r="Q752" s="46">
        <f t="shared" si="68"/>
        <v>7.3003400000000003</v>
      </c>
      <c r="R752" s="47">
        <f t="shared" si="69"/>
        <v>0.62309999999999999</v>
      </c>
      <c r="S752" s="48">
        <f t="shared" si="70"/>
        <v>654.26</v>
      </c>
      <c r="T752" s="47" t="s">
        <v>349</v>
      </c>
      <c r="U752" s="52" t="s">
        <v>228</v>
      </c>
      <c r="V752" s="38">
        <v>7.1692999999999998</v>
      </c>
      <c r="W752" s="49">
        <f t="shared" si="71"/>
        <v>666.26588369854801</v>
      </c>
    </row>
    <row r="753" spans="1:23" x14ac:dyDescent="0.2">
      <c r="A753" s="52" t="s">
        <v>2055</v>
      </c>
      <c r="B753" s="53">
        <v>45708</v>
      </c>
      <c r="C753" s="53">
        <v>45646</v>
      </c>
      <c r="D753" s="52" t="s">
        <v>569</v>
      </c>
      <c r="E753" s="52" t="s">
        <v>570</v>
      </c>
      <c r="G753" s="52" t="s">
        <v>2182</v>
      </c>
      <c r="H753" s="40" t="s">
        <v>1764</v>
      </c>
      <c r="I753" s="40" t="s">
        <v>1765</v>
      </c>
      <c r="J753" s="43" t="str">
        <f t="shared" si="66"/>
        <v>MISC</v>
      </c>
      <c r="K753" s="52" t="s">
        <v>10</v>
      </c>
      <c r="L753" s="40">
        <v>2010</v>
      </c>
      <c r="M753" s="52" t="s">
        <v>1472</v>
      </c>
      <c r="N753" s="52" t="s">
        <v>11</v>
      </c>
      <c r="O753" s="54">
        <v>4.5961999999999996</v>
      </c>
      <c r="P753" s="45">
        <f t="shared" si="67"/>
        <v>9238.36</v>
      </c>
      <c r="Q753" s="46">
        <f t="shared" si="68"/>
        <v>7.3003400000000003</v>
      </c>
      <c r="R753" s="47">
        <f t="shared" si="69"/>
        <v>0.62960000000000005</v>
      </c>
      <c r="S753" s="48">
        <f t="shared" si="70"/>
        <v>1265.5</v>
      </c>
      <c r="T753" s="47" t="s">
        <v>349</v>
      </c>
      <c r="U753" s="52" t="s">
        <v>25</v>
      </c>
      <c r="V753" s="38">
        <v>7.1692999999999998</v>
      </c>
      <c r="W753" s="49">
        <f t="shared" si="71"/>
        <v>1288.6002817569358</v>
      </c>
    </row>
    <row r="754" spans="1:23" x14ac:dyDescent="0.2">
      <c r="A754" s="52" t="s">
        <v>2056</v>
      </c>
      <c r="B754" s="53">
        <v>45699</v>
      </c>
      <c r="C754" s="53">
        <v>45630</v>
      </c>
      <c r="D754" s="52" t="s">
        <v>569</v>
      </c>
      <c r="E754" s="52" t="s">
        <v>570</v>
      </c>
      <c r="G754" s="52" t="s">
        <v>2148</v>
      </c>
      <c r="H754" s="40" t="s">
        <v>1764</v>
      </c>
      <c r="I754" s="40" t="s">
        <v>1765</v>
      </c>
      <c r="J754" s="43" t="str">
        <f t="shared" si="66"/>
        <v>MISC</v>
      </c>
      <c r="K754" s="52" t="s">
        <v>10</v>
      </c>
      <c r="L754" s="40">
        <v>1000</v>
      </c>
      <c r="M754" s="52" t="s">
        <v>1472</v>
      </c>
      <c r="N754" s="52" t="s">
        <v>11</v>
      </c>
      <c r="O754" s="54">
        <v>4.6900000000000004</v>
      </c>
      <c r="P754" s="45">
        <f t="shared" si="67"/>
        <v>4690</v>
      </c>
      <c r="Q754" s="46">
        <f t="shared" si="68"/>
        <v>7.3003400000000003</v>
      </c>
      <c r="R754" s="47">
        <f t="shared" si="69"/>
        <v>0.64239999999999997</v>
      </c>
      <c r="S754" s="48">
        <f t="shared" si="70"/>
        <v>642.4</v>
      </c>
      <c r="T754" s="47" t="s">
        <v>349</v>
      </c>
      <c r="U754" s="52" t="s">
        <v>25</v>
      </c>
      <c r="V754" s="38">
        <v>7.1692999999999998</v>
      </c>
      <c r="W754" s="49">
        <f t="shared" si="71"/>
        <v>654.17823218445324</v>
      </c>
    </row>
    <row r="755" spans="1:23" x14ac:dyDescent="0.2">
      <c r="A755" s="52" t="s">
        <v>2057</v>
      </c>
      <c r="B755" s="53">
        <v>45707</v>
      </c>
      <c r="C755" s="53">
        <v>45706</v>
      </c>
      <c r="D755" s="52" t="s">
        <v>5</v>
      </c>
      <c r="E755" s="52" t="s">
        <v>6</v>
      </c>
      <c r="G755" s="52" t="s">
        <v>2205</v>
      </c>
      <c r="H755" s="40" t="s">
        <v>427</v>
      </c>
      <c r="I755" s="40" t="s">
        <v>428</v>
      </c>
      <c r="J755" s="43" t="str">
        <f t="shared" si="66"/>
        <v>BOX-</v>
      </c>
      <c r="K755" s="52" t="s">
        <v>10</v>
      </c>
      <c r="L755" s="40">
        <v>2020</v>
      </c>
      <c r="M755" s="52" t="s">
        <v>1472</v>
      </c>
      <c r="N755" s="52" t="s">
        <v>11</v>
      </c>
      <c r="O755" s="54">
        <v>4.7699999999999996</v>
      </c>
      <c r="P755" s="45">
        <f t="shared" si="67"/>
        <v>9635.4</v>
      </c>
      <c r="Q755" s="46">
        <f t="shared" si="68"/>
        <v>7.3003400000000003</v>
      </c>
      <c r="R755" s="47">
        <f t="shared" si="69"/>
        <v>0.65339999999999998</v>
      </c>
      <c r="S755" s="48">
        <f t="shared" si="70"/>
        <v>1319.87</v>
      </c>
      <c r="T755" s="47" t="s">
        <v>349</v>
      </c>
      <c r="U755" s="52" t="s">
        <v>1</v>
      </c>
      <c r="V755" s="38">
        <v>7.1692999999999998</v>
      </c>
      <c r="W755" s="49">
        <f t="shared" si="71"/>
        <v>1343.9805838784816</v>
      </c>
    </row>
    <row r="756" spans="1:23" x14ac:dyDescent="0.2">
      <c r="A756" s="52" t="s">
        <v>2058</v>
      </c>
      <c r="B756" s="53">
        <v>45699</v>
      </c>
      <c r="C756" s="53">
        <v>45674</v>
      </c>
      <c r="D756" s="52" t="s">
        <v>569</v>
      </c>
      <c r="E756" s="52" t="s">
        <v>570</v>
      </c>
      <c r="G756" s="52" t="s">
        <v>2186</v>
      </c>
      <c r="H756" s="40" t="s">
        <v>769</v>
      </c>
      <c r="I756" s="40" t="s">
        <v>770</v>
      </c>
      <c r="J756" s="43" t="str">
        <f t="shared" si="66"/>
        <v>ANYD</v>
      </c>
      <c r="K756" s="52" t="s">
        <v>10</v>
      </c>
      <c r="L756" s="40">
        <v>2100</v>
      </c>
      <c r="M756" s="52" t="s">
        <v>1472</v>
      </c>
      <c r="N756" s="52" t="s">
        <v>11</v>
      </c>
      <c r="O756" s="54">
        <v>4.9000000000000004</v>
      </c>
      <c r="P756" s="45">
        <f t="shared" si="67"/>
        <v>10290</v>
      </c>
      <c r="Q756" s="46">
        <f t="shared" si="68"/>
        <v>7.3003400000000003</v>
      </c>
      <c r="R756" s="47">
        <f t="shared" si="69"/>
        <v>0.67120000000000002</v>
      </c>
      <c r="S756" s="48">
        <f t="shared" si="70"/>
        <v>1409.52</v>
      </c>
      <c r="T756" s="47" t="s">
        <v>349</v>
      </c>
      <c r="U756" s="52" t="s">
        <v>36</v>
      </c>
      <c r="V756" s="38">
        <v>7.1692999999999998</v>
      </c>
      <c r="W756" s="49">
        <f t="shared" si="71"/>
        <v>1435.2865691211139</v>
      </c>
    </row>
    <row r="757" spans="1:23" x14ac:dyDescent="0.2">
      <c r="A757" s="52" t="s">
        <v>2059</v>
      </c>
      <c r="B757" s="53">
        <v>45709</v>
      </c>
      <c r="C757" s="53">
        <v>45630</v>
      </c>
      <c r="D757" s="52" t="s">
        <v>830</v>
      </c>
      <c r="E757" s="52" t="s">
        <v>831</v>
      </c>
      <c r="G757" s="52" t="s">
        <v>2206</v>
      </c>
      <c r="H757" s="40" t="s">
        <v>834</v>
      </c>
      <c r="I757" s="40" t="s">
        <v>835</v>
      </c>
      <c r="J757" s="43" t="str">
        <f t="shared" si="66"/>
        <v>SKU-</v>
      </c>
      <c r="K757" s="52" t="s">
        <v>98</v>
      </c>
      <c r="L757" s="40">
        <v>800</v>
      </c>
      <c r="M757" s="52" t="s">
        <v>1472</v>
      </c>
      <c r="N757" s="52" t="s">
        <v>11</v>
      </c>
      <c r="O757" s="54">
        <v>4.9154</v>
      </c>
      <c r="P757" s="45">
        <f t="shared" si="67"/>
        <v>3932.32</v>
      </c>
      <c r="Q757" s="46">
        <f t="shared" si="68"/>
        <v>7.3003400000000003</v>
      </c>
      <c r="R757" s="47">
        <f t="shared" si="69"/>
        <v>0.67330000000000001</v>
      </c>
      <c r="S757" s="48">
        <f t="shared" si="70"/>
        <v>538.64</v>
      </c>
      <c r="T757" s="47" t="s">
        <v>349</v>
      </c>
      <c r="U757" s="52" t="s">
        <v>2</v>
      </c>
      <c r="V757" s="38">
        <v>7.1692999999999998</v>
      </c>
      <c r="W757" s="49">
        <f t="shared" si="71"/>
        <v>548.49427419692302</v>
      </c>
    </row>
    <row r="758" spans="1:23" x14ac:dyDescent="0.2">
      <c r="A758" s="52" t="s">
        <v>2060</v>
      </c>
      <c r="B758" s="53">
        <v>45708</v>
      </c>
      <c r="C758" s="53">
        <v>45674</v>
      </c>
      <c r="D758" s="52" t="s">
        <v>696</v>
      </c>
      <c r="E758" s="52" t="s">
        <v>697</v>
      </c>
      <c r="G758" s="52" t="s">
        <v>2200</v>
      </c>
      <c r="H758" s="40" t="s">
        <v>890</v>
      </c>
      <c r="I758" s="40" t="s">
        <v>891</v>
      </c>
      <c r="J758" s="43" t="str">
        <f t="shared" si="66"/>
        <v>ANYD</v>
      </c>
      <c r="K758" s="52" t="s">
        <v>10</v>
      </c>
      <c r="L758" s="40">
        <v>1050</v>
      </c>
      <c r="M758" s="52" t="s">
        <v>1472</v>
      </c>
      <c r="N758" s="52" t="s">
        <v>11</v>
      </c>
      <c r="O758" s="54">
        <v>5</v>
      </c>
      <c r="P758" s="45">
        <f t="shared" si="67"/>
        <v>5250</v>
      </c>
      <c r="Q758" s="46">
        <f t="shared" si="68"/>
        <v>7.3003400000000003</v>
      </c>
      <c r="R758" s="47">
        <f t="shared" si="69"/>
        <v>0.68489999999999995</v>
      </c>
      <c r="S758" s="48">
        <f t="shared" si="70"/>
        <v>719.15</v>
      </c>
      <c r="T758" s="47" t="s">
        <v>349</v>
      </c>
      <c r="U758" s="52" t="s">
        <v>36</v>
      </c>
      <c r="V758" s="38">
        <v>7.1692999999999998</v>
      </c>
      <c r="W758" s="49">
        <f t="shared" si="71"/>
        <v>732.28906587811923</v>
      </c>
    </row>
    <row r="759" spans="1:23" x14ac:dyDescent="0.2">
      <c r="A759" s="52" t="s">
        <v>2061</v>
      </c>
      <c r="B759" s="53">
        <v>45699</v>
      </c>
      <c r="C759" s="53">
        <v>45677</v>
      </c>
      <c r="D759" s="52" t="s">
        <v>5</v>
      </c>
      <c r="E759" s="52" t="s">
        <v>6</v>
      </c>
      <c r="G759" s="52" t="s">
        <v>2172</v>
      </c>
      <c r="H759" s="40" t="s">
        <v>1766</v>
      </c>
      <c r="I759" s="40" t="s">
        <v>1767</v>
      </c>
      <c r="J759" s="43" t="str">
        <f t="shared" si="66"/>
        <v>SHTS</v>
      </c>
      <c r="K759" s="52" t="s">
        <v>10</v>
      </c>
      <c r="L759" s="40">
        <v>1010</v>
      </c>
      <c r="M759" s="52" t="s">
        <v>1472</v>
      </c>
      <c r="N759" s="52" t="s">
        <v>11</v>
      </c>
      <c r="O759" s="54">
        <v>5.0199999999999996</v>
      </c>
      <c r="P759" s="45">
        <f t="shared" si="67"/>
        <v>5070.2</v>
      </c>
      <c r="Q759" s="46">
        <f t="shared" si="68"/>
        <v>7.3003400000000003</v>
      </c>
      <c r="R759" s="47">
        <f t="shared" si="69"/>
        <v>0.68759999999999999</v>
      </c>
      <c r="S759" s="48">
        <f t="shared" si="70"/>
        <v>694.48</v>
      </c>
      <c r="T759" s="47" t="s">
        <v>349</v>
      </c>
      <c r="U759" s="52" t="s">
        <v>9</v>
      </c>
      <c r="V759" s="38">
        <v>7.1692999999999998</v>
      </c>
      <c r="W759" s="49">
        <f t="shared" si="71"/>
        <v>707.2099089171885</v>
      </c>
    </row>
    <row r="760" spans="1:23" x14ac:dyDescent="0.2">
      <c r="A760" s="52" t="s">
        <v>2062</v>
      </c>
      <c r="B760" s="53">
        <v>45707</v>
      </c>
      <c r="C760" s="53">
        <v>45677</v>
      </c>
      <c r="D760" s="52" t="s">
        <v>5</v>
      </c>
      <c r="E760" s="52" t="s">
        <v>6</v>
      </c>
      <c r="G760" s="52" t="s">
        <v>2173</v>
      </c>
      <c r="H760" s="40" t="s">
        <v>1768</v>
      </c>
      <c r="I760" s="40" t="s">
        <v>1769</v>
      </c>
      <c r="J760" s="43" t="str">
        <f t="shared" si="66"/>
        <v>SHTS</v>
      </c>
      <c r="K760" s="52" t="s">
        <v>10</v>
      </c>
      <c r="L760" s="40">
        <v>1010</v>
      </c>
      <c r="M760" s="52" t="s">
        <v>1472</v>
      </c>
      <c r="N760" s="52" t="s">
        <v>11</v>
      </c>
      <c r="O760" s="54">
        <v>5.03</v>
      </c>
      <c r="P760" s="45">
        <f t="shared" si="67"/>
        <v>5080.3</v>
      </c>
      <c r="Q760" s="46">
        <f t="shared" si="68"/>
        <v>7.3003400000000003</v>
      </c>
      <c r="R760" s="47">
        <f t="shared" si="69"/>
        <v>0.68899999999999995</v>
      </c>
      <c r="S760" s="48">
        <f t="shared" si="70"/>
        <v>695.89</v>
      </c>
      <c r="T760" s="47" t="s">
        <v>349</v>
      </c>
      <c r="U760" s="52" t="s">
        <v>9</v>
      </c>
      <c r="V760" s="38">
        <v>7.1692999999999998</v>
      </c>
      <c r="W760" s="49">
        <f t="shared" si="71"/>
        <v>708.61869359630657</v>
      </c>
    </row>
    <row r="761" spans="1:23" x14ac:dyDescent="0.2">
      <c r="A761" s="52" t="s">
        <v>2063</v>
      </c>
      <c r="B761" s="53">
        <v>45707</v>
      </c>
      <c r="C761" s="53">
        <v>45706</v>
      </c>
      <c r="D761" s="52" t="s">
        <v>5</v>
      </c>
      <c r="E761" s="52" t="s">
        <v>6</v>
      </c>
      <c r="G761" s="52" t="s">
        <v>2185</v>
      </c>
      <c r="H761" s="40" t="s">
        <v>1770</v>
      </c>
      <c r="I761" s="40" t="s">
        <v>1771</v>
      </c>
      <c r="J761" s="43" t="str">
        <f t="shared" si="66"/>
        <v>BOX-</v>
      </c>
      <c r="K761" s="52" t="s">
        <v>10</v>
      </c>
      <c r="L761" s="40">
        <v>2020</v>
      </c>
      <c r="M761" s="52" t="s">
        <v>1472</v>
      </c>
      <c r="N761" s="52" t="s">
        <v>11</v>
      </c>
      <c r="O761" s="54">
        <v>5.04</v>
      </c>
      <c r="P761" s="45">
        <f t="shared" si="67"/>
        <v>10180.799999999999</v>
      </c>
      <c r="Q761" s="46">
        <f t="shared" si="68"/>
        <v>7.3003400000000003</v>
      </c>
      <c r="R761" s="47">
        <f t="shared" si="69"/>
        <v>0.69040000000000001</v>
      </c>
      <c r="S761" s="48">
        <f t="shared" si="70"/>
        <v>1394.61</v>
      </c>
      <c r="T761" s="47" t="s">
        <v>349</v>
      </c>
      <c r="U761" s="52" t="s">
        <v>1</v>
      </c>
      <c r="V761" s="38">
        <v>7.1692999999999998</v>
      </c>
      <c r="W761" s="49">
        <f t="shared" si="71"/>
        <v>1420.0549565508488</v>
      </c>
    </row>
    <row r="762" spans="1:23" x14ac:dyDescent="0.2">
      <c r="A762" s="52" t="s">
        <v>2064</v>
      </c>
      <c r="B762" s="53">
        <v>45716</v>
      </c>
      <c r="C762" s="53">
        <v>45630</v>
      </c>
      <c r="D762" s="52" t="s">
        <v>830</v>
      </c>
      <c r="E762" s="52" t="s">
        <v>831</v>
      </c>
      <c r="G762" s="52" t="s">
        <v>2207</v>
      </c>
      <c r="H762" s="40" t="s">
        <v>828</v>
      </c>
      <c r="I762" s="40" t="s">
        <v>829</v>
      </c>
      <c r="J762" s="43" t="str">
        <f t="shared" si="66"/>
        <v>SKU-</v>
      </c>
      <c r="K762" s="52" t="s">
        <v>98</v>
      </c>
      <c r="L762" s="40">
        <v>4600</v>
      </c>
      <c r="M762" s="52" t="s">
        <v>1472</v>
      </c>
      <c r="N762" s="52" t="s">
        <v>11</v>
      </c>
      <c r="O762" s="54">
        <v>5.0862999999999996</v>
      </c>
      <c r="P762" s="45">
        <f t="shared" si="67"/>
        <v>23396.98</v>
      </c>
      <c r="Q762" s="46">
        <f t="shared" si="68"/>
        <v>7.3003400000000003</v>
      </c>
      <c r="R762" s="47">
        <f t="shared" si="69"/>
        <v>0.69669999999999999</v>
      </c>
      <c r="S762" s="48">
        <f t="shared" si="70"/>
        <v>3204.82</v>
      </c>
      <c r="T762" s="47" t="s">
        <v>349</v>
      </c>
      <c r="U762" s="52" t="s">
        <v>2</v>
      </c>
      <c r="V762" s="38">
        <v>7.1692999999999998</v>
      </c>
      <c r="W762" s="49">
        <f t="shared" si="71"/>
        <v>3263.4957387750546</v>
      </c>
    </row>
    <row r="763" spans="1:23" x14ac:dyDescent="0.2">
      <c r="A763" s="52" t="s">
        <v>2064</v>
      </c>
      <c r="B763" s="53">
        <v>45709</v>
      </c>
      <c r="C763" s="53">
        <v>45630</v>
      </c>
      <c r="D763" s="52" t="s">
        <v>830</v>
      </c>
      <c r="E763" s="52" t="s">
        <v>831</v>
      </c>
      <c r="G763" s="52" t="s">
        <v>2206</v>
      </c>
      <c r="H763" s="40" t="s">
        <v>828</v>
      </c>
      <c r="I763" s="40" t="s">
        <v>829</v>
      </c>
      <c r="J763" s="43" t="str">
        <f t="shared" si="66"/>
        <v>SKU-</v>
      </c>
      <c r="K763" s="52" t="s">
        <v>98</v>
      </c>
      <c r="L763" s="40">
        <v>1200</v>
      </c>
      <c r="M763" s="52" t="s">
        <v>1472</v>
      </c>
      <c r="N763" s="52" t="s">
        <v>11</v>
      </c>
      <c r="O763" s="54">
        <v>5.0862999999999996</v>
      </c>
      <c r="P763" s="45">
        <f t="shared" si="67"/>
        <v>6103.56</v>
      </c>
      <c r="Q763" s="46">
        <f t="shared" si="68"/>
        <v>7.3003400000000003</v>
      </c>
      <c r="R763" s="47">
        <f t="shared" si="69"/>
        <v>0.69669999999999999</v>
      </c>
      <c r="S763" s="48">
        <f t="shared" si="70"/>
        <v>836.04</v>
      </c>
      <c r="T763" s="47" t="s">
        <v>349</v>
      </c>
      <c r="U763" s="52" t="s">
        <v>2</v>
      </c>
      <c r="V763" s="38">
        <v>7.1692999999999998</v>
      </c>
      <c r="W763" s="49">
        <f t="shared" si="71"/>
        <v>851.34671446305776</v>
      </c>
    </row>
    <row r="764" spans="1:23" x14ac:dyDescent="0.2">
      <c r="A764" s="52" t="s">
        <v>2065</v>
      </c>
      <c r="B764" s="53">
        <v>45705</v>
      </c>
      <c r="C764" s="53">
        <v>45630</v>
      </c>
      <c r="D764" s="52" t="s">
        <v>143</v>
      </c>
      <c r="E764" s="52" t="s">
        <v>144</v>
      </c>
      <c r="G764" s="52" t="s">
        <v>2147</v>
      </c>
      <c r="H764" s="40" t="s">
        <v>141</v>
      </c>
      <c r="I764" s="40" t="s">
        <v>142</v>
      </c>
      <c r="J764" s="43" t="str">
        <f t="shared" si="66"/>
        <v>KNOB</v>
      </c>
      <c r="K764" s="52" t="s">
        <v>10</v>
      </c>
      <c r="L764" s="40">
        <v>12360</v>
      </c>
      <c r="M764" s="52" t="s">
        <v>1472</v>
      </c>
      <c r="N764" s="52" t="s">
        <v>11</v>
      </c>
      <c r="O764" s="54">
        <v>5.0999999999999996</v>
      </c>
      <c r="P764" s="45">
        <f t="shared" si="67"/>
        <v>63036</v>
      </c>
      <c r="Q764" s="46">
        <f t="shared" si="68"/>
        <v>7.3003400000000003</v>
      </c>
      <c r="R764" s="47">
        <f t="shared" si="69"/>
        <v>0.6986</v>
      </c>
      <c r="S764" s="48">
        <f t="shared" si="70"/>
        <v>8634.7000000000007</v>
      </c>
      <c r="T764" s="47" t="s">
        <v>349</v>
      </c>
      <c r="U764" s="52" t="s">
        <v>32</v>
      </c>
      <c r="V764" s="38">
        <v>7.1692999999999998</v>
      </c>
      <c r="W764" s="49">
        <f t="shared" si="71"/>
        <v>8792.4902012748789</v>
      </c>
    </row>
    <row r="765" spans="1:23" x14ac:dyDescent="0.2">
      <c r="A765" s="52" t="s">
        <v>2065</v>
      </c>
      <c r="B765" s="53">
        <v>45702</v>
      </c>
      <c r="C765" s="53">
        <v>45630</v>
      </c>
      <c r="D765" s="52" t="s">
        <v>143</v>
      </c>
      <c r="E765" s="52" t="s">
        <v>144</v>
      </c>
      <c r="G765" s="52" t="s">
        <v>2208</v>
      </c>
      <c r="H765" s="40" t="s">
        <v>141</v>
      </c>
      <c r="I765" s="40" t="s">
        <v>142</v>
      </c>
      <c r="J765" s="43" t="str">
        <f t="shared" si="66"/>
        <v>KNOB</v>
      </c>
      <c r="K765" s="52" t="s">
        <v>10</v>
      </c>
      <c r="L765" s="40">
        <v>8540</v>
      </c>
      <c r="M765" s="52" t="s">
        <v>1472</v>
      </c>
      <c r="N765" s="52" t="s">
        <v>11</v>
      </c>
      <c r="O765" s="54">
        <v>5.0999999999999996</v>
      </c>
      <c r="P765" s="45">
        <f t="shared" si="67"/>
        <v>43554</v>
      </c>
      <c r="Q765" s="46">
        <f t="shared" si="68"/>
        <v>7.3003400000000003</v>
      </c>
      <c r="R765" s="47">
        <f t="shared" si="69"/>
        <v>0.6986</v>
      </c>
      <c r="S765" s="48">
        <f t="shared" si="70"/>
        <v>5966.04</v>
      </c>
      <c r="T765" s="47" t="s">
        <v>349</v>
      </c>
      <c r="U765" s="52" t="s">
        <v>32</v>
      </c>
      <c r="V765" s="38">
        <v>7.1692999999999998</v>
      </c>
      <c r="W765" s="49">
        <f t="shared" si="71"/>
        <v>6075.0700905248768</v>
      </c>
    </row>
    <row r="766" spans="1:23" x14ac:dyDescent="0.2">
      <c r="A766" s="52" t="s">
        <v>2066</v>
      </c>
      <c r="B766" s="53">
        <v>45714</v>
      </c>
      <c r="C766" s="53">
        <v>45713</v>
      </c>
      <c r="D766" s="52" t="s">
        <v>5</v>
      </c>
      <c r="E766" s="52" t="s">
        <v>6</v>
      </c>
      <c r="G766" s="52" t="s">
        <v>2209</v>
      </c>
      <c r="H766" s="40" t="s">
        <v>1772</v>
      </c>
      <c r="I766" s="40" t="s">
        <v>1773</v>
      </c>
      <c r="J766" s="43" t="str">
        <f t="shared" si="66"/>
        <v>BOX-</v>
      </c>
      <c r="K766" s="52" t="s">
        <v>10</v>
      </c>
      <c r="L766" s="40">
        <v>505</v>
      </c>
      <c r="M766" s="52" t="s">
        <v>1472</v>
      </c>
      <c r="N766" s="52" t="s">
        <v>11</v>
      </c>
      <c r="O766" s="54">
        <v>5.17</v>
      </c>
      <c r="P766" s="45">
        <f t="shared" si="67"/>
        <v>2610.85</v>
      </c>
      <c r="Q766" s="46">
        <f t="shared" si="68"/>
        <v>7.3003400000000003</v>
      </c>
      <c r="R766" s="47">
        <f t="shared" si="69"/>
        <v>0.70820000000000005</v>
      </c>
      <c r="S766" s="48">
        <f t="shared" si="70"/>
        <v>357.64</v>
      </c>
      <c r="T766" s="47" t="s">
        <v>349</v>
      </c>
      <c r="U766" s="52" t="s">
        <v>1</v>
      </c>
      <c r="V766" s="38">
        <v>7.1692999999999998</v>
      </c>
      <c r="W766" s="49">
        <f t="shared" si="71"/>
        <v>364.17083955197859</v>
      </c>
    </row>
    <row r="767" spans="1:23" x14ac:dyDescent="0.2">
      <c r="A767" s="52" t="s">
        <v>2067</v>
      </c>
      <c r="B767" s="53">
        <v>45706</v>
      </c>
      <c r="C767" s="53">
        <v>45677</v>
      </c>
      <c r="D767" s="52" t="s">
        <v>5</v>
      </c>
      <c r="E767" s="52" t="s">
        <v>6</v>
      </c>
      <c r="G767" s="52" t="s">
        <v>2210</v>
      </c>
      <c r="H767" s="40" t="s">
        <v>1774</v>
      </c>
      <c r="I767" s="40" t="s">
        <v>1775</v>
      </c>
      <c r="J767" s="43" t="str">
        <f t="shared" si="66"/>
        <v>BOX-</v>
      </c>
      <c r="K767" s="52" t="s">
        <v>10</v>
      </c>
      <c r="L767" s="40">
        <v>500</v>
      </c>
      <c r="M767" s="52" t="s">
        <v>1472</v>
      </c>
      <c r="N767" s="52" t="s">
        <v>11</v>
      </c>
      <c r="O767" s="54">
        <v>5.18</v>
      </c>
      <c r="P767" s="45">
        <f t="shared" si="67"/>
        <v>2590</v>
      </c>
      <c r="Q767" s="46">
        <f t="shared" si="68"/>
        <v>7.3003400000000003</v>
      </c>
      <c r="R767" s="47">
        <f t="shared" si="69"/>
        <v>0.70960000000000001</v>
      </c>
      <c r="S767" s="48">
        <f t="shared" si="70"/>
        <v>354.8</v>
      </c>
      <c r="T767" s="47" t="s">
        <v>349</v>
      </c>
      <c r="U767" s="52" t="s">
        <v>1</v>
      </c>
      <c r="V767" s="38">
        <v>7.1692999999999998</v>
      </c>
      <c r="W767" s="49">
        <f t="shared" si="71"/>
        <v>361.26260583320544</v>
      </c>
    </row>
    <row r="768" spans="1:23" x14ac:dyDescent="0.2">
      <c r="A768" s="52" t="s">
        <v>2067</v>
      </c>
      <c r="B768" s="53">
        <v>45698</v>
      </c>
      <c r="C768" s="53">
        <v>45677</v>
      </c>
      <c r="D768" s="52" t="s">
        <v>5</v>
      </c>
      <c r="E768" s="52" t="s">
        <v>6</v>
      </c>
      <c r="G768" s="52" t="s">
        <v>2211</v>
      </c>
      <c r="H768" s="40" t="s">
        <v>1774</v>
      </c>
      <c r="I768" s="40" t="s">
        <v>1775</v>
      </c>
      <c r="J768" s="43" t="str">
        <f t="shared" si="66"/>
        <v>BOX-</v>
      </c>
      <c r="K768" s="52" t="s">
        <v>10</v>
      </c>
      <c r="L768" s="40">
        <v>505</v>
      </c>
      <c r="M768" s="52" t="s">
        <v>1472</v>
      </c>
      <c r="N768" s="52" t="s">
        <v>11</v>
      </c>
      <c r="O768" s="54">
        <v>5.18</v>
      </c>
      <c r="P768" s="45">
        <f t="shared" si="67"/>
        <v>2615.9</v>
      </c>
      <c r="Q768" s="46">
        <f t="shared" si="68"/>
        <v>7.3003400000000003</v>
      </c>
      <c r="R768" s="47">
        <f t="shared" si="69"/>
        <v>0.70960000000000001</v>
      </c>
      <c r="S768" s="48">
        <f t="shared" si="70"/>
        <v>358.35</v>
      </c>
      <c r="T768" s="47" t="s">
        <v>349</v>
      </c>
      <c r="U768" s="52" t="s">
        <v>1</v>
      </c>
      <c r="V768" s="38">
        <v>7.1692999999999998</v>
      </c>
      <c r="W768" s="49">
        <f t="shared" si="71"/>
        <v>364.87523189153751</v>
      </c>
    </row>
    <row r="769" spans="1:23" x14ac:dyDescent="0.2">
      <c r="A769" s="52" t="s">
        <v>2068</v>
      </c>
      <c r="B769" s="53">
        <v>45712</v>
      </c>
      <c r="C769" s="53">
        <v>45698</v>
      </c>
      <c r="D769" s="52" t="s">
        <v>268</v>
      </c>
      <c r="E769" s="52" t="s">
        <v>269</v>
      </c>
      <c r="G769" s="52" t="s">
        <v>2168</v>
      </c>
      <c r="H769" s="40" t="s">
        <v>1077</v>
      </c>
      <c r="I769" s="40" t="s">
        <v>1078</v>
      </c>
      <c r="J769" s="43" t="str">
        <f t="shared" si="66"/>
        <v>MISC</v>
      </c>
      <c r="K769" s="52" t="s">
        <v>10</v>
      </c>
      <c r="L769" s="40">
        <v>50</v>
      </c>
      <c r="M769" s="52" t="s">
        <v>136</v>
      </c>
      <c r="N769" s="52" t="s">
        <v>11</v>
      </c>
      <c r="O769" s="54">
        <v>5.18</v>
      </c>
      <c r="P769" s="45">
        <f t="shared" si="67"/>
        <v>259</v>
      </c>
      <c r="Q769" s="46">
        <f t="shared" si="68"/>
        <v>7.3003400000000003</v>
      </c>
      <c r="R769" s="47">
        <f t="shared" si="69"/>
        <v>0.70960000000000001</v>
      </c>
      <c r="S769" s="48">
        <f t="shared" si="70"/>
        <v>35.479999999999997</v>
      </c>
      <c r="T769" s="47" t="s">
        <v>349</v>
      </c>
      <c r="U769" s="52" t="s">
        <v>25</v>
      </c>
      <c r="V769" s="38">
        <v>7.1692999999999998</v>
      </c>
      <c r="W769" s="49">
        <f t="shared" si="71"/>
        <v>36.126260583320544</v>
      </c>
    </row>
    <row r="770" spans="1:23" x14ac:dyDescent="0.2">
      <c r="A770" s="52" t="s">
        <v>2069</v>
      </c>
      <c r="B770" s="53">
        <v>45705</v>
      </c>
      <c r="C770" s="53">
        <v>45646</v>
      </c>
      <c r="D770" s="52" t="s">
        <v>866</v>
      </c>
      <c r="E770" s="52" t="s">
        <v>867</v>
      </c>
      <c r="G770" s="52" t="s">
        <v>2212</v>
      </c>
      <c r="H770" s="40" t="s">
        <v>34</v>
      </c>
      <c r="I770" s="40" t="s">
        <v>35</v>
      </c>
      <c r="J770" s="43" t="str">
        <f t="shared" ref="J770:J833" si="72">+LEFT(U770,4)</f>
        <v>ANYD</v>
      </c>
      <c r="K770" s="52" t="s">
        <v>10</v>
      </c>
      <c r="L770" s="40">
        <v>12000</v>
      </c>
      <c r="M770" s="52" t="s">
        <v>1472</v>
      </c>
      <c r="N770" s="52" t="s">
        <v>11</v>
      </c>
      <c r="O770" s="54">
        <v>5.2389000000000001</v>
      </c>
      <c r="P770" s="45">
        <f t="shared" ref="P770:P833" si="73">ROUND(O770*L770,2)</f>
        <v>62866.8</v>
      </c>
      <c r="Q770" s="46">
        <f t="shared" ref="Q770:Q833" si="74">IF(N770="HKD",7.8,IF(N770="CNY",7.30034,1))</f>
        <v>7.3003400000000003</v>
      </c>
      <c r="R770" s="47">
        <f t="shared" ref="R770:R833" si="75">+ROUND(O770/Q770,4)</f>
        <v>0.71760000000000002</v>
      </c>
      <c r="S770" s="48">
        <f t="shared" ref="S770:S833" si="76">ROUND(R770*L770,2)</f>
        <v>8611.2000000000007</v>
      </c>
      <c r="T770" s="47" t="s">
        <v>349</v>
      </c>
      <c r="U770" s="52" t="s">
        <v>36</v>
      </c>
      <c r="V770" s="38">
        <v>7.1692999999999998</v>
      </c>
      <c r="W770" s="49">
        <f t="shared" ref="W770:W833" si="77">IF(N770="CNY",O770/V770*L770,1)</f>
        <v>8768.8895708088658</v>
      </c>
    </row>
    <row r="771" spans="1:23" x14ac:dyDescent="0.2">
      <c r="A771" s="52" t="s">
        <v>2070</v>
      </c>
      <c r="B771" s="53">
        <v>45705</v>
      </c>
      <c r="C771" s="53">
        <v>45309</v>
      </c>
      <c r="D771" s="52" t="s">
        <v>866</v>
      </c>
      <c r="E771" s="52" t="s">
        <v>867</v>
      </c>
      <c r="G771" s="52" t="s">
        <v>2183</v>
      </c>
      <c r="H771" s="40" t="s">
        <v>1497</v>
      </c>
      <c r="I771" s="40" t="s">
        <v>1498</v>
      </c>
      <c r="J771" s="43" t="str">
        <f t="shared" si="72"/>
        <v>ANYD</v>
      </c>
      <c r="K771" s="52" t="s">
        <v>10</v>
      </c>
      <c r="L771" s="40">
        <v>2000</v>
      </c>
      <c r="M771" s="52" t="s">
        <v>1472</v>
      </c>
      <c r="N771" s="52" t="s">
        <v>11</v>
      </c>
      <c r="O771" s="54">
        <v>5.3574999999999999</v>
      </c>
      <c r="P771" s="45">
        <f t="shared" si="73"/>
        <v>10715</v>
      </c>
      <c r="Q771" s="46">
        <f t="shared" si="74"/>
        <v>7.3003400000000003</v>
      </c>
      <c r="R771" s="47">
        <f t="shared" si="75"/>
        <v>0.7339</v>
      </c>
      <c r="S771" s="48">
        <f t="shared" si="76"/>
        <v>1467.8</v>
      </c>
      <c r="T771" s="47" t="s">
        <v>349</v>
      </c>
      <c r="U771" s="52" t="s">
        <v>36</v>
      </c>
      <c r="V771" s="38">
        <v>7.1692999999999998</v>
      </c>
      <c r="W771" s="49">
        <f t="shared" si="77"/>
        <v>1494.5671125493423</v>
      </c>
    </row>
    <row r="772" spans="1:23" x14ac:dyDescent="0.2">
      <c r="A772" s="52" t="s">
        <v>910</v>
      </c>
      <c r="B772" s="53">
        <v>45705</v>
      </c>
      <c r="C772" s="53">
        <v>45287</v>
      </c>
      <c r="D772" s="52" t="s">
        <v>866</v>
      </c>
      <c r="E772" s="52" t="s">
        <v>867</v>
      </c>
      <c r="G772" s="52" t="s">
        <v>2213</v>
      </c>
      <c r="H772" s="40" t="s">
        <v>908</v>
      </c>
      <c r="I772" s="40" t="s">
        <v>909</v>
      </c>
      <c r="J772" s="43" t="str">
        <f t="shared" si="72"/>
        <v>ANYD</v>
      </c>
      <c r="K772" s="52" t="s">
        <v>10</v>
      </c>
      <c r="L772" s="40">
        <v>2016</v>
      </c>
      <c r="M772" s="52" t="s">
        <v>1472</v>
      </c>
      <c r="N772" s="52" t="s">
        <v>11</v>
      </c>
      <c r="O772" s="54">
        <v>5.3804999999999996</v>
      </c>
      <c r="P772" s="45">
        <f t="shared" si="73"/>
        <v>10847.09</v>
      </c>
      <c r="Q772" s="46">
        <f t="shared" si="74"/>
        <v>7.3003400000000003</v>
      </c>
      <c r="R772" s="47">
        <f t="shared" si="75"/>
        <v>0.73699999999999999</v>
      </c>
      <c r="S772" s="48">
        <f t="shared" si="76"/>
        <v>1485.79</v>
      </c>
      <c r="T772" s="47" t="s">
        <v>349</v>
      </c>
      <c r="U772" s="52" t="s">
        <v>36</v>
      </c>
      <c r="V772" s="38">
        <v>7.1692999999999998</v>
      </c>
      <c r="W772" s="49">
        <f t="shared" si="77"/>
        <v>1512.9912264795726</v>
      </c>
    </row>
    <row r="773" spans="1:23" x14ac:dyDescent="0.2">
      <c r="A773" s="52" t="s">
        <v>2071</v>
      </c>
      <c r="B773" s="53">
        <v>45707</v>
      </c>
      <c r="C773" s="53">
        <v>45706</v>
      </c>
      <c r="D773" s="52" t="s">
        <v>5</v>
      </c>
      <c r="E773" s="52" t="s">
        <v>6</v>
      </c>
      <c r="G773" s="52" t="s">
        <v>2173</v>
      </c>
      <c r="H773" s="40" t="s">
        <v>1776</v>
      </c>
      <c r="I773" s="40" t="s">
        <v>1777</v>
      </c>
      <c r="J773" s="43" t="str">
        <f t="shared" si="72"/>
        <v>SHTS</v>
      </c>
      <c r="K773" s="52" t="s">
        <v>10</v>
      </c>
      <c r="L773" s="40">
        <v>505</v>
      </c>
      <c r="M773" s="52" t="s">
        <v>1472</v>
      </c>
      <c r="N773" s="52" t="s">
        <v>11</v>
      </c>
      <c r="O773" s="54">
        <v>5.41</v>
      </c>
      <c r="P773" s="45">
        <f t="shared" si="73"/>
        <v>2732.05</v>
      </c>
      <c r="Q773" s="46">
        <f t="shared" si="74"/>
        <v>7.3003400000000003</v>
      </c>
      <c r="R773" s="47">
        <f t="shared" si="75"/>
        <v>0.74109999999999998</v>
      </c>
      <c r="S773" s="48">
        <f t="shared" si="76"/>
        <v>374.26</v>
      </c>
      <c r="T773" s="47" t="s">
        <v>349</v>
      </c>
      <c r="U773" s="52" t="s">
        <v>9</v>
      </c>
      <c r="V773" s="38">
        <v>7.1692999999999998</v>
      </c>
      <c r="W773" s="49">
        <f t="shared" si="77"/>
        <v>381.07625570139345</v>
      </c>
    </row>
    <row r="774" spans="1:23" x14ac:dyDescent="0.2">
      <c r="A774" s="52" t="s">
        <v>2072</v>
      </c>
      <c r="B774" s="53">
        <v>45708</v>
      </c>
      <c r="C774" s="53">
        <v>45673</v>
      </c>
      <c r="D774" s="52" t="s">
        <v>696</v>
      </c>
      <c r="E774" s="52" t="s">
        <v>697</v>
      </c>
      <c r="G774" s="52" t="s">
        <v>2214</v>
      </c>
      <c r="H774" s="40" t="s">
        <v>694</v>
      </c>
      <c r="I774" s="40" t="s">
        <v>695</v>
      </c>
      <c r="J774" s="43" t="str">
        <f t="shared" si="72"/>
        <v>ANYD</v>
      </c>
      <c r="K774" s="52" t="s">
        <v>10</v>
      </c>
      <c r="L774" s="40">
        <v>2000</v>
      </c>
      <c r="M774" s="52" t="s">
        <v>1472</v>
      </c>
      <c r="N774" s="52" t="s">
        <v>11</v>
      </c>
      <c r="O774" s="54">
        <v>5.49</v>
      </c>
      <c r="P774" s="45">
        <f t="shared" si="73"/>
        <v>10980</v>
      </c>
      <c r="Q774" s="46">
        <f t="shared" si="74"/>
        <v>7.3003400000000003</v>
      </c>
      <c r="R774" s="47">
        <f t="shared" si="75"/>
        <v>0.752</v>
      </c>
      <c r="S774" s="48">
        <f t="shared" si="76"/>
        <v>1504</v>
      </c>
      <c r="T774" s="47" t="s">
        <v>349</v>
      </c>
      <c r="U774" s="52" t="s">
        <v>36</v>
      </c>
      <c r="V774" s="38">
        <v>7.1692999999999998</v>
      </c>
      <c r="W774" s="49">
        <f t="shared" si="77"/>
        <v>1531.5302749222378</v>
      </c>
    </row>
    <row r="775" spans="1:23" x14ac:dyDescent="0.2">
      <c r="A775" s="52" t="s">
        <v>2073</v>
      </c>
      <c r="B775" s="53">
        <v>45698</v>
      </c>
      <c r="C775" s="53">
        <v>45677</v>
      </c>
      <c r="D775" s="52" t="s">
        <v>5</v>
      </c>
      <c r="E775" s="52" t="s">
        <v>6</v>
      </c>
      <c r="G775" s="52" t="s">
        <v>2211</v>
      </c>
      <c r="H775" s="40" t="s">
        <v>459</v>
      </c>
      <c r="I775" s="40" t="s">
        <v>460</v>
      </c>
      <c r="J775" s="43" t="str">
        <f t="shared" si="72"/>
        <v>BOX-</v>
      </c>
      <c r="K775" s="52" t="s">
        <v>10</v>
      </c>
      <c r="L775" s="40">
        <v>500</v>
      </c>
      <c r="M775" s="52" t="s">
        <v>1472</v>
      </c>
      <c r="N775" s="52" t="s">
        <v>11</v>
      </c>
      <c r="O775" s="54">
        <v>5.55</v>
      </c>
      <c r="P775" s="45">
        <f t="shared" si="73"/>
        <v>2775</v>
      </c>
      <c r="Q775" s="46">
        <f t="shared" si="74"/>
        <v>7.3003400000000003</v>
      </c>
      <c r="R775" s="47">
        <f t="shared" si="75"/>
        <v>0.76019999999999999</v>
      </c>
      <c r="S775" s="48">
        <f t="shared" si="76"/>
        <v>380.1</v>
      </c>
      <c r="T775" s="47" t="s">
        <v>349</v>
      </c>
      <c r="U775" s="52" t="s">
        <v>1</v>
      </c>
      <c r="V775" s="38">
        <v>7.1692999999999998</v>
      </c>
      <c r="W775" s="49">
        <f t="shared" si="77"/>
        <v>387.06707767843443</v>
      </c>
    </row>
    <row r="776" spans="1:23" x14ac:dyDescent="0.2">
      <c r="A776" s="52" t="s">
        <v>2074</v>
      </c>
      <c r="B776" s="53">
        <v>45707</v>
      </c>
      <c r="C776" s="53">
        <v>45677</v>
      </c>
      <c r="D776" s="52" t="s">
        <v>5</v>
      </c>
      <c r="E776" s="52" t="s">
        <v>6</v>
      </c>
      <c r="G776" s="52" t="s">
        <v>2173</v>
      </c>
      <c r="H776" s="40" t="s">
        <v>1778</v>
      </c>
      <c r="I776" s="40" t="s">
        <v>1779</v>
      </c>
      <c r="J776" s="43" t="str">
        <f t="shared" si="72"/>
        <v>SHTS</v>
      </c>
      <c r="K776" s="52" t="s">
        <v>10</v>
      </c>
      <c r="L776" s="40">
        <v>1010</v>
      </c>
      <c r="M776" s="52" t="s">
        <v>1472</v>
      </c>
      <c r="N776" s="52" t="s">
        <v>11</v>
      </c>
      <c r="O776" s="54">
        <v>5.62</v>
      </c>
      <c r="P776" s="45">
        <f t="shared" si="73"/>
        <v>5676.2</v>
      </c>
      <c r="Q776" s="46">
        <f t="shared" si="74"/>
        <v>7.3003400000000003</v>
      </c>
      <c r="R776" s="47">
        <f t="shared" si="75"/>
        <v>0.76980000000000004</v>
      </c>
      <c r="S776" s="48">
        <f t="shared" si="76"/>
        <v>777.5</v>
      </c>
      <c r="T776" s="47" t="s">
        <v>349</v>
      </c>
      <c r="U776" s="52" t="s">
        <v>9</v>
      </c>
      <c r="V776" s="38">
        <v>7.1692999999999998</v>
      </c>
      <c r="W776" s="49">
        <f t="shared" si="77"/>
        <v>791.73698966426286</v>
      </c>
    </row>
    <row r="777" spans="1:23" x14ac:dyDescent="0.2">
      <c r="A777" s="52" t="s">
        <v>2075</v>
      </c>
      <c r="B777" s="53">
        <v>45708</v>
      </c>
      <c r="C777" s="53">
        <v>45674</v>
      </c>
      <c r="D777" s="52" t="s">
        <v>569</v>
      </c>
      <c r="E777" s="52" t="s">
        <v>570</v>
      </c>
      <c r="G777" s="52" t="s">
        <v>2182</v>
      </c>
      <c r="H777" s="40" t="s">
        <v>766</v>
      </c>
      <c r="I777" s="40" t="s">
        <v>767</v>
      </c>
      <c r="J777" s="43" t="str">
        <f t="shared" si="72"/>
        <v>ANYD</v>
      </c>
      <c r="K777" s="52" t="s">
        <v>10</v>
      </c>
      <c r="L777" s="40">
        <v>800</v>
      </c>
      <c r="M777" s="52" t="s">
        <v>1472</v>
      </c>
      <c r="N777" s="52" t="s">
        <v>11</v>
      </c>
      <c r="O777" s="54">
        <v>5.7</v>
      </c>
      <c r="P777" s="45">
        <f t="shared" si="73"/>
        <v>4560</v>
      </c>
      <c r="Q777" s="46">
        <f t="shared" si="74"/>
        <v>7.3003400000000003</v>
      </c>
      <c r="R777" s="47">
        <f t="shared" si="75"/>
        <v>0.78080000000000005</v>
      </c>
      <c r="S777" s="48">
        <f t="shared" si="76"/>
        <v>624.64</v>
      </c>
      <c r="T777" s="47" t="s">
        <v>349</v>
      </c>
      <c r="U777" s="52" t="s">
        <v>36</v>
      </c>
      <c r="V777" s="38">
        <v>7.1692999999999998</v>
      </c>
      <c r="W777" s="49">
        <f t="shared" si="77"/>
        <v>636.04536007699494</v>
      </c>
    </row>
    <row r="778" spans="1:23" x14ac:dyDescent="0.2">
      <c r="A778" s="52" t="s">
        <v>2075</v>
      </c>
      <c r="B778" s="53">
        <v>45699</v>
      </c>
      <c r="C778" s="53">
        <v>45674</v>
      </c>
      <c r="D778" s="52" t="s">
        <v>569</v>
      </c>
      <c r="E778" s="52" t="s">
        <v>570</v>
      </c>
      <c r="G778" s="52" t="s">
        <v>2186</v>
      </c>
      <c r="H778" s="40" t="s">
        <v>766</v>
      </c>
      <c r="I778" s="40" t="s">
        <v>767</v>
      </c>
      <c r="J778" s="43" t="str">
        <f t="shared" si="72"/>
        <v>ANYD</v>
      </c>
      <c r="K778" s="52" t="s">
        <v>10</v>
      </c>
      <c r="L778" s="40">
        <v>1300</v>
      </c>
      <c r="M778" s="52" t="s">
        <v>1472</v>
      </c>
      <c r="N778" s="52" t="s">
        <v>11</v>
      </c>
      <c r="O778" s="54">
        <v>5.7</v>
      </c>
      <c r="P778" s="45">
        <f t="shared" si="73"/>
        <v>7410</v>
      </c>
      <c r="Q778" s="46">
        <f t="shared" si="74"/>
        <v>7.3003400000000003</v>
      </c>
      <c r="R778" s="47">
        <f t="shared" si="75"/>
        <v>0.78080000000000005</v>
      </c>
      <c r="S778" s="48">
        <f t="shared" si="76"/>
        <v>1015.04</v>
      </c>
      <c r="T778" s="47" t="s">
        <v>349</v>
      </c>
      <c r="U778" s="52" t="s">
        <v>36</v>
      </c>
      <c r="V778" s="38">
        <v>7.1692999999999998</v>
      </c>
      <c r="W778" s="49">
        <f t="shared" si="77"/>
        <v>1033.5737101251168</v>
      </c>
    </row>
    <row r="779" spans="1:23" x14ac:dyDescent="0.2">
      <c r="A779" s="52" t="s">
        <v>2076</v>
      </c>
      <c r="B779" s="53">
        <v>45708</v>
      </c>
      <c r="C779" s="53">
        <v>45677</v>
      </c>
      <c r="D779" s="52" t="s">
        <v>569</v>
      </c>
      <c r="E779" s="52" t="s">
        <v>570</v>
      </c>
      <c r="G779" s="52" t="s">
        <v>2182</v>
      </c>
      <c r="H779" s="40" t="s">
        <v>766</v>
      </c>
      <c r="I779" s="40" t="s">
        <v>767</v>
      </c>
      <c r="J779" s="43" t="str">
        <f t="shared" si="72"/>
        <v>ANYD</v>
      </c>
      <c r="K779" s="52" t="s">
        <v>10</v>
      </c>
      <c r="L779" s="40">
        <v>500</v>
      </c>
      <c r="M779" s="52" t="s">
        <v>1472</v>
      </c>
      <c r="N779" s="52" t="s">
        <v>11</v>
      </c>
      <c r="O779" s="54">
        <v>5.7</v>
      </c>
      <c r="P779" s="45">
        <f t="shared" si="73"/>
        <v>2850</v>
      </c>
      <c r="Q779" s="46">
        <f t="shared" si="74"/>
        <v>7.3003400000000003</v>
      </c>
      <c r="R779" s="47">
        <f t="shared" si="75"/>
        <v>0.78080000000000005</v>
      </c>
      <c r="S779" s="48">
        <f t="shared" si="76"/>
        <v>390.4</v>
      </c>
      <c r="T779" s="47" t="s">
        <v>349</v>
      </c>
      <c r="U779" s="52" t="s">
        <v>36</v>
      </c>
      <c r="V779" s="38">
        <v>7.1692999999999998</v>
      </c>
      <c r="W779" s="49">
        <f t="shared" si="77"/>
        <v>397.52835004812187</v>
      </c>
    </row>
    <row r="780" spans="1:23" x14ac:dyDescent="0.2">
      <c r="A780" s="52" t="s">
        <v>2077</v>
      </c>
      <c r="B780" s="53">
        <v>45706</v>
      </c>
      <c r="C780" s="53">
        <v>45639</v>
      </c>
      <c r="D780" s="52" t="s">
        <v>149</v>
      </c>
      <c r="E780" s="52" t="s">
        <v>150</v>
      </c>
      <c r="G780" s="52" t="s">
        <v>2215</v>
      </c>
      <c r="H780" s="40" t="s">
        <v>274</v>
      </c>
      <c r="I780" s="40" t="s">
        <v>275</v>
      </c>
      <c r="J780" s="43" t="str">
        <f t="shared" si="72"/>
        <v>SKU-</v>
      </c>
      <c r="K780" s="52" t="s">
        <v>98</v>
      </c>
      <c r="L780" s="40">
        <v>5000</v>
      </c>
      <c r="M780" s="52" t="s">
        <v>1472</v>
      </c>
      <c r="N780" s="52" t="s">
        <v>11</v>
      </c>
      <c r="O780" s="54">
        <v>5.7253999999999996</v>
      </c>
      <c r="P780" s="45">
        <f t="shared" si="73"/>
        <v>28627</v>
      </c>
      <c r="Q780" s="46">
        <f t="shared" si="74"/>
        <v>7.3003400000000003</v>
      </c>
      <c r="R780" s="47">
        <f t="shared" si="75"/>
        <v>0.7843</v>
      </c>
      <c r="S780" s="48">
        <f t="shared" si="76"/>
        <v>3921.5</v>
      </c>
      <c r="T780" s="47" t="s">
        <v>349</v>
      </c>
      <c r="U780" s="52" t="s">
        <v>2</v>
      </c>
      <c r="V780" s="38">
        <v>7.1692999999999998</v>
      </c>
      <c r="W780" s="49">
        <f t="shared" si="77"/>
        <v>3992.9979216938896</v>
      </c>
    </row>
    <row r="781" spans="1:23" x14ac:dyDescent="0.2">
      <c r="A781" s="52" t="s">
        <v>2078</v>
      </c>
      <c r="B781" s="53">
        <v>45706</v>
      </c>
      <c r="C781" s="53">
        <v>45644</v>
      </c>
      <c r="D781" s="52" t="s">
        <v>149</v>
      </c>
      <c r="E781" s="52" t="s">
        <v>150</v>
      </c>
      <c r="G781" s="52" t="s">
        <v>2215</v>
      </c>
      <c r="H781" s="40" t="s">
        <v>274</v>
      </c>
      <c r="I781" s="40" t="s">
        <v>275</v>
      </c>
      <c r="J781" s="43" t="str">
        <f t="shared" si="72"/>
        <v>SKU-</v>
      </c>
      <c r="K781" s="52" t="s">
        <v>98</v>
      </c>
      <c r="L781" s="40">
        <v>4000</v>
      </c>
      <c r="M781" s="52" t="s">
        <v>1472</v>
      </c>
      <c r="N781" s="52" t="s">
        <v>11</v>
      </c>
      <c r="O781" s="54">
        <v>5.7253999999999996</v>
      </c>
      <c r="P781" s="45">
        <f t="shared" si="73"/>
        <v>22901.599999999999</v>
      </c>
      <c r="Q781" s="46">
        <f t="shared" si="74"/>
        <v>7.3003400000000003</v>
      </c>
      <c r="R781" s="47">
        <f t="shared" si="75"/>
        <v>0.7843</v>
      </c>
      <c r="S781" s="48">
        <f t="shared" si="76"/>
        <v>3137.2</v>
      </c>
      <c r="T781" s="47" t="s">
        <v>349</v>
      </c>
      <c r="U781" s="52" t="s">
        <v>2</v>
      </c>
      <c r="V781" s="38">
        <v>7.1692999999999998</v>
      </c>
      <c r="W781" s="49">
        <f t="shared" si="77"/>
        <v>3194.3983373551114</v>
      </c>
    </row>
    <row r="782" spans="1:23" x14ac:dyDescent="0.2">
      <c r="A782" s="52" t="s">
        <v>2079</v>
      </c>
      <c r="B782" s="53">
        <v>45699</v>
      </c>
      <c r="C782" s="53">
        <v>45630</v>
      </c>
      <c r="D782" s="52" t="s">
        <v>569</v>
      </c>
      <c r="E782" s="52" t="s">
        <v>570</v>
      </c>
      <c r="G782" s="52" t="s">
        <v>2148</v>
      </c>
      <c r="H782" s="40" t="s">
        <v>1780</v>
      </c>
      <c r="I782" s="40" t="s">
        <v>1781</v>
      </c>
      <c r="J782" s="43" t="str">
        <f t="shared" si="72"/>
        <v>MISC</v>
      </c>
      <c r="K782" s="52" t="s">
        <v>10</v>
      </c>
      <c r="L782" s="40">
        <v>6030</v>
      </c>
      <c r="M782" s="52" t="s">
        <v>1472</v>
      </c>
      <c r="N782" s="52" t="s">
        <v>11</v>
      </c>
      <c r="O782" s="54">
        <v>5.8394000000000004</v>
      </c>
      <c r="P782" s="45">
        <f t="shared" si="73"/>
        <v>35211.58</v>
      </c>
      <c r="Q782" s="46">
        <f t="shared" si="74"/>
        <v>7.3003400000000003</v>
      </c>
      <c r="R782" s="47">
        <f t="shared" si="75"/>
        <v>0.79990000000000006</v>
      </c>
      <c r="S782" s="48">
        <f t="shared" si="76"/>
        <v>4823.3999999999996</v>
      </c>
      <c r="T782" s="47" t="s">
        <v>349</v>
      </c>
      <c r="U782" s="52" t="s">
        <v>25</v>
      </c>
      <c r="V782" s="38">
        <v>7.1692999999999998</v>
      </c>
      <c r="W782" s="49">
        <f t="shared" si="77"/>
        <v>4911.439331594438</v>
      </c>
    </row>
    <row r="783" spans="1:23" x14ac:dyDescent="0.2">
      <c r="A783" s="52" t="s">
        <v>2080</v>
      </c>
      <c r="B783" s="53">
        <v>45699</v>
      </c>
      <c r="C783" s="53">
        <v>45646</v>
      </c>
      <c r="D783" s="52" t="s">
        <v>569</v>
      </c>
      <c r="E783" s="52" t="s">
        <v>570</v>
      </c>
      <c r="G783" s="52" t="s">
        <v>2148</v>
      </c>
      <c r="H783" s="40" t="s">
        <v>1780</v>
      </c>
      <c r="I783" s="40" t="s">
        <v>1781</v>
      </c>
      <c r="J783" s="43" t="str">
        <f t="shared" si="72"/>
        <v>MISC</v>
      </c>
      <c r="K783" s="52" t="s">
        <v>10</v>
      </c>
      <c r="L783" s="40">
        <v>3520</v>
      </c>
      <c r="M783" s="52" t="s">
        <v>1472</v>
      </c>
      <c r="N783" s="52" t="s">
        <v>11</v>
      </c>
      <c r="O783" s="54">
        <v>5.8996000000000004</v>
      </c>
      <c r="P783" s="45">
        <f t="shared" si="73"/>
        <v>20766.59</v>
      </c>
      <c r="Q783" s="46">
        <f t="shared" si="74"/>
        <v>7.3003400000000003</v>
      </c>
      <c r="R783" s="47">
        <f t="shared" si="75"/>
        <v>0.80810000000000004</v>
      </c>
      <c r="S783" s="48">
        <f t="shared" si="76"/>
        <v>2844.51</v>
      </c>
      <c r="T783" s="47" t="s">
        <v>349</v>
      </c>
      <c r="U783" s="52" t="s">
        <v>25</v>
      </c>
      <c r="V783" s="38">
        <v>7.1692999999999998</v>
      </c>
      <c r="W783" s="49">
        <f t="shared" si="77"/>
        <v>2896.5996680289568</v>
      </c>
    </row>
    <row r="784" spans="1:23" x14ac:dyDescent="0.2">
      <c r="A784" s="52" t="s">
        <v>2081</v>
      </c>
      <c r="B784" s="53">
        <v>45708</v>
      </c>
      <c r="C784" s="53">
        <v>45673</v>
      </c>
      <c r="D784" s="52" t="s">
        <v>696</v>
      </c>
      <c r="E784" s="52" t="s">
        <v>697</v>
      </c>
      <c r="G784" s="52" t="s">
        <v>2214</v>
      </c>
      <c r="H784" s="40" t="s">
        <v>700</v>
      </c>
      <c r="I784" s="40" t="s">
        <v>701</v>
      </c>
      <c r="J784" s="43" t="str">
        <f t="shared" si="72"/>
        <v>ANYD</v>
      </c>
      <c r="K784" s="52" t="s">
        <v>10</v>
      </c>
      <c r="L784" s="40">
        <v>3000</v>
      </c>
      <c r="M784" s="52" t="s">
        <v>1472</v>
      </c>
      <c r="N784" s="52" t="s">
        <v>11</v>
      </c>
      <c r="O784" s="54">
        <v>6.01</v>
      </c>
      <c r="P784" s="45">
        <f t="shared" si="73"/>
        <v>18030</v>
      </c>
      <c r="Q784" s="46">
        <f t="shared" si="74"/>
        <v>7.3003400000000003</v>
      </c>
      <c r="R784" s="47">
        <f t="shared" si="75"/>
        <v>0.82320000000000004</v>
      </c>
      <c r="S784" s="48">
        <f t="shared" si="76"/>
        <v>2469.6</v>
      </c>
      <c r="T784" s="47" t="s">
        <v>349</v>
      </c>
      <c r="U784" s="52" t="s">
        <v>36</v>
      </c>
      <c r="V784" s="38">
        <v>7.1692999999999998</v>
      </c>
      <c r="W784" s="49">
        <f t="shared" si="77"/>
        <v>2514.8898776728552</v>
      </c>
    </row>
    <row r="785" spans="1:23" x14ac:dyDescent="0.2">
      <c r="A785" s="52" t="s">
        <v>868</v>
      </c>
      <c r="B785" s="53">
        <v>45705</v>
      </c>
      <c r="C785" s="53">
        <v>45309</v>
      </c>
      <c r="D785" s="52" t="s">
        <v>866</v>
      </c>
      <c r="E785" s="52" t="s">
        <v>867</v>
      </c>
      <c r="G785" s="52" t="s">
        <v>2183</v>
      </c>
      <c r="H785" s="40" t="s">
        <v>864</v>
      </c>
      <c r="I785" s="40" t="s">
        <v>865</v>
      </c>
      <c r="J785" s="43" t="str">
        <f t="shared" si="72"/>
        <v>ANYD</v>
      </c>
      <c r="K785" s="52" t="s">
        <v>10</v>
      </c>
      <c r="L785" s="40">
        <v>3520</v>
      </c>
      <c r="M785" s="52" t="s">
        <v>1472</v>
      </c>
      <c r="N785" s="52" t="s">
        <v>11</v>
      </c>
      <c r="O785" s="54">
        <v>6.0212000000000003</v>
      </c>
      <c r="P785" s="45">
        <f t="shared" si="73"/>
        <v>21194.62</v>
      </c>
      <c r="Q785" s="46">
        <f t="shared" si="74"/>
        <v>7.3003400000000003</v>
      </c>
      <c r="R785" s="47">
        <f t="shared" si="75"/>
        <v>0.82479999999999998</v>
      </c>
      <c r="S785" s="48">
        <f t="shared" si="76"/>
        <v>2903.3</v>
      </c>
      <c r="T785" s="47" t="s">
        <v>349</v>
      </c>
      <c r="U785" s="52" t="s">
        <v>36</v>
      </c>
      <c r="V785" s="38">
        <v>7.1692999999999998</v>
      </c>
      <c r="W785" s="49">
        <f t="shared" si="77"/>
        <v>2956.3031258281844</v>
      </c>
    </row>
    <row r="786" spans="1:23" x14ac:dyDescent="0.2">
      <c r="A786" s="52" t="s">
        <v>2082</v>
      </c>
      <c r="B786" s="53">
        <v>45712</v>
      </c>
      <c r="C786" s="53">
        <v>45707</v>
      </c>
      <c r="D786" s="52" t="s">
        <v>2253</v>
      </c>
      <c r="E786" s="52" t="s">
        <v>2254</v>
      </c>
      <c r="G786" s="52" t="s">
        <v>2216</v>
      </c>
      <c r="H786" s="40" t="s">
        <v>1782</v>
      </c>
      <c r="I786" s="40" t="s">
        <v>1783</v>
      </c>
      <c r="J786" s="43" t="str">
        <f t="shared" si="72"/>
        <v>MISC</v>
      </c>
      <c r="K786" s="52" t="s">
        <v>10</v>
      </c>
      <c r="L786" s="40">
        <v>2000</v>
      </c>
      <c r="M786" s="52" t="s">
        <v>186</v>
      </c>
      <c r="N786" s="52" t="s">
        <v>11</v>
      </c>
      <c r="O786" s="54">
        <v>6.0620000000000003</v>
      </c>
      <c r="P786" s="45">
        <f t="shared" si="73"/>
        <v>12124</v>
      </c>
      <c r="Q786" s="46">
        <f t="shared" si="74"/>
        <v>7.3003400000000003</v>
      </c>
      <c r="R786" s="47">
        <f t="shared" si="75"/>
        <v>0.83040000000000003</v>
      </c>
      <c r="S786" s="48">
        <f t="shared" si="76"/>
        <v>1660.8</v>
      </c>
      <c r="T786" s="47" t="s">
        <v>349</v>
      </c>
      <c r="U786" s="52" t="s">
        <v>25</v>
      </c>
      <c r="V786" s="38">
        <v>7.1692999999999998</v>
      </c>
      <c r="W786" s="49">
        <f t="shared" si="77"/>
        <v>1691.09954946787</v>
      </c>
    </row>
    <row r="787" spans="1:23" x14ac:dyDescent="0.2">
      <c r="A787" s="52" t="s">
        <v>2083</v>
      </c>
      <c r="B787" s="53">
        <v>45708</v>
      </c>
      <c r="C787" s="53">
        <v>45671</v>
      </c>
      <c r="D787" s="52" t="s">
        <v>696</v>
      </c>
      <c r="E787" s="52" t="s">
        <v>697</v>
      </c>
      <c r="G787" s="52" t="s">
        <v>2217</v>
      </c>
      <c r="H787" s="40" t="s">
        <v>1784</v>
      </c>
      <c r="I787" s="40" t="s">
        <v>1785</v>
      </c>
      <c r="J787" s="43" t="str">
        <f t="shared" si="72"/>
        <v>GLID</v>
      </c>
      <c r="K787" s="52" t="s">
        <v>10</v>
      </c>
      <c r="L787" s="40">
        <v>2040</v>
      </c>
      <c r="M787" s="52" t="s">
        <v>1472</v>
      </c>
      <c r="N787" s="52" t="s">
        <v>11</v>
      </c>
      <c r="O787" s="54">
        <v>6.08</v>
      </c>
      <c r="P787" s="45">
        <f t="shared" si="73"/>
        <v>12403.2</v>
      </c>
      <c r="Q787" s="46">
        <f t="shared" si="74"/>
        <v>7.3003400000000003</v>
      </c>
      <c r="R787" s="47">
        <f t="shared" si="75"/>
        <v>0.83279999999999998</v>
      </c>
      <c r="S787" s="48">
        <f t="shared" si="76"/>
        <v>1698.91</v>
      </c>
      <c r="T787" s="47" t="s">
        <v>349</v>
      </c>
      <c r="U787" s="52" t="s">
        <v>78</v>
      </c>
      <c r="V787" s="38">
        <v>7.1692999999999998</v>
      </c>
      <c r="W787" s="49">
        <f t="shared" si="77"/>
        <v>1730.0433794094265</v>
      </c>
    </row>
    <row r="788" spans="1:23" x14ac:dyDescent="0.2">
      <c r="A788" s="52" t="s">
        <v>2084</v>
      </c>
      <c r="B788" s="53">
        <v>45705</v>
      </c>
      <c r="C788" s="53">
        <v>45677</v>
      </c>
      <c r="D788" s="52" t="s">
        <v>5</v>
      </c>
      <c r="E788" s="52" t="s">
        <v>6</v>
      </c>
      <c r="G788" s="52" t="s">
        <v>2211</v>
      </c>
      <c r="H788" s="40" t="s">
        <v>455</v>
      </c>
      <c r="I788" s="40" t="s">
        <v>456</v>
      </c>
      <c r="J788" s="43" t="str">
        <f t="shared" si="72"/>
        <v>SHTS</v>
      </c>
      <c r="K788" s="52" t="s">
        <v>10</v>
      </c>
      <c r="L788" s="40">
        <v>500</v>
      </c>
      <c r="M788" s="52" t="s">
        <v>1472</v>
      </c>
      <c r="N788" s="52" t="s">
        <v>11</v>
      </c>
      <c r="O788" s="54">
        <v>6.47</v>
      </c>
      <c r="P788" s="45">
        <f t="shared" si="73"/>
        <v>3235</v>
      </c>
      <c r="Q788" s="46">
        <f t="shared" si="74"/>
        <v>7.3003400000000003</v>
      </c>
      <c r="R788" s="47">
        <f t="shared" si="75"/>
        <v>0.88629999999999998</v>
      </c>
      <c r="S788" s="48">
        <f t="shared" si="76"/>
        <v>443.15</v>
      </c>
      <c r="T788" s="47" t="s">
        <v>349</v>
      </c>
      <c r="U788" s="52" t="s">
        <v>9</v>
      </c>
      <c r="V788" s="38">
        <v>7.1692999999999998</v>
      </c>
      <c r="W788" s="49">
        <f t="shared" si="77"/>
        <v>451.22954821251727</v>
      </c>
    </row>
    <row r="789" spans="1:23" x14ac:dyDescent="0.2">
      <c r="A789" s="52" t="s">
        <v>2085</v>
      </c>
      <c r="B789" s="53">
        <v>45712</v>
      </c>
      <c r="C789" s="53">
        <v>45673</v>
      </c>
      <c r="D789" s="52" t="s">
        <v>268</v>
      </c>
      <c r="E789" s="52" t="s">
        <v>269</v>
      </c>
      <c r="G789" s="52" t="s">
        <v>2168</v>
      </c>
      <c r="H789" s="40" t="s">
        <v>1073</v>
      </c>
      <c r="I789" s="40" t="s">
        <v>1074</v>
      </c>
      <c r="J789" s="43" t="str">
        <f t="shared" si="72"/>
        <v>MISC</v>
      </c>
      <c r="K789" s="52" t="s">
        <v>10</v>
      </c>
      <c r="L789" s="40">
        <v>100</v>
      </c>
      <c r="M789" s="52" t="s">
        <v>136</v>
      </c>
      <c r="N789" s="52" t="s">
        <v>11</v>
      </c>
      <c r="O789" s="54">
        <v>6.64</v>
      </c>
      <c r="P789" s="45">
        <f t="shared" si="73"/>
        <v>664</v>
      </c>
      <c r="Q789" s="46">
        <f t="shared" si="74"/>
        <v>7.3003400000000003</v>
      </c>
      <c r="R789" s="47">
        <f t="shared" si="75"/>
        <v>0.90949999999999998</v>
      </c>
      <c r="S789" s="48">
        <f t="shared" si="76"/>
        <v>90.95</v>
      </c>
      <c r="T789" s="47" t="s">
        <v>349</v>
      </c>
      <c r="U789" s="52" t="s">
        <v>25</v>
      </c>
      <c r="V789" s="38">
        <v>7.1692999999999998</v>
      </c>
      <c r="W789" s="49">
        <f t="shared" si="77"/>
        <v>92.617131379632596</v>
      </c>
    </row>
    <row r="790" spans="1:23" x14ac:dyDescent="0.2">
      <c r="A790" s="52" t="s">
        <v>2086</v>
      </c>
      <c r="B790" s="53">
        <v>45712</v>
      </c>
      <c r="C790" s="53">
        <v>45698</v>
      </c>
      <c r="D790" s="52" t="s">
        <v>268</v>
      </c>
      <c r="E790" s="52" t="s">
        <v>269</v>
      </c>
      <c r="G790" s="52" t="s">
        <v>2168</v>
      </c>
      <c r="H790" s="40" t="s">
        <v>1073</v>
      </c>
      <c r="I790" s="40" t="s">
        <v>1074</v>
      </c>
      <c r="J790" s="43" t="str">
        <f t="shared" si="72"/>
        <v>MISC</v>
      </c>
      <c r="K790" s="52" t="s">
        <v>10</v>
      </c>
      <c r="L790" s="40">
        <v>50</v>
      </c>
      <c r="M790" s="52" t="s">
        <v>136</v>
      </c>
      <c r="N790" s="52" t="s">
        <v>11</v>
      </c>
      <c r="O790" s="54">
        <v>6.64</v>
      </c>
      <c r="P790" s="45">
        <f t="shared" si="73"/>
        <v>332</v>
      </c>
      <c r="Q790" s="46">
        <f t="shared" si="74"/>
        <v>7.3003400000000003</v>
      </c>
      <c r="R790" s="47">
        <f t="shared" si="75"/>
        <v>0.90949999999999998</v>
      </c>
      <c r="S790" s="48">
        <f t="shared" si="76"/>
        <v>45.48</v>
      </c>
      <c r="T790" s="47" t="s">
        <v>349</v>
      </c>
      <c r="U790" s="52" t="s">
        <v>25</v>
      </c>
      <c r="V790" s="38">
        <v>7.1692999999999998</v>
      </c>
      <c r="W790" s="49">
        <f t="shared" si="77"/>
        <v>46.308565689816298</v>
      </c>
    </row>
    <row r="791" spans="1:23" x14ac:dyDescent="0.2">
      <c r="A791" s="52" t="s">
        <v>2087</v>
      </c>
      <c r="B791" s="53">
        <v>45713</v>
      </c>
      <c r="C791" s="53">
        <v>45609</v>
      </c>
      <c r="D791" s="52" t="s">
        <v>149</v>
      </c>
      <c r="E791" s="52" t="s">
        <v>150</v>
      </c>
      <c r="G791" s="52" t="s">
        <v>2181</v>
      </c>
      <c r="H791" s="40" t="s">
        <v>1786</v>
      </c>
      <c r="I791" s="40" t="s">
        <v>1787</v>
      </c>
      <c r="J791" s="43" t="str">
        <f t="shared" si="72"/>
        <v>GLID</v>
      </c>
      <c r="K791" s="52" t="s">
        <v>10</v>
      </c>
      <c r="L791" s="40">
        <v>74</v>
      </c>
      <c r="M791" s="52" t="s">
        <v>1472</v>
      </c>
      <c r="N791" s="52" t="s">
        <v>11</v>
      </c>
      <c r="O791" s="54">
        <v>6.65</v>
      </c>
      <c r="P791" s="45">
        <f t="shared" si="73"/>
        <v>492.1</v>
      </c>
      <c r="Q791" s="46">
        <f t="shared" si="74"/>
        <v>7.3003400000000003</v>
      </c>
      <c r="R791" s="47">
        <f t="shared" si="75"/>
        <v>0.91090000000000004</v>
      </c>
      <c r="S791" s="48">
        <f t="shared" si="76"/>
        <v>67.41</v>
      </c>
      <c r="T791" s="47" t="s">
        <v>349</v>
      </c>
      <c r="U791" s="52" t="s">
        <v>78</v>
      </c>
      <c r="V791" s="38">
        <v>7.1692999999999998</v>
      </c>
      <c r="W791" s="49">
        <f t="shared" si="77"/>
        <v>68.639895108309048</v>
      </c>
    </row>
    <row r="792" spans="1:23" x14ac:dyDescent="0.2">
      <c r="A792" s="52" t="s">
        <v>2087</v>
      </c>
      <c r="B792" s="53">
        <v>45706</v>
      </c>
      <c r="C792" s="53">
        <v>45609</v>
      </c>
      <c r="D792" s="52" t="s">
        <v>149</v>
      </c>
      <c r="E792" s="52" t="s">
        <v>150</v>
      </c>
      <c r="G792" s="52" t="s">
        <v>2218</v>
      </c>
      <c r="H792" s="40" t="s">
        <v>1786</v>
      </c>
      <c r="I792" s="40" t="s">
        <v>1787</v>
      </c>
      <c r="J792" s="43" t="str">
        <f t="shared" si="72"/>
        <v>GLID</v>
      </c>
      <c r="K792" s="52" t="s">
        <v>10</v>
      </c>
      <c r="L792" s="40">
        <v>-74</v>
      </c>
      <c r="M792" s="52" t="s">
        <v>1472</v>
      </c>
      <c r="N792" s="52" t="s">
        <v>11</v>
      </c>
      <c r="O792" s="54">
        <v>6.65</v>
      </c>
      <c r="P792" s="45">
        <f t="shared" si="73"/>
        <v>-492.1</v>
      </c>
      <c r="Q792" s="46">
        <f t="shared" si="74"/>
        <v>7.3003400000000003</v>
      </c>
      <c r="R792" s="47">
        <f t="shared" si="75"/>
        <v>0.91090000000000004</v>
      </c>
      <c r="S792" s="48">
        <f t="shared" si="76"/>
        <v>-67.41</v>
      </c>
      <c r="T792" s="47" t="s">
        <v>349</v>
      </c>
      <c r="U792" s="52" t="s">
        <v>78</v>
      </c>
      <c r="V792" s="38">
        <v>7.1692999999999998</v>
      </c>
      <c r="W792" s="49">
        <f t="shared" si="77"/>
        <v>-68.639895108309048</v>
      </c>
    </row>
    <row r="793" spans="1:23" x14ac:dyDescent="0.2">
      <c r="A793" s="52" t="s">
        <v>876</v>
      </c>
      <c r="B793" s="53">
        <v>45705</v>
      </c>
      <c r="C793" s="53">
        <v>45287</v>
      </c>
      <c r="D793" s="52" t="s">
        <v>866</v>
      </c>
      <c r="E793" s="52" t="s">
        <v>867</v>
      </c>
      <c r="G793" s="52" t="s">
        <v>2213</v>
      </c>
      <c r="H793" s="40" t="s">
        <v>874</v>
      </c>
      <c r="I793" s="40" t="s">
        <v>875</v>
      </c>
      <c r="J793" s="43" t="str">
        <f t="shared" si="72"/>
        <v>ANYD</v>
      </c>
      <c r="K793" s="52" t="s">
        <v>10</v>
      </c>
      <c r="L793" s="40">
        <v>1000</v>
      </c>
      <c r="M793" s="52" t="s">
        <v>1472</v>
      </c>
      <c r="N793" s="52" t="s">
        <v>11</v>
      </c>
      <c r="O793" s="54">
        <v>6.6637000000000004</v>
      </c>
      <c r="P793" s="45">
        <f t="shared" si="73"/>
        <v>6663.7</v>
      </c>
      <c r="Q793" s="46">
        <f t="shared" si="74"/>
        <v>7.3003400000000003</v>
      </c>
      <c r="R793" s="47">
        <f t="shared" si="75"/>
        <v>0.91279999999999994</v>
      </c>
      <c r="S793" s="48">
        <f t="shared" si="76"/>
        <v>912.8</v>
      </c>
      <c r="T793" s="47" t="s">
        <v>349</v>
      </c>
      <c r="U793" s="52" t="s">
        <v>36</v>
      </c>
      <c r="V793" s="38">
        <v>7.1692999999999998</v>
      </c>
      <c r="W793" s="49">
        <f t="shared" si="77"/>
        <v>929.4770758651473</v>
      </c>
    </row>
    <row r="794" spans="1:23" x14ac:dyDescent="0.2">
      <c r="A794" s="52" t="s">
        <v>2088</v>
      </c>
      <c r="B794" s="53">
        <v>45707</v>
      </c>
      <c r="C794" s="53">
        <v>45706</v>
      </c>
      <c r="D794" s="52" t="s">
        <v>5</v>
      </c>
      <c r="E794" s="52" t="s">
        <v>6</v>
      </c>
      <c r="G794" s="52" t="s">
        <v>2205</v>
      </c>
      <c r="H794" s="40" t="s">
        <v>390</v>
      </c>
      <c r="I794" s="40" t="s">
        <v>391</v>
      </c>
      <c r="J794" s="43" t="str">
        <f t="shared" si="72"/>
        <v>BOX-</v>
      </c>
      <c r="K794" s="52" t="s">
        <v>10</v>
      </c>
      <c r="L794" s="40">
        <v>1200</v>
      </c>
      <c r="M794" s="52" t="s">
        <v>1472</v>
      </c>
      <c r="N794" s="52" t="s">
        <v>11</v>
      </c>
      <c r="O794" s="54">
        <v>6.88</v>
      </c>
      <c r="P794" s="45">
        <f t="shared" si="73"/>
        <v>8256</v>
      </c>
      <c r="Q794" s="46">
        <f t="shared" si="74"/>
        <v>7.3003400000000003</v>
      </c>
      <c r="R794" s="47">
        <f t="shared" si="75"/>
        <v>0.94240000000000002</v>
      </c>
      <c r="S794" s="48">
        <f t="shared" si="76"/>
        <v>1130.8800000000001</v>
      </c>
      <c r="T794" s="47" t="s">
        <v>349</v>
      </c>
      <c r="U794" s="52" t="s">
        <v>1</v>
      </c>
      <c r="V794" s="38">
        <v>7.1692999999999998</v>
      </c>
      <c r="W794" s="49">
        <f t="shared" si="77"/>
        <v>1151.5768624551908</v>
      </c>
    </row>
    <row r="795" spans="1:23" x14ac:dyDescent="0.2">
      <c r="A795" s="52" t="s">
        <v>2089</v>
      </c>
      <c r="B795" s="53">
        <v>45707</v>
      </c>
      <c r="C795" s="53">
        <v>45706</v>
      </c>
      <c r="D795" s="52" t="s">
        <v>5</v>
      </c>
      <c r="E795" s="52" t="s">
        <v>6</v>
      </c>
      <c r="G795" s="52" t="s">
        <v>2205</v>
      </c>
      <c r="H795" s="40" t="s">
        <v>424</v>
      </c>
      <c r="I795" s="40" t="s">
        <v>425</v>
      </c>
      <c r="J795" s="43" t="str">
        <f t="shared" si="72"/>
        <v>BOX-</v>
      </c>
      <c r="K795" s="52" t="s">
        <v>10</v>
      </c>
      <c r="L795" s="40">
        <v>2020</v>
      </c>
      <c r="M795" s="52" t="s">
        <v>1472</v>
      </c>
      <c r="N795" s="52" t="s">
        <v>11</v>
      </c>
      <c r="O795" s="54">
        <v>7.13</v>
      </c>
      <c r="P795" s="45">
        <f t="shared" si="73"/>
        <v>14402.6</v>
      </c>
      <c r="Q795" s="46">
        <f t="shared" si="74"/>
        <v>7.3003400000000003</v>
      </c>
      <c r="R795" s="47">
        <f t="shared" si="75"/>
        <v>0.97670000000000001</v>
      </c>
      <c r="S795" s="48">
        <f t="shared" si="76"/>
        <v>1972.93</v>
      </c>
      <c r="T795" s="47" t="s">
        <v>349</v>
      </c>
      <c r="U795" s="52" t="s">
        <v>1</v>
      </c>
      <c r="V795" s="38">
        <v>7.1692999999999998</v>
      </c>
      <c r="W795" s="49">
        <f t="shared" si="77"/>
        <v>2008.9269524221334</v>
      </c>
    </row>
    <row r="796" spans="1:23" x14ac:dyDescent="0.2">
      <c r="A796" s="52" t="s">
        <v>2090</v>
      </c>
      <c r="B796" s="53">
        <v>45701</v>
      </c>
      <c r="C796" s="53">
        <v>45630</v>
      </c>
      <c r="D796" s="52" t="s">
        <v>252</v>
      </c>
      <c r="E796" s="52" t="s">
        <v>253</v>
      </c>
      <c r="G796" s="52" t="s">
        <v>2219</v>
      </c>
      <c r="H796" s="40" t="s">
        <v>1788</v>
      </c>
      <c r="I796" s="40" t="s">
        <v>1789</v>
      </c>
      <c r="J796" s="43" t="str">
        <f t="shared" si="72"/>
        <v>MISC</v>
      </c>
      <c r="K796" s="52" t="s">
        <v>10</v>
      </c>
      <c r="L796" s="40">
        <v>11350</v>
      </c>
      <c r="M796" s="52" t="s">
        <v>1472</v>
      </c>
      <c r="N796" s="52" t="s">
        <v>11</v>
      </c>
      <c r="O796" s="54">
        <v>7.2556000000000003</v>
      </c>
      <c r="P796" s="45">
        <f t="shared" si="73"/>
        <v>82351.06</v>
      </c>
      <c r="Q796" s="46">
        <f t="shared" si="74"/>
        <v>7.3003400000000003</v>
      </c>
      <c r="R796" s="47">
        <f t="shared" si="75"/>
        <v>0.99390000000000001</v>
      </c>
      <c r="S796" s="48">
        <f t="shared" si="76"/>
        <v>11280.77</v>
      </c>
      <c r="T796" s="47" t="s">
        <v>349</v>
      </c>
      <c r="U796" s="52" t="s">
        <v>25</v>
      </c>
      <c r="V796" s="38">
        <v>7.1692999999999998</v>
      </c>
      <c r="W796" s="49">
        <f t="shared" si="77"/>
        <v>11486.624914566277</v>
      </c>
    </row>
    <row r="797" spans="1:23" x14ac:dyDescent="0.2">
      <c r="A797" s="52" t="s">
        <v>2091</v>
      </c>
      <c r="B797" s="53">
        <v>45709</v>
      </c>
      <c r="C797" s="53">
        <v>45646</v>
      </c>
      <c r="D797" s="52" t="s">
        <v>252</v>
      </c>
      <c r="E797" s="52" t="s">
        <v>253</v>
      </c>
      <c r="G797" s="52" t="s">
        <v>2169</v>
      </c>
      <c r="H797" s="40" t="s">
        <v>1788</v>
      </c>
      <c r="I797" s="40" t="s">
        <v>1789</v>
      </c>
      <c r="J797" s="43" t="str">
        <f t="shared" si="72"/>
        <v>MISC</v>
      </c>
      <c r="K797" s="52" t="s">
        <v>10</v>
      </c>
      <c r="L797" s="40">
        <v>6030</v>
      </c>
      <c r="M797" s="52" t="s">
        <v>1472</v>
      </c>
      <c r="N797" s="52" t="s">
        <v>11</v>
      </c>
      <c r="O797" s="54">
        <v>7.2556000000000003</v>
      </c>
      <c r="P797" s="45">
        <f t="shared" si="73"/>
        <v>43751.27</v>
      </c>
      <c r="Q797" s="46">
        <f t="shared" si="74"/>
        <v>7.3003400000000003</v>
      </c>
      <c r="R797" s="47">
        <f t="shared" si="75"/>
        <v>0.99390000000000001</v>
      </c>
      <c r="S797" s="48">
        <f t="shared" si="76"/>
        <v>5993.22</v>
      </c>
      <c r="T797" s="47" t="s">
        <v>349</v>
      </c>
      <c r="U797" s="52" t="s">
        <v>25</v>
      </c>
      <c r="V797" s="38">
        <v>7.1692999999999998</v>
      </c>
      <c r="W797" s="49">
        <f t="shared" si="77"/>
        <v>6102.5857475625244</v>
      </c>
    </row>
    <row r="798" spans="1:23" x14ac:dyDescent="0.2">
      <c r="A798" s="52" t="s">
        <v>2092</v>
      </c>
      <c r="B798" s="53">
        <v>45713</v>
      </c>
      <c r="C798" s="53">
        <v>45576</v>
      </c>
      <c r="D798" s="52" t="s">
        <v>121</v>
      </c>
      <c r="E798" s="52" t="s">
        <v>122</v>
      </c>
      <c r="G798" s="52" t="s">
        <v>2195</v>
      </c>
      <c r="H798" s="40" t="s">
        <v>1790</v>
      </c>
      <c r="I798" s="40" t="s">
        <v>1791</v>
      </c>
      <c r="J798" s="43" t="str">
        <f t="shared" si="72"/>
        <v>LHDL</v>
      </c>
      <c r="K798" s="52" t="s">
        <v>10</v>
      </c>
      <c r="L798" s="40">
        <v>1520</v>
      </c>
      <c r="M798" s="52" t="s">
        <v>1472</v>
      </c>
      <c r="N798" s="52" t="s">
        <v>11</v>
      </c>
      <c r="O798" s="54">
        <v>7.3506999999999998</v>
      </c>
      <c r="P798" s="45">
        <f t="shared" si="73"/>
        <v>11173.06</v>
      </c>
      <c r="Q798" s="46">
        <f t="shared" si="74"/>
        <v>7.3003400000000003</v>
      </c>
      <c r="R798" s="47">
        <f t="shared" si="75"/>
        <v>1.0068999999999999</v>
      </c>
      <c r="S798" s="48">
        <f t="shared" si="76"/>
        <v>1530.49</v>
      </c>
      <c r="T798" s="47" t="s">
        <v>349</v>
      </c>
      <c r="U798" s="52" t="s">
        <v>125</v>
      </c>
      <c r="V798" s="38">
        <v>7.1692999999999998</v>
      </c>
      <c r="W798" s="49">
        <f t="shared" si="77"/>
        <v>1558.4595427726556</v>
      </c>
    </row>
    <row r="799" spans="1:23" x14ac:dyDescent="0.2">
      <c r="A799" s="52" t="s">
        <v>2093</v>
      </c>
      <c r="B799" s="53">
        <v>45713</v>
      </c>
      <c r="C799" s="53">
        <v>45576</v>
      </c>
      <c r="D799" s="52" t="s">
        <v>121</v>
      </c>
      <c r="E799" s="52" t="s">
        <v>122</v>
      </c>
      <c r="G799" s="52" t="s">
        <v>2195</v>
      </c>
      <c r="H799" s="40" t="s">
        <v>1792</v>
      </c>
      <c r="I799" s="40" t="s">
        <v>1793</v>
      </c>
      <c r="J799" s="43" t="str">
        <f t="shared" si="72"/>
        <v>LHDL</v>
      </c>
      <c r="K799" s="52" t="s">
        <v>10</v>
      </c>
      <c r="L799" s="40">
        <v>1420</v>
      </c>
      <c r="M799" s="52" t="s">
        <v>1472</v>
      </c>
      <c r="N799" s="52" t="s">
        <v>11</v>
      </c>
      <c r="O799" s="54">
        <v>7.3506999999999998</v>
      </c>
      <c r="P799" s="45">
        <f t="shared" si="73"/>
        <v>10437.99</v>
      </c>
      <c r="Q799" s="46">
        <f t="shared" si="74"/>
        <v>7.3003400000000003</v>
      </c>
      <c r="R799" s="47">
        <f t="shared" si="75"/>
        <v>1.0068999999999999</v>
      </c>
      <c r="S799" s="48">
        <f t="shared" si="76"/>
        <v>1429.8</v>
      </c>
      <c r="T799" s="47" t="s">
        <v>349</v>
      </c>
      <c r="U799" s="52" t="s">
        <v>125</v>
      </c>
      <c r="V799" s="38">
        <v>7.1692999999999998</v>
      </c>
      <c r="W799" s="49">
        <f t="shared" si="77"/>
        <v>1455.9293096955071</v>
      </c>
    </row>
    <row r="800" spans="1:23" x14ac:dyDescent="0.2">
      <c r="A800" s="52" t="s">
        <v>2094</v>
      </c>
      <c r="B800" s="53">
        <v>45715</v>
      </c>
      <c r="C800" s="53">
        <v>45639</v>
      </c>
      <c r="D800" s="52" t="s">
        <v>149</v>
      </c>
      <c r="E800" s="52" t="s">
        <v>150</v>
      </c>
      <c r="G800" s="52" t="s">
        <v>2220</v>
      </c>
      <c r="H800" s="40" t="s">
        <v>345</v>
      </c>
      <c r="I800" s="40" t="s">
        <v>346</v>
      </c>
      <c r="J800" s="43" t="str">
        <f t="shared" si="72"/>
        <v>SKU-</v>
      </c>
      <c r="K800" s="52" t="s">
        <v>98</v>
      </c>
      <c r="L800" s="40">
        <v>2980</v>
      </c>
      <c r="M800" s="52" t="s">
        <v>1472</v>
      </c>
      <c r="N800" s="52" t="s">
        <v>11</v>
      </c>
      <c r="O800" s="54">
        <v>7.4157999999999999</v>
      </c>
      <c r="P800" s="45">
        <f t="shared" si="73"/>
        <v>22099.08</v>
      </c>
      <c r="Q800" s="46">
        <f t="shared" si="74"/>
        <v>7.3003400000000003</v>
      </c>
      <c r="R800" s="47">
        <f t="shared" si="75"/>
        <v>1.0158</v>
      </c>
      <c r="S800" s="48">
        <f t="shared" si="76"/>
        <v>3027.08</v>
      </c>
      <c r="T800" s="47" t="s">
        <v>349</v>
      </c>
      <c r="U800" s="52" t="s">
        <v>2</v>
      </c>
      <c r="V800" s="38">
        <v>7.1692999999999998</v>
      </c>
      <c r="W800" s="49">
        <f t="shared" si="77"/>
        <v>3082.4604912613504</v>
      </c>
    </row>
    <row r="801" spans="1:23" x14ac:dyDescent="0.2">
      <c r="A801" s="52" t="s">
        <v>2094</v>
      </c>
      <c r="B801" s="53">
        <v>45713</v>
      </c>
      <c r="C801" s="53">
        <v>45639</v>
      </c>
      <c r="D801" s="52" t="s">
        <v>149</v>
      </c>
      <c r="E801" s="52" t="s">
        <v>150</v>
      </c>
      <c r="G801" s="52" t="s">
        <v>2221</v>
      </c>
      <c r="H801" s="40" t="s">
        <v>345</v>
      </c>
      <c r="I801" s="40" t="s">
        <v>346</v>
      </c>
      <c r="J801" s="43" t="str">
        <f t="shared" si="72"/>
        <v>SKU-</v>
      </c>
      <c r="K801" s="52" t="s">
        <v>98</v>
      </c>
      <c r="L801" s="40">
        <v>4020</v>
      </c>
      <c r="M801" s="52" t="s">
        <v>1472</v>
      </c>
      <c r="N801" s="52" t="s">
        <v>11</v>
      </c>
      <c r="O801" s="54">
        <v>7.4157999999999999</v>
      </c>
      <c r="P801" s="45">
        <f t="shared" si="73"/>
        <v>29811.52</v>
      </c>
      <c r="Q801" s="46">
        <f t="shared" si="74"/>
        <v>7.3003400000000003</v>
      </c>
      <c r="R801" s="47">
        <f t="shared" si="75"/>
        <v>1.0158</v>
      </c>
      <c r="S801" s="48">
        <f t="shared" si="76"/>
        <v>4083.52</v>
      </c>
      <c r="T801" s="47" t="s">
        <v>349</v>
      </c>
      <c r="U801" s="52" t="s">
        <v>2</v>
      </c>
      <c r="V801" s="38">
        <v>7.1692999999999998</v>
      </c>
      <c r="W801" s="49">
        <f t="shared" si="77"/>
        <v>4158.2185150572577</v>
      </c>
    </row>
    <row r="802" spans="1:23" x14ac:dyDescent="0.2">
      <c r="A802" s="52" t="s">
        <v>2095</v>
      </c>
      <c r="B802" s="53">
        <v>45713</v>
      </c>
      <c r="C802" s="53">
        <v>45644</v>
      </c>
      <c r="D802" s="52" t="s">
        <v>149</v>
      </c>
      <c r="E802" s="52" t="s">
        <v>150</v>
      </c>
      <c r="G802" s="52" t="s">
        <v>2221</v>
      </c>
      <c r="H802" s="40" t="s">
        <v>345</v>
      </c>
      <c r="I802" s="40" t="s">
        <v>346</v>
      </c>
      <c r="J802" s="43" t="str">
        <f t="shared" si="72"/>
        <v>SKU-</v>
      </c>
      <c r="K802" s="52" t="s">
        <v>98</v>
      </c>
      <c r="L802" s="40">
        <v>1740</v>
      </c>
      <c r="M802" s="52" t="s">
        <v>1472</v>
      </c>
      <c r="N802" s="52" t="s">
        <v>11</v>
      </c>
      <c r="O802" s="54">
        <v>7.4157999999999999</v>
      </c>
      <c r="P802" s="45">
        <f t="shared" si="73"/>
        <v>12903.49</v>
      </c>
      <c r="Q802" s="46">
        <f t="shared" si="74"/>
        <v>7.3003400000000003</v>
      </c>
      <c r="R802" s="47">
        <f t="shared" si="75"/>
        <v>1.0158</v>
      </c>
      <c r="S802" s="48">
        <f t="shared" si="76"/>
        <v>1767.49</v>
      </c>
      <c r="T802" s="47" t="s">
        <v>349</v>
      </c>
      <c r="U802" s="52" t="s">
        <v>2</v>
      </c>
      <c r="V802" s="38">
        <v>7.1692999999999998</v>
      </c>
      <c r="W802" s="49">
        <f t="shared" si="77"/>
        <v>1799.8259244277683</v>
      </c>
    </row>
    <row r="803" spans="1:23" x14ac:dyDescent="0.2">
      <c r="A803" s="52" t="s">
        <v>2095</v>
      </c>
      <c r="B803" s="53">
        <v>45708</v>
      </c>
      <c r="C803" s="53">
        <v>45644</v>
      </c>
      <c r="D803" s="52" t="s">
        <v>149</v>
      </c>
      <c r="E803" s="52" t="s">
        <v>150</v>
      </c>
      <c r="G803" s="52" t="s">
        <v>2222</v>
      </c>
      <c r="H803" s="40" t="s">
        <v>345</v>
      </c>
      <c r="I803" s="40" t="s">
        <v>346</v>
      </c>
      <c r="J803" s="43" t="str">
        <f t="shared" si="72"/>
        <v>SKU-</v>
      </c>
      <c r="K803" s="52" t="s">
        <v>98</v>
      </c>
      <c r="L803" s="40">
        <v>1460</v>
      </c>
      <c r="M803" s="52" t="s">
        <v>1472</v>
      </c>
      <c r="N803" s="52" t="s">
        <v>11</v>
      </c>
      <c r="O803" s="54">
        <v>7.4157999999999999</v>
      </c>
      <c r="P803" s="45">
        <f t="shared" si="73"/>
        <v>10827.07</v>
      </c>
      <c r="Q803" s="46">
        <f t="shared" si="74"/>
        <v>7.3003400000000003</v>
      </c>
      <c r="R803" s="47">
        <f t="shared" si="75"/>
        <v>1.0158</v>
      </c>
      <c r="S803" s="48">
        <f t="shared" si="76"/>
        <v>1483.07</v>
      </c>
      <c r="T803" s="47" t="s">
        <v>349</v>
      </c>
      <c r="U803" s="52" t="s">
        <v>2</v>
      </c>
      <c r="V803" s="38">
        <v>7.1692999999999998</v>
      </c>
      <c r="W803" s="49">
        <f t="shared" si="77"/>
        <v>1510.1987641750241</v>
      </c>
    </row>
    <row r="804" spans="1:23" x14ac:dyDescent="0.2">
      <c r="A804" s="52" t="s">
        <v>2096</v>
      </c>
      <c r="B804" s="53">
        <v>45713</v>
      </c>
      <c r="C804" s="53">
        <v>45576</v>
      </c>
      <c r="D804" s="52" t="s">
        <v>121</v>
      </c>
      <c r="E804" s="52" t="s">
        <v>122</v>
      </c>
      <c r="G804" s="52" t="s">
        <v>2195</v>
      </c>
      <c r="H804" s="40" t="s">
        <v>1794</v>
      </c>
      <c r="I804" s="40" t="s">
        <v>1795</v>
      </c>
      <c r="J804" s="43" t="str">
        <f t="shared" si="72"/>
        <v>LHDL</v>
      </c>
      <c r="K804" s="52" t="s">
        <v>10</v>
      </c>
      <c r="L804" s="40">
        <v>1010</v>
      </c>
      <c r="M804" s="52" t="s">
        <v>1472</v>
      </c>
      <c r="N804" s="52" t="s">
        <v>11</v>
      </c>
      <c r="O804" s="54">
        <v>7.4212999999999996</v>
      </c>
      <c r="P804" s="45">
        <f t="shared" si="73"/>
        <v>7495.51</v>
      </c>
      <c r="Q804" s="46">
        <f t="shared" si="74"/>
        <v>7.3003400000000003</v>
      </c>
      <c r="R804" s="47">
        <f t="shared" si="75"/>
        <v>1.0165999999999999</v>
      </c>
      <c r="S804" s="48">
        <f t="shared" si="76"/>
        <v>1026.77</v>
      </c>
      <c r="T804" s="47" t="s">
        <v>349</v>
      </c>
      <c r="U804" s="52" t="s">
        <v>125</v>
      </c>
      <c r="V804" s="38">
        <v>7.1692999999999998</v>
      </c>
      <c r="W804" s="49">
        <f t="shared" si="77"/>
        <v>1045.5013739137712</v>
      </c>
    </row>
    <row r="805" spans="1:23" x14ac:dyDescent="0.2">
      <c r="A805" s="52" t="s">
        <v>2097</v>
      </c>
      <c r="B805" s="53">
        <v>45707</v>
      </c>
      <c r="C805" s="53">
        <v>45670</v>
      </c>
      <c r="D805" s="52" t="s">
        <v>2255</v>
      </c>
      <c r="E805" s="52" t="s">
        <v>2256</v>
      </c>
      <c r="G805" s="52" t="s">
        <v>2223</v>
      </c>
      <c r="H805" s="40" t="s">
        <v>1796</v>
      </c>
      <c r="I805" s="40" t="s">
        <v>1797</v>
      </c>
      <c r="J805" s="43" t="str">
        <f t="shared" si="72"/>
        <v>GLID</v>
      </c>
      <c r="K805" s="52" t="s">
        <v>10</v>
      </c>
      <c r="L805" s="40">
        <v>310</v>
      </c>
      <c r="M805" s="52" t="s">
        <v>1472</v>
      </c>
      <c r="N805" s="52" t="s">
        <v>11</v>
      </c>
      <c r="O805" s="54">
        <v>7.4503000000000004</v>
      </c>
      <c r="P805" s="45">
        <f t="shared" si="73"/>
        <v>2309.59</v>
      </c>
      <c r="Q805" s="46">
        <f t="shared" si="74"/>
        <v>7.3003400000000003</v>
      </c>
      <c r="R805" s="47">
        <f t="shared" si="75"/>
        <v>1.0205</v>
      </c>
      <c r="S805" s="48">
        <f t="shared" si="76"/>
        <v>316.36</v>
      </c>
      <c r="T805" s="47" t="s">
        <v>349</v>
      </c>
      <c r="U805" s="52" t="s">
        <v>78</v>
      </c>
      <c r="V805" s="38">
        <v>7.1692999999999998</v>
      </c>
      <c r="W805" s="49">
        <f t="shared" si="77"/>
        <v>322.15041914831295</v>
      </c>
    </row>
    <row r="806" spans="1:23" x14ac:dyDescent="0.2">
      <c r="A806" s="52" t="s">
        <v>2098</v>
      </c>
      <c r="B806" s="53">
        <v>45714</v>
      </c>
      <c r="C806" s="53">
        <v>45713</v>
      </c>
      <c r="D806" s="52" t="s">
        <v>2257</v>
      </c>
      <c r="E806" s="52" t="s">
        <v>2258</v>
      </c>
      <c r="G806" s="52" t="s">
        <v>2224</v>
      </c>
      <c r="H806" s="40" t="s">
        <v>1798</v>
      </c>
      <c r="I806" s="40" t="s">
        <v>1799</v>
      </c>
      <c r="J806" s="43" t="str">
        <f t="shared" si="72"/>
        <v>HDL-</v>
      </c>
      <c r="K806" s="52" t="s">
        <v>10</v>
      </c>
      <c r="L806" s="40">
        <v>2700</v>
      </c>
      <c r="M806" s="52" t="s">
        <v>1472</v>
      </c>
      <c r="N806" s="52" t="s">
        <v>11</v>
      </c>
      <c r="O806" s="54">
        <v>7.4931000000000001</v>
      </c>
      <c r="P806" s="45">
        <f t="shared" si="73"/>
        <v>20231.37</v>
      </c>
      <c r="Q806" s="46">
        <f t="shared" si="74"/>
        <v>7.3003400000000003</v>
      </c>
      <c r="R806" s="47">
        <f t="shared" si="75"/>
        <v>1.0264</v>
      </c>
      <c r="S806" s="48">
        <f t="shared" si="76"/>
        <v>2771.28</v>
      </c>
      <c r="T806" s="47" t="s">
        <v>349</v>
      </c>
      <c r="U806" s="52" t="s">
        <v>228</v>
      </c>
      <c r="V806" s="38">
        <v>7.1692999999999998</v>
      </c>
      <c r="W806" s="49">
        <f t="shared" si="77"/>
        <v>2821.9449597589723</v>
      </c>
    </row>
    <row r="807" spans="1:23" x14ac:dyDescent="0.2">
      <c r="A807" s="52" t="s">
        <v>2099</v>
      </c>
      <c r="B807" s="53">
        <v>45714</v>
      </c>
      <c r="C807" s="53">
        <v>45713</v>
      </c>
      <c r="D807" s="52" t="s">
        <v>2257</v>
      </c>
      <c r="E807" s="52" t="s">
        <v>2258</v>
      </c>
      <c r="G807" s="52" t="s">
        <v>2224</v>
      </c>
      <c r="H807" s="40" t="s">
        <v>1798</v>
      </c>
      <c r="I807" s="40" t="s">
        <v>1799</v>
      </c>
      <c r="J807" s="43" t="str">
        <f t="shared" si="72"/>
        <v>HDL-</v>
      </c>
      <c r="K807" s="52" t="s">
        <v>10</v>
      </c>
      <c r="L807" s="40">
        <v>2200</v>
      </c>
      <c r="M807" s="52" t="s">
        <v>1472</v>
      </c>
      <c r="N807" s="52" t="s">
        <v>11</v>
      </c>
      <c r="O807" s="54">
        <v>7.4931000000000001</v>
      </c>
      <c r="P807" s="45">
        <f t="shared" si="73"/>
        <v>16484.82</v>
      </c>
      <c r="Q807" s="46">
        <f t="shared" si="74"/>
        <v>7.3003400000000003</v>
      </c>
      <c r="R807" s="47">
        <f t="shared" si="75"/>
        <v>1.0264</v>
      </c>
      <c r="S807" s="48">
        <f t="shared" si="76"/>
        <v>2258.08</v>
      </c>
      <c r="T807" s="47" t="s">
        <v>349</v>
      </c>
      <c r="U807" s="52" t="s">
        <v>228</v>
      </c>
      <c r="V807" s="38">
        <v>7.1692999999999998</v>
      </c>
      <c r="W807" s="49">
        <f t="shared" si="77"/>
        <v>2299.3625598036069</v>
      </c>
    </row>
    <row r="808" spans="1:23" x14ac:dyDescent="0.2">
      <c r="A808" s="52" t="s">
        <v>2100</v>
      </c>
      <c r="B808" s="53">
        <v>45714</v>
      </c>
      <c r="C808" s="53">
        <v>45713</v>
      </c>
      <c r="D808" s="52" t="s">
        <v>2257</v>
      </c>
      <c r="E808" s="52" t="s">
        <v>2258</v>
      </c>
      <c r="G808" s="52" t="s">
        <v>2224</v>
      </c>
      <c r="H808" s="40" t="s">
        <v>1800</v>
      </c>
      <c r="I808" s="40" t="s">
        <v>1801</v>
      </c>
      <c r="J808" s="43" t="str">
        <f t="shared" si="72"/>
        <v>HDL-</v>
      </c>
      <c r="K808" s="52" t="s">
        <v>10</v>
      </c>
      <c r="L808" s="40">
        <v>200</v>
      </c>
      <c r="M808" s="52" t="s">
        <v>1472</v>
      </c>
      <c r="N808" s="52" t="s">
        <v>11</v>
      </c>
      <c r="O808" s="54">
        <v>7.4931000000000001</v>
      </c>
      <c r="P808" s="45">
        <f t="shared" si="73"/>
        <v>1498.62</v>
      </c>
      <c r="Q808" s="46">
        <f t="shared" si="74"/>
        <v>7.3003400000000003</v>
      </c>
      <c r="R808" s="47">
        <f t="shared" si="75"/>
        <v>1.0264</v>
      </c>
      <c r="S808" s="48">
        <f t="shared" si="76"/>
        <v>205.28</v>
      </c>
      <c r="T808" s="47" t="s">
        <v>349</v>
      </c>
      <c r="U808" s="52" t="s">
        <v>228</v>
      </c>
      <c r="V808" s="38">
        <v>7.1692999999999998</v>
      </c>
      <c r="W808" s="49">
        <f t="shared" si="77"/>
        <v>209.03295998214611</v>
      </c>
    </row>
    <row r="809" spans="1:23" x14ac:dyDescent="0.2">
      <c r="A809" s="52" t="s">
        <v>2101</v>
      </c>
      <c r="B809" s="53">
        <v>45714</v>
      </c>
      <c r="C809" s="53">
        <v>45713</v>
      </c>
      <c r="D809" s="52" t="s">
        <v>2257</v>
      </c>
      <c r="E809" s="52" t="s">
        <v>2258</v>
      </c>
      <c r="G809" s="52" t="s">
        <v>2225</v>
      </c>
      <c r="H809" s="40" t="s">
        <v>1800</v>
      </c>
      <c r="I809" s="40" t="s">
        <v>1801</v>
      </c>
      <c r="J809" s="43" t="str">
        <f t="shared" si="72"/>
        <v>HDL-</v>
      </c>
      <c r="K809" s="52" t="s">
        <v>10</v>
      </c>
      <c r="L809" s="40">
        <v>3100</v>
      </c>
      <c r="M809" s="52" t="s">
        <v>1472</v>
      </c>
      <c r="N809" s="52" t="s">
        <v>11</v>
      </c>
      <c r="O809" s="54">
        <v>7.4931000000000001</v>
      </c>
      <c r="P809" s="45">
        <f t="shared" si="73"/>
        <v>23228.61</v>
      </c>
      <c r="Q809" s="46">
        <f t="shared" si="74"/>
        <v>7.3003400000000003</v>
      </c>
      <c r="R809" s="47">
        <f t="shared" si="75"/>
        <v>1.0264</v>
      </c>
      <c r="S809" s="48">
        <f t="shared" si="76"/>
        <v>3181.84</v>
      </c>
      <c r="T809" s="47" t="s">
        <v>349</v>
      </c>
      <c r="U809" s="52" t="s">
        <v>228</v>
      </c>
      <c r="V809" s="38">
        <v>7.1692999999999998</v>
      </c>
      <c r="W809" s="49">
        <f t="shared" si="77"/>
        <v>3240.0108797232647</v>
      </c>
    </row>
    <row r="810" spans="1:23" x14ac:dyDescent="0.2">
      <c r="A810" s="52" t="s">
        <v>2102</v>
      </c>
      <c r="B810" s="53">
        <v>45714</v>
      </c>
      <c r="C810" s="53">
        <v>45713</v>
      </c>
      <c r="D810" s="52" t="s">
        <v>2257</v>
      </c>
      <c r="E810" s="52" t="s">
        <v>2258</v>
      </c>
      <c r="G810" s="52" t="s">
        <v>2225</v>
      </c>
      <c r="H810" s="40" t="s">
        <v>1800</v>
      </c>
      <c r="I810" s="40" t="s">
        <v>1801</v>
      </c>
      <c r="J810" s="43" t="str">
        <f t="shared" si="72"/>
        <v>HDL-</v>
      </c>
      <c r="K810" s="52" t="s">
        <v>10</v>
      </c>
      <c r="L810" s="40">
        <v>2200</v>
      </c>
      <c r="M810" s="52" t="s">
        <v>1472</v>
      </c>
      <c r="N810" s="52" t="s">
        <v>11</v>
      </c>
      <c r="O810" s="54">
        <v>7.4931000000000001</v>
      </c>
      <c r="P810" s="45">
        <f t="shared" si="73"/>
        <v>16484.82</v>
      </c>
      <c r="Q810" s="46">
        <f t="shared" si="74"/>
        <v>7.3003400000000003</v>
      </c>
      <c r="R810" s="47">
        <f t="shared" si="75"/>
        <v>1.0264</v>
      </c>
      <c r="S810" s="48">
        <f t="shared" si="76"/>
        <v>2258.08</v>
      </c>
      <c r="T810" s="47" t="s">
        <v>349</v>
      </c>
      <c r="U810" s="52" t="s">
        <v>228</v>
      </c>
      <c r="V810" s="38">
        <v>7.1692999999999998</v>
      </c>
      <c r="W810" s="49">
        <f t="shared" si="77"/>
        <v>2299.3625598036069</v>
      </c>
    </row>
    <row r="811" spans="1:23" x14ac:dyDescent="0.2">
      <c r="A811" s="52" t="s">
        <v>2103</v>
      </c>
      <c r="B811" s="53">
        <v>45714</v>
      </c>
      <c r="C811" s="53">
        <v>45713</v>
      </c>
      <c r="D811" s="52" t="s">
        <v>2257</v>
      </c>
      <c r="E811" s="52" t="s">
        <v>2258</v>
      </c>
      <c r="G811" s="52" t="s">
        <v>2225</v>
      </c>
      <c r="H811" s="40" t="s">
        <v>1802</v>
      </c>
      <c r="I811" s="40" t="s">
        <v>1803</v>
      </c>
      <c r="J811" s="43" t="str">
        <f t="shared" si="72"/>
        <v>HDL-</v>
      </c>
      <c r="K811" s="52" t="s">
        <v>10</v>
      </c>
      <c r="L811" s="40">
        <v>2600</v>
      </c>
      <c r="M811" s="52" t="s">
        <v>1472</v>
      </c>
      <c r="N811" s="52" t="s">
        <v>11</v>
      </c>
      <c r="O811" s="54">
        <v>7.4931000000000001</v>
      </c>
      <c r="P811" s="45">
        <f t="shared" si="73"/>
        <v>19482.060000000001</v>
      </c>
      <c r="Q811" s="46">
        <f t="shared" si="74"/>
        <v>7.3003400000000003</v>
      </c>
      <c r="R811" s="47">
        <f t="shared" si="75"/>
        <v>1.0264</v>
      </c>
      <c r="S811" s="48">
        <f t="shared" si="76"/>
        <v>2668.64</v>
      </c>
      <c r="T811" s="47" t="s">
        <v>349</v>
      </c>
      <c r="U811" s="52" t="s">
        <v>228</v>
      </c>
      <c r="V811" s="38">
        <v>7.1692999999999998</v>
      </c>
      <c r="W811" s="49">
        <f t="shared" si="77"/>
        <v>2717.4284797678993</v>
      </c>
    </row>
    <row r="812" spans="1:23" x14ac:dyDescent="0.2">
      <c r="A812" s="52" t="s">
        <v>2104</v>
      </c>
      <c r="B812" s="53">
        <v>45714</v>
      </c>
      <c r="C812" s="53">
        <v>45713</v>
      </c>
      <c r="D812" s="52" t="s">
        <v>2257</v>
      </c>
      <c r="E812" s="52" t="s">
        <v>2258</v>
      </c>
      <c r="G812" s="52" t="s">
        <v>2225</v>
      </c>
      <c r="H812" s="40" t="s">
        <v>1802</v>
      </c>
      <c r="I812" s="40" t="s">
        <v>1803</v>
      </c>
      <c r="J812" s="43" t="str">
        <f t="shared" si="72"/>
        <v>HDL-</v>
      </c>
      <c r="K812" s="52" t="s">
        <v>10</v>
      </c>
      <c r="L812" s="40">
        <v>2600</v>
      </c>
      <c r="M812" s="52" t="s">
        <v>1472</v>
      </c>
      <c r="N812" s="52" t="s">
        <v>11</v>
      </c>
      <c r="O812" s="54">
        <v>7.4931000000000001</v>
      </c>
      <c r="P812" s="45">
        <f t="shared" si="73"/>
        <v>19482.060000000001</v>
      </c>
      <c r="Q812" s="46">
        <f t="shared" si="74"/>
        <v>7.3003400000000003</v>
      </c>
      <c r="R812" s="47">
        <f t="shared" si="75"/>
        <v>1.0264</v>
      </c>
      <c r="S812" s="48">
        <f t="shared" si="76"/>
        <v>2668.64</v>
      </c>
      <c r="T812" s="47" t="s">
        <v>349</v>
      </c>
      <c r="U812" s="52" t="s">
        <v>228</v>
      </c>
      <c r="V812" s="38">
        <v>7.1692999999999998</v>
      </c>
      <c r="W812" s="49">
        <f t="shared" si="77"/>
        <v>2717.4284797678993</v>
      </c>
    </row>
    <row r="813" spans="1:23" x14ac:dyDescent="0.2">
      <c r="A813" s="52" t="s">
        <v>2105</v>
      </c>
      <c r="B813" s="53">
        <v>45714</v>
      </c>
      <c r="C813" s="53">
        <v>45713</v>
      </c>
      <c r="D813" s="52" t="s">
        <v>2257</v>
      </c>
      <c r="E813" s="52" t="s">
        <v>2258</v>
      </c>
      <c r="G813" s="52" t="s">
        <v>2225</v>
      </c>
      <c r="H813" s="40" t="s">
        <v>1802</v>
      </c>
      <c r="I813" s="40" t="s">
        <v>1803</v>
      </c>
      <c r="J813" s="43" t="str">
        <f t="shared" si="72"/>
        <v>HDL-</v>
      </c>
      <c r="K813" s="52" t="s">
        <v>10</v>
      </c>
      <c r="L813" s="40">
        <v>1400</v>
      </c>
      <c r="M813" s="52" t="s">
        <v>1472</v>
      </c>
      <c r="N813" s="52" t="s">
        <v>11</v>
      </c>
      <c r="O813" s="54">
        <v>7.4931000000000001</v>
      </c>
      <c r="P813" s="45">
        <f t="shared" si="73"/>
        <v>10490.34</v>
      </c>
      <c r="Q813" s="46">
        <f t="shared" si="74"/>
        <v>7.3003400000000003</v>
      </c>
      <c r="R813" s="47">
        <f t="shared" si="75"/>
        <v>1.0264</v>
      </c>
      <c r="S813" s="48">
        <f t="shared" si="76"/>
        <v>1436.96</v>
      </c>
      <c r="T813" s="47" t="s">
        <v>349</v>
      </c>
      <c r="U813" s="52" t="s">
        <v>228</v>
      </c>
      <c r="V813" s="38">
        <v>7.1692999999999998</v>
      </c>
      <c r="W813" s="49">
        <f t="shared" si="77"/>
        <v>1463.2307198750227</v>
      </c>
    </row>
    <row r="814" spans="1:23" x14ac:dyDescent="0.2">
      <c r="A814" s="52" t="s">
        <v>2106</v>
      </c>
      <c r="B814" s="53">
        <v>45712</v>
      </c>
      <c r="C814" s="53">
        <v>45673</v>
      </c>
      <c r="D814" s="52" t="s">
        <v>287</v>
      </c>
      <c r="E814" s="52" t="s">
        <v>288</v>
      </c>
      <c r="G814" s="52" t="s">
        <v>2226</v>
      </c>
      <c r="H814" s="40" t="s">
        <v>71</v>
      </c>
      <c r="I814" s="40" t="s">
        <v>72</v>
      </c>
      <c r="J814" s="43" t="str">
        <f t="shared" si="72"/>
        <v>ANYD</v>
      </c>
      <c r="K814" s="52" t="s">
        <v>10</v>
      </c>
      <c r="L814" s="40">
        <v>1000</v>
      </c>
      <c r="M814" s="52" t="s">
        <v>1472</v>
      </c>
      <c r="N814" s="52" t="s">
        <v>11</v>
      </c>
      <c r="O814" s="54">
        <v>8.15</v>
      </c>
      <c r="P814" s="45">
        <f t="shared" si="73"/>
        <v>8150</v>
      </c>
      <c r="Q814" s="46">
        <f t="shared" si="74"/>
        <v>7.3003400000000003</v>
      </c>
      <c r="R814" s="47">
        <f t="shared" si="75"/>
        <v>1.1164000000000001</v>
      </c>
      <c r="S814" s="48">
        <f t="shared" si="76"/>
        <v>1116.4000000000001</v>
      </c>
      <c r="T814" s="47" t="s">
        <v>349</v>
      </c>
      <c r="U814" s="52" t="s">
        <v>36</v>
      </c>
      <c r="V814" s="38">
        <v>7.1692999999999998</v>
      </c>
      <c r="W814" s="49">
        <f t="shared" si="77"/>
        <v>1136.7915975060328</v>
      </c>
    </row>
    <row r="815" spans="1:23" x14ac:dyDescent="0.2">
      <c r="A815" s="52" t="s">
        <v>882</v>
      </c>
      <c r="B815" s="53">
        <v>45705</v>
      </c>
      <c r="C815" s="53">
        <v>45287</v>
      </c>
      <c r="D815" s="52" t="s">
        <v>866</v>
      </c>
      <c r="E815" s="52" t="s">
        <v>867</v>
      </c>
      <c r="G815" s="52" t="s">
        <v>2213</v>
      </c>
      <c r="H815" s="40" t="s">
        <v>880</v>
      </c>
      <c r="I815" s="40" t="s">
        <v>881</v>
      </c>
      <c r="J815" s="43" t="str">
        <f t="shared" si="72"/>
        <v>ANYD</v>
      </c>
      <c r="K815" s="52" t="s">
        <v>10</v>
      </c>
      <c r="L815" s="40">
        <v>2000</v>
      </c>
      <c r="M815" s="52" t="s">
        <v>1472</v>
      </c>
      <c r="N815" s="52" t="s">
        <v>11</v>
      </c>
      <c r="O815" s="54">
        <v>8.1858000000000004</v>
      </c>
      <c r="P815" s="45">
        <f t="shared" si="73"/>
        <v>16371.6</v>
      </c>
      <c r="Q815" s="46">
        <f t="shared" si="74"/>
        <v>7.3003400000000003</v>
      </c>
      <c r="R815" s="47">
        <f t="shared" si="75"/>
        <v>1.1213</v>
      </c>
      <c r="S815" s="48">
        <f t="shared" si="76"/>
        <v>2242.6</v>
      </c>
      <c r="T815" s="47" t="s">
        <v>349</v>
      </c>
      <c r="U815" s="52" t="s">
        <v>36</v>
      </c>
      <c r="V815" s="38">
        <v>7.1692999999999998</v>
      </c>
      <c r="W815" s="49">
        <f t="shared" si="77"/>
        <v>2283.5702230343272</v>
      </c>
    </row>
    <row r="816" spans="1:23" x14ac:dyDescent="0.2">
      <c r="A816" s="52" t="s">
        <v>2107</v>
      </c>
      <c r="B816" s="53">
        <v>45707</v>
      </c>
      <c r="C816" s="53">
        <v>45677</v>
      </c>
      <c r="D816" s="52" t="s">
        <v>5</v>
      </c>
      <c r="E816" s="52" t="s">
        <v>6</v>
      </c>
      <c r="G816" s="52" t="s">
        <v>2185</v>
      </c>
      <c r="H816" s="40" t="s">
        <v>1804</v>
      </c>
      <c r="I816" s="40" t="s">
        <v>1805</v>
      </c>
      <c r="J816" s="43" t="str">
        <f t="shared" si="72"/>
        <v>BOX-</v>
      </c>
      <c r="K816" s="52" t="s">
        <v>10</v>
      </c>
      <c r="L816" s="40">
        <v>1010</v>
      </c>
      <c r="M816" s="52" t="s">
        <v>1472</v>
      </c>
      <c r="N816" s="52" t="s">
        <v>11</v>
      </c>
      <c r="O816" s="54">
        <v>8.2200000000000006</v>
      </c>
      <c r="P816" s="45">
        <f t="shared" si="73"/>
        <v>8302.2000000000007</v>
      </c>
      <c r="Q816" s="46">
        <f t="shared" si="74"/>
        <v>7.3003400000000003</v>
      </c>
      <c r="R816" s="47">
        <f t="shared" si="75"/>
        <v>1.1259999999999999</v>
      </c>
      <c r="S816" s="48">
        <f t="shared" si="76"/>
        <v>1137.26</v>
      </c>
      <c r="T816" s="47" t="s">
        <v>349</v>
      </c>
      <c r="U816" s="52" t="s">
        <v>1</v>
      </c>
      <c r="V816" s="38">
        <v>7.1692999999999998</v>
      </c>
      <c r="W816" s="49">
        <f t="shared" si="77"/>
        <v>1158.0210062349183</v>
      </c>
    </row>
    <row r="817" spans="1:23" x14ac:dyDescent="0.2">
      <c r="A817" s="52" t="s">
        <v>2108</v>
      </c>
      <c r="B817" s="53">
        <v>45707</v>
      </c>
      <c r="C817" s="53">
        <v>45677</v>
      </c>
      <c r="D817" s="52" t="s">
        <v>5</v>
      </c>
      <c r="E817" s="52" t="s">
        <v>6</v>
      </c>
      <c r="G817" s="52" t="s">
        <v>2185</v>
      </c>
      <c r="H817" s="40" t="s">
        <v>1804</v>
      </c>
      <c r="I817" s="40" t="s">
        <v>1805</v>
      </c>
      <c r="J817" s="43" t="str">
        <f t="shared" si="72"/>
        <v>BOX-</v>
      </c>
      <c r="K817" s="52" t="s">
        <v>10</v>
      </c>
      <c r="L817" s="40">
        <v>1010</v>
      </c>
      <c r="M817" s="52" t="s">
        <v>1472</v>
      </c>
      <c r="N817" s="52" t="s">
        <v>11</v>
      </c>
      <c r="O817" s="54">
        <v>8.2200000000000006</v>
      </c>
      <c r="P817" s="45">
        <f t="shared" si="73"/>
        <v>8302.2000000000007</v>
      </c>
      <c r="Q817" s="46">
        <f t="shared" si="74"/>
        <v>7.3003400000000003</v>
      </c>
      <c r="R817" s="47">
        <f t="shared" si="75"/>
        <v>1.1259999999999999</v>
      </c>
      <c r="S817" s="48">
        <f t="shared" si="76"/>
        <v>1137.26</v>
      </c>
      <c r="T817" s="47" t="s">
        <v>349</v>
      </c>
      <c r="U817" s="52" t="s">
        <v>1</v>
      </c>
      <c r="V817" s="38">
        <v>7.1692999999999998</v>
      </c>
      <c r="W817" s="49">
        <f t="shared" si="77"/>
        <v>1158.0210062349183</v>
      </c>
    </row>
    <row r="818" spans="1:23" x14ac:dyDescent="0.2">
      <c r="A818" s="52" t="s">
        <v>258</v>
      </c>
      <c r="B818" s="53">
        <v>45706</v>
      </c>
      <c r="C818" s="53">
        <v>45639</v>
      </c>
      <c r="D818" s="52" t="s">
        <v>252</v>
      </c>
      <c r="E818" s="52" t="s">
        <v>253</v>
      </c>
      <c r="G818" s="52" t="s">
        <v>2227</v>
      </c>
      <c r="H818" s="40" t="s">
        <v>256</v>
      </c>
      <c r="I818" s="40" t="s">
        <v>257</v>
      </c>
      <c r="J818" s="43" t="str">
        <f t="shared" si="72"/>
        <v>GLID</v>
      </c>
      <c r="K818" s="52" t="s">
        <v>10</v>
      </c>
      <c r="L818" s="40">
        <v>3470</v>
      </c>
      <c r="M818" s="52" t="s">
        <v>1472</v>
      </c>
      <c r="N818" s="52" t="s">
        <v>11</v>
      </c>
      <c r="O818" s="54">
        <v>8.6329999999999991</v>
      </c>
      <c r="P818" s="45">
        <f t="shared" si="73"/>
        <v>29956.51</v>
      </c>
      <c r="Q818" s="46">
        <f t="shared" si="74"/>
        <v>7.3003400000000003</v>
      </c>
      <c r="R818" s="47">
        <f t="shared" si="75"/>
        <v>1.1825000000000001</v>
      </c>
      <c r="S818" s="48">
        <f t="shared" si="76"/>
        <v>4103.28</v>
      </c>
      <c r="T818" s="47" t="s">
        <v>349</v>
      </c>
      <c r="U818" s="52" t="s">
        <v>78</v>
      </c>
      <c r="V818" s="38">
        <v>7.1692999999999998</v>
      </c>
      <c r="W818" s="49">
        <f t="shared" si="77"/>
        <v>4178.4428047368638</v>
      </c>
    </row>
    <row r="819" spans="1:23" x14ac:dyDescent="0.2">
      <c r="A819" s="52" t="s">
        <v>2109</v>
      </c>
      <c r="B819" s="53">
        <v>45708</v>
      </c>
      <c r="C819" s="53">
        <v>45639</v>
      </c>
      <c r="D819" s="52" t="s">
        <v>149</v>
      </c>
      <c r="E819" s="52" t="s">
        <v>150</v>
      </c>
      <c r="G819" s="52" t="s">
        <v>2222</v>
      </c>
      <c r="H819" s="40" t="s">
        <v>147</v>
      </c>
      <c r="I819" s="40" t="s">
        <v>148</v>
      </c>
      <c r="J819" s="43" t="str">
        <f t="shared" si="72"/>
        <v>SKU-</v>
      </c>
      <c r="K819" s="52" t="s">
        <v>98</v>
      </c>
      <c r="L819" s="40">
        <v>1000</v>
      </c>
      <c r="M819" s="52" t="s">
        <v>1472</v>
      </c>
      <c r="N819" s="52" t="s">
        <v>11</v>
      </c>
      <c r="O819" s="54">
        <v>8.6722999999999999</v>
      </c>
      <c r="P819" s="45">
        <f t="shared" si="73"/>
        <v>8672.2999999999993</v>
      </c>
      <c r="Q819" s="46">
        <f t="shared" si="74"/>
        <v>7.3003400000000003</v>
      </c>
      <c r="R819" s="47">
        <f t="shared" si="75"/>
        <v>1.1879</v>
      </c>
      <c r="S819" s="48">
        <f t="shared" si="76"/>
        <v>1187.9000000000001</v>
      </c>
      <c r="T819" s="47" t="s">
        <v>349</v>
      </c>
      <c r="U819" s="52" t="s">
        <v>2</v>
      </c>
      <c r="V819" s="38">
        <v>7.1692999999999998</v>
      </c>
      <c r="W819" s="49">
        <f t="shared" si="77"/>
        <v>1209.6438982885359</v>
      </c>
    </row>
    <row r="820" spans="1:23" x14ac:dyDescent="0.2">
      <c r="A820" s="52" t="s">
        <v>2110</v>
      </c>
      <c r="B820" s="53">
        <v>45708</v>
      </c>
      <c r="C820" s="53">
        <v>45644</v>
      </c>
      <c r="D820" s="52" t="s">
        <v>149</v>
      </c>
      <c r="E820" s="52" t="s">
        <v>150</v>
      </c>
      <c r="G820" s="52" t="s">
        <v>2222</v>
      </c>
      <c r="H820" s="40" t="s">
        <v>147</v>
      </c>
      <c r="I820" s="40" t="s">
        <v>148</v>
      </c>
      <c r="J820" s="43" t="str">
        <f t="shared" si="72"/>
        <v>SKU-</v>
      </c>
      <c r="K820" s="52" t="s">
        <v>98</v>
      </c>
      <c r="L820" s="40">
        <v>2220</v>
      </c>
      <c r="M820" s="52" t="s">
        <v>1472</v>
      </c>
      <c r="N820" s="52" t="s">
        <v>11</v>
      </c>
      <c r="O820" s="54">
        <v>8.6722999999999999</v>
      </c>
      <c r="P820" s="45">
        <f t="shared" si="73"/>
        <v>19252.509999999998</v>
      </c>
      <c r="Q820" s="46">
        <f t="shared" si="74"/>
        <v>7.3003400000000003</v>
      </c>
      <c r="R820" s="47">
        <f t="shared" si="75"/>
        <v>1.1879</v>
      </c>
      <c r="S820" s="48">
        <f t="shared" si="76"/>
        <v>2637.14</v>
      </c>
      <c r="T820" s="47" t="s">
        <v>349</v>
      </c>
      <c r="U820" s="52" t="s">
        <v>2</v>
      </c>
      <c r="V820" s="38">
        <v>7.1692999999999998</v>
      </c>
      <c r="W820" s="49">
        <f t="shared" si="77"/>
        <v>2685.4094542005496</v>
      </c>
    </row>
    <row r="821" spans="1:23" x14ac:dyDescent="0.2">
      <c r="A821" s="52" t="s">
        <v>2110</v>
      </c>
      <c r="B821" s="53">
        <v>45706</v>
      </c>
      <c r="C821" s="53">
        <v>45644</v>
      </c>
      <c r="D821" s="52" t="s">
        <v>149</v>
      </c>
      <c r="E821" s="52" t="s">
        <v>150</v>
      </c>
      <c r="G821" s="52" t="s">
        <v>2215</v>
      </c>
      <c r="H821" s="40" t="s">
        <v>147</v>
      </c>
      <c r="I821" s="40" t="s">
        <v>148</v>
      </c>
      <c r="J821" s="43" t="str">
        <f t="shared" si="72"/>
        <v>SKU-</v>
      </c>
      <c r="K821" s="52" t="s">
        <v>98</v>
      </c>
      <c r="L821" s="40">
        <v>280</v>
      </c>
      <c r="M821" s="52" t="s">
        <v>1472</v>
      </c>
      <c r="N821" s="52" t="s">
        <v>11</v>
      </c>
      <c r="O821" s="54">
        <v>8.6722999999999999</v>
      </c>
      <c r="P821" s="45">
        <f t="shared" si="73"/>
        <v>2428.2399999999998</v>
      </c>
      <c r="Q821" s="46">
        <f t="shared" si="74"/>
        <v>7.3003400000000003</v>
      </c>
      <c r="R821" s="47">
        <f t="shared" si="75"/>
        <v>1.1879</v>
      </c>
      <c r="S821" s="48">
        <f t="shared" si="76"/>
        <v>332.61</v>
      </c>
      <c r="T821" s="47" t="s">
        <v>349</v>
      </c>
      <c r="U821" s="52" t="s">
        <v>2</v>
      </c>
      <c r="V821" s="38">
        <v>7.1692999999999998</v>
      </c>
      <c r="W821" s="49">
        <f t="shared" si="77"/>
        <v>338.70029152079002</v>
      </c>
    </row>
    <row r="822" spans="1:23" x14ac:dyDescent="0.2">
      <c r="A822" s="52" t="s">
        <v>872</v>
      </c>
      <c r="B822" s="53">
        <v>45705</v>
      </c>
      <c r="C822" s="53">
        <v>45287</v>
      </c>
      <c r="D822" s="52" t="s">
        <v>866</v>
      </c>
      <c r="E822" s="52" t="s">
        <v>867</v>
      </c>
      <c r="G822" s="52" t="s">
        <v>2213</v>
      </c>
      <c r="H822" s="40" t="s">
        <v>870</v>
      </c>
      <c r="I822" s="40" t="s">
        <v>871</v>
      </c>
      <c r="J822" s="43" t="str">
        <f t="shared" si="72"/>
        <v>ANYD</v>
      </c>
      <c r="K822" s="52" t="s">
        <v>10</v>
      </c>
      <c r="L822" s="40">
        <v>1000</v>
      </c>
      <c r="M822" s="52" t="s">
        <v>1472</v>
      </c>
      <c r="N822" s="52" t="s">
        <v>11</v>
      </c>
      <c r="O822" s="54">
        <v>8.8053000000000008</v>
      </c>
      <c r="P822" s="45">
        <f t="shared" si="73"/>
        <v>8805.2999999999993</v>
      </c>
      <c r="Q822" s="46">
        <f t="shared" si="74"/>
        <v>7.3003400000000003</v>
      </c>
      <c r="R822" s="47">
        <f t="shared" si="75"/>
        <v>1.2060999999999999</v>
      </c>
      <c r="S822" s="48">
        <f t="shared" si="76"/>
        <v>1206.0999999999999</v>
      </c>
      <c r="T822" s="47" t="s">
        <v>349</v>
      </c>
      <c r="U822" s="52" t="s">
        <v>36</v>
      </c>
      <c r="V822" s="38">
        <v>7.1692999999999998</v>
      </c>
      <c r="W822" s="49">
        <f t="shared" si="77"/>
        <v>1228.1952212907815</v>
      </c>
    </row>
    <row r="823" spans="1:23" x14ac:dyDescent="0.2">
      <c r="A823" s="52" t="s">
        <v>889</v>
      </c>
      <c r="B823" s="53">
        <v>45705</v>
      </c>
      <c r="C823" s="53">
        <v>45526</v>
      </c>
      <c r="D823" s="52" t="s">
        <v>866</v>
      </c>
      <c r="E823" s="52" t="s">
        <v>867</v>
      </c>
      <c r="G823" s="52" t="s">
        <v>2228</v>
      </c>
      <c r="H823" s="40" t="s">
        <v>887</v>
      </c>
      <c r="I823" s="40" t="s">
        <v>888</v>
      </c>
      <c r="J823" s="43" t="str">
        <f t="shared" si="72"/>
        <v>ANYD</v>
      </c>
      <c r="K823" s="52" t="s">
        <v>10</v>
      </c>
      <c r="L823" s="40">
        <v>3008</v>
      </c>
      <c r="M823" s="52" t="s">
        <v>1472</v>
      </c>
      <c r="N823" s="52" t="s">
        <v>11</v>
      </c>
      <c r="O823" s="54">
        <v>9.2124000000000006</v>
      </c>
      <c r="P823" s="45">
        <f t="shared" si="73"/>
        <v>27710.9</v>
      </c>
      <c r="Q823" s="46">
        <f t="shared" si="74"/>
        <v>7.3003400000000003</v>
      </c>
      <c r="R823" s="47">
        <f t="shared" si="75"/>
        <v>1.2619</v>
      </c>
      <c r="S823" s="48">
        <f t="shared" si="76"/>
        <v>3795.8</v>
      </c>
      <c r="T823" s="47" t="s">
        <v>349</v>
      </c>
      <c r="U823" s="52" t="s">
        <v>36</v>
      </c>
      <c r="V823" s="38">
        <v>7.1692999999999998</v>
      </c>
      <c r="W823" s="49">
        <f t="shared" si="77"/>
        <v>3865.2168552020421</v>
      </c>
    </row>
    <row r="824" spans="1:23" x14ac:dyDescent="0.2">
      <c r="A824" s="52" t="s">
        <v>2111</v>
      </c>
      <c r="B824" s="53">
        <v>45699</v>
      </c>
      <c r="C824" s="53">
        <v>45630</v>
      </c>
      <c r="D824" s="52" t="s">
        <v>569</v>
      </c>
      <c r="E824" s="52" t="s">
        <v>570</v>
      </c>
      <c r="G824" s="52" t="s">
        <v>2148</v>
      </c>
      <c r="H824" s="40" t="s">
        <v>1806</v>
      </c>
      <c r="I824" s="40" t="s">
        <v>1807</v>
      </c>
      <c r="J824" s="43" t="str">
        <f t="shared" si="72"/>
        <v>MISC</v>
      </c>
      <c r="K824" s="52" t="s">
        <v>10</v>
      </c>
      <c r="L824" s="40">
        <v>2520</v>
      </c>
      <c r="M824" s="52" t="s">
        <v>1472</v>
      </c>
      <c r="N824" s="52" t="s">
        <v>11</v>
      </c>
      <c r="O824" s="54">
        <v>10.632999999999999</v>
      </c>
      <c r="P824" s="45">
        <f t="shared" si="73"/>
        <v>26795.16</v>
      </c>
      <c r="Q824" s="46">
        <f t="shared" si="74"/>
        <v>7.3003400000000003</v>
      </c>
      <c r="R824" s="47">
        <f t="shared" si="75"/>
        <v>1.4564999999999999</v>
      </c>
      <c r="S824" s="48">
        <f t="shared" si="76"/>
        <v>3670.38</v>
      </c>
      <c r="T824" s="47" t="s">
        <v>349</v>
      </c>
      <c r="U824" s="52" t="s">
        <v>25</v>
      </c>
      <c r="V824" s="38">
        <v>7.1692999999999998</v>
      </c>
      <c r="W824" s="49">
        <f t="shared" si="77"/>
        <v>3737.4862259913798</v>
      </c>
    </row>
    <row r="825" spans="1:23" x14ac:dyDescent="0.2">
      <c r="A825" s="52" t="s">
        <v>2112</v>
      </c>
      <c r="B825" s="53">
        <v>45699</v>
      </c>
      <c r="C825" s="53">
        <v>45646</v>
      </c>
      <c r="D825" s="52" t="s">
        <v>569</v>
      </c>
      <c r="E825" s="52" t="s">
        <v>570</v>
      </c>
      <c r="G825" s="52" t="s">
        <v>2148</v>
      </c>
      <c r="H825" s="40" t="s">
        <v>1806</v>
      </c>
      <c r="I825" s="40" t="s">
        <v>1807</v>
      </c>
      <c r="J825" s="43" t="str">
        <f t="shared" si="72"/>
        <v>MISC</v>
      </c>
      <c r="K825" s="52" t="s">
        <v>10</v>
      </c>
      <c r="L825" s="40">
        <v>2000</v>
      </c>
      <c r="M825" s="52" t="s">
        <v>1472</v>
      </c>
      <c r="N825" s="52" t="s">
        <v>11</v>
      </c>
      <c r="O825" s="54">
        <v>10.632999999999999</v>
      </c>
      <c r="P825" s="45">
        <f t="shared" si="73"/>
        <v>21266</v>
      </c>
      <c r="Q825" s="46">
        <f t="shared" si="74"/>
        <v>7.3003400000000003</v>
      </c>
      <c r="R825" s="47">
        <f t="shared" si="75"/>
        <v>1.4564999999999999</v>
      </c>
      <c r="S825" s="48">
        <f t="shared" si="76"/>
        <v>2913</v>
      </c>
      <c r="T825" s="47" t="s">
        <v>349</v>
      </c>
      <c r="U825" s="52" t="s">
        <v>25</v>
      </c>
      <c r="V825" s="38">
        <v>7.1692999999999998</v>
      </c>
      <c r="W825" s="49">
        <f t="shared" si="77"/>
        <v>2966.2589095169683</v>
      </c>
    </row>
    <row r="826" spans="1:23" x14ac:dyDescent="0.2">
      <c r="A826" s="52" t="s">
        <v>254</v>
      </c>
      <c r="B826" s="53">
        <v>45706</v>
      </c>
      <c r="C826" s="53">
        <v>45639</v>
      </c>
      <c r="D826" s="52" t="s">
        <v>252</v>
      </c>
      <c r="E826" s="52" t="s">
        <v>253</v>
      </c>
      <c r="G826" s="52" t="s">
        <v>2227</v>
      </c>
      <c r="H826" s="40" t="s">
        <v>250</v>
      </c>
      <c r="I826" s="40" t="s">
        <v>251</v>
      </c>
      <c r="J826" s="43" t="str">
        <f t="shared" si="72"/>
        <v>GLID</v>
      </c>
      <c r="K826" s="52" t="s">
        <v>10</v>
      </c>
      <c r="L826" s="40">
        <v>6390</v>
      </c>
      <c r="M826" s="52" t="s">
        <v>1472</v>
      </c>
      <c r="N826" s="52" t="s">
        <v>11</v>
      </c>
      <c r="O826" s="54">
        <v>10.7476</v>
      </c>
      <c r="P826" s="45">
        <f t="shared" si="73"/>
        <v>68677.16</v>
      </c>
      <c r="Q826" s="46">
        <f t="shared" si="74"/>
        <v>7.3003400000000003</v>
      </c>
      <c r="R826" s="47">
        <f t="shared" si="75"/>
        <v>1.4722</v>
      </c>
      <c r="S826" s="48">
        <f t="shared" si="76"/>
        <v>9407.36</v>
      </c>
      <c r="T826" s="47" t="s">
        <v>349</v>
      </c>
      <c r="U826" s="52" t="s">
        <v>78</v>
      </c>
      <c r="V826" s="38">
        <v>7.1692999999999998</v>
      </c>
      <c r="W826" s="49">
        <f t="shared" si="77"/>
        <v>9579.3402424225515</v>
      </c>
    </row>
    <row r="827" spans="1:23" x14ac:dyDescent="0.2">
      <c r="A827" s="52" t="s">
        <v>2113</v>
      </c>
      <c r="B827" s="53">
        <v>45701</v>
      </c>
      <c r="C827" s="53">
        <v>45695</v>
      </c>
      <c r="D827" s="52" t="s">
        <v>898</v>
      </c>
      <c r="E827" s="52" t="s">
        <v>899</v>
      </c>
      <c r="G827" s="52" t="s">
        <v>2229</v>
      </c>
      <c r="H827" s="40" t="s">
        <v>902</v>
      </c>
      <c r="I827" s="40" t="s">
        <v>903</v>
      </c>
      <c r="J827" s="43" t="str">
        <f t="shared" si="72"/>
        <v>GLID</v>
      </c>
      <c r="K827" s="52" t="s">
        <v>10</v>
      </c>
      <c r="L827" s="40">
        <v>400</v>
      </c>
      <c r="M827" s="52" t="s">
        <v>1472</v>
      </c>
      <c r="N827" s="52" t="s">
        <v>11</v>
      </c>
      <c r="O827" s="54">
        <v>10.7965</v>
      </c>
      <c r="P827" s="45">
        <f t="shared" si="73"/>
        <v>4318.6000000000004</v>
      </c>
      <c r="Q827" s="46">
        <f t="shared" si="74"/>
        <v>7.3003400000000003</v>
      </c>
      <c r="R827" s="47">
        <f t="shared" si="75"/>
        <v>1.4789000000000001</v>
      </c>
      <c r="S827" s="48">
        <f t="shared" si="76"/>
        <v>591.55999999999995</v>
      </c>
      <c r="T827" s="47" t="s">
        <v>349</v>
      </c>
      <c r="U827" s="52" t="s">
        <v>78</v>
      </c>
      <c r="V827" s="38">
        <v>7.1692999999999998</v>
      </c>
      <c r="W827" s="49">
        <f t="shared" si="77"/>
        <v>602.37401140976101</v>
      </c>
    </row>
    <row r="828" spans="1:23" x14ac:dyDescent="0.2">
      <c r="A828" s="52" t="s">
        <v>879</v>
      </c>
      <c r="B828" s="53">
        <v>45705</v>
      </c>
      <c r="C828" s="53">
        <v>45287</v>
      </c>
      <c r="D828" s="52" t="s">
        <v>866</v>
      </c>
      <c r="E828" s="52" t="s">
        <v>867</v>
      </c>
      <c r="G828" s="52" t="s">
        <v>2213</v>
      </c>
      <c r="H828" s="40" t="s">
        <v>877</v>
      </c>
      <c r="I828" s="40" t="s">
        <v>878</v>
      </c>
      <c r="J828" s="43" t="str">
        <f t="shared" si="72"/>
        <v>ANYD</v>
      </c>
      <c r="K828" s="52" t="s">
        <v>10</v>
      </c>
      <c r="L828" s="40">
        <v>2004</v>
      </c>
      <c r="M828" s="52" t="s">
        <v>1472</v>
      </c>
      <c r="N828" s="52" t="s">
        <v>11</v>
      </c>
      <c r="O828" s="54">
        <v>11.672599999999999</v>
      </c>
      <c r="P828" s="45">
        <f t="shared" si="73"/>
        <v>23391.89</v>
      </c>
      <c r="Q828" s="46">
        <f t="shared" si="74"/>
        <v>7.3003400000000003</v>
      </c>
      <c r="R828" s="47">
        <f t="shared" si="75"/>
        <v>1.5989</v>
      </c>
      <c r="S828" s="48">
        <f t="shared" si="76"/>
        <v>3204.2</v>
      </c>
      <c r="T828" s="47" t="s">
        <v>349</v>
      </c>
      <c r="U828" s="52" t="s">
        <v>36</v>
      </c>
      <c r="V828" s="38">
        <v>7.1692999999999998</v>
      </c>
      <c r="W828" s="49">
        <f t="shared" si="77"/>
        <v>3262.7858228836844</v>
      </c>
    </row>
    <row r="829" spans="1:23" x14ac:dyDescent="0.2">
      <c r="A829" s="52" t="s">
        <v>2114</v>
      </c>
      <c r="B829" s="53">
        <v>45709</v>
      </c>
      <c r="C829" s="53">
        <v>45701</v>
      </c>
      <c r="D829" s="52" t="s">
        <v>2259</v>
      </c>
      <c r="E829" s="52" t="s">
        <v>2260</v>
      </c>
      <c r="G829" s="52" t="s">
        <v>2230</v>
      </c>
      <c r="H829" s="40" t="s">
        <v>1808</v>
      </c>
      <c r="I829" s="40" t="s">
        <v>1809</v>
      </c>
      <c r="J829" s="43" t="str">
        <f t="shared" si="72"/>
        <v>SSM-</v>
      </c>
      <c r="K829" s="52" t="s">
        <v>10</v>
      </c>
      <c r="L829" s="40">
        <v>54331</v>
      </c>
      <c r="M829" s="52" t="s">
        <v>186</v>
      </c>
      <c r="N829" s="52" t="s">
        <v>11</v>
      </c>
      <c r="O829" s="54">
        <v>11.7699</v>
      </c>
      <c r="P829" s="45">
        <f t="shared" si="73"/>
        <v>639470.43999999994</v>
      </c>
      <c r="Q829" s="46">
        <f t="shared" si="74"/>
        <v>7.3003400000000003</v>
      </c>
      <c r="R829" s="47">
        <f t="shared" si="75"/>
        <v>1.6122000000000001</v>
      </c>
      <c r="S829" s="48">
        <f t="shared" si="76"/>
        <v>87592.44</v>
      </c>
      <c r="T829" s="47" t="s">
        <v>349</v>
      </c>
      <c r="U829" s="52" t="s">
        <v>33</v>
      </c>
      <c r="V829" s="38">
        <v>7.1692999999999998</v>
      </c>
      <c r="W829" s="49">
        <f t="shared" si="77"/>
        <v>89195.658836985487</v>
      </c>
    </row>
    <row r="830" spans="1:23" x14ac:dyDescent="0.2">
      <c r="A830" s="52" t="s">
        <v>2115</v>
      </c>
      <c r="B830" s="53">
        <v>45709</v>
      </c>
      <c r="C830" s="53">
        <v>45701</v>
      </c>
      <c r="D830" s="52" t="s">
        <v>2259</v>
      </c>
      <c r="E830" s="52" t="s">
        <v>2260</v>
      </c>
      <c r="G830" s="52" t="s">
        <v>2230</v>
      </c>
      <c r="H830" s="40" t="s">
        <v>1810</v>
      </c>
      <c r="I830" s="40" t="s">
        <v>1811</v>
      </c>
      <c r="J830" s="43" t="str">
        <f t="shared" si="72"/>
        <v>SSM-</v>
      </c>
      <c r="K830" s="52" t="s">
        <v>10</v>
      </c>
      <c r="L830" s="40">
        <v>11071</v>
      </c>
      <c r="M830" s="52" t="s">
        <v>186</v>
      </c>
      <c r="N830" s="52" t="s">
        <v>11</v>
      </c>
      <c r="O830" s="54">
        <v>12.035399999999999</v>
      </c>
      <c r="P830" s="45">
        <f t="shared" si="73"/>
        <v>133243.91</v>
      </c>
      <c r="Q830" s="46">
        <f t="shared" si="74"/>
        <v>7.3003400000000003</v>
      </c>
      <c r="R830" s="47">
        <f t="shared" si="75"/>
        <v>1.6486000000000001</v>
      </c>
      <c r="S830" s="48">
        <f t="shared" si="76"/>
        <v>18251.650000000001</v>
      </c>
      <c r="T830" s="47" t="s">
        <v>349</v>
      </c>
      <c r="U830" s="52" t="s">
        <v>33</v>
      </c>
      <c r="V830" s="38">
        <v>7.1692999999999998</v>
      </c>
      <c r="W830" s="49">
        <f t="shared" si="77"/>
        <v>18585.344929072573</v>
      </c>
    </row>
    <row r="831" spans="1:23" x14ac:dyDescent="0.2">
      <c r="A831" s="52" t="s">
        <v>2115</v>
      </c>
      <c r="B831" s="53">
        <v>45707</v>
      </c>
      <c r="C831" s="53">
        <v>45701</v>
      </c>
      <c r="D831" s="52" t="s">
        <v>2259</v>
      </c>
      <c r="E831" s="52" t="s">
        <v>2260</v>
      </c>
      <c r="G831" s="52" t="s">
        <v>2231</v>
      </c>
      <c r="H831" s="40" t="s">
        <v>1810</v>
      </c>
      <c r="I831" s="40" t="s">
        <v>1811</v>
      </c>
      <c r="J831" s="43" t="str">
        <f t="shared" si="72"/>
        <v>SSM-</v>
      </c>
      <c r="K831" s="52" t="s">
        <v>10</v>
      </c>
      <c r="L831" s="40">
        <v>10874</v>
      </c>
      <c r="M831" s="52" t="s">
        <v>186</v>
      </c>
      <c r="N831" s="52" t="s">
        <v>11</v>
      </c>
      <c r="O831" s="54">
        <v>12.035399999999999</v>
      </c>
      <c r="P831" s="45">
        <f t="shared" si="73"/>
        <v>130872.94</v>
      </c>
      <c r="Q831" s="46">
        <f t="shared" si="74"/>
        <v>7.3003400000000003</v>
      </c>
      <c r="R831" s="47">
        <f t="shared" si="75"/>
        <v>1.6486000000000001</v>
      </c>
      <c r="S831" s="48">
        <f t="shared" si="76"/>
        <v>17926.88</v>
      </c>
      <c r="T831" s="47" t="s">
        <v>349</v>
      </c>
      <c r="U831" s="52" t="s">
        <v>33</v>
      </c>
      <c r="V831" s="38">
        <v>7.1692999999999998</v>
      </c>
      <c r="W831" s="49">
        <f t="shared" si="77"/>
        <v>18254.632893030004</v>
      </c>
    </row>
    <row r="832" spans="1:23" x14ac:dyDescent="0.2">
      <c r="A832" s="52" t="s">
        <v>2116</v>
      </c>
      <c r="B832" s="53">
        <v>45713</v>
      </c>
      <c r="C832" s="53">
        <v>45709</v>
      </c>
      <c r="D832" s="52" t="s">
        <v>5</v>
      </c>
      <c r="E832" s="52" t="s">
        <v>6</v>
      </c>
      <c r="G832" s="52" t="s">
        <v>2232</v>
      </c>
      <c r="H832" s="40" t="s">
        <v>1812</v>
      </c>
      <c r="I832" s="40" t="s">
        <v>1813</v>
      </c>
      <c r="J832" s="43" t="str">
        <f t="shared" si="72"/>
        <v>BOX-</v>
      </c>
      <c r="K832" s="52" t="s">
        <v>10</v>
      </c>
      <c r="L832" s="40">
        <v>505</v>
      </c>
      <c r="M832" s="52" t="s">
        <v>1472</v>
      </c>
      <c r="N832" s="52" t="s">
        <v>11</v>
      </c>
      <c r="O832" s="54">
        <v>12.21</v>
      </c>
      <c r="P832" s="45">
        <f t="shared" si="73"/>
        <v>6166.05</v>
      </c>
      <c r="Q832" s="46">
        <f t="shared" si="74"/>
        <v>7.3003400000000003</v>
      </c>
      <c r="R832" s="47">
        <f t="shared" si="75"/>
        <v>1.6725000000000001</v>
      </c>
      <c r="S832" s="48">
        <f t="shared" si="76"/>
        <v>844.61</v>
      </c>
      <c r="T832" s="47" t="s">
        <v>349</v>
      </c>
      <c r="U832" s="52" t="s">
        <v>1</v>
      </c>
      <c r="V832" s="38">
        <v>7.1692999999999998</v>
      </c>
      <c r="W832" s="49">
        <f t="shared" si="77"/>
        <v>860.06304660148135</v>
      </c>
    </row>
    <row r="833" spans="1:23" x14ac:dyDescent="0.2">
      <c r="A833" s="52" t="s">
        <v>2117</v>
      </c>
      <c r="B833" s="53">
        <v>45707</v>
      </c>
      <c r="C833" s="53">
        <v>45701</v>
      </c>
      <c r="D833" s="52" t="s">
        <v>2259</v>
      </c>
      <c r="E833" s="52" t="s">
        <v>2260</v>
      </c>
      <c r="G833" s="52" t="s">
        <v>2231</v>
      </c>
      <c r="H833" s="40" t="s">
        <v>1814</v>
      </c>
      <c r="I833" s="40" t="s">
        <v>1815</v>
      </c>
      <c r="J833" s="43" t="str">
        <f t="shared" si="72"/>
        <v>SSM-</v>
      </c>
      <c r="K833" s="52" t="s">
        <v>10</v>
      </c>
      <c r="L833" s="40">
        <v>21993</v>
      </c>
      <c r="M833" s="52" t="s">
        <v>186</v>
      </c>
      <c r="N833" s="52" t="s">
        <v>11</v>
      </c>
      <c r="O833" s="54">
        <v>12.212400000000001</v>
      </c>
      <c r="P833" s="45">
        <f t="shared" si="73"/>
        <v>268587.31</v>
      </c>
      <c r="Q833" s="46">
        <f t="shared" si="74"/>
        <v>7.3003400000000003</v>
      </c>
      <c r="R833" s="47">
        <f t="shared" si="75"/>
        <v>1.6729000000000001</v>
      </c>
      <c r="S833" s="48">
        <f t="shared" si="76"/>
        <v>36792.089999999997</v>
      </c>
      <c r="T833" s="47" t="s">
        <v>349</v>
      </c>
      <c r="U833" s="52" t="s">
        <v>33</v>
      </c>
      <c r="V833" s="38">
        <v>7.1692999999999998</v>
      </c>
      <c r="W833" s="49">
        <f t="shared" si="77"/>
        <v>37463.533845703212</v>
      </c>
    </row>
    <row r="834" spans="1:23" x14ac:dyDescent="0.2">
      <c r="A834" s="52" t="s">
        <v>2118</v>
      </c>
      <c r="B834" s="53">
        <v>45707</v>
      </c>
      <c r="C834" s="53">
        <v>45706</v>
      </c>
      <c r="D834" s="52" t="s">
        <v>5</v>
      </c>
      <c r="E834" s="52" t="s">
        <v>6</v>
      </c>
      <c r="G834" s="52" t="s">
        <v>2185</v>
      </c>
      <c r="H834" s="40" t="s">
        <v>1816</v>
      </c>
      <c r="I834" s="40" t="s">
        <v>1817</v>
      </c>
      <c r="J834" s="43" t="str">
        <f t="shared" ref="J834:J852" si="78">+LEFT(U834,4)</f>
        <v>BOX-</v>
      </c>
      <c r="K834" s="52" t="s">
        <v>10</v>
      </c>
      <c r="L834" s="40">
        <v>1010</v>
      </c>
      <c r="M834" s="52" t="s">
        <v>1472</v>
      </c>
      <c r="N834" s="52" t="s">
        <v>11</v>
      </c>
      <c r="O834" s="54">
        <v>12.85</v>
      </c>
      <c r="P834" s="45">
        <f t="shared" ref="P834:P897" si="79">ROUND(O834*L834,2)</f>
        <v>12978.5</v>
      </c>
      <c r="Q834" s="46">
        <f t="shared" ref="Q834:Q852" si="80">IF(N834="HKD",7.8,IF(N834="CNY",7.30034,1))</f>
        <v>7.3003400000000003</v>
      </c>
      <c r="R834" s="47">
        <f t="shared" ref="R834:R852" si="81">+ROUND(O834/Q834,4)</f>
        <v>1.7602</v>
      </c>
      <c r="S834" s="48">
        <f t="shared" ref="S834:S852" si="82">ROUND(R834*L834,2)</f>
        <v>1777.8</v>
      </c>
      <c r="T834" s="47" t="s">
        <v>349</v>
      </c>
      <c r="U834" s="52" t="s">
        <v>1</v>
      </c>
      <c r="V834" s="38">
        <v>7.1692999999999998</v>
      </c>
      <c r="W834" s="49">
        <f t="shared" ref="W834:W897" si="83">IF(N834="CNY",O834/V834*L834,1)</f>
        <v>1810.2883126665085</v>
      </c>
    </row>
    <row r="835" spans="1:23" x14ac:dyDescent="0.2">
      <c r="A835" s="52" t="s">
        <v>2119</v>
      </c>
      <c r="B835" s="53">
        <v>45707</v>
      </c>
      <c r="C835" s="53">
        <v>45706</v>
      </c>
      <c r="D835" s="52" t="s">
        <v>5</v>
      </c>
      <c r="E835" s="52" t="s">
        <v>6</v>
      </c>
      <c r="G835" s="52" t="s">
        <v>2185</v>
      </c>
      <c r="H835" s="40" t="s">
        <v>1804</v>
      </c>
      <c r="I835" s="40" t="s">
        <v>1805</v>
      </c>
      <c r="J835" s="43" t="str">
        <f t="shared" si="78"/>
        <v>BOX-</v>
      </c>
      <c r="K835" s="52" t="s">
        <v>10</v>
      </c>
      <c r="L835" s="40">
        <v>1010</v>
      </c>
      <c r="M835" s="52" t="s">
        <v>1472</v>
      </c>
      <c r="N835" s="52" t="s">
        <v>11</v>
      </c>
      <c r="O835" s="54">
        <v>12.95</v>
      </c>
      <c r="P835" s="45">
        <f t="shared" si="79"/>
        <v>13079.5</v>
      </c>
      <c r="Q835" s="46">
        <f t="shared" si="80"/>
        <v>7.3003400000000003</v>
      </c>
      <c r="R835" s="47">
        <f t="shared" si="81"/>
        <v>1.7739</v>
      </c>
      <c r="S835" s="48">
        <f t="shared" si="82"/>
        <v>1791.64</v>
      </c>
      <c r="T835" s="47" t="s">
        <v>349</v>
      </c>
      <c r="U835" s="52" t="s">
        <v>1</v>
      </c>
      <c r="V835" s="38">
        <v>7.1692999999999998</v>
      </c>
      <c r="W835" s="49">
        <f t="shared" si="83"/>
        <v>1824.3761594576877</v>
      </c>
    </row>
    <row r="836" spans="1:23" x14ac:dyDescent="0.2">
      <c r="A836" s="52" t="s">
        <v>2120</v>
      </c>
      <c r="B836" s="53">
        <v>45705</v>
      </c>
      <c r="C836" s="53">
        <v>45646</v>
      </c>
      <c r="D836" s="52" t="s">
        <v>866</v>
      </c>
      <c r="E836" s="52" t="s">
        <v>867</v>
      </c>
      <c r="G836" s="52" t="s">
        <v>2212</v>
      </c>
      <c r="H836" s="40" t="s">
        <v>1546</v>
      </c>
      <c r="I836" s="40" t="s">
        <v>1818</v>
      </c>
      <c r="J836" s="43" t="str">
        <f t="shared" si="78"/>
        <v>ANYD</v>
      </c>
      <c r="K836" s="52" t="s">
        <v>10</v>
      </c>
      <c r="L836" s="40">
        <v>2004</v>
      </c>
      <c r="M836" s="52" t="s">
        <v>1472</v>
      </c>
      <c r="N836" s="52" t="s">
        <v>11</v>
      </c>
      <c r="O836" s="54">
        <v>17.805299999999999</v>
      </c>
      <c r="P836" s="45">
        <f t="shared" si="79"/>
        <v>35681.82</v>
      </c>
      <c r="Q836" s="46">
        <f t="shared" si="80"/>
        <v>7.3003400000000003</v>
      </c>
      <c r="R836" s="47">
        <f t="shared" si="81"/>
        <v>2.4390000000000001</v>
      </c>
      <c r="S836" s="48">
        <f t="shared" si="82"/>
        <v>4887.76</v>
      </c>
      <c r="T836" s="47" t="s">
        <v>349</v>
      </c>
      <c r="U836" s="52" t="s">
        <v>36</v>
      </c>
      <c r="V836" s="38">
        <v>7.1692999999999998</v>
      </c>
      <c r="W836" s="49">
        <f t="shared" si="83"/>
        <v>4977.0300029291566</v>
      </c>
    </row>
    <row r="837" spans="1:23" x14ac:dyDescent="0.2">
      <c r="A837" s="52" t="s">
        <v>2121</v>
      </c>
      <c r="B837" s="53">
        <v>45712</v>
      </c>
      <c r="C837" s="53">
        <v>45709</v>
      </c>
      <c r="D837" s="52" t="s">
        <v>2261</v>
      </c>
      <c r="E837" s="52" t="s">
        <v>2262</v>
      </c>
      <c r="G837" s="52" t="s">
        <v>2233</v>
      </c>
      <c r="H837" s="40" t="s">
        <v>1819</v>
      </c>
      <c r="I837" s="40" t="s">
        <v>1820</v>
      </c>
      <c r="J837" s="43" t="str">
        <f t="shared" si="78"/>
        <v>ALM-</v>
      </c>
      <c r="K837" s="52" t="s">
        <v>10</v>
      </c>
      <c r="L837" s="40">
        <v>34295</v>
      </c>
      <c r="M837" s="52" t="s">
        <v>186</v>
      </c>
      <c r="N837" s="52" t="s">
        <v>11</v>
      </c>
      <c r="O837" s="54">
        <v>18.380500000000001</v>
      </c>
      <c r="P837" s="45">
        <f t="shared" si="79"/>
        <v>630359.25</v>
      </c>
      <c r="Q837" s="46">
        <f t="shared" si="80"/>
        <v>7.3003400000000003</v>
      </c>
      <c r="R837" s="47">
        <f t="shared" si="81"/>
        <v>2.5177999999999998</v>
      </c>
      <c r="S837" s="48">
        <f t="shared" si="82"/>
        <v>86347.95</v>
      </c>
      <c r="T837" s="47" t="s">
        <v>349</v>
      </c>
      <c r="U837" s="52" t="s">
        <v>191</v>
      </c>
      <c r="V837" s="38">
        <v>7.1692999999999998</v>
      </c>
      <c r="W837" s="49">
        <f t="shared" si="83"/>
        <v>87924.79705131604</v>
      </c>
    </row>
    <row r="838" spans="1:23" x14ac:dyDescent="0.2">
      <c r="A838" s="52" t="s">
        <v>2122</v>
      </c>
      <c r="B838" s="53">
        <v>45699</v>
      </c>
      <c r="C838" s="53">
        <v>45664</v>
      </c>
      <c r="D838" s="52" t="s">
        <v>2263</v>
      </c>
      <c r="E838" s="52" t="s">
        <v>2264</v>
      </c>
      <c r="G838" s="52" t="s">
        <v>2234</v>
      </c>
      <c r="H838" s="40" t="s">
        <v>1821</v>
      </c>
      <c r="I838" s="40" t="s">
        <v>1822</v>
      </c>
      <c r="J838" s="43" t="str">
        <f t="shared" si="78"/>
        <v>INM-</v>
      </c>
      <c r="K838" s="52" t="s">
        <v>10</v>
      </c>
      <c r="L838" s="40">
        <v>113.29300000000001</v>
      </c>
      <c r="M838" s="52" t="s">
        <v>186</v>
      </c>
      <c r="N838" s="52" t="s">
        <v>2246</v>
      </c>
      <c r="O838" s="54">
        <v>21.21</v>
      </c>
      <c r="P838" s="45">
        <f t="shared" si="79"/>
        <v>2402.94</v>
      </c>
      <c r="Q838" s="46">
        <f t="shared" si="80"/>
        <v>1</v>
      </c>
      <c r="R838" s="47">
        <f t="shared" si="81"/>
        <v>21.21</v>
      </c>
      <c r="S838" s="48">
        <f t="shared" si="82"/>
        <v>2402.94</v>
      </c>
      <c r="T838" s="47" t="s">
        <v>349</v>
      </c>
      <c r="U838" s="52" t="s">
        <v>327</v>
      </c>
      <c r="V838" s="38">
        <v>7.1692999999999998</v>
      </c>
      <c r="W838" s="49">
        <f t="shared" si="83"/>
        <v>1</v>
      </c>
    </row>
    <row r="839" spans="1:23" x14ac:dyDescent="0.2">
      <c r="A839" s="52" t="s">
        <v>2123</v>
      </c>
      <c r="B839" s="53">
        <v>45712</v>
      </c>
      <c r="C839" s="53">
        <v>45671</v>
      </c>
      <c r="D839" s="52" t="s">
        <v>311</v>
      </c>
      <c r="E839" s="52" t="s">
        <v>312</v>
      </c>
      <c r="G839" s="52" t="s">
        <v>2235</v>
      </c>
      <c r="H839" s="40" t="s">
        <v>341</v>
      </c>
      <c r="I839" s="40" t="s">
        <v>342</v>
      </c>
      <c r="J839" s="43" t="str">
        <f t="shared" si="78"/>
        <v>INM-</v>
      </c>
      <c r="K839" s="52" t="s">
        <v>10</v>
      </c>
      <c r="L839" s="40">
        <v>50</v>
      </c>
      <c r="M839" s="52" t="s">
        <v>186</v>
      </c>
      <c r="N839" s="52" t="s">
        <v>11</v>
      </c>
      <c r="O839" s="54">
        <v>63.008800000000001</v>
      </c>
      <c r="P839" s="45">
        <f t="shared" si="79"/>
        <v>3150.44</v>
      </c>
      <c r="Q839" s="46">
        <f t="shared" si="80"/>
        <v>7.3003400000000003</v>
      </c>
      <c r="R839" s="47">
        <f t="shared" si="81"/>
        <v>8.6309000000000005</v>
      </c>
      <c r="S839" s="48">
        <f t="shared" si="82"/>
        <v>431.55</v>
      </c>
      <c r="T839" s="47" t="s">
        <v>349</v>
      </c>
      <c r="U839" s="52" t="s">
        <v>327</v>
      </c>
      <c r="V839" s="38">
        <v>7.1692999999999998</v>
      </c>
      <c r="W839" s="49">
        <f t="shared" si="83"/>
        <v>439.4348123247737</v>
      </c>
    </row>
    <row r="840" spans="1:23" x14ac:dyDescent="0.2">
      <c r="A840" s="52" t="s">
        <v>2124</v>
      </c>
      <c r="B840" s="53">
        <v>45712</v>
      </c>
      <c r="C840" s="53">
        <v>45699</v>
      </c>
      <c r="D840" s="52" t="s">
        <v>311</v>
      </c>
      <c r="E840" s="52" t="s">
        <v>312</v>
      </c>
      <c r="G840" s="52" t="s">
        <v>2236</v>
      </c>
      <c r="H840" s="40" t="s">
        <v>341</v>
      </c>
      <c r="I840" s="40" t="s">
        <v>342</v>
      </c>
      <c r="J840" s="43" t="str">
        <f t="shared" si="78"/>
        <v>INM-</v>
      </c>
      <c r="K840" s="52" t="s">
        <v>10</v>
      </c>
      <c r="L840" s="40">
        <v>50</v>
      </c>
      <c r="M840" s="52" t="s">
        <v>186</v>
      </c>
      <c r="N840" s="52" t="s">
        <v>11</v>
      </c>
      <c r="O840" s="54">
        <v>63.008800000000001</v>
      </c>
      <c r="P840" s="45">
        <f t="shared" si="79"/>
        <v>3150.44</v>
      </c>
      <c r="Q840" s="46">
        <f t="shared" si="80"/>
        <v>7.3003400000000003</v>
      </c>
      <c r="R840" s="47">
        <f t="shared" si="81"/>
        <v>8.6309000000000005</v>
      </c>
      <c r="S840" s="48">
        <f t="shared" si="82"/>
        <v>431.55</v>
      </c>
      <c r="T840" s="47" t="s">
        <v>349</v>
      </c>
      <c r="U840" s="52" t="s">
        <v>327</v>
      </c>
      <c r="V840" s="38">
        <v>7.1692999999999998</v>
      </c>
      <c r="W840" s="49">
        <f t="shared" si="83"/>
        <v>439.4348123247737</v>
      </c>
    </row>
    <row r="841" spans="1:23" x14ac:dyDescent="0.2">
      <c r="A841" s="52" t="s">
        <v>2125</v>
      </c>
      <c r="B841" s="53">
        <v>45705</v>
      </c>
      <c r="C841" s="53">
        <v>45672</v>
      </c>
      <c r="D841" s="52" t="s">
        <v>311</v>
      </c>
      <c r="E841" s="52" t="s">
        <v>312</v>
      </c>
      <c r="G841" s="52" t="s">
        <v>2237</v>
      </c>
      <c r="H841" s="40" t="s">
        <v>323</v>
      </c>
      <c r="I841" s="40" t="s">
        <v>324</v>
      </c>
      <c r="J841" s="43" t="str">
        <f t="shared" si="78"/>
        <v>INM-</v>
      </c>
      <c r="K841" s="52" t="s">
        <v>10</v>
      </c>
      <c r="L841" s="40">
        <v>25</v>
      </c>
      <c r="M841" s="52" t="s">
        <v>186</v>
      </c>
      <c r="N841" s="52" t="s">
        <v>11</v>
      </c>
      <c r="O841" s="54">
        <v>69.026499999999999</v>
      </c>
      <c r="P841" s="45">
        <f t="shared" si="79"/>
        <v>1725.66</v>
      </c>
      <c r="Q841" s="46">
        <f t="shared" si="80"/>
        <v>7.3003400000000003</v>
      </c>
      <c r="R841" s="47">
        <f t="shared" si="81"/>
        <v>9.4551999999999996</v>
      </c>
      <c r="S841" s="48">
        <f t="shared" si="82"/>
        <v>236.38</v>
      </c>
      <c r="T841" s="47" t="s">
        <v>349</v>
      </c>
      <c r="U841" s="52" t="s">
        <v>327</v>
      </c>
      <c r="V841" s="38">
        <v>7.1692999999999998</v>
      </c>
      <c r="W841" s="49">
        <f t="shared" si="83"/>
        <v>240.70167240874284</v>
      </c>
    </row>
    <row r="842" spans="1:23" x14ac:dyDescent="0.2">
      <c r="A842" s="52" t="s">
        <v>2126</v>
      </c>
      <c r="B842" s="53">
        <v>45712</v>
      </c>
      <c r="C842" s="53">
        <v>45698</v>
      </c>
      <c r="D842" s="52" t="s">
        <v>2265</v>
      </c>
      <c r="E842" s="52" t="s">
        <v>312</v>
      </c>
      <c r="G842" s="52" t="s">
        <v>2238</v>
      </c>
      <c r="H842" s="40" t="s">
        <v>1823</v>
      </c>
      <c r="I842" s="40" t="s">
        <v>1824</v>
      </c>
      <c r="J842" s="43" t="str">
        <f t="shared" si="78"/>
        <v>EXM-</v>
      </c>
      <c r="K842" s="52" t="s">
        <v>10</v>
      </c>
      <c r="L842" s="40">
        <v>25</v>
      </c>
      <c r="M842" s="52" t="s">
        <v>186</v>
      </c>
      <c r="N842" s="52" t="s">
        <v>11</v>
      </c>
      <c r="O842" s="54">
        <v>90.796499999999995</v>
      </c>
      <c r="P842" s="45">
        <f t="shared" si="79"/>
        <v>2269.91</v>
      </c>
      <c r="Q842" s="46">
        <f t="shared" si="80"/>
        <v>7.3003400000000003</v>
      </c>
      <c r="R842" s="47">
        <f t="shared" si="81"/>
        <v>12.4373</v>
      </c>
      <c r="S842" s="48">
        <f t="shared" si="82"/>
        <v>310.93</v>
      </c>
      <c r="T842" s="47" t="s">
        <v>349</v>
      </c>
      <c r="U842" s="52" t="s">
        <v>315</v>
      </c>
      <c r="V842" s="38">
        <v>7.1692999999999998</v>
      </c>
      <c r="W842" s="49">
        <f t="shared" si="83"/>
        <v>316.61563890477453</v>
      </c>
    </row>
    <row r="843" spans="1:23" x14ac:dyDescent="0.2">
      <c r="A843" s="52" t="s">
        <v>2127</v>
      </c>
      <c r="B843" s="53">
        <v>45712</v>
      </c>
      <c r="C843" s="53">
        <v>45671</v>
      </c>
      <c r="D843" s="52" t="s">
        <v>311</v>
      </c>
      <c r="E843" s="52" t="s">
        <v>312</v>
      </c>
      <c r="G843" s="52" t="s">
        <v>2235</v>
      </c>
      <c r="H843" s="40" t="s">
        <v>662</v>
      </c>
      <c r="I843" s="40" t="s">
        <v>663</v>
      </c>
      <c r="J843" s="43" t="str">
        <f t="shared" si="78"/>
        <v>INM-</v>
      </c>
      <c r="K843" s="52" t="s">
        <v>10</v>
      </c>
      <c r="L843" s="40">
        <v>75</v>
      </c>
      <c r="M843" s="52" t="s">
        <v>186</v>
      </c>
      <c r="N843" s="52" t="s">
        <v>11</v>
      </c>
      <c r="O843" s="54">
        <v>92.743399999999994</v>
      </c>
      <c r="P843" s="45">
        <f t="shared" si="79"/>
        <v>6955.76</v>
      </c>
      <c r="Q843" s="46">
        <f t="shared" si="80"/>
        <v>7.3003400000000003</v>
      </c>
      <c r="R843" s="47">
        <f t="shared" si="81"/>
        <v>12.704000000000001</v>
      </c>
      <c r="S843" s="48">
        <f t="shared" si="82"/>
        <v>952.8</v>
      </c>
      <c r="T843" s="47" t="s">
        <v>349</v>
      </c>
      <c r="U843" s="52" t="s">
        <v>327</v>
      </c>
      <c r="V843" s="38">
        <v>7.1692999999999998</v>
      </c>
      <c r="W843" s="49">
        <f t="shared" si="83"/>
        <v>970.21396789086793</v>
      </c>
    </row>
    <row r="844" spans="1:23" x14ac:dyDescent="0.2">
      <c r="A844" s="52" t="s">
        <v>2128</v>
      </c>
      <c r="B844" s="53">
        <v>45712</v>
      </c>
      <c r="C844" s="53">
        <v>45678</v>
      </c>
      <c r="D844" s="52" t="s">
        <v>311</v>
      </c>
      <c r="E844" s="52" t="s">
        <v>312</v>
      </c>
      <c r="G844" s="52" t="s">
        <v>2239</v>
      </c>
      <c r="H844" s="40" t="s">
        <v>662</v>
      </c>
      <c r="I844" s="40" t="s">
        <v>663</v>
      </c>
      <c r="J844" s="43" t="str">
        <f t="shared" si="78"/>
        <v>INM-</v>
      </c>
      <c r="K844" s="52" t="s">
        <v>10</v>
      </c>
      <c r="L844" s="40">
        <v>25</v>
      </c>
      <c r="M844" s="52" t="s">
        <v>186</v>
      </c>
      <c r="N844" s="52" t="s">
        <v>11</v>
      </c>
      <c r="O844" s="54">
        <v>92.743399999999994</v>
      </c>
      <c r="P844" s="45">
        <f t="shared" si="79"/>
        <v>2318.59</v>
      </c>
      <c r="Q844" s="46">
        <f t="shared" si="80"/>
        <v>7.3003400000000003</v>
      </c>
      <c r="R844" s="47">
        <f t="shared" si="81"/>
        <v>12.704000000000001</v>
      </c>
      <c r="S844" s="48">
        <f t="shared" si="82"/>
        <v>317.60000000000002</v>
      </c>
      <c r="T844" s="47" t="s">
        <v>349</v>
      </c>
      <c r="U844" s="52" t="s">
        <v>327</v>
      </c>
      <c r="V844" s="38">
        <v>7.1692999999999998</v>
      </c>
      <c r="W844" s="49">
        <f t="shared" si="83"/>
        <v>323.40465596362264</v>
      </c>
    </row>
    <row r="845" spans="1:23" x14ac:dyDescent="0.2">
      <c r="A845" s="52" t="s">
        <v>2129</v>
      </c>
      <c r="B845" s="53">
        <v>45712</v>
      </c>
      <c r="C845" s="53">
        <v>45695</v>
      </c>
      <c r="D845" s="52" t="s">
        <v>311</v>
      </c>
      <c r="E845" s="52" t="s">
        <v>312</v>
      </c>
      <c r="G845" s="52" t="s">
        <v>2240</v>
      </c>
      <c r="H845" s="40" t="s">
        <v>662</v>
      </c>
      <c r="I845" s="40" t="s">
        <v>663</v>
      </c>
      <c r="J845" s="43" t="str">
        <f t="shared" si="78"/>
        <v>INM-</v>
      </c>
      <c r="K845" s="52" t="s">
        <v>10</v>
      </c>
      <c r="L845" s="40">
        <v>100</v>
      </c>
      <c r="M845" s="52" t="s">
        <v>186</v>
      </c>
      <c r="N845" s="52" t="s">
        <v>11</v>
      </c>
      <c r="O845" s="54">
        <v>92.743399999999994</v>
      </c>
      <c r="P845" s="45">
        <f t="shared" si="79"/>
        <v>9274.34</v>
      </c>
      <c r="Q845" s="46">
        <f t="shared" si="80"/>
        <v>7.3003400000000003</v>
      </c>
      <c r="R845" s="47">
        <f t="shared" si="81"/>
        <v>12.704000000000001</v>
      </c>
      <c r="S845" s="48">
        <f t="shared" si="82"/>
        <v>1270.4000000000001</v>
      </c>
      <c r="T845" s="47" t="s">
        <v>349</v>
      </c>
      <c r="U845" s="52" t="s">
        <v>327</v>
      </c>
      <c r="V845" s="38">
        <v>7.1692999999999998</v>
      </c>
      <c r="W845" s="49">
        <f t="shared" si="83"/>
        <v>1293.6186238544906</v>
      </c>
    </row>
    <row r="846" spans="1:23" x14ac:dyDescent="0.2">
      <c r="A846" s="52" t="s">
        <v>2130</v>
      </c>
      <c r="B846" s="53">
        <v>45712</v>
      </c>
      <c r="C846" s="53">
        <v>45699</v>
      </c>
      <c r="D846" s="52" t="s">
        <v>311</v>
      </c>
      <c r="E846" s="52" t="s">
        <v>312</v>
      </c>
      <c r="G846" s="52" t="s">
        <v>2236</v>
      </c>
      <c r="H846" s="40" t="s">
        <v>662</v>
      </c>
      <c r="I846" s="40" t="s">
        <v>663</v>
      </c>
      <c r="J846" s="43" t="str">
        <f t="shared" si="78"/>
        <v>INM-</v>
      </c>
      <c r="K846" s="52" t="s">
        <v>10</v>
      </c>
      <c r="L846" s="40">
        <v>100</v>
      </c>
      <c r="M846" s="52" t="s">
        <v>186</v>
      </c>
      <c r="N846" s="52" t="s">
        <v>11</v>
      </c>
      <c r="O846" s="54">
        <v>92.743399999999994</v>
      </c>
      <c r="P846" s="45">
        <f t="shared" si="79"/>
        <v>9274.34</v>
      </c>
      <c r="Q846" s="46">
        <f t="shared" si="80"/>
        <v>7.3003400000000003</v>
      </c>
      <c r="R846" s="47">
        <f t="shared" si="81"/>
        <v>12.704000000000001</v>
      </c>
      <c r="S846" s="48">
        <f t="shared" si="82"/>
        <v>1270.4000000000001</v>
      </c>
      <c r="T846" s="47" t="s">
        <v>349</v>
      </c>
      <c r="U846" s="52" t="s">
        <v>327</v>
      </c>
      <c r="V846" s="38">
        <v>7.1692999999999998</v>
      </c>
      <c r="W846" s="49">
        <f t="shared" si="83"/>
        <v>1293.6186238544906</v>
      </c>
    </row>
    <row r="847" spans="1:23" x14ac:dyDescent="0.2">
      <c r="A847" s="52" t="s">
        <v>2131</v>
      </c>
      <c r="B847" s="53">
        <v>45701</v>
      </c>
      <c r="C847" s="53">
        <v>45630</v>
      </c>
      <c r="D847" s="52" t="s">
        <v>311</v>
      </c>
      <c r="E847" s="52" t="s">
        <v>312</v>
      </c>
      <c r="G847" s="52" t="s">
        <v>2241</v>
      </c>
      <c r="H847" s="40" t="s">
        <v>1825</v>
      </c>
      <c r="I847" s="40" t="s">
        <v>1826</v>
      </c>
      <c r="J847" s="43" t="str">
        <f t="shared" si="78"/>
        <v>EXM-</v>
      </c>
      <c r="K847" s="52" t="s">
        <v>10</v>
      </c>
      <c r="L847" s="40">
        <v>50</v>
      </c>
      <c r="M847" s="52" t="s">
        <v>186</v>
      </c>
      <c r="N847" s="52" t="s">
        <v>11</v>
      </c>
      <c r="O847" s="54">
        <v>108.3186</v>
      </c>
      <c r="P847" s="45">
        <f t="shared" si="79"/>
        <v>5415.93</v>
      </c>
      <c r="Q847" s="46">
        <f t="shared" si="80"/>
        <v>7.3003400000000003</v>
      </c>
      <c r="R847" s="47">
        <f t="shared" si="81"/>
        <v>14.8375</v>
      </c>
      <c r="S847" s="48">
        <f t="shared" si="82"/>
        <v>741.88</v>
      </c>
      <c r="T847" s="47" t="s">
        <v>349</v>
      </c>
      <c r="U847" s="52" t="s">
        <v>315</v>
      </c>
      <c r="V847" s="38">
        <v>7.1692999999999998</v>
      </c>
      <c r="W847" s="49">
        <f t="shared" si="83"/>
        <v>755.43358486881573</v>
      </c>
    </row>
    <row r="848" spans="1:23" x14ac:dyDescent="0.2">
      <c r="A848" s="52" t="s">
        <v>2132</v>
      </c>
      <c r="B848" s="53">
        <v>45701</v>
      </c>
      <c r="C848" s="53">
        <v>45657</v>
      </c>
      <c r="D848" s="52" t="s">
        <v>311</v>
      </c>
      <c r="E848" s="52" t="s">
        <v>312</v>
      </c>
      <c r="G848" s="52" t="s">
        <v>2242</v>
      </c>
      <c r="H848" s="40" t="s">
        <v>1825</v>
      </c>
      <c r="I848" s="40" t="s">
        <v>1826</v>
      </c>
      <c r="J848" s="43" t="str">
        <f t="shared" si="78"/>
        <v>EXM-</v>
      </c>
      <c r="K848" s="52" t="s">
        <v>10</v>
      </c>
      <c r="L848" s="40">
        <v>25</v>
      </c>
      <c r="M848" s="52" t="s">
        <v>186</v>
      </c>
      <c r="N848" s="52" t="s">
        <v>11</v>
      </c>
      <c r="O848" s="54">
        <v>108.3186</v>
      </c>
      <c r="P848" s="45">
        <f t="shared" si="79"/>
        <v>2707.97</v>
      </c>
      <c r="Q848" s="46">
        <f t="shared" si="80"/>
        <v>7.3003400000000003</v>
      </c>
      <c r="R848" s="47">
        <f t="shared" si="81"/>
        <v>14.8375</v>
      </c>
      <c r="S848" s="48">
        <f t="shared" si="82"/>
        <v>370.94</v>
      </c>
      <c r="T848" s="47" t="s">
        <v>349</v>
      </c>
      <c r="U848" s="52" t="s">
        <v>315</v>
      </c>
      <c r="V848" s="38">
        <v>7.1692999999999998</v>
      </c>
      <c r="W848" s="49">
        <f t="shared" si="83"/>
        <v>377.71679243440786</v>
      </c>
    </row>
    <row r="849" spans="1:23" x14ac:dyDescent="0.2">
      <c r="A849" s="52" t="s">
        <v>2133</v>
      </c>
      <c r="B849" s="53">
        <v>45701</v>
      </c>
      <c r="C849" s="53">
        <v>45672</v>
      </c>
      <c r="D849" s="52" t="s">
        <v>311</v>
      </c>
      <c r="E849" s="52" t="s">
        <v>312</v>
      </c>
      <c r="G849" s="52" t="s">
        <v>2243</v>
      </c>
      <c r="H849" s="40" t="s">
        <v>1825</v>
      </c>
      <c r="I849" s="40" t="s">
        <v>1826</v>
      </c>
      <c r="J849" s="43" t="str">
        <f t="shared" si="78"/>
        <v>EXM-</v>
      </c>
      <c r="K849" s="52" t="s">
        <v>10</v>
      </c>
      <c r="L849" s="40">
        <v>25</v>
      </c>
      <c r="M849" s="52" t="s">
        <v>186</v>
      </c>
      <c r="N849" s="52" t="s">
        <v>11</v>
      </c>
      <c r="O849" s="54">
        <v>108.3186</v>
      </c>
      <c r="P849" s="45">
        <f t="shared" si="79"/>
        <v>2707.97</v>
      </c>
      <c r="Q849" s="46">
        <f t="shared" si="80"/>
        <v>7.3003400000000003</v>
      </c>
      <c r="R849" s="47">
        <f t="shared" si="81"/>
        <v>14.8375</v>
      </c>
      <c r="S849" s="48">
        <f t="shared" si="82"/>
        <v>370.94</v>
      </c>
      <c r="T849" s="47" t="s">
        <v>349</v>
      </c>
      <c r="U849" s="52" t="s">
        <v>315</v>
      </c>
      <c r="V849" s="38">
        <v>7.1692999999999998</v>
      </c>
      <c r="W849" s="49">
        <f t="shared" si="83"/>
        <v>377.71679243440786</v>
      </c>
    </row>
    <row r="850" spans="1:23" x14ac:dyDescent="0.2">
      <c r="A850" s="52" t="s">
        <v>2134</v>
      </c>
      <c r="B850" s="53">
        <v>45701</v>
      </c>
      <c r="C850" s="53">
        <v>45672</v>
      </c>
      <c r="D850" s="52" t="s">
        <v>311</v>
      </c>
      <c r="E850" s="52" t="s">
        <v>312</v>
      </c>
      <c r="G850" s="52" t="s">
        <v>2243</v>
      </c>
      <c r="H850" s="40" t="s">
        <v>1827</v>
      </c>
      <c r="I850" s="40" t="s">
        <v>1828</v>
      </c>
      <c r="J850" s="43" t="str">
        <f t="shared" si="78"/>
        <v>EXM-</v>
      </c>
      <c r="K850" s="52" t="s">
        <v>10</v>
      </c>
      <c r="L850" s="40">
        <v>25</v>
      </c>
      <c r="M850" s="52" t="s">
        <v>186</v>
      </c>
      <c r="N850" s="52" t="s">
        <v>11</v>
      </c>
      <c r="O850" s="54">
        <v>110.6195</v>
      </c>
      <c r="P850" s="45">
        <f t="shared" si="79"/>
        <v>2765.49</v>
      </c>
      <c r="Q850" s="46">
        <f t="shared" si="80"/>
        <v>7.3003400000000003</v>
      </c>
      <c r="R850" s="47">
        <f t="shared" si="81"/>
        <v>15.152699999999999</v>
      </c>
      <c r="S850" s="48">
        <f t="shared" si="82"/>
        <v>378.82</v>
      </c>
      <c r="T850" s="47" t="s">
        <v>349</v>
      </c>
      <c r="U850" s="52" t="s">
        <v>315</v>
      </c>
      <c r="V850" s="38">
        <v>7.1692999999999998</v>
      </c>
      <c r="W850" s="49">
        <f t="shared" si="83"/>
        <v>385.74023963287914</v>
      </c>
    </row>
    <row r="851" spans="1:23" x14ac:dyDescent="0.2">
      <c r="A851" s="52" t="s">
        <v>2135</v>
      </c>
      <c r="B851" s="53">
        <v>45701</v>
      </c>
      <c r="C851" s="53">
        <v>45672</v>
      </c>
      <c r="D851" s="52" t="s">
        <v>311</v>
      </c>
      <c r="E851" s="52" t="s">
        <v>312</v>
      </c>
      <c r="G851" s="52" t="s">
        <v>2243</v>
      </c>
      <c r="H851" s="40" t="s">
        <v>320</v>
      </c>
      <c r="I851" s="40" t="s">
        <v>321</v>
      </c>
      <c r="J851" s="43" t="str">
        <f t="shared" si="78"/>
        <v>EXM-</v>
      </c>
      <c r="K851" s="52" t="s">
        <v>10</v>
      </c>
      <c r="L851" s="40">
        <v>25</v>
      </c>
      <c r="M851" s="52" t="s">
        <v>186</v>
      </c>
      <c r="N851" s="52" t="s">
        <v>11</v>
      </c>
      <c r="O851" s="54">
        <v>110.6195</v>
      </c>
      <c r="P851" s="45">
        <f t="shared" si="79"/>
        <v>2765.49</v>
      </c>
      <c r="Q851" s="46">
        <f t="shared" si="80"/>
        <v>7.3003400000000003</v>
      </c>
      <c r="R851" s="47">
        <f t="shared" si="81"/>
        <v>15.152699999999999</v>
      </c>
      <c r="S851" s="48">
        <f t="shared" si="82"/>
        <v>378.82</v>
      </c>
      <c r="T851" s="47" t="s">
        <v>349</v>
      </c>
      <c r="U851" s="52" t="s">
        <v>315</v>
      </c>
      <c r="V851" s="38">
        <v>7.1692999999999998</v>
      </c>
      <c r="W851" s="49">
        <f t="shared" si="83"/>
        <v>385.74023963287914</v>
      </c>
    </row>
    <row r="852" spans="1:23" x14ac:dyDescent="0.2">
      <c r="A852" s="52" t="s">
        <v>2136</v>
      </c>
      <c r="B852" s="53">
        <v>45712</v>
      </c>
      <c r="C852" s="53">
        <v>45678</v>
      </c>
      <c r="D852" s="52" t="s">
        <v>311</v>
      </c>
      <c r="E852" s="52" t="s">
        <v>312</v>
      </c>
      <c r="G852" s="52" t="s">
        <v>2244</v>
      </c>
      <c r="H852" s="40" t="s">
        <v>316</v>
      </c>
      <c r="I852" s="40" t="s">
        <v>317</v>
      </c>
      <c r="J852" s="43" t="str">
        <f t="shared" si="78"/>
        <v>EXM-</v>
      </c>
      <c r="K852" s="52" t="s">
        <v>10</v>
      </c>
      <c r="L852" s="40">
        <v>75</v>
      </c>
      <c r="M852" s="52" t="s">
        <v>186</v>
      </c>
      <c r="N852" s="52" t="s">
        <v>11</v>
      </c>
      <c r="O852" s="54">
        <v>117.3451</v>
      </c>
      <c r="P852" s="45">
        <f t="shared" si="79"/>
        <v>8800.8799999999992</v>
      </c>
      <c r="Q852" s="46">
        <f t="shared" si="80"/>
        <v>7.3003400000000003</v>
      </c>
      <c r="R852" s="47">
        <f t="shared" si="81"/>
        <v>16.073899999999998</v>
      </c>
      <c r="S852" s="48">
        <f t="shared" si="82"/>
        <v>1205.54</v>
      </c>
      <c r="T852" s="47" t="s">
        <v>349</v>
      </c>
      <c r="U852" s="52" t="s">
        <v>315</v>
      </c>
      <c r="V852" s="38">
        <v>7.1692999999999998</v>
      </c>
      <c r="W852" s="49">
        <f t="shared" si="83"/>
        <v>1227.5790523482069</v>
      </c>
    </row>
    <row r="853" spans="1:23" x14ac:dyDescent="0.2">
      <c r="A853" t="s">
        <v>2013</v>
      </c>
      <c r="B853" s="24">
        <v>45719</v>
      </c>
      <c r="C853" s="24">
        <v>45576</v>
      </c>
      <c r="D853" t="s">
        <v>94</v>
      </c>
      <c r="E853" t="s">
        <v>95</v>
      </c>
      <c r="F853" s="23"/>
      <c r="G853" t="s">
        <v>2847</v>
      </c>
      <c r="H853" t="s">
        <v>1728</v>
      </c>
      <c r="I853" t="s">
        <v>1729</v>
      </c>
      <c r="J853" s="11" t="str">
        <f>+LEFT(U853,4)</f>
        <v>LID-</v>
      </c>
      <c r="K853" t="s">
        <v>98</v>
      </c>
      <c r="L853">
        <v>755</v>
      </c>
      <c r="M853" t="s">
        <v>1472</v>
      </c>
      <c r="N853" t="s">
        <v>11</v>
      </c>
      <c r="O853">
        <v>3.3</v>
      </c>
      <c r="P853" s="45">
        <f t="shared" si="79"/>
        <v>2491.5</v>
      </c>
      <c r="Q853" s="13">
        <f>IF(N853="HKD",7.8,IF(N853="CNY",7.30034,1))</f>
        <v>7.3003400000000003</v>
      </c>
      <c r="R853" s="15">
        <f>+ROUND(O853/Q853,4)</f>
        <v>0.45200000000000001</v>
      </c>
      <c r="S853" s="14">
        <f>ROUND(R853*L853,2)</f>
        <v>341.26</v>
      </c>
      <c r="T853" s="15" t="s">
        <v>349</v>
      </c>
      <c r="U853" t="s">
        <v>368</v>
      </c>
      <c r="W853" s="49" t="e">
        <f t="shared" si="83"/>
        <v>#DIV/0!</v>
      </c>
    </row>
    <row r="854" spans="1:23" x14ac:dyDescent="0.2">
      <c r="A854" t="s">
        <v>2280</v>
      </c>
      <c r="B854" s="24">
        <v>45719</v>
      </c>
      <c r="C854" s="24">
        <v>45576</v>
      </c>
      <c r="D854" t="s">
        <v>94</v>
      </c>
      <c r="E854" t="s">
        <v>95</v>
      </c>
      <c r="F854" s="23"/>
      <c r="G854" t="s">
        <v>2847</v>
      </c>
      <c r="H854" t="s">
        <v>3061</v>
      </c>
      <c r="I854" t="s">
        <v>3277</v>
      </c>
      <c r="J854" s="11" t="str">
        <f>+LEFT(U854,4)</f>
        <v>LID-</v>
      </c>
      <c r="K854" t="s">
        <v>98</v>
      </c>
      <c r="L854">
        <v>1420</v>
      </c>
      <c r="M854" t="s">
        <v>1472</v>
      </c>
      <c r="N854" t="s">
        <v>11</v>
      </c>
      <c r="O854">
        <v>3.4</v>
      </c>
      <c r="P854" s="45">
        <f t="shared" si="79"/>
        <v>4828</v>
      </c>
      <c r="Q854" s="13">
        <f>IF(N854="HKD",7.8,IF(N854="CNY",7.30034,1))</f>
        <v>7.3003400000000003</v>
      </c>
      <c r="R854" s="15">
        <f>+ROUND(O854/Q854,4)</f>
        <v>0.4657</v>
      </c>
      <c r="S854" s="14">
        <f>ROUND(R854*L854,2)</f>
        <v>661.29</v>
      </c>
      <c r="T854" s="15" t="s">
        <v>349</v>
      </c>
      <c r="U854" t="s">
        <v>368</v>
      </c>
      <c r="W854" s="49" t="e">
        <f t="shared" si="83"/>
        <v>#DIV/0!</v>
      </c>
    </row>
    <row r="855" spans="1:23" x14ac:dyDescent="0.2">
      <c r="A855" t="s">
        <v>2285</v>
      </c>
      <c r="B855" s="24">
        <v>45719</v>
      </c>
      <c r="C855" s="24">
        <v>45611</v>
      </c>
      <c r="D855" t="s">
        <v>94</v>
      </c>
      <c r="E855" t="s">
        <v>95</v>
      </c>
      <c r="F855" s="23"/>
      <c r="G855" t="s">
        <v>2847</v>
      </c>
      <c r="H855" t="s">
        <v>3062</v>
      </c>
      <c r="I855" t="s">
        <v>3278</v>
      </c>
      <c r="J855" s="11" t="str">
        <f>+LEFT(U855,4)</f>
        <v>LID-</v>
      </c>
      <c r="K855" t="s">
        <v>98</v>
      </c>
      <c r="L855">
        <v>1010</v>
      </c>
      <c r="M855" t="s">
        <v>1472</v>
      </c>
      <c r="N855" t="s">
        <v>11</v>
      </c>
      <c r="O855">
        <v>3.5</v>
      </c>
      <c r="P855" s="45">
        <f t="shared" si="79"/>
        <v>3535</v>
      </c>
      <c r="Q855" s="13">
        <f>IF(N855="HKD",7.8,IF(N855="CNY",7.30034,1))</f>
        <v>7.3003400000000003</v>
      </c>
      <c r="R855" s="15">
        <f>+ROUND(O855/Q855,4)</f>
        <v>0.47939999999999999</v>
      </c>
      <c r="S855" s="14">
        <f>ROUND(R855*L855,2)</f>
        <v>484.19</v>
      </c>
      <c r="T855" s="15" t="s">
        <v>349</v>
      </c>
      <c r="U855" t="s">
        <v>368</v>
      </c>
      <c r="W855" s="49" t="e">
        <f t="shared" si="83"/>
        <v>#DIV/0!</v>
      </c>
    </row>
    <row r="856" spans="1:23" x14ac:dyDescent="0.2">
      <c r="A856" t="s">
        <v>2290</v>
      </c>
      <c r="B856" s="24">
        <v>45719</v>
      </c>
      <c r="C856" s="24">
        <v>45630</v>
      </c>
      <c r="D856" t="s">
        <v>94</v>
      </c>
      <c r="E856" t="s">
        <v>95</v>
      </c>
      <c r="F856" s="23"/>
      <c r="G856" t="s">
        <v>2855</v>
      </c>
      <c r="H856" t="s">
        <v>92</v>
      </c>
      <c r="I856" t="s">
        <v>93</v>
      </c>
      <c r="J856" s="11" t="str">
        <f>+LEFT(U856,4)</f>
        <v>SKU-</v>
      </c>
      <c r="K856" t="s">
        <v>98</v>
      </c>
      <c r="L856">
        <v>2500</v>
      </c>
      <c r="M856" t="s">
        <v>1472</v>
      </c>
      <c r="N856" t="s">
        <v>11</v>
      </c>
      <c r="O856">
        <v>6.298</v>
      </c>
      <c r="P856" s="45">
        <f t="shared" si="79"/>
        <v>15745</v>
      </c>
      <c r="Q856" s="13">
        <f>IF(N856="HKD",7.8,IF(N856="CNY",7.30034,1))</f>
        <v>7.3003400000000003</v>
      </c>
      <c r="R856" s="15">
        <f>+ROUND(O856/Q856,4)</f>
        <v>0.86270000000000002</v>
      </c>
      <c r="S856" s="14">
        <f>ROUND(R856*L856,2)</f>
        <v>2156.75</v>
      </c>
      <c r="T856" s="15" t="s">
        <v>349</v>
      </c>
      <c r="U856" t="s">
        <v>2</v>
      </c>
      <c r="W856" s="49" t="e">
        <f t="shared" si="83"/>
        <v>#DIV/0!</v>
      </c>
    </row>
    <row r="857" spans="1:23" x14ac:dyDescent="0.2">
      <c r="A857" t="s">
        <v>2064</v>
      </c>
      <c r="B857" s="24">
        <v>45719</v>
      </c>
      <c r="C857" s="24">
        <v>45630</v>
      </c>
      <c r="D857" t="s">
        <v>830</v>
      </c>
      <c r="E857" t="s">
        <v>831</v>
      </c>
      <c r="F857" s="23"/>
      <c r="G857" t="s">
        <v>2857</v>
      </c>
      <c r="H857" t="s">
        <v>828</v>
      </c>
      <c r="I857" t="s">
        <v>829</v>
      </c>
      <c r="J857" s="11" t="str">
        <f>+LEFT(U857,4)</f>
        <v>SKU-</v>
      </c>
      <c r="K857" t="s">
        <v>98</v>
      </c>
      <c r="L857">
        <v>200</v>
      </c>
      <c r="M857" t="s">
        <v>1472</v>
      </c>
      <c r="N857" t="s">
        <v>11</v>
      </c>
      <c r="O857">
        <v>5.0862999999999996</v>
      </c>
      <c r="P857" s="45">
        <f t="shared" si="79"/>
        <v>1017.26</v>
      </c>
      <c r="Q857" s="13">
        <f>IF(N857="HKD",7.8,IF(N857="CNY",7.30034,1))</f>
        <v>7.3003400000000003</v>
      </c>
      <c r="R857" s="15">
        <f>+ROUND(O857/Q857,4)</f>
        <v>0.69669999999999999</v>
      </c>
      <c r="S857" s="14">
        <f>ROUND(R857*L857,2)</f>
        <v>139.34</v>
      </c>
      <c r="T857" s="15" t="s">
        <v>349</v>
      </c>
      <c r="U857" t="s">
        <v>2</v>
      </c>
      <c r="W857" s="49" t="e">
        <f t="shared" si="83"/>
        <v>#DIV/0!</v>
      </c>
    </row>
    <row r="858" spans="1:23" x14ac:dyDescent="0.2">
      <c r="A858" t="s">
        <v>2293</v>
      </c>
      <c r="B858" s="24">
        <v>45719</v>
      </c>
      <c r="C858" s="24">
        <v>45643</v>
      </c>
      <c r="D858" t="s">
        <v>169</v>
      </c>
      <c r="E858" t="s">
        <v>170</v>
      </c>
      <c r="F858" s="23"/>
      <c r="G858" t="s">
        <v>2861</v>
      </c>
      <c r="H858" t="s">
        <v>3067</v>
      </c>
      <c r="I858" t="s">
        <v>3283</v>
      </c>
      <c r="J858" s="11" t="str">
        <f>+LEFT(U858,4)</f>
        <v>STKR</v>
      </c>
      <c r="K858" t="s">
        <v>10</v>
      </c>
      <c r="L858">
        <v>1600</v>
      </c>
      <c r="M858" t="s">
        <v>1472</v>
      </c>
      <c r="N858" t="s">
        <v>11</v>
      </c>
      <c r="O858">
        <v>4.2000000000000003E-2</v>
      </c>
      <c r="P858" s="45">
        <f t="shared" si="79"/>
        <v>67.2</v>
      </c>
      <c r="Q858" s="13">
        <f>IF(N858="HKD",7.8,IF(N858="CNY",7.30034,1))</f>
        <v>7.3003400000000003</v>
      </c>
      <c r="R858" s="15">
        <f>+ROUND(O858/Q858,4)</f>
        <v>5.7999999999999996E-3</v>
      </c>
      <c r="S858" s="14">
        <f>ROUND(R858*L858,2)</f>
        <v>9.2799999999999994</v>
      </c>
      <c r="T858" s="15" t="s">
        <v>349</v>
      </c>
      <c r="U858" t="s">
        <v>18</v>
      </c>
      <c r="W858" s="49" t="e">
        <f t="shared" si="83"/>
        <v>#DIV/0!</v>
      </c>
    </row>
    <row r="859" spans="1:23" x14ac:dyDescent="0.2">
      <c r="A859" t="s">
        <v>2294</v>
      </c>
      <c r="B859" s="24">
        <v>45719</v>
      </c>
      <c r="C859" s="24">
        <v>45643</v>
      </c>
      <c r="D859" t="s">
        <v>169</v>
      </c>
      <c r="E859" t="s">
        <v>170</v>
      </c>
      <c r="F859" s="23"/>
      <c r="G859" t="s">
        <v>2861</v>
      </c>
      <c r="H859" t="s">
        <v>3067</v>
      </c>
      <c r="I859" t="s">
        <v>3283</v>
      </c>
      <c r="J859" s="11" t="str">
        <f>+LEFT(U859,4)</f>
        <v>STKR</v>
      </c>
      <c r="K859" t="s">
        <v>10</v>
      </c>
      <c r="L859">
        <v>30</v>
      </c>
      <c r="M859" t="s">
        <v>1472</v>
      </c>
      <c r="N859" t="s">
        <v>11</v>
      </c>
      <c r="O859">
        <v>4.2000000000000003E-2</v>
      </c>
      <c r="P859" s="45">
        <f t="shared" si="79"/>
        <v>1.26</v>
      </c>
      <c r="Q859" s="13">
        <f>IF(N859="HKD",7.8,IF(N859="CNY",7.30034,1))</f>
        <v>7.3003400000000003</v>
      </c>
      <c r="R859" s="15">
        <f>+ROUND(O859/Q859,4)</f>
        <v>5.7999999999999996E-3</v>
      </c>
      <c r="S859" s="14">
        <f>ROUND(R859*L859,2)</f>
        <v>0.17</v>
      </c>
      <c r="T859" s="15" t="s">
        <v>349</v>
      </c>
      <c r="U859" t="s">
        <v>18</v>
      </c>
      <c r="W859" s="49" t="e">
        <f t="shared" si="83"/>
        <v>#DIV/0!</v>
      </c>
    </row>
    <row r="860" spans="1:23" x14ac:dyDescent="0.2">
      <c r="A860" t="s">
        <v>2296</v>
      </c>
      <c r="B860" s="24">
        <v>45719</v>
      </c>
      <c r="C860" s="24">
        <v>45646</v>
      </c>
      <c r="D860" t="s">
        <v>94</v>
      </c>
      <c r="E860" t="s">
        <v>95</v>
      </c>
      <c r="F860" s="23"/>
      <c r="G860" t="s">
        <v>2855</v>
      </c>
      <c r="H860" t="s">
        <v>92</v>
      </c>
      <c r="I860" t="s">
        <v>93</v>
      </c>
      <c r="J860" s="11" t="str">
        <f>+LEFT(U860,4)</f>
        <v>SKU-</v>
      </c>
      <c r="K860" t="s">
        <v>98</v>
      </c>
      <c r="L860">
        <v>2000</v>
      </c>
      <c r="M860" t="s">
        <v>1472</v>
      </c>
      <c r="N860" t="s">
        <v>11</v>
      </c>
      <c r="O860">
        <v>6.298</v>
      </c>
      <c r="P860" s="45">
        <f t="shared" si="79"/>
        <v>12596</v>
      </c>
      <c r="Q860" s="13">
        <f>IF(N860="HKD",7.8,IF(N860="CNY",7.30034,1))</f>
        <v>7.3003400000000003</v>
      </c>
      <c r="R860" s="15">
        <f>+ROUND(O860/Q860,4)</f>
        <v>0.86270000000000002</v>
      </c>
      <c r="S860" s="14">
        <f>ROUND(R860*L860,2)</f>
        <v>1725.4</v>
      </c>
      <c r="T860" s="15" t="s">
        <v>349</v>
      </c>
      <c r="U860" t="s">
        <v>2</v>
      </c>
      <c r="W860" s="49" t="e">
        <f t="shared" si="83"/>
        <v>#DIV/0!</v>
      </c>
    </row>
    <row r="861" spans="1:23" x14ac:dyDescent="0.2">
      <c r="A861" t="s">
        <v>2298</v>
      </c>
      <c r="B861" s="24">
        <v>45719</v>
      </c>
      <c r="C861" s="24">
        <v>45646</v>
      </c>
      <c r="D861" t="s">
        <v>830</v>
      </c>
      <c r="E861" t="s">
        <v>831</v>
      </c>
      <c r="F861" s="23"/>
      <c r="G861" t="s">
        <v>2857</v>
      </c>
      <c r="H861" t="s">
        <v>828</v>
      </c>
      <c r="I861" t="s">
        <v>829</v>
      </c>
      <c r="J861" s="11" t="str">
        <f>+LEFT(U861,4)</f>
        <v>SKU-</v>
      </c>
      <c r="K861" t="s">
        <v>98</v>
      </c>
      <c r="L861">
        <v>3500</v>
      </c>
      <c r="M861" t="s">
        <v>1472</v>
      </c>
      <c r="N861" t="s">
        <v>11</v>
      </c>
      <c r="O861">
        <v>5.0862999999999996</v>
      </c>
      <c r="P861" s="45">
        <f t="shared" si="79"/>
        <v>17802.05</v>
      </c>
      <c r="Q861" s="13">
        <f>IF(N861="HKD",7.8,IF(N861="CNY",7.30034,1))</f>
        <v>7.3003400000000003</v>
      </c>
      <c r="R861" s="15">
        <f>+ROUND(O861/Q861,4)</f>
        <v>0.69669999999999999</v>
      </c>
      <c r="S861" s="14">
        <f>ROUND(R861*L861,2)</f>
        <v>2438.4499999999998</v>
      </c>
      <c r="T861" s="15" t="s">
        <v>349</v>
      </c>
      <c r="U861" t="s">
        <v>2</v>
      </c>
      <c r="W861" s="49" t="e">
        <f t="shared" si="83"/>
        <v>#DIV/0!</v>
      </c>
    </row>
    <row r="862" spans="1:23" x14ac:dyDescent="0.2">
      <c r="A862" t="s">
        <v>2054</v>
      </c>
      <c r="B862" s="24">
        <v>45719</v>
      </c>
      <c r="C862" s="24">
        <v>45656</v>
      </c>
      <c r="D862" t="s">
        <v>128</v>
      </c>
      <c r="E862" t="s">
        <v>129</v>
      </c>
      <c r="F862" s="23"/>
      <c r="G862" t="s">
        <v>2868</v>
      </c>
      <c r="H862" t="s">
        <v>1762</v>
      </c>
      <c r="I862" t="s">
        <v>1763</v>
      </c>
      <c r="J862" s="11" t="str">
        <f>+LEFT(U862,4)</f>
        <v>HDL-</v>
      </c>
      <c r="K862" t="s">
        <v>10</v>
      </c>
      <c r="L862">
        <v>1950</v>
      </c>
      <c r="M862" t="s">
        <v>1472</v>
      </c>
      <c r="N862" t="s">
        <v>11</v>
      </c>
      <c r="O862">
        <v>4.5491999999999999</v>
      </c>
      <c r="P862" s="45">
        <f t="shared" si="79"/>
        <v>8870.94</v>
      </c>
      <c r="Q862" s="13">
        <f>IF(N862="HKD",7.8,IF(N862="CNY",7.30034,1))</f>
        <v>7.3003400000000003</v>
      </c>
      <c r="R862" s="15">
        <f>+ROUND(O862/Q862,4)</f>
        <v>0.62309999999999999</v>
      </c>
      <c r="S862" s="14">
        <f>ROUND(R862*L862,2)</f>
        <v>1215.05</v>
      </c>
      <c r="T862" s="15" t="s">
        <v>349</v>
      </c>
      <c r="U862" t="s">
        <v>228</v>
      </c>
      <c r="W862" s="49" t="e">
        <f t="shared" si="83"/>
        <v>#DIV/0!</v>
      </c>
    </row>
    <row r="863" spans="1:23" x14ac:dyDescent="0.2">
      <c r="A863" t="s">
        <v>2301</v>
      </c>
      <c r="B863" s="24">
        <v>45719</v>
      </c>
      <c r="C863" s="24">
        <v>45660</v>
      </c>
      <c r="D863" t="s">
        <v>569</v>
      </c>
      <c r="E863" t="s">
        <v>570</v>
      </c>
      <c r="F863" s="23"/>
      <c r="G863" t="s">
        <v>2870</v>
      </c>
      <c r="H863" t="s">
        <v>1508</v>
      </c>
      <c r="I863" t="s">
        <v>1509</v>
      </c>
      <c r="J863" s="11" t="str">
        <f>+LEFT(U863,4)</f>
        <v>ANYD</v>
      </c>
      <c r="K863" t="s">
        <v>10</v>
      </c>
      <c r="L863">
        <v>1000</v>
      </c>
      <c r="M863" t="s">
        <v>1472</v>
      </c>
      <c r="N863" t="s">
        <v>11</v>
      </c>
      <c r="O863">
        <v>2.75</v>
      </c>
      <c r="P863" s="45">
        <f t="shared" si="79"/>
        <v>2750</v>
      </c>
      <c r="Q863" s="13">
        <f>IF(N863="HKD",7.8,IF(N863="CNY",7.30034,1))</f>
        <v>7.3003400000000003</v>
      </c>
      <c r="R863" s="15">
        <f>+ROUND(O863/Q863,4)</f>
        <v>0.37669999999999998</v>
      </c>
      <c r="S863" s="14">
        <f>ROUND(R863*L863,2)</f>
        <v>376.7</v>
      </c>
      <c r="T863" s="15" t="s">
        <v>349</v>
      </c>
      <c r="U863" t="s">
        <v>36</v>
      </c>
      <c r="W863" s="49" t="e">
        <f t="shared" si="83"/>
        <v>#DIV/0!</v>
      </c>
    </row>
    <row r="864" spans="1:23" x14ac:dyDescent="0.2">
      <c r="A864" t="s">
        <v>2302</v>
      </c>
      <c r="B864" s="24">
        <v>45719</v>
      </c>
      <c r="C864" s="24">
        <v>45660</v>
      </c>
      <c r="D864" t="s">
        <v>569</v>
      </c>
      <c r="E864" t="s">
        <v>570</v>
      </c>
      <c r="F864" s="23"/>
      <c r="G864" t="s">
        <v>2870</v>
      </c>
      <c r="H864" t="s">
        <v>1521</v>
      </c>
      <c r="I864" t="s">
        <v>1522</v>
      </c>
      <c r="J864" s="11" t="str">
        <f>+LEFT(U864,4)</f>
        <v>ANYD</v>
      </c>
      <c r="K864" t="s">
        <v>10</v>
      </c>
      <c r="L864">
        <v>1000</v>
      </c>
      <c r="M864" t="s">
        <v>1472</v>
      </c>
      <c r="N864" t="s">
        <v>11</v>
      </c>
      <c r="O864">
        <v>3.1</v>
      </c>
      <c r="P864" s="45">
        <f t="shared" si="79"/>
        <v>3100</v>
      </c>
      <c r="Q864" s="13">
        <f>IF(N864="HKD",7.8,IF(N864="CNY",7.30034,1))</f>
        <v>7.3003400000000003</v>
      </c>
      <c r="R864" s="15">
        <f>+ROUND(O864/Q864,4)</f>
        <v>0.42459999999999998</v>
      </c>
      <c r="S864" s="14">
        <f>ROUND(R864*L864,2)</f>
        <v>424.6</v>
      </c>
      <c r="T864" s="15" t="s">
        <v>349</v>
      </c>
      <c r="U864" t="s">
        <v>36</v>
      </c>
      <c r="W864" s="49" t="e">
        <f t="shared" si="83"/>
        <v>#DIV/0!</v>
      </c>
    </row>
    <row r="865" spans="1:23" x14ac:dyDescent="0.2">
      <c r="A865" t="s">
        <v>2308</v>
      </c>
      <c r="B865" s="24">
        <v>45719</v>
      </c>
      <c r="C865" s="24">
        <v>45664</v>
      </c>
      <c r="D865" t="s">
        <v>28</v>
      </c>
      <c r="E865" t="s">
        <v>29</v>
      </c>
      <c r="F865" s="23"/>
      <c r="G865" t="s">
        <v>2874</v>
      </c>
      <c r="H865" t="s">
        <v>3072</v>
      </c>
      <c r="I865" t="s">
        <v>3289</v>
      </c>
      <c r="J865" s="11" t="str">
        <f>+LEFT(U865,4)</f>
        <v>LHDL</v>
      </c>
      <c r="K865" t="s">
        <v>10</v>
      </c>
      <c r="L865">
        <v>1530</v>
      </c>
      <c r="M865" t="s">
        <v>1472</v>
      </c>
      <c r="N865" t="s">
        <v>11</v>
      </c>
      <c r="O865">
        <v>2.1898</v>
      </c>
      <c r="P865" s="45">
        <f t="shared" si="79"/>
        <v>3350.39</v>
      </c>
      <c r="Q865" s="13">
        <f>IF(N865="HKD",7.8,IF(N865="CNY",7.30034,1))</f>
        <v>7.3003400000000003</v>
      </c>
      <c r="R865" s="15">
        <f>+ROUND(O865/Q865,4)</f>
        <v>0.3</v>
      </c>
      <c r="S865" s="14">
        <f>ROUND(R865*L865,2)</f>
        <v>459</v>
      </c>
      <c r="T865" s="15" t="s">
        <v>349</v>
      </c>
      <c r="U865" t="s">
        <v>125</v>
      </c>
      <c r="W865" s="49" t="e">
        <f t="shared" si="83"/>
        <v>#DIV/0!</v>
      </c>
    </row>
    <row r="866" spans="1:23" x14ac:dyDescent="0.2">
      <c r="A866" t="s">
        <v>2309</v>
      </c>
      <c r="B866" s="24">
        <v>45719</v>
      </c>
      <c r="C866" s="24">
        <v>45664</v>
      </c>
      <c r="D866" t="s">
        <v>28</v>
      </c>
      <c r="E866" t="s">
        <v>29</v>
      </c>
      <c r="F866" s="23"/>
      <c r="G866" t="s">
        <v>2874</v>
      </c>
      <c r="H866" t="s">
        <v>3073</v>
      </c>
      <c r="I866" t="s">
        <v>948</v>
      </c>
      <c r="J866" s="11" t="str">
        <f>+LEFT(U866,4)</f>
        <v>LHDL</v>
      </c>
      <c r="K866" t="s">
        <v>10</v>
      </c>
      <c r="L866">
        <v>510</v>
      </c>
      <c r="M866" t="s">
        <v>1472</v>
      </c>
      <c r="N866" t="s">
        <v>11</v>
      </c>
      <c r="O866">
        <v>2.1898</v>
      </c>
      <c r="P866" s="45">
        <f t="shared" si="79"/>
        <v>1116.8</v>
      </c>
      <c r="Q866" s="13">
        <f>IF(N866="HKD",7.8,IF(N866="CNY",7.30034,1))</f>
        <v>7.3003400000000003</v>
      </c>
      <c r="R866" s="15">
        <f>+ROUND(O866/Q866,4)</f>
        <v>0.3</v>
      </c>
      <c r="S866" s="14">
        <f>ROUND(R866*L866,2)</f>
        <v>153</v>
      </c>
      <c r="T866" s="15" t="s">
        <v>349</v>
      </c>
      <c r="U866" t="s">
        <v>125</v>
      </c>
      <c r="W866" s="49" t="e">
        <f t="shared" si="83"/>
        <v>#DIV/0!</v>
      </c>
    </row>
    <row r="867" spans="1:23" x14ac:dyDescent="0.2">
      <c r="A867" t="s">
        <v>2310</v>
      </c>
      <c r="B867" s="24">
        <v>45719</v>
      </c>
      <c r="C867" s="24">
        <v>45664</v>
      </c>
      <c r="D867" t="s">
        <v>28</v>
      </c>
      <c r="E867" t="s">
        <v>29</v>
      </c>
      <c r="F867" s="23"/>
      <c r="G867" t="s">
        <v>2874</v>
      </c>
      <c r="H867" t="s">
        <v>3074</v>
      </c>
      <c r="I867" t="s">
        <v>3290</v>
      </c>
      <c r="J867" s="11" t="str">
        <f>+LEFT(U867,4)</f>
        <v>LHDL</v>
      </c>
      <c r="K867" t="s">
        <v>10</v>
      </c>
      <c r="L867">
        <v>1530</v>
      </c>
      <c r="M867" t="s">
        <v>1472</v>
      </c>
      <c r="N867" t="s">
        <v>11</v>
      </c>
      <c r="O867">
        <v>2.1898</v>
      </c>
      <c r="P867" s="45">
        <f t="shared" si="79"/>
        <v>3350.39</v>
      </c>
      <c r="Q867" s="13">
        <f>IF(N867="HKD",7.8,IF(N867="CNY",7.30034,1))</f>
        <v>7.3003400000000003</v>
      </c>
      <c r="R867" s="15">
        <f>+ROUND(O867/Q867,4)</f>
        <v>0.3</v>
      </c>
      <c r="S867" s="14">
        <f>ROUND(R867*L867,2)</f>
        <v>459</v>
      </c>
      <c r="T867" s="15" t="s">
        <v>349</v>
      </c>
      <c r="U867" t="s">
        <v>125</v>
      </c>
      <c r="W867" s="49" t="e">
        <f t="shared" si="83"/>
        <v>#DIV/0!</v>
      </c>
    </row>
    <row r="868" spans="1:23" x14ac:dyDescent="0.2">
      <c r="A868" t="s">
        <v>2311</v>
      </c>
      <c r="B868" s="24">
        <v>45719</v>
      </c>
      <c r="C868" s="24">
        <v>45664</v>
      </c>
      <c r="D868" t="s">
        <v>28</v>
      </c>
      <c r="E868" t="s">
        <v>29</v>
      </c>
      <c r="F868" s="23"/>
      <c r="G868" t="s">
        <v>2874</v>
      </c>
      <c r="H868" t="s">
        <v>3075</v>
      </c>
      <c r="I868" t="s">
        <v>3291</v>
      </c>
      <c r="J868" s="11" t="str">
        <f>+LEFT(U868,4)</f>
        <v>LHDL</v>
      </c>
      <c r="K868" t="s">
        <v>10</v>
      </c>
      <c r="L868">
        <v>1010</v>
      </c>
      <c r="M868" t="s">
        <v>1472</v>
      </c>
      <c r="N868" t="s">
        <v>11</v>
      </c>
      <c r="O868">
        <v>2.1898</v>
      </c>
      <c r="P868" s="45">
        <f t="shared" si="79"/>
        <v>2211.6999999999998</v>
      </c>
      <c r="Q868" s="13">
        <f>IF(N868="HKD",7.8,IF(N868="CNY",7.30034,1))</f>
        <v>7.3003400000000003</v>
      </c>
      <c r="R868" s="15">
        <f>+ROUND(O868/Q868,4)</f>
        <v>0.3</v>
      </c>
      <c r="S868" s="14">
        <f>ROUND(R868*L868,2)</f>
        <v>303</v>
      </c>
      <c r="T868" s="15" t="s">
        <v>349</v>
      </c>
      <c r="U868" t="s">
        <v>125</v>
      </c>
      <c r="W868" s="49" t="e">
        <f t="shared" si="83"/>
        <v>#DIV/0!</v>
      </c>
    </row>
    <row r="869" spans="1:23" x14ac:dyDescent="0.2">
      <c r="A869" t="s">
        <v>2312</v>
      </c>
      <c r="B869" s="24">
        <v>45719</v>
      </c>
      <c r="C869" s="24">
        <v>45664</v>
      </c>
      <c r="D869" t="s">
        <v>2819</v>
      </c>
      <c r="E869" t="s">
        <v>2820</v>
      </c>
      <c r="F869" s="23"/>
      <c r="G869" t="s">
        <v>2875</v>
      </c>
      <c r="H869" t="s">
        <v>3076</v>
      </c>
      <c r="I869" t="s">
        <v>3292</v>
      </c>
      <c r="J869" s="11" t="str">
        <f>+LEFT(U869,4)</f>
        <v>HDL-</v>
      </c>
      <c r="K869" t="s">
        <v>10</v>
      </c>
      <c r="L869">
        <v>1020</v>
      </c>
      <c r="M869" t="s">
        <v>1472</v>
      </c>
      <c r="N869" t="s">
        <v>11</v>
      </c>
      <c r="O869">
        <v>7.4577999999999998</v>
      </c>
      <c r="P869" s="45">
        <f t="shared" si="79"/>
        <v>7606.96</v>
      </c>
      <c r="Q869" s="13">
        <f>IF(N869="HKD",7.8,IF(N869="CNY",7.30034,1))</f>
        <v>7.3003400000000003</v>
      </c>
      <c r="R869" s="15">
        <f>+ROUND(O869/Q869,4)</f>
        <v>1.0216000000000001</v>
      </c>
      <c r="S869" s="14">
        <f>ROUND(R869*L869,2)</f>
        <v>1042.03</v>
      </c>
      <c r="T869" s="15" t="s">
        <v>349</v>
      </c>
      <c r="U869" t="s">
        <v>228</v>
      </c>
      <c r="W869" s="49" t="e">
        <f t="shared" si="83"/>
        <v>#DIV/0!</v>
      </c>
    </row>
    <row r="870" spans="1:23" x14ac:dyDescent="0.2">
      <c r="A870" t="s">
        <v>2313</v>
      </c>
      <c r="B870" s="24">
        <v>45719</v>
      </c>
      <c r="C870" s="24">
        <v>45664</v>
      </c>
      <c r="D870" t="s">
        <v>2819</v>
      </c>
      <c r="E870" t="s">
        <v>2820</v>
      </c>
      <c r="F870" s="23"/>
      <c r="G870" t="s">
        <v>2875</v>
      </c>
      <c r="H870" t="s">
        <v>3077</v>
      </c>
      <c r="I870" t="s">
        <v>3293</v>
      </c>
      <c r="J870" s="11" t="str">
        <f>+LEFT(U870,4)</f>
        <v>HDL-</v>
      </c>
      <c r="K870" t="s">
        <v>10</v>
      </c>
      <c r="L870">
        <v>1550</v>
      </c>
      <c r="M870" t="s">
        <v>1472</v>
      </c>
      <c r="N870" t="s">
        <v>11</v>
      </c>
      <c r="O870">
        <v>7.4577999999999998</v>
      </c>
      <c r="P870" s="45">
        <f t="shared" si="79"/>
        <v>11559.59</v>
      </c>
      <c r="Q870" s="13">
        <f>IF(N870="HKD",7.8,IF(N870="CNY",7.30034,1))</f>
        <v>7.3003400000000003</v>
      </c>
      <c r="R870" s="15">
        <f>+ROUND(O870/Q870,4)</f>
        <v>1.0216000000000001</v>
      </c>
      <c r="S870" s="14">
        <f>ROUND(R870*L870,2)</f>
        <v>1583.48</v>
      </c>
      <c r="T870" s="15" t="s">
        <v>349</v>
      </c>
      <c r="U870" t="s">
        <v>228</v>
      </c>
      <c r="W870" s="49" t="e">
        <f t="shared" si="83"/>
        <v>#DIV/0!</v>
      </c>
    </row>
    <row r="871" spans="1:23" x14ac:dyDescent="0.2">
      <c r="A871" t="s">
        <v>2314</v>
      </c>
      <c r="B871" s="24">
        <v>45719</v>
      </c>
      <c r="C871" s="24">
        <v>45664</v>
      </c>
      <c r="D871" t="s">
        <v>2819</v>
      </c>
      <c r="E871" t="s">
        <v>2820</v>
      </c>
      <c r="F871" s="23"/>
      <c r="G871" t="s">
        <v>2875</v>
      </c>
      <c r="H871" t="s">
        <v>3078</v>
      </c>
      <c r="I871" t="s">
        <v>3294</v>
      </c>
      <c r="J871" s="11" t="str">
        <f>+LEFT(U871,4)</f>
        <v>HDL-</v>
      </c>
      <c r="K871" t="s">
        <v>10</v>
      </c>
      <c r="L871">
        <v>520</v>
      </c>
      <c r="M871" t="s">
        <v>1472</v>
      </c>
      <c r="N871" t="s">
        <v>11</v>
      </c>
      <c r="O871">
        <v>7.4577999999999998</v>
      </c>
      <c r="P871" s="45">
        <f t="shared" si="79"/>
        <v>3878.06</v>
      </c>
      <c r="Q871" s="13">
        <f>IF(N871="HKD",7.8,IF(N871="CNY",7.30034,1))</f>
        <v>7.3003400000000003</v>
      </c>
      <c r="R871" s="15">
        <f>+ROUND(O871/Q871,4)</f>
        <v>1.0216000000000001</v>
      </c>
      <c r="S871" s="14">
        <f>ROUND(R871*L871,2)</f>
        <v>531.23</v>
      </c>
      <c r="T871" s="15" t="s">
        <v>349</v>
      </c>
      <c r="U871" t="s">
        <v>228</v>
      </c>
      <c r="W871" s="49" t="e">
        <f t="shared" si="83"/>
        <v>#DIV/0!</v>
      </c>
    </row>
    <row r="872" spans="1:23" x14ac:dyDescent="0.2">
      <c r="A872" t="s">
        <v>2315</v>
      </c>
      <c r="B872" s="24">
        <v>45719</v>
      </c>
      <c r="C872" s="24">
        <v>45664</v>
      </c>
      <c r="D872" t="s">
        <v>2819</v>
      </c>
      <c r="E872" t="s">
        <v>2820</v>
      </c>
      <c r="F872" s="23"/>
      <c r="G872" t="s">
        <v>2875</v>
      </c>
      <c r="H872" t="s">
        <v>3079</v>
      </c>
      <c r="I872" t="s">
        <v>3295</v>
      </c>
      <c r="J872" s="11" t="str">
        <f>+LEFT(U872,4)</f>
        <v>HDL-</v>
      </c>
      <c r="K872" t="s">
        <v>10</v>
      </c>
      <c r="L872">
        <v>1500</v>
      </c>
      <c r="M872" t="s">
        <v>1472</v>
      </c>
      <c r="N872" t="s">
        <v>11</v>
      </c>
      <c r="O872">
        <v>8.0116999999999994</v>
      </c>
      <c r="P872" s="45">
        <f t="shared" si="79"/>
        <v>12017.55</v>
      </c>
      <c r="Q872" s="13">
        <f>IF(N872="HKD",7.8,IF(N872="CNY",7.30034,1))</f>
        <v>7.3003400000000003</v>
      </c>
      <c r="R872" s="15">
        <f>+ROUND(O872/Q872,4)</f>
        <v>1.0973999999999999</v>
      </c>
      <c r="S872" s="14">
        <f>ROUND(R872*L872,2)</f>
        <v>1646.1</v>
      </c>
      <c r="T872" s="15" t="s">
        <v>349</v>
      </c>
      <c r="U872" t="s">
        <v>228</v>
      </c>
      <c r="W872" s="49" t="e">
        <f t="shared" si="83"/>
        <v>#DIV/0!</v>
      </c>
    </row>
    <row r="873" spans="1:23" x14ac:dyDescent="0.2">
      <c r="A873" t="s">
        <v>2319</v>
      </c>
      <c r="B873" s="24">
        <v>45719</v>
      </c>
      <c r="C873" s="24">
        <v>45664</v>
      </c>
      <c r="D873" t="s">
        <v>925</v>
      </c>
      <c r="E873" t="s">
        <v>926</v>
      </c>
      <c r="F873" s="23"/>
      <c r="G873" t="s">
        <v>2878</v>
      </c>
      <c r="H873" t="s">
        <v>3080</v>
      </c>
      <c r="I873" t="s">
        <v>3296</v>
      </c>
      <c r="J873" s="11" t="str">
        <f>+LEFT(U873,4)</f>
        <v>SHDL</v>
      </c>
      <c r="K873" t="s">
        <v>10</v>
      </c>
      <c r="L873">
        <v>2010</v>
      </c>
      <c r="M873" t="s">
        <v>1472</v>
      </c>
      <c r="N873" t="s">
        <v>11</v>
      </c>
      <c r="O873">
        <v>2.4539</v>
      </c>
      <c r="P873" s="45">
        <f t="shared" si="79"/>
        <v>4932.34</v>
      </c>
      <c r="Q873" s="13">
        <f>IF(N873="HKD",7.8,IF(N873="CNY",7.30034,1))</f>
        <v>7.3003400000000003</v>
      </c>
      <c r="R873" s="15">
        <f>+ROUND(O873/Q873,4)</f>
        <v>0.33610000000000001</v>
      </c>
      <c r="S873" s="14">
        <f>ROUND(R873*L873,2)</f>
        <v>675.56</v>
      </c>
      <c r="T873" s="15" t="s">
        <v>349</v>
      </c>
      <c r="U873" t="s">
        <v>722</v>
      </c>
      <c r="W873" s="49" t="e">
        <f t="shared" si="83"/>
        <v>#DIV/0!</v>
      </c>
    </row>
    <row r="874" spans="1:23" x14ac:dyDescent="0.2">
      <c r="A874" t="s">
        <v>2328</v>
      </c>
      <c r="B874" s="24">
        <v>45719</v>
      </c>
      <c r="C874" s="24">
        <v>45671</v>
      </c>
      <c r="D874" t="s">
        <v>28</v>
      </c>
      <c r="E874" t="s">
        <v>29</v>
      </c>
      <c r="F874" s="23"/>
      <c r="G874" t="s">
        <v>2874</v>
      </c>
      <c r="H874" t="s">
        <v>1162</v>
      </c>
      <c r="I874" t="s">
        <v>1163</v>
      </c>
      <c r="J874" s="11" t="str">
        <f>+LEFT(U874,4)</f>
        <v>FG--</v>
      </c>
      <c r="K874" t="s">
        <v>10</v>
      </c>
      <c r="L874">
        <v>3100</v>
      </c>
      <c r="M874" t="s">
        <v>1472</v>
      </c>
      <c r="N874" t="s">
        <v>11</v>
      </c>
      <c r="O874">
        <v>1.3540000000000001</v>
      </c>
      <c r="P874" s="45">
        <f t="shared" si="79"/>
        <v>4197.3999999999996</v>
      </c>
      <c r="Q874" s="13">
        <f>IF(N874="HKD",7.8,IF(N874="CNY",7.30034,1))</f>
        <v>7.3003400000000003</v>
      </c>
      <c r="R874" s="15">
        <f>+ROUND(O874/Q874,4)</f>
        <v>0.1855</v>
      </c>
      <c r="S874" s="14">
        <f>ROUND(R874*L874,2)</f>
        <v>575.04999999999995</v>
      </c>
      <c r="T874" s="15" t="s">
        <v>349</v>
      </c>
      <c r="U874" t="s">
        <v>64</v>
      </c>
      <c r="W874" s="49" t="e">
        <f t="shared" si="83"/>
        <v>#DIV/0!</v>
      </c>
    </row>
    <row r="875" spans="1:23" x14ac:dyDescent="0.2">
      <c r="A875" t="s">
        <v>2329</v>
      </c>
      <c r="B875" s="24">
        <v>45719</v>
      </c>
      <c r="C875" s="24">
        <v>45671</v>
      </c>
      <c r="D875" t="s">
        <v>128</v>
      </c>
      <c r="E875" t="s">
        <v>129</v>
      </c>
      <c r="F875" s="23"/>
      <c r="G875" t="s">
        <v>2868</v>
      </c>
      <c r="H875" t="s">
        <v>3084</v>
      </c>
      <c r="I875" t="s">
        <v>3300</v>
      </c>
      <c r="J875" s="11" t="str">
        <f>+LEFT(U875,4)</f>
        <v>HDL-</v>
      </c>
      <c r="K875" t="s">
        <v>10</v>
      </c>
      <c r="L875">
        <v>960</v>
      </c>
      <c r="M875" t="s">
        <v>1472</v>
      </c>
      <c r="N875" t="s">
        <v>11</v>
      </c>
      <c r="O875">
        <v>3.2145000000000001</v>
      </c>
      <c r="P875" s="45">
        <f t="shared" si="79"/>
        <v>3085.92</v>
      </c>
      <c r="Q875" s="13">
        <f>IF(N875="HKD",7.8,IF(N875="CNY",7.30034,1))</f>
        <v>7.3003400000000003</v>
      </c>
      <c r="R875" s="15">
        <f>+ROUND(O875/Q875,4)</f>
        <v>0.44030000000000002</v>
      </c>
      <c r="S875" s="14">
        <f>ROUND(R875*L875,2)</f>
        <v>422.69</v>
      </c>
      <c r="T875" s="15" t="s">
        <v>349</v>
      </c>
      <c r="U875" t="s">
        <v>228</v>
      </c>
      <c r="W875" s="49" t="e">
        <f t="shared" si="83"/>
        <v>#DIV/0!</v>
      </c>
    </row>
    <row r="876" spans="1:23" x14ac:dyDescent="0.2">
      <c r="A876" t="s">
        <v>2330</v>
      </c>
      <c r="B876" s="24">
        <v>45719</v>
      </c>
      <c r="C876" s="24">
        <v>45671</v>
      </c>
      <c r="D876" t="s">
        <v>169</v>
      </c>
      <c r="E876" t="s">
        <v>170</v>
      </c>
      <c r="F876" s="23"/>
      <c r="G876" t="s">
        <v>2887</v>
      </c>
      <c r="H876" t="s">
        <v>3085</v>
      </c>
      <c r="I876" t="s">
        <v>3301</v>
      </c>
      <c r="J876" s="11" t="str">
        <f>+LEFT(U876,4)</f>
        <v>STKR</v>
      </c>
      <c r="K876" t="s">
        <v>10</v>
      </c>
      <c r="L876">
        <v>9100</v>
      </c>
      <c r="M876" t="s">
        <v>1472</v>
      </c>
      <c r="N876" t="s">
        <v>11</v>
      </c>
      <c r="O876">
        <v>4.2000000000000003E-2</v>
      </c>
      <c r="P876" s="45">
        <f t="shared" si="79"/>
        <v>382.2</v>
      </c>
      <c r="Q876" s="13">
        <f>IF(N876="HKD",7.8,IF(N876="CNY",7.30034,1))</f>
        <v>7.3003400000000003</v>
      </c>
      <c r="R876" s="15">
        <f>+ROUND(O876/Q876,4)</f>
        <v>5.7999999999999996E-3</v>
      </c>
      <c r="S876" s="14">
        <f>ROUND(R876*L876,2)</f>
        <v>52.78</v>
      </c>
      <c r="T876" s="15" t="s">
        <v>349</v>
      </c>
      <c r="U876" t="s">
        <v>18</v>
      </c>
      <c r="W876" s="49" t="e">
        <f t="shared" si="83"/>
        <v>#DIV/0!</v>
      </c>
    </row>
    <row r="877" spans="1:23" x14ac:dyDescent="0.2">
      <c r="A877" t="s">
        <v>2331</v>
      </c>
      <c r="B877" s="24">
        <v>45719</v>
      </c>
      <c r="C877" s="24">
        <v>45671</v>
      </c>
      <c r="D877" t="s">
        <v>169</v>
      </c>
      <c r="E877" t="s">
        <v>170</v>
      </c>
      <c r="F877" s="23"/>
      <c r="G877" t="s">
        <v>2887</v>
      </c>
      <c r="H877" t="s">
        <v>1133</v>
      </c>
      <c r="I877" t="s">
        <v>1134</v>
      </c>
      <c r="J877" s="11" t="str">
        <f>+LEFT(U877,4)</f>
        <v>STKR</v>
      </c>
      <c r="K877" t="s">
        <v>10</v>
      </c>
      <c r="L877">
        <v>4000</v>
      </c>
      <c r="M877" t="s">
        <v>1472</v>
      </c>
      <c r="N877" t="s">
        <v>11</v>
      </c>
      <c r="O877">
        <v>2.5899999999999999E-2</v>
      </c>
      <c r="P877" s="45">
        <f t="shared" si="79"/>
        <v>103.6</v>
      </c>
      <c r="Q877" s="13">
        <f>IF(N877="HKD",7.8,IF(N877="CNY",7.30034,1))</f>
        <v>7.3003400000000003</v>
      </c>
      <c r="R877" s="15">
        <f>+ROUND(O877/Q877,4)</f>
        <v>3.5000000000000001E-3</v>
      </c>
      <c r="S877" s="14">
        <f>ROUND(R877*L877,2)</f>
        <v>14</v>
      </c>
      <c r="T877" s="15" t="s">
        <v>349</v>
      </c>
      <c r="U877" t="s">
        <v>18</v>
      </c>
      <c r="W877" s="49" t="e">
        <f t="shared" si="83"/>
        <v>#DIV/0!</v>
      </c>
    </row>
    <row r="878" spans="1:23" x14ac:dyDescent="0.2">
      <c r="A878" t="s">
        <v>2332</v>
      </c>
      <c r="B878" s="24">
        <v>45719</v>
      </c>
      <c r="C878" s="24">
        <v>45671</v>
      </c>
      <c r="D878" t="s">
        <v>169</v>
      </c>
      <c r="E878" t="s">
        <v>170</v>
      </c>
      <c r="F878" s="23"/>
      <c r="G878" t="s">
        <v>2887</v>
      </c>
      <c r="H878" t="s">
        <v>3085</v>
      </c>
      <c r="I878" t="s">
        <v>3301</v>
      </c>
      <c r="J878" s="11" t="str">
        <f>+LEFT(U878,4)</f>
        <v>STKR</v>
      </c>
      <c r="K878" t="s">
        <v>10</v>
      </c>
      <c r="L878">
        <v>50</v>
      </c>
      <c r="M878" t="s">
        <v>1472</v>
      </c>
      <c r="N878" t="s">
        <v>11</v>
      </c>
      <c r="O878">
        <v>4.2000000000000003E-2</v>
      </c>
      <c r="P878" s="45">
        <f t="shared" si="79"/>
        <v>2.1</v>
      </c>
      <c r="Q878" s="13">
        <f>IF(N878="HKD",7.8,IF(N878="CNY",7.30034,1))</f>
        <v>7.3003400000000003</v>
      </c>
      <c r="R878" s="15">
        <f>+ROUND(O878/Q878,4)</f>
        <v>5.7999999999999996E-3</v>
      </c>
      <c r="S878" s="14">
        <f>ROUND(R878*L878,2)</f>
        <v>0.28999999999999998</v>
      </c>
      <c r="T878" s="15" t="s">
        <v>349</v>
      </c>
      <c r="U878" t="s">
        <v>18</v>
      </c>
      <c r="W878" s="49" t="e">
        <f t="shared" si="83"/>
        <v>#DIV/0!</v>
      </c>
    </row>
    <row r="879" spans="1:23" x14ac:dyDescent="0.2">
      <c r="A879" t="s">
        <v>2333</v>
      </c>
      <c r="B879" s="24">
        <v>45719</v>
      </c>
      <c r="C879" s="24">
        <v>45671</v>
      </c>
      <c r="D879" t="s">
        <v>169</v>
      </c>
      <c r="E879" t="s">
        <v>170</v>
      </c>
      <c r="F879" s="23"/>
      <c r="G879" t="s">
        <v>2889</v>
      </c>
      <c r="H879" t="s">
        <v>3086</v>
      </c>
      <c r="I879" t="s">
        <v>3302</v>
      </c>
      <c r="J879" s="11" t="str">
        <f>+LEFT(U879,4)</f>
        <v>BHRE</v>
      </c>
      <c r="K879" t="s">
        <v>10</v>
      </c>
      <c r="L879">
        <v>2000</v>
      </c>
      <c r="M879" t="s">
        <v>1472</v>
      </c>
      <c r="N879" t="s">
        <v>11</v>
      </c>
      <c r="O879">
        <v>1.22</v>
      </c>
      <c r="P879" s="45">
        <f t="shared" si="79"/>
        <v>2440</v>
      </c>
      <c r="Q879" s="13">
        <f>IF(N879="HKD",7.8,IF(N879="CNY",7.30034,1))</f>
        <v>7.3003400000000003</v>
      </c>
      <c r="R879" s="15">
        <f>+ROUND(O879/Q879,4)</f>
        <v>0.1671</v>
      </c>
      <c r="S879" s="14">
        <f>ROUND(R879*L879,2)</f>
        <v>334.2</v>
      </c>
      <c r="T879" s="15" t="s">
        <v>349</v>
      </c>
      <c r="U879" t="s">
        <v>173</v>
      </c>
      <c r="W879" s="49" t="e">
        <f t="shared" si="83"/>
        <v>#DIV/0!</v>
      </c>
    </row>
    <row r="880" spans="1:23" x14ac:dyDescent="0.2">
      <c r="A880" t="s">
        <v>2334</v>
      </c>
      <c r="B880" s="24">
        <v>45719</v>
      </c>
      <c r="C880" s="24">
        <v>45671</v>
      </c>
      <c r="D880" t="s">
        <v>169</v>
      </c>
      <c r="E880" t="s">
        <v>170</v>
      </c>
      <c r="F880" s="23"/>
      <c r="G880" t="s">
        <v>2889</v>
      </c>
      <c r="H880" t="s">
        <v>3086</v>
      </c>
      <c r="I880" t="s">
        <v>3302</v>
      </c>
      <c r="J880" s="11" t="str">
        <f>+LEFT(U880,4)</f>
        <v>BHRE</v>
      </c>
      <c r="K880" t="s">
        <v>10</v>
      </c>
      <c r="L880">
        <v>50</v>
      </c>
      <c r="M880" t="s">
        <v>1472</v>
      </c>
      <c r="N880" t="s">
        <v>11</v>
      </c>
      <c r="O880">
        <v>1.22</v>
      </c>
      <c r="P880" s="45">
        <f t="shared" si="79"/>
        <v>61</v>
      </c>
      <c r="Q880" s="13">
        <f>IF(N880="HKD",7.8,IF(N880="CNY",7.30034,1))</f>
        <v>7.3003400000000003</v>
      </c>
      <c r="R880" s="15">
        <f>+ROUND(O880/Q880,4)</f>
        <v>0.1671</v>
      </c>
      <c r="S880" s="14">
        <f>ROUND(R880*L880,2)</f>
        <v>8.36</v>
      </c>
      <c r="T880" s="15" t="s">
        <v>349</v>
      </c>
      <c r="U880" t="s">
        <v>173</v>
      </c>
      <c r="W880" s="49" t="e">
        <f t="shared" si="83"/>
        <v>#DIV/0!</v>
      </c>
    </row>
    <row r="881" spans="1:23" x14ac:dyDescent="0.2">
      <c r="A881" t="s">
        <v>2335</v>
      </c>
      <c r="B881" s="24">
        <v>45719</v>
      </c>
      <c r="C881" s="24">
        <v>45674</v>
      </c>
      <c r="D881" t="s">
        <v>545</v>
      </c>
      <c r="E881" t="s">
        <v>546</v>
      </c>
      <c r="F881" s="23"/>
      <c r="G881" t="s">
        <v>2892</v>
      </c>
      <c r="H881" t="s">
        <v>557</v>
      </c>
      <c r="I881" t="s">
        <v>558</v>
      </c>
      <c r="J881" s="11" t="str">
        <f>+LEFT(U881,4)</f>
        <v>WHR-</v>
      </c>
      <c r="K881" t="s">
        <v>10</v>
      </c>
      <c r="L881">
        <v>1000</v>
      </c>
      <c r="M881" t="s">
        <v>1472</v>
      </c>
      <c r="N881" t="s">
        <v>11</v>
      </c>
      <c r="O881">
        <v>3.9800000000000002E-2</v>
      </c>
      <c r="P881" s="45">
        <f t="shared" si="79"/>
        <v>39.799999999999997</v>
      </c>
      <c r="Q881" s="13">
        <f>IF(N881="HKD",7.8,IF(N881="CNY",7.30034,1))</f>
        <v>7.3003400000000003</v>
      </c>
      <c r="R881" s="15">
        <f>+ROUND(O881/Q881,4)</f>
        <v>5.4999999999999997E-3</v>
      </c>
      <c r="S881" s="14">
        <f>ROUND(R881*L881,2)</f>
        <v>5.5</v>
      </c>
      <c r="T881" s="15" t="s">
        <v>349</v>
      </c>
      <c r="U881" t="s">
        <v>248</v>
      </c>
      <c r="W881" s="49" t="e">
        <f t="shared" si="83"/>
        <v>#DIV/0!</v>
      </c>
    </row>
    <row r="882" spans="1:23" x14ac:dyDescent="0.2">
      <c r="A882" t="s">
        <v>2337</v>
      </c>
      <c r="B882" s="24">
        <v>45719</v>
      </c>
      <c r="C882" s="24">
        <v>45674</v>
      </c>
      <c r="D882" t="s">
        <v>169</v>
      </c>
      <c r="E882" t="s">
        <v>170</v>
      </c>
      <c r="F882" s="23"/>
      <c r="G882" t="s">
        <v>2894</v>
      </c>
      <c r="H882" t="s">
        <v>1659</v>
      </c>
      <c r="I882" t="s">
        <v>643</v>
      </c>
      <c r="J882" s="11" t="str">
        <f>+LEFT(U882,4)</f>
        <v>U&amp;C-</v>
      </c>
      <c r="K882" t="s">
        <v>10</v>
      </c>
      <c r="L882">
        <v>4600</v>
      </c>
      <c r="M882" t="s">
        <v>1472</v>
      </c>
      <c r="N882" t="s">
        <v>11</v>
      </c>
      <c r="O882">
        <v>1.53</v>
      </c>
      <c r="P882" s="45">
        <f t="shared" si="79"/>
        <v>7038</v>
      </c>
      <c r="Q882" s="13">
        <f>IF(N882="HKD",7.8,IF(N882="CNY",7.30034,1))</f>
        <v>7.3003400000000003</v>
      </c>
      <c r="R882" s="15">
        <f>+ROUND(O882/Q882,4)</f>
        <v>0.20960000000000001</v>
      </c>
      <c r="S882" s="14">
        <f>ROUND(R882*L882,2)</f>
        <v>964.16</v>
      </c>
      <c r="T882" s="15" t="s">
        <v>349</v>
      </c>
      <c r="U882" t="s">
        <v>177</v>
      </c>
      <c r="W882" s="49" t="e">
        <f t="shared" si="83"/>
        <v>#DIV/0!</v>
      </c>
    </row>
    <row r="883" spans="1:23" x14ac:dyDescent="0.2">
      <c r="A883" t="s">
        <v>2338</v>
      </c>
      <c r="B883" s="24">
        <v>45719</v>
      </c>
      <c r="C883" s="24">
        <v>45674</v>
      </c>
      <c r="D883" t="s">
        <v>169</v>
      </c>
      <c r="E883" t="s">
        <v>170</v>
      </c>
      <c r="F883" s="23"/>
      <c r="G883" t="s">
        <v>2894</v>
      </c>
      <c r="H883" t="s">
        <v>646</v>
      </c>
      <c r="I883" t="s">
        <v>647</v>
      </c>
      <c r="J883" s="11" t="str">
        <f>+LEFT(U883,4)</f>
        <v>PRIM</v>
      </c>
      <c r="K883" t="s">
        <v>10</v>
      </c>
      <c r="L883">
        <v>6500</v>
      </c>
      <c r="M883" t="s">
        <v>1472</v>
      </c>
      <c r="N883" t="s">
        <v>11</v>
      </c>
      <c r="O883">
        <v>1.46</v>
      </c>
      <c r="P883" s="45">
        <f t="shared" si="79"/>
        <v>9490</v>
      </c>
      <c r="Q883" s="13">
        <f>IF(N883="HKD",7.8,IF(N883="CNY",7.30034,1))</f>
        <v>7.3003400000000003</v>
      </c>
      <c r="R883" s="15">
        <f>+ROUND(O883/Q883,4)</f>
        <v>0.2</v>
      </c>
      <c r="S883" s="14">
        <f>ROUND(R883*L883,2)</f>
        <v>1300</v>
      </c>
      <c r="T883" s="15" t="s">
        <v>349</v>
      </c>
      <c r="U883" t="s">
        <v>181</v>
      </c>
      <c r="W883" s="49" t="e">
        <f t="shared" si="83"/>
        <v>#DIV/0!</v>
      </c>
    </row>
    <row r="884" spans="1:23" x14ac:dyDescent="0.2">
      <c r="A884" t="s">
        <v>2365</v>
      </c>
      <c r="B884" s="24">
        <v>45719</v>
      </c>
      <c r="C884" s="24">
        <v>45694</v>
      </c>
      <c r="D884" t="s">
        <v>169</v>
      </c>
      <c r="E884" t="s">
        <v>170</v>
      </c>
      <c r="F884" s="23"/>
      <c r="G884" t="s">
        <v>2904</v>
      </c>
      <c r="H884" t="s">
        <v>3088</v>
      </c>
      <c r="I884" t="s">
        <v>3304</v>
      </c>
      <c r="J884" s="11" t="str">
        <f>+LEFT(U884,4)</f>
        <v>SKU-</v>
      </c>
      <c r="K884" t="s">
        <v>98</v>
      </c>
      <c r="L884">
        <v>3000</v>
      </c>
      <c r="M884" t="s">
        <v>1472</v>
      </c>
      <c r="N884" t="s">
        <v>11</v>
      </c>
      <c r="O884">
        <v>2.79</v>
      </c>
      <c r="P884" s="45">
        <f t="shared" si="79"/>
        <v>8370</v>
      </c>
      <c r="Q884" s="13">
        <f>IF(N884="HKD",7.8,IF(N884="CNY",7.30034,1))</f>
        <v>7.3003400000000003</v>
      </c>
      <c r="R884" s="15">
        <f>+ROUND(O884/Q884,4)</f>
        <v>0.38219999999999998</v>
      </c>
      <c r="S884" s="14">
        <f>ROUND(R884*L884,2)</f>
        <v>1146.5999999999999</v>
      </c>
      <c r="T884" s="15" t="s">
        <v>349</v>
      </c>
      <c r="U884" t="s">
        <v>2</v>
      </c>
      <c r="W884" s="49" t="e">
        <f t="shared" si="83"/>
        <v>#DIV/0!</v>
      </c>
    </row>
    <row r="885" spans="1:23" x14ac:dyDescent="0.2">
      <c r="A885" t="s">
        <v>2366</v>
      </c>
      <c r="B885" s="24">
        <v>45719</v>
      </c>
      <c r="C885" s="24">
        <v>45695</v>
      </c>
      <c r="D885" t="s">
        <v>21</v>
      </c>
      <c r="E885" t="s">
        <v>22</v>
      </c>
      <c r="F885" s="23"/>
      <c r="G885" t="s">
        <v>2905</v>
      </c>
      <c r="H885" t="s">
        <v>1432</v>
      </c>
      <c r="I885" t="s">
        <v>1433</v>
      </c>
      <c r="J885" s="11" t="str">
        <f>+LEFT(U885,4)</f>
        <v>FG--</v>
      </c>
      <c r="K885" t="s">
        <v>10</v>
      </c>
      <c r="L885">
        <v>1040</v>
      </c>
      <c r="M885" t="s">
        <v>1472</v>
      </c>
      <c r="N885" t="s">
        <v>11</v>
      </c>
      <c r="O885">
        <v>0.65390000000000004</v>
      </c>
      <c r="P885" s="45">
        <f t="shared" si="79"/>
        <v>680.06</v>
      </c>
      <c r="Q885" s="13">
        <f>IF(N885="HKD",7.8,IF(N885="CNY",7.30034,1))</f>
        <v>7.3003400000000003</v>
      </c>
      <c r="R885" s="15">
        <f>+ROUND(O885/Q885,4)</f>
        <v>8.9599999999999999E-2</v>
      </c>
      <c r="S885" s="14">
        <f>ROUND(R885*L885,2)</f>
        <v>93.18</v>
      </c>
      <c r="T885" s="15" t="s">
        <v>349</v>
      </c>
      <c r="U885" t="s">
        <v>64</v>
      </c>
      <c r="W885" s="49" t="e">
        <f t="shared" si="83"/>
        <v>#DIV/0!</v>
      </c>
    </row>
    <row r="886" spans="1:23" x14ac:dyDescent="0.2">
      <c r="A886" t="s">
        <v>2367</v>
      </c>
      <c r="B886" s="24">
        <v>45719</v>
      </c>
      <c r="C886" s="24">
        <v>45695</v>
      </c>
      <c r="D886" t="s">
        <v>21</v>
      </c>
      <c r="E886" t="s">
        <v>22</v>
      </c>
      <c r="F886" s="23"/>
      <c r="G886" t="s">
        <v>2905</v>
      </c>
      <c r="H886" t="s">
        <v>3089</v>
      </c>
      <c r="I886" t="s">
        <v>3305</v>
      </c>
      <c r="J886" s="11" t="str">
        <f>+LEFT(U886,4)</f>
        <v>HDL-</v>
      </c>
      <c r="K886" t="s">
        <v>10</v>
      </c>
      <c r="L886">
        <v>1000</v>
      </c>
      <c r="M886" t="s">
        <v>1472</v>
      </c>
      <c r="N886" t="s">
        <v>11</v>
      </c>
      <c r="O886">
        <v>6.3521000000000001</v>
      </c>
      <c r="P886" s="45">
        <f t="shared" si="79"/>
        <v>6352.1</v>
      </c>
      <c r="Q886" s="13">
        <f>IF(N886="HKD",7.8,IF(N886="CNY",7.30034,1))</f>
        <v>7.3003400000000003</v>
      </c>
      <c r="R886" s="15">
        <f>+ROUND(O886/Q886,4)</f>
        <v>0.87009999999999998</v>
      </c>
      <c r="S886" s="14">
        <f>ROUND(R886*L886,2)</f>
        <v>870.1</v>
      </c>
      <c r="T886" s="15" t="s">
        <v>349</v>
      </c>
      <c r="U886" t="s">
        <v>228</v>
      </c>
      <c r="W886" s="49" t="e">
        <f t="shared" si="83"/>
        <v>#DIV/0!</v>
      </c>
    </row>
    <row r="887" spans="1:23" x14ac:dyDescent="0.2">
      <c r="A887" t="s">
        <v>2380</v>
      </c>
      <c r="B887" s="24">
        <v>45719</v>
      </c>
      <c r="C887" s="24">
        <v>45695</v>
      </c>
      <c r="D887" t="s">
        <v>569</v>
      </c>
      <c r="E887" t="s">
        <v>570</v>
      </c>
      <c r="F887" s="23"/>
      <c r="G887" t="s">
        <v>2870</v>
      </c>
      <c r="H887" t="s">
        <v>769</v>
      </c>
      <c r="I887" t="s">
        <v>770</v>
      </c>
      <c r="J887" s="11" t="str">
        <f>+LEFT(U887,4)</f>
        <v>ANYD</v>
      </c>
      <c r="K887" t="s">
        <v>10</v>
      </c>
      <c r="L887">
        <v>3500</v>
      </c>
      <c r="M887" t="s">
        <v>1472</v>
      </c>
      <c r="N887" t="s">
        <v>11</v>
      </c>
      <c r="O887">
        <v>4.8019999999999996</v>
      </c>
      <c r="P887" s="45">
        <f t="shared" si="79"/>
        <v>16807</v>
      </c>
      <c r="Q887" s="13">
        <f>IF(N887="HKD",7.8,IF(N887="CNY",7.30034,1))</f>
        <v>7.3003400000000003</v>
      </c>
      <c r="R887" s="15">
        <f>+ROUND(O887/Q887,4)</f>
        <v>0.65780000000000005</v>
      </c>
      <c r="S887" s="14">
        <f>ROUND(R887*L887,2)</f>
        <v>2302.3000000000002</v>
      </c>
      <c r="T887" s="15" t="s">
        <v>349</v>
      </c>
      <c r="U887" t="s">
        <v>36</v>
      </c>
      <c r="W887" s="49" t="e">
        <f t="shared" si="83"/>
        <v>#DIV/0!</v>
      </c>
    </row>
    <row r="888" spans="1:23" x14ac:dyDescent="0.2">
      <c r="A888" t="s">
        <v>2395</v>
      </c>
      <c r="B888" s="24">
        <v>45719</v>
      </c>
      <c r="C888" s="24">
        <v>45695</v>
      </c>
      <c r="D888" t="s">
        <v>169</v>
      </c>
      <c r="E888" t="s">
        <v>170</v>
      </c>
      <c r="F888" s="23"/>
      <c r="G888" t="s">
        <v>2889</v>
      </c>
      <c r="H888" t="s">
        <v>1619</v>
      </c>
      <c r="I888" t="s">
        <v>1620</v>
      </c>
      <c r="J888" s="11" t="str">
        <f>+LEFT(U888,4)</f>
        <v>U&amp;C-</v>
      </c>
      <c r="K888" t="s">
        <v>10</v>
      </c>
      <c r="L888">
        <v>200</v>
      </c>
      <c r="M888" t="s">
        <v>1472</v>
      </c>
      <c r="N888" t="s">
        <v>11</v>
      </c>
      <c r="O888">
        <v>0.27500000000000002</v>
      </c>
      <c r="P888" s="45">
        <f t="shared" si="79"/>
        <v>55</v>
      </c>
      <c r="Q888" s="13">
        <f>IF(N888="HKD",7.8,IF(N888="CNY",7.30034,1))</f>
        <v>7.3003400000000003</v>
      </c>
      <c r="R888" s="15">
        <f>+ROUND(O888/Q888,4)</f>
        <v>3.7699999999999997E-2</v>
      </c>
      <c r="S888" s="14">
        <f>ROUND(R888*L888,2)</f>
        <v>7.54</v>
      </c>
      <c r="T888" s="15" t="s">
        <v>349</v>
      </c>
      <c r="U888" t="s">
        <v>177</v>
      </c>
      <c r="W888" s="49" t="e">
        <f t="shared" si="83"/>
        <v>#DIV/0!</v>
      </c>
    </row>
    <row r="889" spans="1:23" x14ac:dyDescent="0.2">
      <c r="A889" t="s">
        <v>2395</v>
      </c>
      <c r="B889" s="24">
        <v>45719</v>
      </c>
      <c r="C889" s="24">
        <v>45695</v>
      </c>
      <c r="D889" t="s">
        <v>169</v>
      </c>
      <c r="E889" t="s">
        <v>170</v>
      </c>
      <c r="F889" s="23"/>
      <c r="G889" t="s">
        <v>2921</v>
      </c>
      <c r="H889" t="s">
        <v>1619</v>
      </c>
      <c r="I889" t="s">
        <v>1620</v>
      </c>
      <c r="J889" s="11" t="str">
        <f>+LEFT(U889,4)</f>
        <v>U&amp;C-</v>
      </c>
      <c r="K889" t="s">
        <v>10</v>
      </c>
      <c r="L889">
        <v>1000</v>
      </c>
      <c r="M889" t="s">
        <v>1472</v>
      </c>
      <c r="N889" t="s">
        <v>11</v>
      </c>
      <c r="O889">
        <v>0.27500000000000002</v>
      </c>
      <c r="P889" s="45">
        <f t="shared" si="79"/>
        <v>275</v>
      </c>
      <c r="Q889" s="13">
        <f>IF(N889="HKD",7.8,IF(N889="CNY",7.30034,1))</f>
        <v>7.3003400000000003</v>
      </c>
      <c r="R889" s="15">
        <f>+ROUND(O889/Q889,4)</f>
        <v>3.7699999999999997E-2</v>
      </c>
      <c r="S889" s="14">
        <f>ROUND(R889*L889,2)</f>
        <v>37.700000000000003</v>
      </c>
      <c r="T889" s="15" t="s">
        <v>349</v>
      </c>
      <c r="U889" t="s">
        <v>177</v>
      </c>
      <c r="W889" s="49" t="e">
        <f t="shared" si="83"/>
        <v>#DIV/0!</v>
      </c>
    </row>
    <row r="890" spans="1:23" x14ac:dyDescent="0.2">
      <c r="A890" t="s">
        <v>2396</v>
      </c>
      <c r="B890" s="24">
        <v>45719</v>
      </c>
      <c r="C890" s="24">
        <v>45695</v>
      </c>
      <c r="D890" t="s">
        <v>169</v>
      </c>
      <c r="E890" t="s">
        <v>170</v>
      </c>
      <c r="F890" s="23"/>
      <c r="G890" t="s">
        <v>2921</v>
      </c>
      <c r="H890" t="s">
        <v>3096</v>
      </c>
      <c r="I890" t="s">
        <v>3311</v>
      </c>
      <c r="J890" s="11" t="str">
        <f>+LEFT(U890,4)</f>
        <v>U&amp;C-</v>
      </c>
      <c r="K890" t="s">
        <v>10</v>
      </c>
      <c r="L890">
        <v>9100</v>
      </c>
      <c r="M890" t="s">
        <v>1472</v>
      </c>
      <c r="N890" t="s">
        <v>11</v>
      </c>
      <c r="O890">
        <v>0.23799999999999999</v>
      </c>
      <c r="P890" s="45">
        <f t="shared" si="79"/>
        <v>2165.8000000000002</v>
      </c>
      <c r="Q890" s="13">
        <f>IF(N890="HKD",7.8,IF(N890="CNY",7.30034,1))</f>
        <v>7.3003400000000003</v>
      </c>
      <c r="R890" s="15">
        <f>+ROUND(O890/Q890,4)</f>
        <v>3.2599999999999997E-2</v>
      </c>
      <c r="S890" s="14">
        <f>ROUND(R890*L890,2)</f>
        <v>296.66000000000003</v>
      </c>
      <c r="T890" s="15" t="s">
        <v>349</v>
      </c>
      <c r="U890" t="s">
        <v>177</v>
      </c>
      <c r="W890" s="49" t="e">
        <f t="shared" si="83"/>
        <v>#DIV/0!</v>
      </c>
    </row>
    <row r="891" spans="1:23" x14ac:dyDescent="0.2">
      <c r="A891" t="s">
        <v>2398</v>
      </c>
      <c r="B891" s="24">
        <v>45719</v>
      </c>
      <c r="C891" s="24">
        <v>45698</v>
      </c>
      <c r="D891" t="s">
        <v>651</v>
      </c>
      <c r="E891" t="s">
        <v>652</v>
      </c>
      <c r="F891" s="23"/>
      <c r="G891" t="s">
        <v>2922</v>
      </c>
      <c r="H891" t="s">
        <v>649</v>
      </c>
      <c r="I891" t="s">
        <v>650</v>
      </c>
      <c r="J891" s="11" t="str">
        <f>+LEFT(U891,4)</f>
        <v>HDL-</v>
      </c>
      <c r="K891" t="s">
        <v>10</v>
      </c>
      <c r="L891">
        <v>1000</v>
      </c>
      <c r="M891" t="s">
        <v>1472</v>
      </c>
      <c r="N891" t="s">
        <v>11</v>
      </c>
      <c r="O891">
        <v>1.5</v>
      </c>
      <c r="P891" s="45">
        <f t="shared" si="79"/>
        <v>1500</v>
      </c>
      <c r="Q891" s="13">
        <f>IF(N891="HKD",7.8,IF(N891="CNY",7.30034,1))</f>
        <v>7.3003400000000003</v>
      </c>
      <c r="R891" s="15">
        <f>+ROUND(O891/Q891,4)</f>
        <v>0.20549999999999999</v>
      </c>
      <c r="S891" s="14">
        <f>ROUND(R891*L891,2)</f>
        <v>205.5</v>
      </c>
      <c r="T891" s="15" t="s">
        <v>349</v>
      </c>
      <c r="U891" t="s">
        <v>228</v>
      </c>
      <c r="W891" s="49" t="e">
        <f t="shared" si="83"/>
        <v>#DIV/0!</v>
      </c>
    </row>
    <row r="892" spans="1:23" x14ac:dyDescent="0.2">
      <c r="A892" t="s">
        <v>2399</v>
      </c>
      <c r="B892" s="24">
        <v>45719</v>
      </c>
      <c r="C892" s="24">
        <v>45698</v>
      </c>
      <c r="D892" t="s">
        <v>651</v>
      </c>
      <c r="E892" t="s">
        <v>652</v>
      </c>
      <c r="F892" s="23"/>
      <c r="G892" t="s">
        <v>2922</v>
      </c>
      <c r="H892" t="s">
        <v>3098</v>
      </c>
      <c r="I892" t="s">
        <v>3313</v>
      </c>
      <c r="J892" s="11" t="str">
        <f>+LEFT(U892,4)</f>
        <v>HDL-</v>
      </c>
      <c r="K892" t="s">
        <v>10</v>
      </c>
      <c r="L892">
        <v>1000</v>
      </c>
      <c r="M892" t="s">
        <v>1472</v>
      </c>
      <c r="N892" t="s">
        <v>11</v>
      </c>
      <c r="O892">
        <v>2.5788000000000002</v>
      </c>
      <c r="P892" s="45">
        <f t="shared" si="79"/>
        <v>2578.8000000000002</v>
      </c>
      <c r="Q892" s="13">
        <f>IF(N892="HKD",7.8,IF(N892="CNY",7.30034,1))</f>
        <v>7.3003400000000003</v>
      </c>
      <c r="R892" s="15">
        <f>+ROUND(O892/Q892,4)</f>
        <v>0.35320000000000001</v>
      </c>
      <c r="S892" s="14">
        <f>ROUND(R892*L892,2)</f>
        <v>353.2</v>
      </c>
      <c r="T892" s="15" t="s">
        <v>349</v>
      </c>
      <c r="U892" t="s">
        <v>228</v>
      </c>
      <c r="W892" s="49" t="e">
        <f t="shared" si="83"/>
        <v>#DIV/0!</v>
      </c>
    </row>
    <row r="893" spans="1:23" x14ac:dyDescent="0.2">
      <c r="A893" t="s">
        <v>2406</v>
      </c>
      <c r="B893" s="24">
        <v>45719</v>
      </c>
      <c r="C893" s="24">
        <v>45700</v>
      </c>
      <c r="D893" t="s">
        <v>94</v>
      </c>
      <c r="E893" t="s">
        <v>95</v>
      </c>
      <c r="F893" s="23"/>
      <c r="G893" t="s">
        <v>2847</v>
      </c>
      <c r="H893" t="s">
        <v>1734</v>
      </c>
      <c r="I893" t="s">
        <v>1735</v>
      </c>
      <c r="J893" s="11" t="str">
        <f>+LEFT(U893,4)</f>
        <v>LID-</v>
      </c>
      <c r="K893" t="s">
        <v>3481</v>
      </c>
      <c r="L893">
        <v>1680</v>
      </c>
      <c r="M893" t="s">
        <v>1472</v>
      </c>
      <c r="N893" t="s">
        <v>11</v>
      </c>
      <c r="O893">
        <v>3.53</v>
      </c>
      <c r="P893" s="45">
        <f t="shared" si="79"/>
        <v>5930.4</v>
      </c>
      <c r="Q893" s="13">
        <f>IF(N893="HKD",7.8,IF(N893="CNY",7.30034,1))</f>
        <v>7.3003400000000003</v>
      </c>
      <c r="R893" s="15">
        <f>+ROUND(O893/Q893,4)</f>
        <v>0.48349999999999999</v>
      </c>
      <c r="S893" s="14">
        <f>ROUND(R893*L893,2)</f>
        <v>812.28</v>
      </c>
      <c r="T893" s="15" t="s">
        <v>349</v>
      </c>
      <c r="U893" t="s">
        <v>368</v>
      </c>
      <c r="W893" s="49" t="e">
        <f t="shared" si="83"/>
        <v>#DIV/0!</v>
      </c>
    </row>
    <row r="894" spans="1:23" x14ac:dyDescent="0.2">
      <c r="A894" t="s">
        <v>2469</v>
      </c>
      <c r="B894" s="24">
        <v>45719</v>
      </c>
      <c r="C894" s="24">
        <v>45707</v>
      </c>
      <c r="D894" t="s">
        <v>28</v>
      </c>
      <c r="E894" t="s">
        <v>29</v>
      </c>
      <c r="F894" s="23"/>
      <c r="G894" t="s">
        <v>2874</v>
      </c>
      <c r="H894" t="s">
        <v>1141</v>
      </c>
      <c r="I894" t="s">
        <v>1142</v>
      </c>
      <c r="J894" s="11" t="str">
        <f>+LEFT(U894,4)</f>
        <v>FG--</v>
      </c>
      <c r="K894" t="s">
        <v>10</v>
      </c>
      <c r="L894">
        <v>520</v>
      </c>
      <c r="M894" t="s">
        <v>1472</v>
      </c>
      <c r="N894" t="s">
        <v>11</v>
      </c>
      <c r="O894">
        <v>0.67430000000000001</v>
      </c>
      <c r="P894" s="45">
        <f t="shared" si="79"/>
        <v>350.64</v>
      </c>
      <c r="Q894" s="13">
        <f>IF(N894="HKD",7.8,IF(N894="CNY",7.30034,1))</f>
        <v>7.3003400000000003</v>
      </c>
      <c r="R894" s="15">
        <f>+ROUND(O894/Q894,4)</f>
        <v>9.2399999999999996E-2</v>
      </c>
      <c r="S894" s="14">
        <f>ROUND(R894*L894,2)</f>
        <v>48.05</v>
      </c>
      <c r="T894" s="15" t="s">
        <v>349</v>
      </c>
      <c r="U894" t="s">
        <v>64</v>
      </c>
      <c r="W894" s="49" t="e">
        <f t="shared" si="83"/>
        <v>#DIV/0!</v>
      </c>
    </row>
    <row r="895" spans="1:23" x14ac:dyDescent="0.2">
      <c r="A895" t="s">
        <v>2475</v>
      </c>
      <c r="B895" s="24">
        <v>45719</v>
      </c>
      <c r="C895" s="24">
        <v>45709</v>
      </c>
      <c r="D895" t="s">
        <v>545</v>
      </c>
      <c r="E895" t="s">
        <v>546</v>
      </c>
      <c r="F895" s="23"/>
      <c r="G895" t="s">
        <v>2892</v>
      </c>
      <c r="H895" t="s">
        <v>557</v>
      </c>
      <c r="I895" t="s">
        <v>558</v>
      </c>
      <c r="J895" s="11" t="str">
        <f>+LEFT(U895,4)</f>
        <v>WHR-</v>
      </c>
      <c r="K895" t="s">
        <v>10</v>
      </c>
      <c r="L895">
        <v>6000</v>
      </c>
      <c r="M895" t="s">
        <v>1472</v>
      </c>
      <c r="N895" t="s">
        <v>11</v>
      </c>
      <c r="O895">
        <v>3.9800000000000002E-2</v>
      </c>
      <c r="P895" s="45">
        <f t="shared" si="79"/>
        <v>238.8</v>
      </c>
      <c r="Q895" s="13">
        <f>IF(N895="HKD",7.8,IF(N895="CNY",7.30034,1))</f>
        <v>7.3003400000000003</v>
      </c>
      <c r="R895" s="15">
        <f>+ROUND(O895/Q895,4)</f>
        <v>5.4999999999999997E-3</v>
      </c>
      <c r="S895" s="14">
        <f>ROUND(R895*L895,2)</f>
        <v>33</v>
      </c>
      <c r="T895" s="15" t="s">
        <v>349</v>
      </c>
      <c r="U895" t="s">
        <v>248</v>
      </c>
      <c r="W895" s="49" t="e">
        <f t="shared" si="83"/>
        <v>#DIV/0!</v>
      </c>
    </row>
    <row r="896" spans="1:23" x14ac:dyDescent="0.2">
      <c r="A896" t="s">
        <v>2478</v>
      </c>
      <c r="B896" s="24">
        <v>45719</v>
      </c>
      <c r="C896" s="24">
        <v>45709</v>
      </c>
      <c r="D896" t="s">
        <v>169</v>
      </c>
      <c r="E896" t="s">
        <v>170</v>
      </c>
      <c r="F896" s="23"/>
      <c r="G896" t="s">
        <v>2921</v>
      </c>
      <c r="H896" t="s">
        <v>3145</v>
      </c>
      <c r="I896" t="s">
        <v>3355</v>
      </c>
      <c r="J896" s="11" t="str">
        <f>+LEFT(U896,4)</f>
        <v>U&amp;C-</v>
      </c>
      <c r="K896" t="s">
        <v>10</v>
      </c>
      <c r="L896">
        <v>5000</v>
      </c>
      <c r="M896" t="s">
        <v>1472</v>
      </c>
      <c r="N896" t="s">
        <v>11</v>
      </c>
      <c r="O896">
        <v>0.222</v>
      </c>
      <c r="P896" s="45">
        <f t="shared" si="79"/>
        <v>1110</v>
      </c>
      <c r="Q896" s="13">
        <f>IF(N896="HKD",7.8,IF(N896="CNY",7.30034,1))</f>
        <v>7.3003400000000003</v>
      </c>
      <c r="R896" s="15">
        <f>+ROUND(O896/Q896,4)</f>
        <v>3.04E-2</v>
      </c>
      <c r="S896" s="14">
        <f>ROUND(R896*L896,2)</f>
        <v>152</v>
      </c>
      <c r="T896" s="15" t="s">
        <v>349</v>
      </c>
      <c r="U896" t="s">
        <v>177</v>
      </c>
      <c r="W896" s="49" t="e">
        <f t="shared" si="83"/>
        <v>#DIV/0!</v>
      </c>
    </row>
    <row r="897" spans="1:23" x14ac:dyDescent="0.2">
      <c r="A897" t="s">
        <v>2480</v>
      </c>
      <c r="B897" s="24">
        <v>45719</v>
      </c>
      <c r="C897" s="24">
        <v>45709</v>
      </c>
      <c r="D897" t="s">
        <v>169</v>
      </c>
      <c r="E897" t="s">
        <v>170</v>
      </c>
      <c r="F897" s="23"/>
      <c r="G897" t="s">
        <v>2894</v>
      </c>
      <c r="H897" t="s">
        <v>1655</v>
      </c>
      <c r="I897" t="s">
        <v>1656</v>
      </c>
      <c r="J897" s="11" t="str">
        <f>+LEFT(U897,4)</f>
        <v>PRIM</v>
      </c>
      <c r="K897" t="s">
        <v>10</v>
      </c>
      <c r="L897">
        <v>1100</v>
      </c>
      <c r="M897" t="s">
        <v>1472</v>
      </c>
      <c r="N897" t="s">
        <v>11</v>
      </c>
      <c r="O897">
        <v>1.29</v>
      </c>
      <c r="P897" s="45">
        <f t="shared" si="79"/>
        <v>1419</v>
      </c>
      <c r="Q897" s="13">
        <f>IF(N897="HKD",7.8,IF(N897="CNY",7.30034,1))</f>
        <v>7.3003400000000003</v>
      </c>
      <c r="R897" s="15">
        <f>+ROUND(O897/Q897,4)</f>
        <v>0.1767</v>
      </c>
      <c r="S897" s="14">
        <f>ROUND(R897*L897,2)</f>
        <v>194.37</v>
      </c>
      <c r="T897" s="15" t="s">
        <v>349</v>
      </c>
      <c r="U897" t="s">
        <v>181</v>
      </c>
      <c r="W897" s="49" t="e">
        <f t="shared" si="83"/>
        <v>#DIV/0!</v>
      </c>
    </row>
    <row r="898" spans="1:23" x14ac:dyDescent="0.2">
      <c r="A898" t="s">
        <v>2481</v>
      </c>
      <c r="B898" s="24">
        <v>45719</v>
      </c>
      <c r="C898" s="24">
        <v>45709</v>
      </c>
      <c r="D898" t="s">
        <v>545</v>
      </c>
      <c r="E898" t="s">
        <v>546</v>
      </c>
      <c r="F898" s="23"/>
      <c r="G898" t="s">
        <v>2892</v>
      </c>
      <c r="H898" t="s">
        <v>543</v>
      </c>
      <c r="I898" t="s">
        <v>544</v>
      </c>
      <c r="J898" s="11" t="str">
        <f>+LEFT(U898,4)</f>
        <v>WHR-</v>
      </c>
      <c r="K898" t="s">
        <v>10</v>
      </c>
      <c r="L898">
        <v>5000</v>
      </c>
      <c r="M898" t="s">
        <v>1472</v>
      </c>
      <c r="N898" t="s">
        <v>11</v>
      </c>
      <c r="O898">
        <v>4.2999999999999997E-2</v>
      </c>
      <c r="P898" s="45">
        <f t="shared" ref="P898:P961" si="84">ROUND(O898*L898,2)</f>
        <v>215</v>
      </c>
      <c r="Q898" s="13">
        <f>IF(N898="HKD",7.8,IF(N898="CNY",7.30034,1))</f>
        <v>7.3003400000000003</v>
      </c>
      <c r="R898" s="15">
        <f>+ROUND(O898/Q898,4)</f>
        <v>5.8999999999999999E-3</v>
      </c>
      <c r="S898" s="14">
        <f>ROUND(R898*L898,2)</f>
        <v>29.5</v>
      </c>
      <c r="T898" s="15" t="s">
        <v>349</v>
      </c>
      <c r="U898" t="s">
        <v>248</v>
      </c>
      <c r="W898" s="49" t="e">
        <f t="shared" ref="W898:W961" si="85">IF(N898="CNY",O898/V898*L898,1)</f>
        <v>#DIV/0!</v>
      </c>
    </row>
    <row r="899" spans="1:23" x14ac:dyDescent="0.2">
      <c r="A899" t="s">
        <v>2099</v>
      </c>
      <c r="B899" s="24">
        <v>45719</v>
      </c>
      <c r="C899" s="24">
        <v>45713</v>
      </c>
      <c r="D899" t="s">
        <v>2257</v>
      </c>
      <c r="E899" t="s">
        <v>2258</v>
      </c>
      <c r="F899" s="23"/>
      <c r="G899" t="s">
        <v>2953</v>
      </c>
      <c r="H899" t="s">
        <v>1798</v>
      </c>
      <c r="I899" t="s">
        <v>1799</v>
      </c>
      <c r="J899" s="11" t="str">
        <f>+LEFT(U899,4)</f>
        <v>HDL-</v>
      </c>
      <c r="K899" t="s">
        <v>10</v>
      </c>
      <c r="L899">
        <v>400</v>
      </c>
      <c r="M899" t="s">
        <v>1472</v>
      </c>
      <c r="N899" t="s">
        <v>11</v>
      </c>
      <c r="O899">
        <v>7.4931000000000001</v>
      </c>
      <c r="P899" s="45">
        <f t="shared" si="84"/>
        <v>2997.24</v>
      </c>
      <c r="Q899" s="13">
        <f>IF(N899="HKD",7.8,IF(N899="CNY",7.30034,1))</f>
        <v>7.3003400000000003</v>
      </c>
      <c r="R899" s="15">
        <f>+ROUND(O899/Q899,4)</f>
        <v>1.0264</v>
      </c>
      <c r="S899" s="14">
        <f>ROUND(R899*L899,2)</f>
        <v>410.56</v>
      </c>
      <c r="T899" s="15" t="s">
        <v>349</v>
      </c>
      <c r="U899" t="s">
        <v>228</v>
      </c>
      <c r="W899" s="49" t="e">
        <f t="shared" si="85"/>
        <v>#DIV/0!</v>
      </c>
    </row>
    <row r="900" spans="1:23" x14ac:dyDescent="0.2">
      <c r="A900" t="s">
        <v>2102</v>
      </c>
      <c r="B900" s="24">
        <v>45719</v>
      </c>
      <c r="C900" s="24">
        <v>45713</v>
      </c>
      <c r="D900" t="s">
        <v>2257</v>
      </c>
      <c r="E900" t="s">
        <v>2258</v>
      </c>
      <c r="F900" s="23"/>
      <c r="G900" t="s">
        <v>2953</v>
      </c>
      <c r="H900" t="s">
        <v>1800</v>
      </c>
      <c r="I900" t="s">
        <v>1801</v>
      </c>
      <c r="J900" s="11" t="str">
        <f>+LEFT(U900,4)</f>
        <v>HDL-</v>
      </c>
      <c r="K900" t="s">
        <v>10</v>
      </c>
      <c r="L900">
        <v>900</v>
      </c>
      <c r="M900" t="s">
        <v>1472</v>
      </c>
      <c r="N900" t="s">
        <v>11</v>
      </c>
      <c r="O900">
        <v>7.4931000000000001</v>
      </c>
      <c r="P900" s="45">
        <f t="shared" si="84"/>
        <v>6743.79</v>
      </c>
      <c r="Q900" s="13">
        <f>IF(N900="HKD",7.8,IF(N900="CNY",7.30034,1))</f>
        <v>7.3003400000000003</v>
      </c>
      <c r="R900" s="15">
        <f>+ROUND(O900/Q900,4)</f>
        <v>1.0264</v>
      </c>
      <c r="S900" s="14">
        <f>ROUND(R900*L900,2)</f>
        <v>923.76</v>
      </c>
      <c r="T900" s="15" t="s">
        <v>349</v>
      </c>
      <c r="U900" t="s">
        <v>228</v>
      </c>
      <c r="W900" s="49" t="e">
        <f t="shared" si="85"/>
        <v>#DIV/0!</v>
      </c>
    </row>
    <row r="901" spans="1:23" x14ac:dyDescent="0.2">
      <c r="A901" t="s">
        <v>2105</v>
      </c>
      <c r="B901" s="24">
        <v>45719</v>
      </c>
      <c r="C901" s="24">
        <v>45713</v>
      </c>
      <c r="D901" t="s">
        <v>2257</v>
      </c>
      <c r="E901" t="s">
        <v>2258</v>
      </c>
      <c r="F901" s="23"/>
      <c r="G901" t="s">
        <v>2953</v>
      </c>
      <c r="H901" t="s">
        <v>1802</v>
      </c>
      <c r="I901" t="s">
        <v>1803</v>
      </c>
      <c r="J901" s="11" t="str">
        <f>+LEFT(U901,4)</f>
        <v>HDL-</v>
      </c>
      <c r="K901" t="s">
        <v>10</v>
      </c>
      <c r="L901">
        <v>200</v>
      </c>
      <c r="M901" t="s">
        <v>1472</v>
      </c>
      <c r="N901" t="s">
        <v>11</v>
      </c>
      <c r="O901">
        <v>7.6459999999999999</v>
      </c>
      <c r="P901" s="45">
        <f t="shared" si="84"/>
        <v>1529.2</v>
      </c>
      <c r="Q901" s="13">
        <f>IF(N901="HKD",7.8,IF(N901="CNY",7.30034,1))</f>
        <v>7.3003400000000003</v>
      </c>
      <c r="R901" s="15">
        <f>+ROUND(O901/Q901,4)</f>
        <v>1.0472999999999999</v>
      </c>
      <c r="S901" s="14">
        <f>ROUND(R901*L901,2)</f>
        <v>209.46</v>
      </c>
      <c r="T901" s="15" t="s">
        <v>349</v>
      </c>
      <c r="U901" t="s">
        <v>228</v>
      </c>
      <c r="W901" s="49" t="e">
        <f t="shared" si="85"/>
        <v>#DIV/0!</v>
      </c>
    </row>
    <row r="902" spans="1:23" x14ac:dyDescent="0.2">
      <c r="A902" t="s">
        <v>2507</v>
      </c>
      <c r="B902" s="24">
        <v>45719</v>
      </c>
      <c r="C902" s="24">
        <v>45713</v>
      </c>
      <c r="D902" t="s">
        <v>268</v>
      </c>
      <c r="E902" t="s">
        <v>269</v>
      </c>
      <c r="F902" s="23"/>
      <c r="G902" t="s">
        <v>2958</v>
      </c>
      <c r="H902" t="s">
        <v>1077</v>
      </c>
      <c r="I902" t="s">
        <v>1078</v>
      </c>
      <c r="J902" s="11" t="str">
        <f>+LEFT(U902,4)</f>
        <v>MISC</v>
      </c>
      <c r="K902" t="s">
        <v>10</v>
      </c>
      <c r="L902">
        <v>250</v>
      </c>
      <c r="M902" t="s">
        <v>136</v>
      </c>
      <c r="N902" t="s">
        <v>11</v>
      </c>
      <c r="O902">
        <v>5.18</v>
      </c>
      <c r="P902" s="45">
        <f t="shared" si="84"/>
        <v>1295</v>
      </c>
      <c r="Q902" s="13">
        <f>IF(N902="HKD",7.8,IF(N902="CNY",7.30034,1))</f>
        <v>7.3003400000000003</v>
      </c>
      <c r="R902" s="15">
        <f>+ROUND(O902/Q902,4)</f>
        <v>0.70960000000000001</v>
      </c>
      <c r="S902" s="14">
        <f>ROUND(R902*L902,2)</f>
        <v>177.4</v>
      </c>
      <c r="T902" s="15" t="s">
        <v>349</v>
      </c>
      <c r="U902" t="s">
        <v>25</v>
      </c>
      <c r="W902" s="49" t="e">
        <f t="shared" si="85"/>
        <v>#DIV/0!</v>
      </c>
    </row>
    <row r="903" spans="1:23" x14ac:dyDescent="0.2">
      <c r="A903" t="s">
        <v>2508</v>
      </c>
      <c r="B903" s="24">
        <v>45719</v>
      </c>
      <c r="C903" s="24">
        <v>45713</v>
      </c>
      <c r="D903" t="s">
        <v>268</v>
      </c>
      <c r="E903" t="s">
        <v>269</v>
      </c>
      <c r="F903" s="23"/>
      <c r="G903" t="s">
        <v>2958</v>
      </c>
      <c r="H903" t="s">
        <v>1073</v>
      </c>
      <c r="I903" t="s">
        <v>1074</v>
      </c>
      <c r="J903" s="11" t="str">
        <f>+LEFT(U903,4)</f>
        <v>MISC</v>
      </c>
      <c r="K903" t="s">
        <v>10</v>
      </c>
      <c r="L903">
        <v>250</v>
      </c>
      <c r="M903" t="s">
        <v>136</v>
      </c>
      <c r="N903" t="s">
        <v>11</v>
      </c>
      <c r="O903">
        <v>6.64</v>
      </c>
      <c r="P903" s="45">
        <f t="shared" si="84"/>
        <v>1660</v>
      </c>
      <c r="Q903" s="13">
        <f>IF(N903="HKD",7.8,IF(N903="CNY",7.30034,1))</f>
        <v>7.3003400000000003</v>
      </c>
      <c r="R903" s="15">
        <f>+ROUND(O903/Q903,4)</f>
        <v>0.90949999999999998</v>
      </c>
      <c r="S903" s="14">
        <f>ROUND(R903*L903,2)</f>
        <v>227.38</v>
      </c>
      <c r="T903" s="15" t="s">
        <v>349</v>
      </c>
      <c r="U903" t="s">
        <v>25</v>
      </c>
      <c r="W903" s="49" t="e">
        <f t="shared" si="85"/>
        <v>#DIV/0!</v>
      </c>
    </row>
    <row r="904" spans="1:23" x14ac:dyDescent="0.2">
      <c r="A904" t="s">
        <v>2509</v>
      </c>
      <c r="B904" s="24">
        <v>45719</v>
      </c>
      <c r="C904" s="24">
        <v>45713</v>
      </c>
      <c r="D904" t="s">
        <v>169</v>
      </c>
      <c r="E904" t="s">
        <v>170</v>
      </c>
      <c r="F904" s="23"/>
      <c r="G904" t="s">
        <v>2921</v>
      </c>
      <c r="H904" t="s">
        <v>1117</v>
      </c>
      <c r="I904" t="s">
        <v>1118</v>
      </c>
      <c r="J904" s="11" t="str">
        <f>+LEFT(U904,4)</f>
        <v>U&amp;C-</v>
      </c>
      <c r="K904" t="s">
        <v>10</v>
      </c>
      <c r="L904">
        <v>2030</v>
      </c>
      <c r="M904" t="s">
        <v>1472</v>
      </c>
      <c r="N904" t="s">
        <v>11</v>
      </c>
      <c r="O904">
        <v>0.28499999999999998</v>
      </c>
      <c r="P904" s="45">
        <f t="shared" si="84"/>
        <v>578.54999999999995</v>
      </c>
      <c r="Q904" s="13">
        <f>IF(N904="HKD",7.8,IF(N904="CNY",7.30034,1))</f>
        <v>7.3003400000000003</v>
      </c>
      <c r="R904" s="15">
        <f>+ROUND(O904/Q904,4)</f>
        <v>3.9E-2</v>
      </c>
      <c r="S904" s="14">
        <f>ROUND(R904*L904,2)</f>
        <v>79.17</v>
      </c>
      <c r="T904" s="15" t="s">
        <v>349</v>
      </c>
      <c r="U904" t="s">
        <v>177</v>
      </c>
      <c r="W904" s="49" t="e">
        <f t="shared" si="85"/>
        <v>#DIV/0!</v>
      </c>
    </row>
    <row r="905" spans="1:23" x14ac:dyDescent="0.2">
      <c r="A905" t="s">
        <v>2510</v>
      </c>
      <c r="B905" s="24">
        <v>45719</v>
      </c>
      <c r="C905" s="24">
        <v>45713</v>
      </c>
      <c r="D905" t="s">
        <v>169</v>
      </c>
      <c r="E905" t="s">
        <v>170</v>
      </c>
      <c r="F905" s="23"/>
      <c r="G905" t="s">
        <v>2959</v>
      </c>
      <c r="H905" t="s">
        <v>3153</v>
      </c>
      <c r="I905" t="s">
        <v>3363</v>
      </c>
      <c r="J905" s="11" t="str">
        <f>+LEFT(U905,4)</f>
        <v>U&amp;C-</v>
      </c>
      <c r="K905" t="s">
        <v>10</v>
      </c>
      <c r="L905">
        <v>1010</v>
      </c>
      <c r="M905" t="s">
        <v>1472</v>
      </c>
      <c r="N905" t="s">
        <v>11</v>
      </c>
      <c r="O905">
        <v>0.65</v>
      </c>
      <c r="P905" s="45">
        <f t="shared" si="84"/>
        <v>656.5</v>
      </c>
      <c r="Q905" s="13">
        <f>IF(N905="HKD",7.8,IF(N905="CNY",7.30034,1))</f>
        <v>7.3003400000000003</v>
      </c>
      <c r="R905" s="15">
        <f>+ROUND(O905/Q905,4)</f>
        <v>8.8999999999999996E-2</v>
      </c>
      <c r="S905" s="14">
        <f>ROUND(R905*L905,2)</f>
        <v>89.89</v>
      </c>
      <c r="T905" s="15" t="s">
        <v>349</v>
      </c>
      <c r="U905" t="s">
        <v>177</v>
      </c>
      <c r="W905" s="49" t="e">
        <f t="shared" si="85"/>
        <v>#DIV/0!</v>
      </c>
    </row>
    <row r="906" spans="1:23" x14ac:dyDescent="0.2">
      <c r="A906" t="s">
        <v>2511</v>
      </c>
      <c r="B906" s="24">
        <v>45719</v>
      </c>
      <c r="C906" s="24">
        <v>45713</v>
      </c>
      <c r="D906" t="s">
        <v>169</v>
      </c>
      <c r="E906" t="s">
        <v>170</v>
      </c>
      <c r="F906" s="23"/>
      <c r="G906" t="s">
        <v>2921</v>
      </c>
      <c r="H906" t="s">
        <v>3154</v>
      </c>
      <c r="I906" t="s">
        <v>3364</v>
      </c>
      <c r="J906" s="11" t="str">
        <f>+LEFT(U906,4)</f>
        <v>STKR</v>
      </c>
      <c r="K906" t="s">
        <v>10</v>
      </c>
      <c r="L906">
        <v>1010</v>
      </c>
      <c r="M906" t="s">
        <v>1472</v>
      </c>
      <c r="N906" t="s">
        <v>11</v>
      </c>
      <c r="O906">
        <v>0.96</v>
      </c>
      <c r="P906" s="45">
        <f t="shared" si="84"/>
        <v>969.6</v>
      </c>
      <c r="Q906" s="13">
        <f>IF(N906="HKD",7.8,IF(N906="CNY",7.30034,1))</f>
        <v>7.3003400000000003</v>
      </c>
      <c r="R906" s="15">
        <f>+ROUND(O906/Q906,4)</f>
        <v>0.13150000000000001</v>
      </c>
      <c r="S906" s="14">
        <f>ROUND(R906*L906,2)</f>
        <v>132.82</v>
      </c>
      <c r="T906" s="15" t="s">
        <v>349</v>
      </c>
      <c r="U906" t="s">
        <v>18</v>
      </c>
      <c r="W906" s="49" t="e">
        <f t="shared" si="85"/>
        <v>#DIV/0!</v>
      </c>
    </row>
    <row r="907" spans="1:23" x14ac:dyDescent="0.2">
      <c r="A907" t="s">
        <v>2513</v>
      </c>
      <c r="B907" s="24">
        <v>45719</v>
      </c>
      <c r="C907" s="24">
        <v>45713</v>
      </c>
      <c r="D907" t="s">
        <v>169</v>
      </c>
      <c r="E907" t="s">
        <v>170</v>
      </c>
      <c r="F907" s="23"/>
      <c r="G907" t="s">
        <v>2959</v>
      </c>
      <c r="H907" t="s">
        <v>3156</v>
      </c>
      <c r="I907" t="s">
        <v>3366</v>
      </c>
      <c r="J907" s="11" t="str">
        <f>+LEFT(U907,4)</f>
        <v>U&amp;C-</v>
      </c>
      <c r="K907" t="s">
        <v>10</v>
      </c>
      <c r="L907">
        <v>1010</v>
      </c>
      <c r="M907" t="s">
        <v>1472</v>
      </c>
      <c r="N907" t="s">
        <v>11</v>
      </c>
      <c r="O907">
        <v>0.22839999999999999</v>
      </c>
      <c r="P907" s="45">
        <f t="shared" si="84"/>
        <v>230.68</v>
      </c>
      <c r="Q907" s="13">
        <f>IF(N907="HKD",7.8,IF(N907="CNY",7.30034,1))</f>
        <v>7.3003400000000003</v>
      </c>
      <c r="R907" s="15">
        <f>+ROUND(O907/Q907,4)</f>
        <v>3.1300000000000001E-2</v>
      </c>
      <c r="S907" s="14">
        <f>ROUND(R907*L907,2)</f>
        <v>31.61</v>
      </c>
      <c r="T907" s="15" t="s">
        <v>349</v>
      </c>
      <c r="U907" t="s">
        <v>177</v>
      </c>
      <c r="W907" s="49" t="e">
        <f t="shared" si="85"/>
        <v>#DIV/0!</v>
      </c>
    </row>
    <row r="908" spans="1:23" x14ac:dyDescent="0.2">
      <c r="A908" t="s">
        <v>2514</v>
      </c>
      <c r="B908" s="24">
        <v>45719</v>
      </c>
      <c r="C908" s="24">
        <v>45713</v>
      </c>
      <c r="D908" t="s">
        <v>169</v>
      </c>
      <c r="E908" t="s">
        <v>170</v>
      </c>
      <c r="F908" s="23"/>
      <c r="G908" t="s">
        <v>2887</v>
      </c>
      <c r="H908" t="s">
        <v>3157</v>
      </c>
      <c r="I908" t="s">
        <v>3367</v>
      </c>
      <c r="J908" s="11" t="str">
        <f>+LEFT(U908,4)</f>
        <v>STKR</v>
      </c>
      <c r="K908" t="s">
        <v>10</v>
      </c>
      <c r="L908">
        <v>3600</v>
      </c>
      <c r="M908" t="s">
        <v>1472</v>
      </c>
      <c r="N908" t="s">
        <v>11</v>
      </c>
      <c r="O908">
        <v>3.5000000000000003E-2</v>
      </c>
      <c r="P908" s="45">
        <f t="shared" si="84"/>
        <v>126</v>
      </c>
      <c r="Q908" s="13">
        <f>IF(N908="HKD",7.8,IF(N908="CNY",7.30034,1))</f>
        <v>7.3003400000000003</v>
      </c>
      <c r="R908" s="15">
        <f>+ROUND(O908/Q908,4)</f>
        <v>4.7999999999999996E-3</v>
      </c>
      <c r="S908" s="14">
        <f>ROUND(R908*L908,2)</f>
        <v>17.28</v>
      </c>
      <c r="T908" s="15" t="s">
        <v>349</v>
      </c>
      <c r="U908" t="s">
        <v>18</v>
      </c>
      <c r="W908" s="49" t="e">
        <f t="shared" si="85"/>
        <v>#DIV/0!</v>
      </c>
    </row>
    <row r="909" spans="1:23" x14ac:dyDescent="0.2">
      <c r="A909" t="s">
        <v>2517</v>
      </c>
      <c r="B909" s="24">
        <v>45719</v>
      </c>
      <c r="C909" s="24">
        <v>45713</v>
      </c>
      <c r="D909" t="s">
        <v>169</v>
      </c>
      <c r="E909" t="s">
        <v>170</v>
      </c>
      <c r="F909" s="23"/>
      <c r="G909" t="s">
        <v>2962</v>
      </c>
      <c r="H909" t="s">
        <v>3158</v>
      </c>
      <c r="I909" t="s">
        <v>3368</v>
      </c>
      <c r="J909" s="11" t="str">
        <f>+LEFT(U909,4)</f>
        <v>PAP-</v>
      </c>
      <c r="K909" t="s">
        <v>10</v>
      </c>
      <c r="L909">
        <v>2000</v>
      </c>
      <c r="M909" t="s">
        <v>1472</v>
      </c>
      <c r="N909" t="s">
        <v>11</v>
      </c>
      <c r="O909">
        <v>0.12</v>
      </c>
      <c r="P909" s="45">
        <f t="shared" si="84"/>
        <v>240</v>
      </c>
      <c r="Q909" s="13">
        <f>IF(N909="HKD",7.8,IF(N909="CNY",7.30034,1))</f>
        <v>7.3003400000000003</v>
      </c>
      <c r="R909" s="15">
        <f>+ROUND(O909/Q909,4)</f>
        <v>1.6400000000000001E-2</v>
      </c>
      <c r="S909" s="14">
        <f>ROUND(R909*L909,2)</f>
        <v>32.799999999999997</v>
      </c>
      <c r="T909" s="15" t="s">
        <v>349</v>
      </c>
      <c r="U909" t="s">
        <v>1094</v>
      </c>
      <c r="W909" s="49" t="e">
        <f t="shared" si="85"/>
        <v>#DIV/0!</v>
      </c>
    </row>
    <row r="910" spans="1:23" x14ac:dyDescent="0.2">
      <c r="A910" t="s">
        <v>2518</v>
      </c>
      <c r="B910" s="24">
        <v>45719</v>
      </c>
      <c r="C910" s="24">
        <v>45713</v>
      </c>
      <c r="D910" t="s">
        <v>169</v>
      </c>
      <c r="E910" t="s">
        <v>170</v>
      </c>
      <c r="F910" s="23"/>
      <c r="G910" t="s">
        <v>2963</v>
      </c>
      <c r="H910" t="s">
        <v>1561</v>
      </c>
      <c r="I910" t="s">
        <v>1562</v>
      </c>
      <c r="J910" s="11" t="str">
        <f>+LEFT(U910,4)</f>
        <v>STKR</v>
      </c>
      <c r="K910" t="s">
        <v>10</v>
      </c>
      <c r="L910">
        <v>3000</v>
      </c>
      <c r="M910" t="s">
        <v>1472</v>
      </c>
      <c r="N910" t="s">
        <v>11</v>
      </c>
      <c r="O910">
        <v>3.5000000000000003E-2</v>
      </c>
      <c r="P910" s="45">
        <f t="shared" si="84"/>
        <v>105</v>
      </c>
      <c r="Q910" s="13">
        <f>IF(N910="HKD",7.8,IF(N910="CNY",7.30034,1))</f>
        <v>7.3003400000000003</v>
      </c>
      <c r="R910" s="15">
        <f>+ROUND(O910/Q910,4)</f>
        <v>4.7999999999999996E-3</v>
      </c>
      <c r="S910" s="14">
        <f>ROUND(R910*L910,2)</f>
        <v>14.4</v>
      </c>
      <c r="T910" s="15" t="s">
        <v>349</v>
      </c>
      <c r="U910" t="s">
        <v>18</v>
      </c>
      <c r="W910" s="49" t="e">
        <f t="shared" si="85"/>
        <v>#DIV/0!</v>
      </c>
    </row>
    <row r="911" spans="1:23" x14ac:dyDescent="0.2">
      <c r="A911" t="s">
        <v>2520</v>
      </c>
      <c r="B911" s="24">
        <v>45719</v>
      </c>
      <c r="C911" s="24">
        <v>45713</v>
      </c>
      <c r="D911" t="s">
        <v>169</v>
      </c>
      <c r="E911" t="s">
        <v>170</v>
      </c>
      <c r="F911" s="23"/>
      <c r="G911" t="s">
        <v>2959</v>
      </c>
      <c r="H911" t="s">
        <v>3159</v>
      </c>
      <c r="I911" t="s">
        <v>3369</v>
      </c>
      <c r="J911" s="11" t="str">
        <f>+LEFT(U911,4)</f>
        <v>U&amp;C-</v>
      </c>
      <c r="K911" t="s">
        <v>10</v>
      </c>
      <c r="L911">
        <v>5530</v>
      </c>
      <c r="M911" t="s">
        <v>1472</v>
      </c>
      <c r="N911" t="s">
        <v>11</v>
      </c>
      <c r="O911">
        <v>0.252</v>
      </c>
      <c r="P911" s="45">
        <f t="shared" si="84"/>
        <v>1393.56</v>
      </c>
      <c r="Q911" s="13">
        <f>IF(N911="HKD",7.8,IF(N911="CNY",7.30034,1))</f>
        <v>7.3003400000000003</v>
      </c>
      <c r="R911" s="15">
        <f>+ROUND(O911/Q911,4)</f>
        <v>3.4500000000000003E-2</v>
      </c>
      <c r="S911" s="14">
        <f>ROUND(R911*L911,2)</f>
        <v>190.79</v>
      </c>
      <c r="T911" s="15" t="s">
        <v>349</v>
      </c>
      <c r="U911" t="s">
        <v>177</v>
      </c>
      <c r="W911" s="49" t="e">
        <f t="shared" si="85"/>
        <v>#DIV/0!</v>
      </c>
    </row>
    <row r="912" spans="1:23" x14ac:dyDescent="0.2">
      <c r="A912" t="s">
        <v>2521</v>
      </c>
      <c r="B912" s="24">
        <v>45719</v>
      </c>
      <c r="C912" s="24">
        <v>45713</v>
      </c>
      <c r="D912" t="s">
        <v>169</v>
      </c>
      <c r="E912" t="s">
        <v>170</v>
      </c>
      <c r="F912" s="23"/>
      <c r="G912" t="s">
        <v>2959</v>
      </c>
      <c r="H912" t="s">
        <v>3160</v>
      </c>
      <c r="I912" t="s">
        <v>3370</v>
      </c>
      <c r="J912" s="11" t="str">
        <f>+LEFT(U912,4)</f>
        <v>U&amp;C-</v>
      </c>
      <c r="K912" t="s">
        <v>10</v>
      </c>
      <c r="L912">
        <v>1600</v>
      </c>
      <c r="M912" t="s">
        <v>1472</v>
      </c>
      <c r="N912" t="s">
        <v>11</v>
      </c>
      <c r="O912">
        <v>0.29499999999999998</v>
      </c>
      <c r="P912" s="45">
        <f t="shared" si="84"/>
        <v>472</v>
      </c>
      <c r="Q912" s="13">
        <f>IF(N912="HKD",7.8,IF(N912="CNY",7.30034,1))</f>
        <v>7.3003400000000003</v>
      </c>
      <c r="R912" s="15">
        <f>+ROUND(O912/Q912,4)</f>
        <v>4.0399999999999998E-2</v>
      </c>
      <c r="S912" s="14">
        <f>ROUND(R912*L912,2)</f>
        <v>64.64</v>
      </c>
      <c r="T912" s="15" t="s">
        <v>349</v>
      </c>
      <c r="U912" t="s">
        <v>177</v>
      </c>
      <c r="W912" s="49" t="e">
        <f t="shared" si="85"/>
        <v>#DIV/0!</v>
      </c>
    </row>
    <row r="913" spans="1:23" x14ac:dyDescent="0.2">
      <c r="A913" t="s">
        <v>2522</v>
      </c>
      <c r="B913" s="24">
        <v>45719</v>
      </c>
      <c r="C913" s="24">
        <v>45713</v>
      </c>
      <c r="D913" t="s">
        <v>169</v>
      </c>
      <c r="E913" t="s">
        <v>170</v>
      </c>
      <c r="F913" s="23"/>
      <c r="G913" t="s">
        <v>2921</v>
      </c>
      <c r="H913" t="s">
        <v>3161</v>
      </c>
      <c r="I913" t="s">
        <v>3371</v>
      </c>
      <c r="J913" s="11" t="str">
        <f>+LEFT(U913,4)</f>
        <v>U&amp;C-</v>
      </c>
      <c r="K913" t="s">
        <v>10</v>
      </c>
      <c r="L913">
        <v>3100</v>
      </c>
      <c r="M913" t="s">
        <v>1472</v>
      </c>
      <c r="N913" t="s">
        <v>11</v>
      </c>
      <c r="O913">
        <v>0.30759999999999998</v>
      </c>
      <c r="P913" s="45">
        <f t="shared" si="84"/>
        <v>953.56</v>
      </c>
      <c r="Q913" s="13">
        <f>IF(N913="HKD",7.8,IF(N913="CNY",7.30034,1))</f>
        <v>7.3003400000000003</v>
      </c>
      <c r="R913" s="15">
        <f>+ROUND(O913/Q913,4)</f>
        <v>4.2099999999999999E-2</v>
      </c>
      <c r="S913" s="14">
        <f>ROUND(R913*L913,2)</f>
        <v>130.51</v>
      </c>
      <c r="T913" s="15" t="s">
        <v>349</v>
      </c>
      <c r="U913" t="s">
        <v>177</v>
      </c>
      <c r="W913" s="49" t="e">
        <f t="shared" si="85"/>
        <v>#DIV/0!</v>
      </c>
    </row>
    <row r="914" spans="1:23" x14ac:dyDescent="0.2">
      <c r="A914" t="s">
        <v>2543</v>
      </c>
      <c r="B914" s="24">
        <v>45719</v>
      </c>
      <c r="C914" s="24">
        <v>45714</v>
      </c>
      <c r="D914" t="s">
        <v>169</v>
      </c>
      <c r="E914" t="s">
        <v>170</v>
      </c>
      <c r="F914" s="23"/>
      <c r="G914" t="s">
        <v>2959</v>
      </c>
      <c r="H914" t="s">
        <v>3167</v>
      </c>
      <c r="I914" t="s">
        <v>3377</v>
      </c>
      <c r="J914" s="11" t="str">
        <f>+LEFT(U914,4)</f>
        <v>U&amp;C-</v>
      </c>
      <c r="K914" t="s">
        <v>10</v>
      </c>
      <c r="L914">
        <v>3000</v>
      </c>
      <c r="M914" t="s">
        <v>1472</v>
      </c>
      <c r="N914" t="s">
        <v>11</v>
      </c>
      <c r="O914">
        <v>0.21929999999999999</v>
      </c>
      <c r="P914" s="45">
        <f t="shared" si="84"/>
        <v>657.9</v>
      </c>
      <c r="Q914" s="13">
        <f>IF(N914="HKD",7.8,IF(N914="CNY",7.30034,1))</f>
        <v>7.3003400000000003</v>
      </c>
      <c r="R914" s="15">
        <f>+ROUND(O914/Q914,4)</f>
        <v>0.03</v>
      </c>
      <c r="S914" s="14">
        <f>ROUND(R914*L914,2)</f>
        <v>90</v>
      </c>
      <c r="T914" s="15" t="s">
        <v>349</v>
      </c>
      <c r="U914" t="s">
        <v>177</v>
      </c>
      <c r="W914" s="49" t="e">
        <f t="shared" si="85"/>
        <v>#DIV/0!</v>
      </c>
    </row>
    <row r="915" spans="1:23" x14ac:dyDescent="0.2">
      <c r="A915" t="s">
        <v>2601</v>
      </c>
      <c r="B915" s="24">
        <v>45719</v>
      </c>
      <c r="C915" s="24">
        <v>45719</v>
      </c>
      <c r="D915" t="s">
        <v>5</v>
      </c>
      <c r="E915" t="s">
        <v>6</v>
      </c>
      <c r="F915" s="23"/>
      <c r="G915" t="s">
        <v>3008</v>
      </c>
      <c r="H915" t="s">
        <v>3193</v>
      </c>
      <c r="I915" t="s">
        <v>3400</v>
      </c>
      <c r="J915" s="11" t="str">
        <f>+LEFT(U915,4)</f>
        <v>BOX-</v>
      </c>
      <c r="K915" t="s">
        <v>10</v>
      </c>
      <c r="L915">
        <v>9100</v>
      </c>
      <c r="M915" t="s">
        <v>1472</v>
      </c>
      <c r="N915" t="s">
        <v>11</v>
      </c>
      <c r="O915">
        <v>3.75</v>
      </c>
      <c r="P915" s="45">
        <f t="shared" si="84"/>
        <v>34125</v>
      </c>
      <c r="Q915" s="13">
        <f>IF(N915="HKD",7.8,IF(N915="CNY",7.30034,1))</f>
        <v>7.3003400000000003</v>
      </c>
      <c r="R915" s="15">
        <f>+ROUND(O915/Q915,4)</f>
        <v>0.51370000000000005</v>
      </c>
      <c r="S915" s="14">
        <f>ROUND(R915*L915,2)</f>
        <v>4674.67</v>
      </c>
      <c r="T915" s="15" t="s">
        <v>349</v>
      </c>
      <c r="U915" t="s">
        <v>1</v>
      </c>
      <c r="W915" s="49" t="e">
        <f t="shared" si="85"/>
        <v>#DIV/0!</v>
      </c>
    </row>
    <row r="916" spans="1:23" x14ac:dyDescent="0.2">
      <c r="A916" t="s">
        <v>2602</v>
      </c>
      <c r="B916" s="24">
        <v>45719</v>
      </c>
      <c r="C916" s="24">
        <v>45719</v>
      </c>
      <c r="D916" t="s">
        <v>5</v>
      </c>
      <c r="E916" t="s">
        <v>6</v>
      </c>
      <c r="F916" s="23"/>
      <c r="G916" t="s">
        <v>3008</v>
      </c>
      <c r="H916" t="s">
        <v>3193</v>
      </c>
      <c r="I916" t="s">
        <v>3400</v>
      </c>
      <c r="J916" s="11" t="str">
        <f>+LEFT(U916,4)</f>
        <v>BOX-</v>
      </c>
      <c r="K916" t="s">
        <v>10</v>
      </c>
      <c r="L916">
        <v>50</v>
      </c>
      <c r="M916" t="s">
        <v>1472</v>
      </c>
      <c r="N916" t="s">
        <v>11</v>
      </c>
      <c r="O916">
        <v>3.75</v>
      </c>
      <c r="P916" s="45">
        <f t="shared" si="84"/>
        <v>187.5</v>
      </c>
      <c r="Q916" s="13">
        <f>IF(N916="HKD",7.8,IF(N916="CNY",7.30034,1))</f>
        <v>7.3003400000000003</v>
      </c>
      <c r="R916" s="15">
        <f>+ROUND(O916/Q916,4)</f>
        <v>0.51370000000000005</v>
      </c>
      <c r="S916" s="14">
        <f>ROUND(R916*L916,2)</f>
        <v>25.69</v>
      </c>
      <c r="T916" s="15" t="s">
        <v>349</v>
      </c>
      <c r="U916" t="s">
        <v>1</v>
      </c>
      <c r="W916" s="49" t="e">
        <f t="shared" si="85"/>
        <v>#DIV/0!</v>
      </c>
    </row>
    <row r="917" spans="1:23" x14ac:dyDescent="0.2">
      <c r="A917" t="s">
        <v>2275</v>
      </c>
      <c r="B917" s="24">
        <v>45720</v>
      </c>
      <c r="C917" s="24">
        <v>45509</v>
      </c>
      <c r="D917" t="s">
        <v>128</v>
      </c>
      <c r="E917" t="s">
        <v>129</v>
      </c>
      <c r="F917" s="23"/>
      <c r="G917" t="s">
        <v>2843</v>
      </c>
      <c r="H917" t="s">
        <v>26</v>
      </c>
      <c r="I917" t="s">
        <v>27</v>
      </c>
      <c r="J917" s="11" t="str">
        <f>+LEFT(U917,4)</f>
        <v>KNOB</v>
      </c>
      <c r="K917" t="s">
        <v>10</v>
      </c>
      <c r="L917">
        <v>-1209</v>
      </c>
      <c r="M917" t="s">
        <v>1472</v>
      </c>
      <c r="N917" t="s">
        <v>11</v>
      </c>
      <c r="O917">
        <v>2.2957000000000001</v>
      </c>
      <c r="P917" s="45">
        <f t="shared" si="84"/>
        <v>-2775.5</v>
      </c>
      <c r="Q917" s="13">
        <f>IF(N917="HKD",7.8,IF(N917="CNY",7.30034,1))</f>
        <v>7.3003400000000003</v>
      </c>
      <c r="R917" s="15">
        <f>+ROUND(O917/Q917,4)</f>
        <v>0.3145</v>
      </c>
      <c r="S917" s="14">
        <f>ROUND(R917*L917,2)</f>
        <v>-380.23</v>
      </c>
      <c r="T917" s="15" t="s">
        <v>349</v>
      </c>
      <c r="U917" t="s">
        <v>32</v>
      </c>
      <c r="W917" s="49" t="e">
        <f t="shared" si="85"/>
        <v>#DIV/0!</v>
      </c>
    </row>
    <row r="918" spans="1:23" x14ac:dyDescent="0.2">
      <c r="A918" t="s">
        <v>2276</v>
      </c>
      <c r="B918" s="24">
        <v>45720</v>
      </c>
      <c r="C918" s="24">
        <v>45576</v>
      </c>
      <c r="D918" t="s">
        <v>121</v>
      </c>
      <c r="E918" t="s">
        <v>122</v>
      </c>
      <c r="F918" s="23"/>
      <c r="G918" t="s">
        <v>2845</v>
      </c>
      <c r="H918" t="s">
        <v>3058</v>
      </c>
      <c r="I918" t="s">
        <v>3275</v>
      </c>
      <c r="J918" s="11" t="str">
        <f>+LEFT(U918,4)</f>
        <v>LHDL</v>
      </c>
      <c r="K918" t="s">
        <v>10</v>
      </c>
      <c r="L918">
        <v>1620</v>
      </c>
      <c r="M918" t="s">
        <v>1472</v>
      </c>
      <c r="N918" t="s">
        <v>11</v>
      </c>
      <c r="O918">
        <v>7.3152999999999997</v>
      </c>
      <c r="P918" s="45">
        <f t="shared" si="84"/>
        <v>11850.79</v>
      </c>
      <c r="Q918" s="13">
        <f>IF(N918="HKD",7.8,IF(N918="CNY",7.30034,1))</f>
        <v>7.3003400000000003</v>
      </c>
      <c r="R918" s="15">
        <f>+ROUND(O918/Q918,4)</f>
        <v>1.002</v>
      </c>
      <c r="S918" s="14">
        <f>ROUND(R918*L918,2)</f>
        <v>1623.24</v>
      </c>
      <c r="T918" s="15" t="s">
        <v>349</v>
      </c>
      <c r="U918" t="s">
        <v>125</v>
      </c>
      <c r="W918" s="49" t="e">
        <f t="shared" si="85"/>
        <v>#DIV/0!</v>
      </c>
    </row>
    <row r="919" spans="1:23" x14ac:dyDescent="0.2">
      <c r="A919" t="s">
        <v>2277</v>
      </c>
      <c r="B919" s="24">
        <v>45720</v>
      </c>
      <c r="C919" s="24">
        <v>45576</v>
      </c>
      <c r="D919" t="s">
        <v>121</v>
      </c>
      <c r="E919" t="s">
        <v>122</v>
      </c>
      <c r="F919" s="23"/>
      <c r="G919" t="s">
        <v>2845</v>
      </c>
      <c r="H919" t="s">
        <v>3059</v>
      </c>
      <c r="I919" t="s">
        <v>963</v>
      </c>
      <c r="J919" s="11" t="str">
        <f>+LEFT(U919,4)</f>
        <v>LHDL</v>
      </c>
      <c r="K919" t="s">
        <v>10</v>
      </c>
      <c r="L919">
        <v>1010</v>
      </c>
      <c r="M919" t="s">
        <v>1472</v>
      </c>
      <c r="N919" t="s">
        <v>11</v>
      </c>
      <c r="O919">
        <v>7.3506999999999998</v>
      </c>
      <c r="P919" s="45">
        <f t="shared" si="84"/>
        <v>7424.21</v>
      </c>
      <c r="Q919" s="13">
        <f>IF(N919="HKD",7.8,IF(N919="CNY",7.30034,1))</f>
        <v>7.3003400000000003</v>
      </c>
      <c r="R919" s="15">
        <f>+ROUND(O919/Q919,4)</f>
        <v>1.0068999999999999</v>
      </c>
      <c r="S919" s="14">
        <f>ROUND(R919*L919,2)</f>
        <v>1016.97</v>
      </c>
      <c r="T919" s="15" t="s">
        <v>349</v>
      </c>
      <c r="U919" t="s">
        <v>125</v>
      </c>
      <c r="W919" s="49" t="e">
        <f t="shared" si="85"/>
        <v>#DIV/0!</v>
      </c>
    </row>
    <row r="920" spans="1:23" x14ac:dyDescent="0.2">
      <c r="A920" t="s">
        <v>2278</v>
      </c>
      <c r="B920" s="24">
        <v>45720</v>
      </c>
      <c r="C920" s="24">
        <v>45576</v>
      </c>
      <c r="D920" t="s">
        <v>121</v>
      </c>
      <c r="E920" t="s">
        <v>122</v>
      </c>
      <c r="F920" s="23"/>
      <c r="G920" t="s">
        <v>2845</v>
      </c>
      <c r="H920" t="s">
        <v>119</v>
      </c>
      <c r="I920" t="s">
        <v>120</v>
      </c>
      <c r="J920" s="11" t="str">
        <f>+LEFT(U920,4)</f>
        <v>LHDL</v>
      </c>
      <c r="K920" t="s">
        <v>10</v>
      </c>
      <c r="L920">
        <v>410</v>
      </c>
      <c r="M920" t="s">
        <v>1472</v>
      </c>
      <c r="N920" t="s">
        <v>11</v>
      </c>
      <c r="O920">
        <v>7.4566999999999997</v>
      </c>
      <c r="P920" s="45">
        <f t="shared" si="84"/>
        <v>3057.25</v>
      </c>
      <c r="Q920" s="13">
        <f>IF(N920="HKD",7.8,IF(N920="CNY",7.30034,1))</f>
        <v>7.3003400000000003</v>
      </c>
      <c r="R920" s="15">
        <f>+ROUND(O920/Q920,4)</f>
        <v>1.0214000000000001</v>
      </c>
      <c r="S920" s="14">
        <f>ROUND(R920*L920,2)</f>
        <v>418.77</v>
      </c>
      <c r="T920" s="15" t="s">
        <v>349</v>
      </c>
      <c r="U920" t="s">
        <v>125</v>
      </c>
      <c r="W920" s="49" t="e">
        <f t="shared" si="85"/>
        <v>#DIV/0!</v>
      </c>
    </row>
    <row r="921" spans="1:23" x14ac:dyDescent="0.2">
      <c r="A921" t="s">
        <v>2279</v>
      </c>
      <c r="B921" s="24">
        <v>45720</v>
      </c>
      <c r="C921" s="24">
        <v>45576</v>
      </c>
      <c r="D921" t="s">
        <v>94</v>
      </c>
      <c r="E921" t="s">
        <v>95</v>
      </c>
      <c r="F921" s="23"/>
      <c r="G921" t="s">
        <v>2846</v>
      </c>
      <c r="H921" t="s">
        <v>3060</v>
      </c>
      <c r="I921" t="s">
        <v>3276</v>
      </c>
      <c r="J921" s="11" t="str">
        <f>+LEFT(U921,4)</f>
        <v>LID-</v>
      </c>
      <c r="K921" t="s">
        <v>98</v>
      </c>
      <c r="L921">
        <v>1620</v>
      </c>
      <c r="M921" t="s">
        <v>1472</v>
      </c>
      <c r="N921" t="s">
        <v>11</v>
      </c>
      <c r="O921">
        <v>3.2</v>
      </c>
      <c r="P921" s="45">
        <f t="shared" si="84"/>
        <v>5184</v>
      </c>
      <c r="Q921" s="13">
        <f>IF(N921="HKD",7.8,IF(N921="CNY",7.30034,1))</f>
        <v>7.3003400000000003</v>
      </c>
      <c r="R921" s="15">
        <f>+ROUND(O921/Q921,4)</f>
        <v>0.43830000000000002</v>
      </c>
      <c r="S921" s="14">
        <f>ROUND(R921*L921,2)</f>
        <v>710.05</v>
      </c>
      <c r="T921" s="15" t="s">
        <v>349</v>
      </c>
      <c r="U921" t="s">
        <v>368</v>
      </c>
      <c r="W921" s="49" t="e">
        <f t="shared" si="85"/>
        <v>#DIV/0!</v>
      </c>
    </row>
    <row r="922" spans="1:23" x14ac:dyDescent="0.2">
      <c r="A922" t="s">
        <v>2287</v>
      </c>
      <c r="B922" s="24">
        <v>45720</v>
      </c>
      <c r="C922" s="24">
        <v>45611</v>
      </c>
      <c r="D922" t="s">
        <v>121</v>
      </c>
      <c r="E922" t="s">
        <v>122</v>
      </c>
      <c r="F922" s="23"/>
      <c r="G922" t="s">
        <v>2845</v>
      </c>
      <c r="H922" t="s">
        <v>3059</v>
      </c>
      <c r="I922" t="s">
        <v>963</v>
      </c>
      <c r="J922" s="11" t="str">
        <f>+LEFT(U922,4)</f>
        <v>LHDL</v>
      </c>
      <c r="K922" t="s">
        <v>10</v>
      </c>
      <c r="L922">
        <v>1010</v>
      </c>
      <c r="M922" t="s">
        <v>1472</v>
      </c>
      <c r="N922" t="s">
        <v>11</v>
      </c>
      <c r="O922">
        <v>7.3506999999999998</v>
      </c>
      <c r="P922" s="45">
        <f t="shared" si="84"/>
        <v>7424.21</v>
      </c>
      <c r="Q922" s="13">
        <f>IF(N922="HKD",7.8,IF(N922="CNY",7.30034,1))</f>
        <v>7.3003400000000003</v>
      </c>
      <c r="R922" s="15">
        <f>+ROUND(O922/Q922,4)</f>
        <v>1.0068999999999999</v>
      </c>
      <c r="S922" s="14">
        <f>ROUND(R922*L922,2)</f>
        <v>1016.97</v>
      </c>
      <c r="T922" s="15" t="s">
        <v>349</v>
      </c>
      <c r="U922" t="s">
        <v>125</v>
      </c>
      <c r="W922" s="49" t="e">
        <f t="shared" si="85"/>
        <v>#DIV/0!</v>
      </c>
    </row>
    <row r="923" spans="1:23" x14ac:dyDescent="0.2">
      <c r="A923" t="s">
        <v>2288</v>
      </c>
      <c r="B923" s="24">
        <v>45720</v>
      </c>
      <c r="C923" s="24">
        <v>45611</v>
      </c>
      <c r="D923" t="s">
        <v>121</v>
      </c>
      <c r="E923" t="s">
        <v>122</v>
      </c>
      <c r="F923" s="23"/>
      <c r="G923" t="s">
        <v>2845</v>
      </c>
      <c r="H923" t="s">
        <v>1794</v>
      </c>
      <c r="I923" t="s">
        <v>1795</v>
      </c>
      <c r="J923" s="11" t="str">
        <f>+LEFT(U923,4)</f>
        <v>LHDL</v>
      </c>
      <c r="K923" t="s">
        <v>10</v>
      </c>
      <c r="L923">
        <v>510</v>
      </c>
      <c r="M923" t="s">
        <v>1472</v>
      </c>
      <c r="N923" t="s">
        <v>11</v>
      </c>
      <c r="O923">
        <v>7.4212999999999996</v>
      </c>
      <c r="P923" s="45">
        <f t="shared" si="84"/>
        <v>3784.86</v>
      </c>
      <c r="Q923" s="13">
        <f>IF(N923="HKD",7.8,IF(N923="CNY",7.30034,1))</f>
        <v>7.3003400000000003</v>
      </c>
      <c r="R923" s="15">
        <f>+ROUND(O923/Q923,4)</f>
        <v>1.0165999999999999</v>
      </c>
      <c r="S923" s="14">
        <f>ROUND(R923*L923,2)</f>
        <v>518.47</v>
      </c>
      <c r="T923" s="15" t="s">
        <v>349</v>
      </c>
      <c r="U923" t="s">
        <v>125</v>
      </c>
      <c r="W923" s="49" t="e">
        <f t="shared" si="85"/>
        <v>#DIV/0!</v>
      </c>
    </row>
    <row r="924" spans="1:23" x14ac:dyDescent="0.2">
      <c r="A924" t="s">
        <v>2323</v>
      </c>
      <c r="B924" s="24">
        <v>45720</v>
      </c>
      <c r="C924" s="24">
        <v>45664</v>
      </c>
      <c r="D924" t="s">
        <v>94</v>
      </c>
      <c r="E924" t="s">
        <v>95</v>
      </c>
      <c r="F924" s="23"/>
      <c r="G924" t="s">
        <v>2846</v>
      </c>
      <c r="H924" t="s">
        <v>1734</v>
      </c>
      <c r="I924" t="s">
        <v>1735</v>
      </c>
      <c r="J924" s="11" t="str">
        <f>+LEFT(U924,4)</f>
        <v>LID-</v>
      </c>
      <c r="K924" t="s">
        <v>3481</v>
      </c>
      <c r="L924">
        <v>270</v>
      </c>
      <c r="M924" t="s">
        <v>1472</v>
      </c>
      <c r="N924" t="s">
        <v>11</v>
      </c>
      <c r="O924">
        <v>3.53</v>
      </c>
      <c r="P924" s="45">
        <f t="shared" si="84"/>
        <v>953.1</v>
      </c>
      <c r="Q924" s="13">
        <f>IF(N924="HKD",7.8,IF(N924="CNY",7.30034,1))</f>
        <v>7.3003400000000003</v>
      </c>
      <c r="R924" s="15">
        <f>+ROUND(O924/Q924,4)</f>
        <v>0.48349999999999999</v>
      </c>
      <c r="S924" s="14">
        <f>ROUND(R924*L924,2)</f>
        <v>130.55000000000001</v>
      </c>
      <c r="T924" s="15" t="s">
        <v>349</v>
      </c>
      <c r="U924" t="s">
        <v>368</v>
      </c>
      <c r="W924" s="49" t="e">
        <f t="shared" si="85"/>
        <v>#DIV/0!</v>
      </c>
    </row>
    <row r="925" spans="1:23" x14ac:dyDescent="0.2">
      <c r="A925" t="s">
        <v>2329</v>
      </c>
      <c r="B925" s="24">
        <v>45720</v>
      </c>
      <c r="C925" s="24">
        <v>45671</v>
      </c>
      <c r="D925" t="s">
        <v>128</v>
      </c>
      <c r="E925" t="s">
        <v>129</v>
      </c>
      <c r="F925" s="23"/>
      <c r="G925" t="s">
        <v>2886</v>
      </c>
      <c r="H925" t="s">
        <v>3084</v>
      </c>
      <c r="I925" t="s">
        <v>3300</v>
      </c>
      <c r="J925" s="11" t="str">
        <f>+LEFT(U925,4)</f>
        <v>HDL-</v>
      </c>
      <c r="K925" t="s">
        <v>10</v>
      </c>
      <c r="L925">
        <v>1080</v>
      </c>
      <c r="M925" t="s">
        <v>1472</v>
      </c>
      <c r="N925" t="s">
        <v>11</v>
      </c>
      <c r="O925">
        <v>3.2145000000000001</v>
      </c>
      <c r="P925" s="45">
        <f t="shared" si="84"/>
        <v>3471.66</v>
      </c>
      <c r="Q925" s="13">
        <f>IF(N925="HKD",7.8,IF(N925="CNY",7.30034,1))</f>
        <v>7.3003400000000003</v>
      </c>
      <c r="R925" s="15">
        <f>+ROUND(O925/Q925,4)</f>
        <v>0.44030000000000002</v>
      </c>
      <c r="S925" s="14">
        <f>ROUND(R925*L925,2)</f>
        <v>475.52</v>
      </c>
      <c r="T925" s="15" t="s">
        <v>349</v>
      </c>
      <c r="U925" t="s">
        <v>228</v>
      </c>
      <c r="W925" s="49" t="e">
        <f t="shared" si="85"/>
        <v>#DIV/0!</v>
      </c>
    </row>
    <row r="926" spans="1:23" x14ac:dyDescent="0.2">
      <c r="A926" t="s">
        <v>2341</v>
      </c>
      <c r="B926" s="24">
        <v>45720</v>
      </c>
      <c r="C926" s="24">
        <v>45674</v>
      </c>
      <c r="D926" t="s">
        <v>128</v>
      </c>
      <c r="E926" t="s">
        <v>129</v>
      </c>
      <c r="F926" s="23"/>
      <c r="G926" t="s">
        <v>2886</v>
      </c>
      <c r="H926" t="s">
        <v>26</v>
      </c>
      <c r="I926" t="s">
        <v>27</v>
      </c>
      <c r="J926" s="11" t="str">
        <f>+LEFT(U926,4)</f>
        <v>KNOB</v>
      </c>
      <c r="K926" t="s">
        <v>10</v>
      </c>
      <c r="L926">
        <v>840</v>
      </c>
      <c r="M926" t="s">
        <v>1472</v>
      </c>
      <c r="N926" t="s">
        <v>11</v>
      </c>
      <c r="O926">
        <v>2.3666999999999998</v>
      </c>
      <c r="P926" s="45">
        <f t="shared" si="84"/>
        <v>1988.03</v>
      </c>
      <c r="Q926" s="13">
        <f>IF(N926="HKD",7.8,IF(N926="CNY",7.30034,1))</f>
        <v>7.3003400000000003</v>
      </c>
      <c r="R926" s="15">
        <f>+ROUND(O926/Q926,4)</f>
        <v>0.32419999999999999</v>
      </c>
      <c r="S926" s="14">
        <f>ROUND(R926*L926,2)</f>
        <v>272.33</v>
      </c>
      <c r="T926" s="15" t="s">
        <v>349</v>
      </c>
      <c r="U926" t="s">
        <v>32</v>
      </c>
      <c r="W926" s="49" t="e">
        <f t="shared" si="85"/>
        <v>#DIV/0!</v>
      </c>
    </row>
    <row r="927" spans="1:23" x14ac:dyDescent="0.2">
      <c r="A927" t="s">
        <v>2344</v>
      </c>
      <c r="B927" s="24">
        <v>45720</v>
      </c>
      <c r="C927" s="24">
        <v>45677</v>
      </c>
      <c r="D927" t="s">
        <v>287</v>
      </c>
      <c r="E927" t="s">
        <v>288</v>
      </c>
      <c r="F927" s="23"/>
      <c r="G927" t="s">
        <v>2899</v>
      </c>
      <c r="H927" t="s">
        <v>79</v>
      </c>
      <c r="I927" t="s">
        <v>80</v>
      </c>
      <c r="J927" s="11" t="str">
        <f>+LEFT(U927,4)</f>
        <v>ANYD</v>
      </c>
      <c r="K927" t="s">
        <v>10</v>
      </c>
      <c r="L927">
        <v>1050</v>
      </c>
      <c r="M927" t="s">
        <v>1472</v>
      </c>
      <c r="N927" t="s">
        <v>11</v>
      </c>
      <c r="O927">
        <v>6.5929000000000002</v>
      </c>
      <c r="P927" s="45">
        <f t="shared" si="84"/>
        <v>6922.55</v>
      </c>
      <c r="Q927" s="13">
        <f>IF(N927="HKD",7.8,IF(N927="CNY",7.30034,1))</f>
        <v>7.3003400000000003</v>
      </c>
      <c r="R927" s="15">
        <f>+ROUND(O927/Q927,4)</f>
        <v>0.90310000000000001</v>
      </c>
      <c r="S927" s="14">
        <f>ROUND(R927*L927,2)</f>
        <v>948.26</v>
      </c>
      <c r="T927" s="15" t="s">
        <v>349</v>
      </c>
      <c r="U927" t="s">
        <v>36</v>
      </c>
      <c r="W927" s="49" t="e">
        <f t="shared" si="85"/>
        <v>#DIV/0!</v>
      </c>
    </row>
    <row r="928" spans="1:23" x14ac:dyDescent="0.2">
      <c r="A928" t="s">
        <v>2349</v>
      </c>
      <c r="B928" s="24">
        <v>45720</v>
      </c>
      <c r="C928" s="24">
        <v>45680</v>
      </c>
      <c r="D928" t="s">
        <v>121</v>
      </c>
      <c r="E928" t="s">
        <v>122</v>
      </c>
      <c r="F928" s="23"/>
      <c r="G928" t="s">
        <v>2845</v>
      </c>
      <c r="H928" t="s">
        <v>1548</v>
      </c>
      <c r="I928" t="s">
        <v>1549</v>
      </c>
      <c r="J928" s="11" t="str">
        <f>+LEFT(U928,4)</f>
        <v>ANYD</v>
      </c>
      <c r="K928" t="s">
        <v>10</v>
      </c>
      <c r="L928">
        <v>3050</v>
      </c>
      <c r="M928" t="s">
        <v>1472</v>
      </c>
      <c r="N928" t="s">
        <v>11</v>
      </c>
      <c r="O928">
        <v>0.8</v>
      </c>
      <c r="P928" s="45">
        <f t="shared" si="84"/>
        <v>2440</v>
      </c>
      <c r="Q928" s="13">
        <f>IF(N928="HKD",7.8,IF(N928="CNY",7.30034,1))</f>
        <v>7.3003400000000003</v>
      </c>
      <c r="R928" s="15">
        <f>+ROUND(O928/Q928,4)</f>
        <v>0.1096</v>
      </c>
      <c r="S928" s="14">
        <f>ROUND(R928*L928,2)</f>
        <v>334.28</v>
      </c>
      <c r="T928" s="15" t="s">
        <v>349</v>
      </c>
      <c r="U928" t="s">
        <v>36</v>
      </c>
      <c r="W928" s="49" t="e">
        <f t="shared" si="85"/>
        <v>#DIV/0!</v>
      </c>
    </row>
    <row r="929" spans="1:23" x14ac:dyDescent="0.2">
      <c r="A929" t="s">
        <v>2350</v>
      </c>
      <c r="B929" s="24">
        <v>45720</v>
      </c>
      <c r="C929" s="24">
        <v>45680</v>
      </c>
      <c r="D929" t="s">
        <v>121</v>
      </c>
      <c r="E929" t="s">
        <v>122</v>
      </c>
      <c r="F929" s="23"/>
      <c r="G929" t="s">
        <v>2845</v>
      </c>
      <c r="H929" t="s">
        <v>1550</v>
      </c>
      <c r="I929" t="s">
        <v>1533</v>
      </c>
      <c r="J929" s="11" t="str">
        <f>+LEFT(U929,4)</f>
        <v>ANYD</v>
      </c>
      <c r="K929" t="s">
        <v>10</v>
      </c>
      <c r="L929">
        <v>2900</v>
      </c>
      <c r="M929" t="s">
        <v>1472</v>
      </c>
      <c r="N929" t="s">
        <v>11</v>
      </c>
      <c r="O929">
        <v>0.8</v>
      </c>
      <c r="P929" s="45">
        <f t="shared" si="84"/>
        <v>2320</v>
      </c>
      <c r="Q929" s="13">
        <f>IF(N929="HKD",7.8,IF(N929="CNY",7.30034,1))</f>
        <v>7.3003400000000003</v>
      </c>
      <c r="R929" s="15">
        <f>+ROUND(O929/Q929,4)</f>
        <v>0.1096</v>
      </c>
      <c r="S929" s="14">
        <f>ROUND(R929*L929,2)</f>
        <v>317.83999999999997</v>
      </c>
      <c r="T929" s="15" t="s">
        <v>349</v>
      </c>
      <c r="U929" t="s">
        <v>36</v>
      </c>
      <c r="W929" s="49" t="e">
        <f t="shared" si="85"/>
        <v>#DIV/0!</v>
      </c>
    </row>
    <row r="930" spans="1:23" x14ac:dyDescent="0.2">
      <c r="A930" t="s">
        <v>2406</v>
      </c>
      <c r="B930" s="24">
        <v>45720</v>
      </c>
      <c r="C930" s="24">
        <v>45700</v>
      </c>
      <c r="D930" t="s">
        <v>94</v>
      </c>
      <c r="E930" t="s">
        <v>95</v>
      </c>
      <c r="F930" s="23"/>
      <c r="G930" t="s">
        <v>2846</v>
      </c>
      <c r="H930" t="s">
        <v>1734</v>
      </c>
      <c r="I930" t="s">
        <v>1735</v>
      </c>
      <c r="J930" s="11" t="str">
        <f>+LEFT(U930,4)</f>
        <v>LID-</v>
      </c>
      <c r="K930" t="s">
        <v>3481</v>
      </c>
      <c r="L930">
        <v>380</v>
      </c>
      <c r="M930" t="s">
        <v>1472</v>
      </c>
      <c r="N930" t="s">
        <v>11</v>
      </c>
      <c r="O930">
        <v>3.53</v>
      </c>
      <c r="P930" s="45">
        <f t="shared" si="84"/>
        <v>1341.4</v>
      </c>
      <c r="Q930" s="13">
        <f>IF(N930="HKD",7.8,IF(N930="CNY",7.30034,1))</f>
        <v>7.3003400000000003</v>
      </c>
      <c r="R930" s="15">
        <f>+ROUND(O930/Q930,4)</f>
        <v>0.48349999999999999</v>
      </c>
      <c r="S930" s="14">
        <f>ROUND(R930*L930,2)</f>
        <v>183.73</v>
      </c>
      <c r="T930" s="15" t="s">
        <v>349</v>
      </c>
      <c r="U930" t="s">
        <v>368</v>
      </c>
      <c r="W930" s="49" t="e">
        <f t="shared" si="85"/>
        <v>#DIV/0!</v>
      </c>
    </row>
    <row r="931" spans="1:23" x14ac:dyDescent="0.2">
      <c r="A931" t="s">
        <v>2408</v>
      </c>
      <c r="B931" s="24">
        <v>45720</v>
      </c>
      <c r="C931" s="24">
        <v>45700</v>
      </c>
      <c r="D931" t="s">
        <v>94</v>
      </c>
      <c r="E931" t="s">
        <v>95</v>
      </c>
      <c r="F931" s="23"/>
      <c r="G931" t="s">
        <v>2846</v>
      </c>
      <c r="H931" t="s">
        <v>1734</v>
      </c>
      <c r="I931" t="s">
        <v>1735</v>
      </c>
      <c r="J931" s="11" t="str">
        <f>+LEFT(U931,4)</f>
        <v>LID-</v>
      </c>
      <c r="K931" t="s">
        <v>3481</v>
      </c>
      <c r="L931">
        <v>1030</v>
      </c>
      <c r="M931" t="s">
        <v>1472</v>
      </c>
      <c r="N931" t="s">
        <v>11</v>
      </c>
      <c r="O931">
        <v>3.53</v>
      </c>
      <c r="P931" s="45">
        <f t="shared" si="84"/>
        <v>3635.9</v>
      </c>
      <c r="Q931" s="13">
        <f>IF(N931="HKD",7.8,IF(N931="CNY",7.30034,1))</f>
        <v>7.3003400000000003</v>
      </c>
      <c r="R931" s="15">
        <f>+ROUND(O931/Q931,4)</f>
        <v>0.48349999999999999</v>
      </c>
      <c r="S931" s="14">
        <f>ROUND(R931*L931,2)</f>
        <v>498.01</v>
      </c>
      <c r="T931" s="15" t="s">
        <v>349</v>
      </c>
      <c r="U931" t="s">
        <v>368</v>
      </c>
      <c r="W931" s="49" t="e">
        <f t="shared" si="85"/>
        <v>#DIV/0!</v>
      </c>
    </row>
    <row r="932" spans="1:23" x14ac:dyDescent="0.2">
      <c r="A932" t="s">
        <v>2523</v>
      </c>
      <c r="B932" s="24">
        <v>45720</v>
      </c>
      <c r="C932" s="24">
        <v>45713</v>
      </c>
      <c r="D932" t="s">
        <v>128</v>
      </c>
      <c r="E932" t="s">
        <v>129</v>
      </c>
      <c r="F932" s="23"/>
      <c r="G932" t="s">
        <v>2886</v>
      </c>
      <c r="H932" t="s">
        <v>958</v>
      </c>
      <c r="I932" t="s">
        <v>959</v>
      </c>
      <c r="J932" s="11" t="str">
        <f>+LEFT(U932,4)</f>
        <v>RIV-</v>
      </c>
      <c r="K932" t="s">
        <v>10</v>
      </c>
      <c r="L932">
        <v>4000</v>
      </c>
      <c r="M932" t="s">
        <v>1472</v>
      </c>
      <c r="N932" t="s">
        <v>11</v>
      </c>
      <c r="O932">
        <v>4.8000000000000001E-2</v>
      </c>
      <c r="P932" s="45">
        <f t="shared" si="84"/>
        <v>192</v>
      </c>
      <c r="Q932" s="13">
        <f>IF(N932="HKD",7.8,IF(N932="CNY",7.30034,1))</f>
        <v>7.3003400000000003</v>
      </c>
      <c r="R932" s="15">
        <f>+ROUND(O932/Q932,4)</f>
        <v>6.6E-3</v>
      </c>
      <c r="S932" s="14">
        <f>ROUND(R932*L932,2)</f>
        <v>26.4</v>
      </c>
      <c r="T932" s="15" t="s">
        <v>349</v>
      </c>
      <c r="U932" t="s">
        <v>132</v>
      </c>
      <c r="W932" s="49" t="e">
        <f t="shared" si="85"/>
        <v>#DIV/0!</v>
      </c>
    </row>
    <row r="933" spans="1:23" x14ac:dyDescent="0.2">
      <c r="A933" t="s">
        <v>2603</v>
      </c>
      <c r="B933" s="24">
        <v>45720</v>
      </c>
      <c r="C933" s="24">
        <v>45719</v>
      </c>
      <c r="D933" t="s">
        <v>2829</v>
      </c>
      <c r="E933" t="s">
        <v>2830</v>
      </c>
      <c r="F933" s="23"/>
      <c r="G933" t="s">
        <v>3010</v>
      </c>
      <c r="H933" t="s">
        <v>1808</v>
      </c>
      <c r="I933" t="s">
        <v>1809</v>
      </c>
      <c r="J933" s="11" t="str">
        <f>+LEFT(U933,4)</f>
        <v>SSM-</v>
      </c>
      <c r="K933" t="s">
        <v>10</v>
      </c>
      <c r="L933">
        <v>33033</v>
      </c>
      <c r="M933" t="s">
        <v>186</v>
      </c>
      <c r="N933" t="s">
        <v>11</v>
      </c>
      <c r="O933">
        <v>11.8142</v>
      </c>
      <c r="P933" s="45">
        <f t="shared" si="84"/>
        <v>390258.47</v>
      </c>
      <c r="Q933" s="13">
        <f>IF(N933="HKD",7.8,IF(N933="CNY",7.30034,1))</f>
        <v>7.3003400000000003</v>
      </c>
      <c r="R933" s="15">
        <f>+ROUND(O933/Q933,4)</f>
        <v>1.6183000000000001</v>
      </c>
      <c r="S933" s="14">
        <f>ROUND(R933*L933,2)</f>
        <v>53457.3</v>
      </c>
      <c r="T933" s="15" t="s">
        <v>349</v>
      </c>
      <c r="U933" t="s">
        <v>33</v>
      </c>
      <c r="W933" s="49" t="e">
        <f t="shared" si="85"/>
        <v>#DIV/0!</v>
      </c>
    </row>
    <row r="934" spans="1:23" x14ac:dyDescent="0.2">
      <c r="A934" t="s">
        <v>2603</v>
      </c>
      <c r="B934" s="24">
        <v>45720</v>
      </c>
      <c r="C934" s="24">
        <v>45719</v>
      </c>
      <c r="D934" t="s">
        <v>2829</v>
      </c>
      <c r="E934" t="s">
        <v>2830</v>
      </c>
      <c r="F934" s="23"/>
      <c r="G934" t="s">
        <v>3011</v>
      </c>
      <c r="H934" t="s">
        <v>1808</v>
      </c>
      <c r="I934" t="s">
        <v>1809</v>
      </c>
      <c r="J934" s="11" t="str">
        <f>+LEFT(U934,4)</f>
        <v>SSM-</v>
      </c>
      <c r="K934" t="s">
        <v>10</v>
      </c>
      <c r="L934">
        <v>32834</v>
      </c>
      <c r="M934" t="s">
        <v>186</v>
      </c>
      <c r="N934" t="s">
        <v>11</v>
      </c>
      <c r="O934">
        <v>11.8142</v>
      </c>
      <c r="P934" s="45">
        <f t="shared" si="84"/>
        <v>387907.44</v>
      </c>
      <c r="Q934" s="13">
        <f>IF(N934="HKD",7.8,IF(N934="CNY",7.30034,1))</f>
        <v>7.3003400000000003</v>
      </c>
      <c r="R934" s="15">
        <f>+ROUND(O934/Q934,4)</f>
        <v>1.6183000000000001</v>
      </c>
      <c r="S934" s="14">
        <f>ROUND(R934*L934,2)</f>
        <v>53135.26</v>
      </c>
      <c r="T934" s="15" t="s">
        <v>349</v>
      </c>
      <c r="U934" t="s">
        <v>33</v>
      </c>
      <c r="W934" s="49" t="e">
        <f t="shared" si="85"/>
        <v>#DIV/0!</v>
      </c>
    </row>
    <row r="935" spans="1:23" x14ac:dyDescent="0.2">
      <c r="A935" t="s">
        <v>2059</v>
      </c>
      <c r="B935" s="24">
        <v>45721</v>
      </c>
      <c r="C935" s="24">
        <v>45630</v>
      </c>
      <c r="D935" t="s">
        <v>830</v>
      </c>
      <c r="E935" t="s">
        <v>831</v>
      </c>
      <c r="F935" s="23"/>
      <c r="G935" t="s">
        <v>2856</v>
      </c>
      <c r="H935" t="s">
        <v>834</v>
      </c>
      <c r="I935" t="s">
        <v>835</v>
      </c>
      <c r="J935" s="11" t="str">
        <f>+LEFT(U935,4)</f>
        <v>SKU-</v>
      </c>
      <c r="K935" t="s">
        <v>98</v>
      </c>
      <c r="L935">
        <v>200</v>
      </c>
      <c r="M935" t="s">
        <v>1472</v>
      </c>
      <c r="N935" t="s">
        <v>11</v>
      </c>
      <c r="O935">
        <v>4.9154</v>
      </c>
      <c r="P935" s="45">
        <f t="shared" si="84"/>
        <v>983.08</v>
      </c>
      <c r="Q935" s="13">
        <f>IF(N935="HKD",7.8,IF(N935="CNY",7.30034,1))</f>
        <v>7.3003400000000003</v>
      </c>
      <c r="R935" s="15">
        <f>+ROUND(O935/Q935,4)</f>
        <v>0.67330000000000001</v>
      </c>
      <c r="S935" s="14">
        <f>ROUND(R935*L935,2)</f>
        <v>134.66</v>
      </c>
      <c r="T935" s="15" t="s">
        <v>349</v>
      </c>
      <c r="U935" t="s">
        <v>2</v>
      </c>
      <c r="W935" s="49" t="e">
        <f t="shared" si="85"/>
        <v>#DIV/0!</v>
      </c>
    </row>
    <row r="936" spans="1:23" x14ac:dyDescent="0.2">
      <c r="A936" t="s">
        <v>2291</v>
      </c>
      <c r="B936" s="24">
        <v>45721</v>
      </c>
      <c r="C936" s="24">
        <v>45636</v>
      </c>
      <c r="D936" t="s">
        <v>143</v>
      </c>
      <c r="E936" t="s">
        <v>144</v>
      </c>
      <c r="F936" s="23"/>
      <c r="G936" t="s">
        <v>2859</v>
      </c>
      <c r="H936" t="s">
        <v>3065</v>
      </c>
      <c r="I936" t="s">
        <v>3281</v>
      </c>
      <c r="J936" s="11" t="str">
        <f>+LEFT(U936,4)</f>
        <v>HDL-</v>
      </c>
      <c r="K936" t="s">
        <v>10</v>
      </c>
      <c r="L936">
        <v>670</v>
      </c>
      <c r="M936" t="s">
        <v>1472</v>
      </c>
      <c r="N936" t="s">
        <v>11</v>
      </c>
      <c r="O936">
        <v>15.564299999999999</v>
      </c>
      <c r="P936" s="45">
        <f t="shared" si="84"/>
        <v>10428.08</v>
      </c>
      <c r="Q936" s="13">
        <f>IF(N936="HKD",7.8,IF(N936="CNY",7.30034,1))</f>
        <v>7.3003400000000003</v>
      </c>
      <c r="R936" s="15">
        <f>+ROUND(O936/Q936,4)</f>
        <v>2.1320000000000001</v>
      </c>
      <c r="S936" s="14">
        <f>ROUND(R936*L936,2)</f>
        <v>1428.44</v>
      </c>
      <c r="T936" s="15" t="s">
        <v>349</v>
      </c>
      <c r="U936" t="s">
        <v>228</v>
      </c>
      <c r="W936" s="49" t="e">
        <f t="shared" si="85"/>
        <v>#DIV/0!</v>
      </c>
    </row>
    <row r="937" spans="1:23" x14ac:dyDescent="0.2">
      <c r="A937" t="s">
        <v>2292</v>
      </c>
      <c r="B937" s="24">
        <v>45721</v>
      </c>
      <c r="C937" s="24">
        <v>45636</v>
      </c>
      <c r="D937" t="s">
        <v>143</v>
      </c>
      <c r="E937" t="s">
        <v>144</v>
      </c>
      <c r="F937" s="23"/>
      <c r="G937" t="s">
        <v>2859</v>
      </c>
      <c r="H937" t="s">
        <v>3066</v>
      </c>
      <c r="I937" t="s">
        <v>3282</v>
      </c>
      <c r="J937" s="11" t="str">
        <f>+LEFT(U937,4)</f>
        <v>HDL-</v>
      </c>
      <c r="K937" t="s">
        <v>10</v>
      </c>
      <c r="L937">
        <v>540</v>
      </c>
      <c r="M937" t="s">
        <v>1472</v>
      </c>
      <c r="N937" t="s">
        <v>11</v>
      </c>
      <c r="O937">
        <v>15.564299999999999</v>
      </c>
      <c r="P937" s="45">
        <f t="shared" si="84"/>
        <v>8404.7199999999993</v>
      </c>
      <c r="Q937" s="13">
        <f>IF(N937="HKD",7.8,IF(N937="CNY",7.30034,1))</f>
        <v>7.3003400000000003</v>
      </c>
      <c r="R937" s="15">
        <f>+ROUND(O937/Q937,4)</f>
        <v>2.1320000000000001</v>
      </c>
      <c r="S937" s="14">
        <f>ROUND(R937*L937,2)</f>
        <v>1151.28</v>
      </c>
      <c r="T937" s="15" t="s">
        <v>349</v>
      </c>
      <c r="U937" t="s">
        <v>228</v>
      </c>
      <c r="W937" s="49" t="e">
        <f t="shared" si="85"/>
        <v>#DIV/0!</v>
      </c>
    </row>
    <row r="938" spans="1:23" x14ac:dyDescent="0.2">
      <c r="A938" t="s">
        <v>2297</v>
      </c>
      <c r="B938" s="24">
        <v>45721</v>
      </c>
      <c r="C938" s="24">
        <v>45646</v>
      </c>
      <c r="D938" t="s">
        <v>830</v>
      </c>
      <c r="E938" t="s">
        <v>831</v>
      </c>
      <c r="F938" s="23"/>
      <c r="G938" t="s">
        <v>2856</v>
      </c>
      <c r="H938" t="s">
        <v>834</v>
      </c>
      <c r="I938" t="s">
        <v>835</v>
      </c>
      <c r="J938" s="11" t="str">
        <f>+LEFT(U938,4)</f>
        <v>SKU-</v>
      </c>
      <c r="K938" t="s">
        <v>98</v>
      </c>
      <c r="L938">
        <v>2000</v>
      </c>
      <c r="M938" t="s">
        <v>1472</v>
      </c>
      <c r="N938" t="s">
        <v>11</v>
      </c>
      <c r="O938">
        <v>4.9154</v>
      </c>
      <c r="P938" s="45">
        <f t="shared" si="84"/>
        <v>9830.7999999999993</v>
      </c>
      <c r="Q938" s="13">
        <f>IF(N938="HKD",7.8,IF(N938="CNY",7.30034,1))</f>
        <v>7.3003400000000003</v>
      </c>
      <c r="R938" s="15">
        <f>+ROUND(O938/Q938,4)</f>
        <v>0.67330000000000001</v>
      </c>
      <c r="S938" s="14">
        <f>ROUND(R938*L938,2)</f>
        <v>1346.6</v>
      </c>
      <c r="T938" s="15" t="s">
        <v>349</v>
      </c>
      <c r="U938" t="s">
        <v>2</v>
      </c>
      <c r="W938" s="49" t="e">
        <f t="shared" si="85"/>
        <v>#DIV/0!</v>
      </c>
    </row>
    <row r="939" spans="1:23" x14ac:dyDescent="0.2">
      <c r="A939" t="s">
        <v>1965</v>
      </c>
      <c r="B939" s="24">
        <v>45721</v>
      </c>
      <c r="C939" s="24">
        <v>45660</v>
      </c>
      <c r="D939" t="s">
        <v>709</v>
      </c>
      <c r="E939" t="s">
        <v>710</v>
      </c>
      <c r="F939" s="23"/>
      <c r="G939" t="s">
        <v>2869</v>
      </c>
      <c r="H939" t="s">
        <v>1684</v>
      </c>
      <c r="I939" t="s">
        <v>1685</v>
      </c>
      <c r="J939" s="11" t="str">
        <f>+LEFT(U939,4)</f>
        <v>SHDL</v>
      </c>
      <c r="K939" t="s">
        <v>10</v>
      </c>
      <c r="L939">
        <v>1260</v>
      </c>
      <c r="M939" t="s">
        <v>1472</v>
      </c>
      <c r="N939" t="s">
        <v>11</v>
      </c>
      <c r="O939">
        <v>2.6659999999999999</v>
      </c>
      <c r="P939" s="45">
        <f t="shared" si="84"/>
        <v>3359.16</v>
      </c>
      <c r="Q939" s="13">
        <f>IF(N939="HKD",7.8,IF(N939="CNY",7.30034,1))</f>
        <v>7.3003400000000003</v>
      </c>
      <c r="R939" s="15">
        <f>+ROUND(O939/Q939,4)</f>
        <v>0.36520000000000002</v>
      </c>
      <c r="S939" s="14">
        <f>ROUND(R939*L939,2)</f>
        <v>460.15</v>
      </c>
      <c r="T939" s="15" t="s">
        <v>349</v>
      </c>
      <c r="U939" t="s">
        <v>722</v>
      </c>
      <c r="W939" s="49" t="e">
        <f t="shared" si="85"/>
        <v>#DIV/0!</v>
      </c>
    </row>
    <row r="940" spans="1:23" x14ac:dyDescent="0.2">
      <c r="A940" t="s">
        <v>2323</v>
      </c>
      <c r="B940" s="24">
        <v>45721</v>
      </c>
      <c r="C940" s="24">
        <v>45664</v>
      </c>
      <c r="D940" t="s">
        <v>94</v>
      </c>
      <c r="E940" t="s">
        <v>95</v>
      </c>
      <c r="F940" s="23"/>
      <c r="G940" t="s">
        <v>2880</v>
      </c>
      <c r="H940" t="s">
        <v>1734</v>
      </c>
      <c r="I940" t="s">
        <v>1735</v>
      </c>
      <c r="J940" s="11" t="str">
        <f>+LEFT(U940,4)</f>
        <v>LID-</v>
      </c>
      <c r="K940" t="s">
        <v>3481</v>
      </c>
      <c r="L940">
        <v>1742</v>
      </c>
      <c r="M940" t="s">
        <v>1472</v>
      </c>
      <c r="N940" t="s">
        <v>11</v>
      </c>
      <c r="O940">
        <v>3.53</v>
      </c>
      <c r="P940" s="45">
        <f t="shared" si="84"/>
        <v>6149.26</v>
      </c>
      <c r="Q940" s="13">
        <f>IF(N940="HKD",7.8,IF(N940="CNY",7.30034,1))</f>
        <v>7.3003400000000003</v>
      </c>
      <c r="R940" s="15">
        <f>+ROUND(O940/Q940,4)</f>
        <v>0.48349999999999999</v>
      </c>
      <c r="S940" s="14">
        <f>ROUND(R940*L940,2)</f>
        <v>842.26</v>
      </c>
      <c r="T940" s="15" t="s">
        <v>349</v>
      </c>
      <c r="U940" t="s">
        <v>368</v>
      </c>
      <c r="W940" s="49" t="e">
        <f t="shared" si="85"/>
        <v>#DIV/0!</v>
      </c>
    </row>
    <row r="941" spans="1:23" x14ac:dyDescent="0.2">
      <c r="A941" t="s">
        <v>2022</v>
      </c>
      <c r="B941" s="24">
        <v>45721</v>
      </c>
      <c r="C941" s="24">
        <v>45671</v>
      </c>
      <c r="D941" t="s">
        <v>121</v>
      </c>
      <c r="E941" t="s">
        <v>122</v>
      </c>
      <c r="F941" s="23"/>
      <c r="G941" t="s">
        <v>2885</v>
      </c>
      <c r="H941" t="s">
        <v>357</v>
      </c>
      <c r="I941" t="s">
        <v>358</v>
      </c>
      <c r="J941" s="11" t="str">
        <f>+LEFT(U941,4)</f>
        <v>HDL-</v>
      </c>
      <c r="K941" t="s">
        <v>10</v>
      </c>
      <c r="L941">
        <v>1845</v>
      </c>
      <c r="M941" t="s">
        <v>1472</v>
      </c>
      <c r="N941" t="s">
        <v>11</v>
      </c>
      <c r="O941">
        <v>3.5398000000000001</v>
      </c>
      <c r="P941" s="45">
        <f t="shared" si="84"/>
        <v>6530.93</v>
      </c>
      <c r="Q941" s="13">
        <f>IF(N941="HKD",7.8,IF(N941="CNY",7.30034,1))</f>
        <v>7.3003400000000003</v>
      </c>
      <c r="R941" s="15">
        <f>+ROUND(O941/Q941,4)</f>
        <v>0.4849</v>
      </c>
      <c r="S941" s="14">
        <f>ROUND(R941*L941,2)</f>
        <v>894.64</v>
      </c>
      <c r="T941" s="15" t="s">
        <v>349</v>
      </c>
      <c r="U941" t="s">
        <v>228</v>
      </c>
      <c r="W941" s="49" t="e">
        <f t="shared" si="85"/>
        <v>#DIV/0!</v>
      </c>
    </row>
    <row r="942" spans="1:23" x14ac:dyDescent="0.2">
      <c r="A942" t="s">
        <v>2333</v>
      </c>
      <c r="B942" s="24">
        <v>45721</v>
      </c>
      <c r="C942" s="24">
        <v>45671</v>
      </c>
      <c r="D942" t="s">
        <v>169</v>
      </c>
      <c r="E942" t="s">
        <v>170</v>
      </c>
      <c r="F942" s="23"/>
      <c r="G942" t="s">
        <v>2888</v>
      </c>
      <c r="H942" t="s">
        <v>3086</v>
      </c>
      <c r="I942" t="s">
        <v>3302</v>
      </c>
      <c r="J942" s="11" t="str">
        <f>+LEFT(U942,4)</f>
        <v>BHRE</v>
      </c>
      <c r="K942" t="s">
        <v>10</v>
      </c>
      <c r="L942">
        <v>7100</v>
      </c>
      <c r="M942" t="s">
        <v>1472</v>
      </c>
      <c r="N942" t="s">
        <v>11</v>
      </c>
      <c r="O942">
        <v>1.22</v>
      </c>
      <c r="P942" s="45">
        <f t="shared" si="84"/>
        <v>8662</v>
      </c>
      <c r="Q942" s="13">
        <f>IF(N942="HKD",7.8,IF(N942="CNY",7.30034,1))</f>
        <v>7.3003400000000003</v>
      </c>
      <c r="R942" s="15">
        <f>+ROUND(O942/Q942,4)</f>
        <v>0.1671</v>
      </c>
      <c r="S942" s="14">
        <f>ROUND(R942*L942,2)</f>
        <v>1186.4100000000001</v>
      </c>
      <c r="T942" s="15" t="s">
        <v>349</v>
      </c>
      <c r="U942" t="s">
        <v>173</v>
      </c>
      <c r="W942" s="49" t="e">
        <f t="shared" si="85"/>
        <v>#DIV/0!</v>
      </c>
    </row>
    <row r="943" spans="1:23" x14ac:dyDescent="0.2">
      <c r="A943" t="s">
        <v>2336</v>
      </c>
      <c r="B943" s="24">
        <v>45721</v>
      </c>
      <c r="C943" s="24">
        <v>45674</v>
      </c>
      <c r="D943" t="s">
        <v>169</v>
      </c>
      <c r="E943" t="s">
        <v>170</v>
      </c>
      <c r="F943" s="23"/>
      <c r="G943" t="s">
        <v>2893</v>
      </c>
      <c r="H943" t="s">
        <v>1090</v>
      </c>
      <c r="I943" t="s">
        <v>1091</v>
      </c>
      <c r="J943" s="11" t="str">
        <f>+LEFT(U943,4)</f>
        <v>PAP-</v>
      </c>
      <c r="K943" t="s">
        <v>10</v>
      </c>
      <c r="L943">
        <v>15000</v>
      </c>
      <c r="M943" t="s">
        <v>1472</v>
      </c>
      <c r="N943" t="s">
        <v>11</v>
      </c>
      <c r="O943">
        <v>0.47789999999999999</v>
      </c>
      <c r="P943" s="45">
        <f t="shared" si="84"/>
        <v>7168.5</v>
      </c>
      <c r="Q943" s="13">
        <f>IF(N943="HKD",7.8,IF(N943="CNY",7.30034,1))</f>
        <v>7.3003400000000003</v>
      </c>
      <c r="R943" s="15">
        <f>+ROUND(O943/Q943,4)</f>
        <v>6.5500000000000003E-2</v>
      </c>
      <c r="S943" s="14">
        <f>ROUND(R943*L943,2)</f>
        <v>982.5</v>
      </c>
      <c r="T943" s="15" t="s">
        <v>349</v>
      </c>
      <c r="U943" t="s">
        <v>1094</v>
      </c>
      <c r="W943" s="49" t="e">
        <f t="shared" si="85"/>
        <v>#DIV/0!</v>
      </c>
    </row>
    <row r="944" spans="1:23" x14ac:dyDescent="0.2">
      <c r="A944" t="s">
        <v>2397</v>
      </c>
      <c r="B944" s="24">
        <v>45721</v>
      </c>
      <c r="C944" s="24">
        <v>45698</v>
      </c>
      <c r="D944" t="s">
        <v>709</v>
      </c>
      <c r="E944" t="s">
        <v>710</v>
      </c>
      <c r="F944" s="23"/>
      <c r="G944" t="s">
        <v>2869</v>
      </c>
      <c r="H944" t="s">
        <v>3097</v>
      </c>
      <c r="I944" t="s">
        <v>3312</v>
      </c>
      <c r="J944" s="11" t="str">
        <f>+LEFT(U944,4)</f>
        <v>LHDL</v>
      </c>
      <c r="K944" t="s">
        <v>10</v>
      </c>
      <c r="L944">
        <v>900</v>
      </c>
      <c r="M944" t="s">
        <v>1472</v>
      </c>
      <c r="N944" t="s">
        <v>11</v>
      </c>
      <c r="O944">
        <v>1.7138</v>
      </c>
      <c r="P944" s="45">
        <f t="shared" si="84"/>
        <v>1542.42</v>
      </c>
      <c r="Q944" s="13">
        <f>IF(N944="HKD",7.8,IF(N944="CNY",7.30034,1))</f>
        <v>7.3003400000000003</v>
      </c>
      <c r="R944" s="15">
        <f>+ROUND(O944/Q944,4)</f>
        <v>0.23480000000000001</v>
      </c>
      <c r="S944" s="14">
        <f>ROUND(R944*L944,2)</f>
        <v>211.32</v>
      </c>
      <c r="T944" s="15" t="s">
        <v>349</v>
      </c>
      <c r="U944" t="s">
        <v>125</v>
      </c>
      <c r="W944" s="49" t="e">
        <f t="shared" si="85"/>
        <v>#DIV/0!</v>
      </c>
    </row>
    <row r="945" spans="1:23" x14ac:dyDescent="0.2">
      <c r="A945" t="s">
        <v>2019</v>
      </c>
      <c r="B945" s="24">
        <v>45721</v>
      </c>
      <c r="C945" s="24">
        <v>45700</v>
      </c>
      <c r="D945" t="s">
        <v>94</v>
      </c>
      <c r="E945" t="s">
        <v>95</v>
      </c>
      <c r="F945" s="23"/>
      <c r="G945" t="s">
        <v>2880</v>
      </c>
      <c r="H945" t="s">
        <v>1001</v>
      </c>
      <c r="I945" t="s">
        <v>1002</v>
      </c>
      <c r="J945" s="11" t="str">
        <f>+LEFT(U945,4)</f>
        <v>LID-</v>
      </c>
      <c r="K945" t="s">
        <v>3481</v>
      </c>
      <c r="L945">
        <v>699</v>
      </c>
      <c r="M945" t="s">
        <v>1472</v>
      </c>
      <c r="N945" t="s">
        <v>11</v>
      </c>
      <c r="O945">
        <v>3.42</v>
      </c>
      <c r="P945" s="45">
        <f t="shared" si="84"/>
        <v>2390.58</v>
      </c>
      <c r="Q945" s="13">
        <f>IF(N945="HKD",7.8,IF(N945="CNY",7.30034,1))</f>
        <v>7.3003400000000003</v>
      </c>
      <c r="R945" s="15">
        <f>+ROUND(O945/Q945,4)</f>
        <v>0.46850000000000003</v>
      </c>
      <c r="S945" s="14">
        <f>ROUND(R945*L945,2)</f>
        <v>327.48</v>
      </c>
      <c r="T945" s="15" t="s">
        <v>349</v>
      </c>
      <c r="U945" t="s">
        <v>368</v>
      </c>
      <c r="W945" s="49" t="e">
        <f t="shared" si="85"/>
        <v>#DIV/0!</v>
      </c>
    </row>
    <row r="946" spans="1:23" x14ac:dyDescent="0.2">
      <c r="A946" t="s">
        <v>2407</v>
      </c>
      <c r="B946" s="24">
        <v>45721</v>
      </c>
      <c r="C946" s="24">
        <v>45700</v>
      </c>
      <c r="D946" t="s">
        <v>94</v>
      </c>
      <c r="E946" t="s">
        <v>95</v>
      </c>
      <c r="F946" s="23"/>
      <c r="G946" t="s">
        <v>2880</v>
      </c>
      <c r="H946" t="s">
        <v>1001</v>
      </c>
      <c r="I946" t="s">
        <v>1002</v>
      </c>
      <c r="J946" s="11" t="str">
        <f>+LEFT(U946,4)</f>
        <v>LID-</v>
      </c>
      <c r="K946" t="s">
        <v>3481</v>
      </c>
      <c r="L946">
        <v>981</v>
      </c>
      <c r="M946" t="s">
        <v>1472</v>
      </c>
      <c r="N946" t="s">
        <v>11</v>
      </c>
      <c r="O946">
        <v>3.42</v>
      </c>
      <c r="P946" s="45">
        <f t="shared" si="84"/>
        <v>3355.02</v>
      </c>
      <c r="Q946" s="13">
        <f>IF(N946="HKD",7.8,IF(N946="CNY",7.30034,1))</f>
        <v>7.3003400000000003</v>
      </c>
      <c r="R946" s="15">
        <f>+ROUND(O946/Q946,4)</f>
        <v>0.46850000000000003</v>
      </c>
      <c r="S946" s="14">
        <f>ROUND(R946*L946,2)</f>
        <v>459.6</v>
      </c>
      <c r="T946" s="15" t="s">
        <v>349</v>
      </c>
      <c r="U946" t="s">
        <v>368</v>
      </c>
      <c r="W946" s="49" t="e">
        <f t="shared" si="85"/>
        <v>#DIV/0!</v>
      </c>
    </row>
    <row r="947" spans="1:23" x14ac:dyDescent="0.2">
      <c r="A947" t="s">
        <v>2455</v>
      </c>
      <c r="B947" s="24">
        <v>45721</v>
      </c>
      <c r="C947" s="24">
        <v>45706</v>
      </c>
      <c r="D947" t="s">
        <v>2821</v>
      </c>
      <c r="E947" t="s">
        <v>2822</v>
      </c>
      <c r="F947" s="23"/>
      <c r="G947" t="s">
        <v>2942</v>
      </c>
      <c r="H947" t="s">
        <v>3138</v>
      </c>
      <c r="I947" t="s">
        <v>3348</v>
      </c>
      <c r="J947" s="11" t="str">
        <f>+LEFT(U947,4)</f>
        <v>MISC</v>
      </c>
      <c r="K947" t="s">
        <v>10</v>
      </c>
      <c r="L947">
        <v>3000</v>
      </c>
      <c r="M947" t="s">
        <v>186</v>
      </c>
      <c r="N947" t="s">
        <v>11</v>
      </c>
      <c r="O947">
        <v>1.9735</v>
      </c>
      <c r="P947" s="45">
        <f t="shared" si="84"/>
        <v>5920.5</v>
      </c>
      <c r="Q947" s="13">
        <f>IF(N947="HKD",7.8,IF(N947="CNY",7.30034,1))</f>
        <v>7.3003400000000003</v>
      </c>
      <c r="R947" s="15">
        <f>+ROUND(O947/Q947,4)</f>
        <v>0.27029999999999998</v>
      </c>
      <c r="S947" s="14">
        <f>ROUND(R947*L947,2)</f>
        <v>810.9</v>
      </c>
      <c r="T947" s="15" t="s">
        <v>349</v>
      </c>
      <c r="U947" t="s">
        <v>25</v>
      </c>
      <c r="W947" s="49" t="e">
        <f t="shared" si="85"/>
        <v>#DIV/0!</v>
      </c>
    </row>
    <row r="948" spans="1:23" x14ac:dyDescent="0.2">
      <c r="A948" t="s">
        <v>2482</v>
      </c>
      <c r="B948" s="24">
        <v>45721</v>
      </c>
      <c r="C948" s="24">
        <v>45712</v>
      </c>
      <c r="D948" t="s">
        <v>709</v>
      </c>
      <c r="E948" t="s">
        <v>710</v>
      </c>
      <c r="F948" s="23"/>
      <c r="G948" t="s">
        <v>2869</v>
      </c>
      <c r="H948" t="s">
        <v>3146</v>
      </c>
      <c r="I948" t="s">
        <v>3356</v>
      </c>
      <c r="J948" s="11" t="str">
        <f>+LEFT(U948,4)</f>
        <v>LHDL</v>
      </c>
      <c r="K948" t="s">
        <v>10</v>
      </c>
      <c r="L948">
        <v>1800</v>
      </c>
      <c r="M948" t="s">
        <v>1472</v>
      </c>
      <c r="N948" t="s">
        <v>11</v>
      </c>
      <c r="O948">
        <v>1.8576999999999999</v>
      </c>
      <c r="P948" s="45">
        <f t="shared" si="84"/>
        <v>3343.86</v>
      </c>
      <c r="Q948" s="13">
        <f>IF(N948="HKD",7.8,IF(N948="CNY",7.30034,1))</f>
        <v>7.3003400000000003</v>
      </c>
      <c r="R948" s="15">
        <f>+ROUND(O948/Q948,4)</f>
        <v>0.2545</v>
      </c>
      <c r="S948" s="14">
        <f>ROUND(R948*L948,2)</f>
        <v>458.1</v>
      </c>
      <c r="T948" s="15" t="s">
        <v>349</v>
      </c>
      <c r="U948" t="s">
        <v>125</v>
      </c>
      <c r="W948" s="49" t="e">
        <f t="shared" si="85"/>
        <v>#DIV/0!</v>
      </c>
    </row>
    <row r="949" spans="1:23" x14ac:dyDescent="0.2">
      <c r="A949" t="s">
        <v>2603</v>
      </c>
      <c r="B949" s="24">
        <v>45721</v>
      </c>
      <c r="C949" s="24">
        <v>45719</v>
      </c>
      <c r="D949" t="s">
        <v>2829</v>
      </c>
      <c r="E949" t="s">
        <v>2830</v>
      </c>
      <c r="F949" s="23"/>
      <c r="G949" t="s">
        <v>3009</v>
      </c>
      <c r="H949" t="s">
        <v>1808</v>
      </c>
      <c r="I949" t="s">
        <v>1809</v>
      </c>
      <c r="J949" s="11" t="str">
        <f>+LEFT(U949,4)</f>
        <v>SSM-</v>
      </c>
      <c r="K949" t="s">
        <v>10</v>
      </c>
      <c r="L949">
        <v>43134</v>
      </c>
      <c r="M949" t="s">
        <v>186</v>
      </c>
      <c r="N949" t="s">
        <v>11</v>
      </c>
      <c r="O949">
        <v>11.8142</v>
      </c>
      <c r="P949" s="45">
        <f t="shared" si="84"/>
        <v>509593.7</v>
      </c>
      <c r="Q949" s="13">
        <f>IF(N949="HKD",7.8,IF(N949="CNY",7.30034,1))</f>
        <v>7.3003400000000003</v>
      </c>
      <c r="R949" s="15">
        <f>+ROUND(O949/Q949,4)</f>
        <v>1.6183000000000001</v>
      </c>
      <c r="S949" s="14">
        <f>ROUND(R949*L949,2)</f>
        <v>69803.75</v>
      </c>
      <c r="T949" s="15" t="s">
        <v>349</v>
      </c>
      <c r="U949" t="s">
        <v>33</v>
      </c>
      <c r="W949" s="49" t="e">
        <f t="shared" si="85"/>
        <v>#DIV/0!</v>
      </c>
    </row>
    <row r="950" spans="1:23" x14ac:dyDescent="0.2">
      <c r="A950" t="s">
        <v>2041</v>
      </c>
      <c r="B950" s="24">
        <v>45722</v>
      </c>
      <c r="C950" s="24">
        <v>45636</v>
      </c>
      <c r="D950" t="s">
        <v>94</v>
      </c>
      <c r="E950" t="s">
        <v>95</v>
      </c>
      <c r="F950" s="23"/>
      <c r="G950" t="s">
        <v>2860</v>
      </c>
      <c r="H950" t="s">
        <v>1750</v>
      </c>
      <c r="I950" t="s">
        <v>1751</v>
      </c>
      <c r="J950" s="11" t="str">
        <f>+LEFT(U950,4)</f>
        <v>LID-</v>
      </c>
      <c r="K950" t="s">
        <v>3481</v>
      </c>
      <c r="L950">
        <v>46</v>
      </c>
      <c r="M950" t="s">
        <v>1472</v>
      </c>
      <c r="N950" t="s">
        <v>11</v>
      </c>
      <c r="O950">
        <v>3.92</v>
      </c>
      <c r="P950" s="45">
        <f t="shared" si="84"/>
        <v>180.32</v>
      </c>
      <c r="Q950" s="13">
        <f>IF(N950="HKD",7.8,IF(N950="CNY",7.30034,1))</f>
        <v>7.3003400000000003</v>
      </c>
      <c r="R950" s="15">
        <f>+ROUND(O950/Q950,4)</f>
        <v>0.53700000000000003</v>
      </c>
      <c r="S950" s="14">
        <f>ROUND(R950*L950,2)</f>
        <v>24.7</v>
      </c>
      <c r="T950" s="15" t="s">
        <v>349</v>
      </c>
      <c r="U950" t="s">
        <v>368</v>
      </c>
      <c r="W950" s="49" t="e">
        <f t="shared" si="85"/>
        <v>#DIV/0!</v>
      </c>
    </row>
    <row r="951" spans="1:23" x14ac:dyDescent="0.2">
      <c r="A951" t="s">
        <v>2305</v>
      </c>
      <c r="B951" s="24">
        <v>45722</v>
      </c>
      <c r="C951" s="24">
        <v>45663</v>
      </c>
      <c r="D951" t="s">
        <v>2817</v>
      </c>
      <c r="E951" t="s">
        <v>2818</v>
      </c>
      <c r="F951" s="23"/>
      <c r="G951" t="s">
        <v>2873</v>
      </c>
      <c r="H951" t="s">
        <v>3069</v>
      </c>
      <c r="I951" t="s">
        <v>3286</v>
      </c>
      <c r="J951" s="11" t="str">
        <f>+LEFT(U951,4)</f>
        <v>T&amp;G-</v>
      </c>
      <c r="K951" t="s">
        <v>10</v>
      </c>
      <c r="L951">
        <v>3500</v>
      </c>
      <c r="M951" t="s">
        <v>1472</v>
      </c>
      <c r="N951" t="s">
        <v>2246</v>
      </c>
      <c r="O951">
        <v>0.23</v>
      </c>
      <c r="P951" s="45">
        <f t="shared" si="84"/>
        <v>805</v>
      </c>
      <c r="Q951" s="13">
        <f>IF(N951="HKD",7.8,IF(N951="CNY",7.30034,1))</f>
        <v>1</v>
      </c>
      <c r="R951" s="15">
        <f>+ROUND(O951/Q951,4)</f>
        <v>0.23</v>
      </c>
      <c r="S951" s="14">
        <f>ROUND(R951*L951,2)</f>
        <v>805</v>
      </c>
      <c r="T951" s="15" t="s">
        <v>349</v>
      </c>
      <c r="U951" t="s">
        <v>2245</v>
      </c>
      <c r="W951" s="49">
        <f t="shared" si="85"/>
        <v>1</v>
      </c>
    </row>
    <row r="952" spans="1:23" x14ac:dyDescent="0.2">
      <c r="A952" t="s">
        <v>2306</v>
      </c>
      <c r="B952" s="24">
        <v>45722</v>
      </c>
      <c r="C952" s="24">
        <v>45663</v>
      </c>
      <c r="D952" t="s">
        <v>2817</v>
      </c>
      <c r="E952" t="s">
        <v>2818</v>
      </c>
      <c r="F952" s="23"/>
      <c r="G952" t="s">
        <v>2873</v>
      </c>
      <c r="H952" t="s">
        <v>3070</v>
      </c>
      <c r="I952" t="s">
        <v>3287</v>
      </c>
      <c r="J952" s="11" t="str">
        <f>+LEFT(U952,4)</f>
        <v>T&amp;G-</v>
      </c>
      <c r="K952" t="s">
        <v>10</v>
      </c>
      <c r="L952">
        <v>3500</v>
      </c>
      <c r="M952" t="s">
        <v>1472</v>
      </c>
      <c r="N952" t="s">
        <v>2246</v>
      </c>
      <c r="O952">
        <v>0.2</v>
      </c>
      <c r="P952" s="45">
        <f t="shared" si="84"/>
        <v>700</v>
      </c>
      <c r="Q952" s="13">
        <f>IF(N952="HKD",7.8,IF(N952="CNY",7.30034,1))</f>
        <v>1</v>
      </c>
      <c r="R952" s="15">
        <f>+ROUND(O952/Q952,4)</f>
        <v>0.2</v>
      </c>
      <c r="S952" s="14">
        <f>ROUND(R952*L952,2)</f>
        <v>700</v>
      </c>
      <c r="T952" s="15" t="s">
        <v>349</v>
      </c>
      <c r="U952" t="s">
        <v>2245</v>
      </c>
      <c r="W952" s="49">
        <f t="shared" si="85"/>
        <v>1</v>
      </c>
    </row>
    <row r="953" spans="1:23" x14ac:dyDescent="0.2">
      <c r="A953" t="s">
        <v>2307</v>
      </c>
      <c r="B953" s="24">
        <v>45722</v>
      </c>
      <c r="C953" s="24">
        <v>45663</v>
      </c>
      <c r="D953" t="s">
        <v>2817</v>
      </c>
      <c r="E953" t="s">
        <v>2818</v>
      </c>
      <c r="F953" s="23"/>
      <c r="G953" t="s">
        <v>2873</v>
      </c>
      <c r="H953" t="s">
        <v>3071</v>
      </c>
      <c r="I953" t="s">
        <v>3288</v>
      </c>
      <c r="J953" s="11" t="str">
        <f>+LEFT(U953,4)</f>
        <v>T&amp;G-</v>
      </c>
      <c r="K953" t="s">
        <v>10</v>
      </c>
      <c r="L953">
        <v>3500</v>
      </c>
      <c r="M953" t="s">
        <v>1472</v>
      </c>
      <c r="N953" t="s">
        <v>2246</v>
      </c>
      <c r="O953">
        <v>0.18</v>
      </c>
      <c r="P953" s="45">
        <f t="shared" si="84"/>
        <v>630</v>
      </c>
      <c r="Q953" s="13">
        <f>IF(N953="HKD",7.8,IF(N953="CNY",7.30034,1))</f>
        <v>1</v>
      </c>
      <c r="R953" s="15">
        <f>+ROUND(O953/Q953,4)</f>
        <v>0.18</v>
      </c>
      <c r="S953" s="14">
        <f>ROUND(R953*L953,2)</f>
        <v>630</v>
      </c>
      <c r="T953" s="15" t="s">
        <v>349</v>
      </c>
      <c r="U953" t="s">
        <v>2245</v>
      </c>
      <c r="W953" s="49">
        <f t="shared" si="85"/>
        <v>1</v>
      </c>
    </row>
    <row r="954" spans="1:23" x14ac:dyDescent="0.2">
      <c r="A954" t="s">
        <v>2322</v>
      </c>
      <c r="B954" s="24">
        <v>45722</v>
      </c>
      <c r="C954" s="24">
        <v>45664</v>
      </c>
      <c r="D954" t="s">
        <v>94</v>
      </c>
      <c r="E954" t="s">
        <v>95</v>
      </c>
      <c r="F954" s="23"/>
      <c r="G954" t="s">
        <v>2860</v>
      </c>
      <c r="H954" t="s">
        <v>1001</v>
      </c>
      <c r="I954" t="s">
        <v>1002</v>
      </c>
      <c r="J954" s="11" t="str">
        <f>+LEFT(U954,4)</f>
        <v>LID-</v>
      </c>
      <c r="K954" t="s">
        <v>3481</v>
      </c>
      <c r="L954">
        <v>1022</v>
      </c>
      <c r="M954" t="s">
        <v>1472</v>
      </c>
      <c r="N954" t="s">
        <v>11</v>
      </c>
      <c r="O954">
        <v>3.42</v>
      </c>
      <c r="P954" s="45">
        <f t="shared" si="84"/>
        <v>3495.24</v>
      </c>
      <c r="Q954" s="13">
        <f>IF(N954="HKD",7.8,IF(N954="CNY",7.30034,1))</f>
        <v>7.3003400000000003</v>
      </c>
      <c r="R954" s="15">
        <f>+ROUND(O954/Q954,4)</f>
        <v>0.46850000000000003</v>
      </c>
      <c r="S954" s="14">
        <f>ROUND(R954*L954,2)</f>
        <v>478.81</v>
      </c>
      <c r="T954" s="15" t="s">
        <v>349</v>
      </c>
      <c r="U954" t="s">
        <v>368</v>
      </c>
      <c r="W954" s="49" t="e">
        <f t="shared" si="85"/>
        <v>#DIV/0!</v>
      </c>
    </row>
    <row r="955" spans="1:23" x14ac:dyDescent="0.2">
      <c r="A955" t="s">
        <v>2324</v>
      </c>
      <c r="B955" s="24">
        <v>45722</v>
      </c>
      <c r="C955" s="24">
        <v>45664</v>
      </c>
      <c r="D955" t="s">
        <v>94</v>
      </c>
      <c r="E955" t="s">
        <v>95</v>
      </c>
      <c r="F955" s="23"/>
      <c r="G955" t="s">
        <v>2860</v>
      </c>
      <c r="H955" t="s">
        <v>997</v>
      </c>
      <c r="I955" t="s">
        <v>998</v>
      </c>
      <c r="J955" s="11" t="str">
        <f>+LEFT(U955,4)</f>
        <v>LID-</v>
      </c>
      <c r="K955" t="s">
        <v>3481</v>
      </c>
      <c r="L955">
        <v>170</v>
      </c>
      <c r="M955" t="s">
        <v>1472</v>
      </c>
      <c r="N955" t="s">
        <v>11</v>
      </c>
      <c r="O955">
        <v>3.64</v>
      </c>
      <c r="P955" s="45">
        <f t="shared" si="84"/>
        <v>618.79999999999995</v>
      </c>
      <c r="Q955" s="13">
        <f>IF(N955="HKD",7.8,IF(N955="CNY",7.30034,1))</f>
        <v>7.3003400000000003</v>
      </c>
      <c r="R955" s="15">
        <f>+ROUND(O955/Q955,4)</f>
        <v>0.49859999999999999</v>
      </c>
      <c r="S955" s="14">
        <f>ROUND(R955*L955,2)</f>
        <v>84.76</v>
      </c>
      <c r="T955" s="15" t="s">
        <v>349</v>
      </c>
      <c r="U955" t="s">
        <v>368</v>
      </c>
      <c r="W955" s="49" t="e">
        <f t="shared" si="85"/>
        <v>#DIV/0!</v>
      </c>
    </row>
    <row r="956" spans="1:23" x14ac:dyDescent="0.2">
      <c r="A956" t="s">
        <v>1866</v>
      </c>
      <c r="B956" s="24">
        <v>45722</v>
      </c>
      <c r="C956" s="24">
        <v>45672</v>
      </c>
      <c r="D956" t="s">
        <v>806</v>
      </c>
      <c r="E956" t="s">
        <v>807</v>
      </c>
      <c r="F956" s="23"/>
      <c r="G956" t="s">
        <v>2891</v>
      </c>
      <c r="H956" t="s">
        <v>1603</v>
      </c>
      <c r="I956" t="s">
        <v>1604</v>
      </c>
      <c r="J956" s="11" t="str">
        <f>+LEFT(U956,4)</f>
        <v>BAG-</v>
      </c>
      <c r="K956" t="s">
        <v>10</v>
      </c>
      <c r="L956">
        <v>-10000</v>
      </c>
      <c r="M956" t="s">
        <v>1472</v>
      </c>
      <c r="N956" t="s">
        <v>11</v>
      </c>
      <c r="O956">
        <v>0.158</v>
      </c>
      <c r="P956" s="45">
        <f t="shared" si="84"/>
        <v>-1580</v>
      </c>
      <c r="Q956" s="13">
        <f>IF(N956="HKD",7.8,IF(N956="CNY",7.30034,1))</f>
        <v>7.3003400000000003</v>
      </c>
      <c r="R956" s="15">
        <f>+ROUND(O956/Q956,4)</f>
        <v>2.1600000000000001E-2</v>
      </c>
      <c r="S956" s="14">
        <f>ROUND(R956*L956,2)</f>
        <v>-216</v>
      </c>
      <c r="T956" s="15" t="s">
        <v>349</v>
      </c>
      <c r="U956" t="s">
        <v>810</v>
      </c>
      <c r="W956" s="49" t="e">
        <f t="shared" si="85"/>
        <v>#DIV/0!</v>
      </c>
    </row>
    <row r="957" spans="1:23" x14ac:dyDescent="0.2">
      <c r="A957" t="s">
        <v>2339</v>
      </c>
      <c r="B957" s="24">
        <v>45722</v>
      </c>
      <c r="C957" s="24">
        <v>45674</v>
      </c>
      <c r="D957" t="s">
        <v>806</v>
      </c>
      <c r="E957" t="s">
        <v>807</v>
      </c>
      <c r="F957" s="23"/>
      <c r="G957" t="s">
        <v>2896</v>
      </c>
      <c r="H957" t="s">
        <v>3087</v>
      </c>
      <c r="I957" t="s">
        <v>3303</v>
      </c>
      <c r="J957" s="11" t="str">
        <f>+LEFT(U957,4)</f>
        <v>SWF-</v>
      </c>
      <c r="K957" t="s">
        <v>10</v>
      </c>
      <c r="L957">
        <v>294.3</v>
      </c>
      <c r="M957" t="s">
        <v>186</v>
      </c>
      <c r="N957" t="s">
        <v>11</v>
      </c>
      <c r="O957">
        <v>16</v>
      </c>
      <c r="P957" s="45">
        <f t="shared" si="84"/>
        <v>4708.8</v>
      </c>
      <c r="Q957" s="13">
        <f>IF(N957="HKD",7.8,IF(N957="CNY",7.30034,1))</f>
        <v>7.3003400000000003</v>
      </c>
      <c r="R957" s="15">
        <f>+ROUND(O957/Q957,4)</f>
        <v>2.1917</v>
      </c>
      <c r="S957" s="14">
        <f>ROUND(R957*L957,2)</f>
        <v>645.02</v>
      </c>
      <c r="T957" s="15" t="s">
        <v>349</v>
      </c>
      <c r="U957" t="s">
        <v>3483</v>
      </c>
      <c r="W957" s="49" t="e">
        <f t="shared" si="85"/>
        <v>#DIV/0!</v>
      </c>
    </row>
    <row r="958" spans="1:23" x14ac:dyDescent="0.2">
      <c r="A958" t="s">
        <v>2392</v>
      </c>
      <c r="B958" s="24">
        <v>45722</v>
      </c>
      <c r="C958" s="24">
        <v>45695</v>
      </c>
      <c r="D958" t="s">
        <v>149</v>
      </c>
      <c r="E958" t="s">
        <v>150</v>
      </c>
      <c r="F958" s="23"/>
      <c r="G958" t="s">
        <v>2918</v>
      </c>
      <c r="H958" t="s">
        <v>3093</v>
      </c>
      <c r="I958" t="s">
        <v>3309</v>
      </c>
      <c r="J958" s="11" t="str">
        <f>+LEFT(U958,4)</f>
        <v>GLID</v>
      </c>
      <c r="K958" t="s">
        <v>10</v>
      </c>
      <c r="L958">
        <v>1000</v>
      </c>
      <c r="M958" t="s">
        <v>1472</v>
      </c>
      <c r="N958" t="s">
        <v>11</v>
      </c>
      <c r="O958">
        <v>3.1193</v>
      </c>
      <c r="P958" s="45">
        <f t="shared" si="84"/>
        <v>3119.3</v>
      </c>
      <c r="Q958" s="13">
        <f>IF(N958="HKD",7.8,IF(N958="CNY",7.30034,1))</f>
        <v>7.3003400000000003</v>
      </c>
      <c r="R958" s="15">
        <f>+ROUND(O958/Q958,4)</f>
        <v>0.42730000000000001</v>
      </c>
      <c r="S958" s="14">
        <f>ROUND(R958*L958,2)</f>
        <v>427.3</v>
      </c>
      <c r="T958" s="15" t="s">
        <v>349</v>
      </c>
      <c r="U958" t="s">
        <v>78</v>
      </c>
      <c r="W958" s="49" t="e">
        <f t="shared" si="85"/>
        <v>#DIV/0!</v>
      </c>
    </row>
    <row r="959" spans="1:23" x14ac:dyDescent="0.2">
      <c r="A959" t="s">
        <v>2403</v>
      </c>
      <c r="B959" s="24">
        <v>45722</v>
      </c>
      <c r="C959" s="24">
        <v>45698</v>
      </c>
      <c r="D959" t="s">
        <v>149</v>
      </c>
      <c r="E959" t="s">
        <v>150</v>
      </c>
      <c r="F959" s="23"/>
      <c r="G959" t="s">
        <v>2918</v>
      </c>
      <c r="H959" t="s">
        <v>3101</v>
      </c>
      <c r="I959" t="s">
        <v>3316</v>
      </c>
      <c r="J959" s="11" t="str">
        <f>+LEFT(U959,4)</f>
        <v>GLID</v>
      </c>
      <c r="K959" t="s">
        <v>10</v>
      </c>
      <c r="L959">
        <v>500</v>
      </c>
      <c r="M959" t="s">
        <v>1472</v>
      </c>
      <c r="N959" t="s">
        <v>11</v>
      </c>
      <c r="O959">
        <v>3.6379000000000001</v>
      </c>
      <c r="P959" s="45">
        <f t="shared" si="84"/>
        <v>1818.95</v>
      </c>
      <c r="Q959" s="13">
        <f>IF(N959="HKD",7.8,IF(N959="CNY",7.30034,1))</f>
        <v>7.3003400000000003</v>
      </c>
      <c r="R959" s="15">
        <f>+ROUND(O959/Q959,4)</f>
        <v>0.49830000000000002</v>
      </c>
      <c r="S959" s="14">
        <f>ROUND(R959*L959,2)</f>
        <v>249.15</v>
      </c>
      <c r="T959" s="15" t="s">
        <v>349</v>
      </c>
      <c r="U959" t="s">
        <v>78</v>
      </c>
      <c r="W959" s="49" t="e">
        <f t="shared" si="85"/>
        <v>#DIV/0!</v>
      </c>
    </row>
    <row r="960" spans="1:23" x14ac:dyDescent="0.2">
      <c r="A960" t="s">
        <v>1970</v>
      </c>
      <c r="B960" s="24">
        <v>45722</v>
      </c>
      <c r="C960" s="24">
        <v>45698</v>
      </c>
      <c r="D960" t="s">
        <v>149</v>
      </c>
      <c r="E960" t="s">
        <v>150</v>
      </c>
      <c r="F960" s="23"/>
      <c r="G960" t="s">
        <v>2918</v>
      </c>
      <c r="H960" t="s">
        <v>786</v>
      </c>
      <c r="I960" t="s">
        <v>787</v>
      </c>
      <c r="J960" s="11" t="str">
        <f>+LEFT(U960,4)</f>
        <v>GLID</v>
      </c>
      <c r="K960" t="s">
        <v>10</v>
      </c>
      <c r="L960">
        <v>200</v>
      </c>
      <c r="M960" t="s">
        <v>1472</v>
      </c>
      <c r="N960" t="s">
        <v>11</v>
      </c>
      <c r="O960">
        <v>2.7494000000000001</v>
      </c>
      <c r="P960" s="45">
        <f t="shared" si="84"/>
        <v>549.88</v>
      </c>
      <c r="Q960" s="13">
        <f>IF(N960="HKD",7.8,IF(N960="CNY",7.30034,1))</f>
        <v>7.3003400000000003</v>
      </c>
      <c r="R960" s="15">
        <f>+ROUND(O960/Q960,4)</f>
        <v>0.37659999999999999</v>
      </c>
      <c r="S960" s="14">
        <f>ROUND(R960*L960,2)</f>
        <v>75.319999999999993</v>
      </c>
      <c r="T960" s="15" t="s">
        <v>349</v>
      </c>
      <c r="U960" t="s">
        <v>78</v>
      </c>
      <c r="W960" s="49" t="e">
        <f t="shared" si="85"/>
        <v>#DIV/0!</v>
      </c>
    </row>
    <row r="961" spans="1:23" x14ac:dyDescent="0.2">
      <c r="A961" t="s">
        <v>2404</v>
      </c>
      <c r="B961" s="24">
        <v>45722</v>
      </c>
      <c r="C961" s="24">
        <v>45698</v>
      </c>
      <c r="D961" t="s">
        <v>149</v>
      </c>
      <c r="E961" t="s">
        <v>150</v>
      </c>
      <c r="F961" s="23"/>
      <c r="G961" t="s">
        <v>2918</v>
      </c>
      <c r="H961" t="s">
        <v>3102</v>
      </c>
      <c r="I961" t="s">
        <v>3317</v>
      </c>
      <c r="J961" s="11" t="str">
        <f>+LEFT(U961,4)</f>
        <v>GLID</v>
      </c>
      <c r="K961" t="s">
        <v>10</v>
      </c>
      <c r="L961">
        <v>340</v>
      </c>
      <c r="M961" t="s">
        <v>1472</v>
      </c>
      <c r="N961" t="s">
        <v>11</v>
      </c>
      <c r="O961">
        <v>4.8014000000000001</v>
      </c>
      <c r="P961" s="45">
        <f t="shared" si="84"/>
        <v>1632.48</v>
      </c>
      <c r="Q961" s="13">
        <f>IF(N961="HKD",7.8,IF(N961="CNY",7.30034,1))</f>
        <v>7.3003400000000003</v>
      </c>
      <c r="R961" s="15">
        <f>+ROUND(O961/Q961,4)</f>
        <v>0.65769999999999995</v>
      </c>
      <c r="S961" s="14">
        <f>ROUND(R961*L961,2)</f>
        <v>223.62</v>
      </c>
      <c r="T961" s="15" t="s">
        <v>349</v>
      </c>
      <c r="U961" t="s">
        <v>78</v>
      </c>
      <c r="W961" s="49" t="e">
        <f t="shared" si="85"/>
        <v>#DIV/0!</v>
      </c>
    </row>
    <row r="962" spans="1:23" x14ac:dyDescent="0.2">
      <c r="A962" t="s">
        <v>2407</v>
      </c>
      <c r="B962" s="24">
        <v>45722</v>
      </c>
      <c r="C962" s="24">
        <v>45700</v>
      </c>
      <c r="D962" t="s">
        <v>94</v>
      </c>
      <c r="E962" t="s">
        <v>95</v>
      </c>
      <c r="F962" s="23"/>
      <c r="G962" t="s">
        <v>2860</v>
      </c>
      <c r="H962" t="s">
        <v>1001</v>
      </c>
      <c r="I962" t="s">
        <v>1002</v>
      </c>
      <c r="J962" s="11" t="str">
        <f>+LEFT(U962,4)</f>
        <v>LID-</v>
      </c>
      <c r="K962" t="s">
        <v>3481</v>
      </c>
      <c r="L962">
        <v>49</v>
      </c>
      <c r="M962" t="s">
        <v>1472</v>
      </c>
      <c r="N962" t="s">
        <v>11</v>
      </c>
      <c r="O962">
        <v>3.42</v>
      </c>
      <c r="P962" s="45">
        <f t="shared" ref="P962:P1025" si="86">ROUND(O962*L962,2)</f>
        <v>167.58</v>
      </c>
      <c r="Q962" s="13">
        <f>IF(N962="HKD",7.8,IF(N962="CNY",7.30034,1))</f>
        <v>7.3003400000000003</v>
      </c>
      <c r="R962" s="15">
        <f>+ROUND(O962/Q962,4)</f>
        <v>0.46850000000000003</v>
      </c>
      <c r="S962" s="14">
        <f>ROUND(R962*L962,2)</f>
        <v>22.96</v>
      </c>
      <c r="T962" s="15" t="s">
        <v>349</v>
      </c>
      <c r="U962" t="s">
        <v>368</v>
      </c>
      <c r="W962" s="49" t="e">
        <f t="shared" ref="W962:W1025" si="87">IF(N962="CNY",O962/V962*L962,1)</f>
        <v>#DIV/0!</v>
      </c>
    </row>
    <row r="963" spans="1:23" x14ac:dyDescent="0.2">
      <c r="A963" t="s">
        <v>2409</v>
      </c>
      <c r="B963" s="24">
        <v>45722</v>
      </c>
      <c r="C963" s="24">
        <v>45700</v>
      </c>
      <c r="D963" t="s">
        <v>94</v>
      </c>
      <c r="E963" t="s">
        <v>95</v>
      </c>
      <c r="F963" s="23"/>
      <c r="G963" t="s">
        <v>2860</v>
      </c>
      <c r="H963" t="s">
        <v>997</v>
      </c>
      <c r="I963" t="s">
        <v>998</v>
      </c>
      <c r="J963" s="11" t="str">
        <f>+LEFT(U963,4)</f>
        <v>LID-</v>
      </c>
      <c r="K963" t="s">
        <v>3481</v>
      </c>
      <c r="L963">
        <v>1030</v>
      </c>
      <c r="M963" t="s">
        <v>1472</v>
      </c>
      <c r="N963" t="s">
        <v>11</v>
      </c>
      <c r="O963">
        <v>3.64</v>
      </c>
      <c r="P963" s="45">
        <f t="shared" si="86"/>
        <v>3749.2</v>
      </c>
      <c r="Q963" s="13">
        <f>IF(N963="HKD",7.8,IF(N963="CNY",7.30034,1))</f>
        <v>7.3003400000000003</v>
      </c>
      <c r="R963" s="15">
        <f>+ROUND(O963/Q963,4)</f>
        <v>0.49859999999999999</v>
      </c>
      <c r="S963" s="14">
        <f>ROUND(R963*L963,2)</f>
        <v>513.55999999999995</v>
      </c>
      <c r="T963" s="15" t="s">
        <v>349</v>
      </c>
      <c r="U963" t="s">
        <v>368</v>
      </c>
      <c r="W963" s="49" t="e">
        <f t="shared" si="87"/>
        <v>#DIV/0!</v>
      </c>
    </row>
    <row r="964" spans="1:23" x14ac:dyDescent="0.2">
      <c r="A964" t="s">
        <v>2410</v>
      </c>
      <c r="B964" s="24">
        <v>45722</v>
      </c>
      <c r="C964" s="24">
        <v>45700</v>
      </c>
      <c r="D964" t="s">
        <v>94</v>
      </c>
      <c r="E964" t="s">
        <v>95</v>
      </c>
      <c r="F964" s="23"/>
      <c r="G964" t="s">
        <v>2860</v>
      </c>
      <c r="H964" t="s">
        <v>1750</v>
      </c>
      <c r="I964" t="s">
        <v>1751</v>
      </c>
      <c r="J964" s="11" t="str">
        <f>+LEFT(U964,4)</f>
        <v>LID-</v>
      </c>
      <c r="K964" t="s">
        <v>3481</v>
      </c>
      <c r="L964">
        <v>594</v>
      </c>
      <c r="M964" t="s">
        <v>1472</v>
      </c>
      <c r="N964" t="s">
        <v>11</v>
      </c>
      <c r="O964">
        <v>3.92</v>
      </c>
      <c r="P964" s="45">
        <f t="shared" si="86"/>
        <v>2328.48</v>
      </c>
      <c r="Q964" s="13">
        <f>IF(N964="HKD",7.8,IF(N964="CNY",7.30034,1))</f>
        <v>7.3003400000000003</v>
      </c>
      <c r="R964" s="15">
        <f>+ROUND(O964/Q964,4)</f>
        <v>0.53700000000000003</v>
      </c>
      <c r="S964" s="14">
        <f>ROUND(R964*L964,2)</f>
        <v>318.98</v>
      </c>
      <c r="T964" s="15" t="s">
        <v>349</v>
      </c>
      <c r="U964" t="s">
        <v>368</v>
      </c>
      <c r="W964" s="49" t="e">
        <f t="shared" si="87"/>
        <v>#DIV/0!</v>
      </c>
    </row>
    <row r="965" spans="1:23" x14ac:dyDescent="0.2">
      <c r="A965" t="s">
        <v>2461</v>
      </c>
      <c r="B965" s="24">
        <v>45722</v>
      </c>
      <c r="C965" s="24">
        <v>45706</v>
      </c>
      <c r="D965" t="s">
        <v>806</v>
      </c>
      <c r="E965" t="s">
        <v>807</v>
      </c>
      <c r="F965" s="23"/>
      <c r="G965" t="s">
        <v>2945</v>
      </c>
      <c r="H965" t="s">
        <v>3139</v>
      </c>
      <c r="I965" t="s">
        <v>3349</v>
      </c>
      <c r="J965" s="11" t="str">
        <f>+LEFT(U965,4)</f>
        <v>BAG-</v>
      </c>
      <c r="K965" t="s">
        <v>10</v>
      </c>
      <c r="L965">
        <v>3000</v>
      </c>
      <c r="M965" t="s">
        <v>1472</v>
      </c>
      <c r="N965" t="s">
        <v>11</v>
      </c>
      <c r="O965">
        <v>7.2999999999999995E-2</v>
      </c>
      <c r="P965" s="45">
        <f t="shared" si="86"/>
        <v>219</v>
      </c>
      <c r="Q965" s="13">
        <f>IF(N965="HKD",7.8,IF(N965="CNY",7.30034,1))</f>
        <v>7.3003400000000003</v>
      </c>
      <c r="R965" s="15">
        <f>+ROUND(O965/Q965,4)</f>
        <v>0.01</v>
      </c>
      <c r="S965" s="14">
        <f>ROUND(R965*L965,2)</f>
        <v>30</v>
      </c>
      <c r="T965" s="15" t="s">
        <v>349</v>
      </c>
      <c r="U965" t="s">
        <v>810</v>
      </c>
      <c r="W965" s="49" t="e">
        <f t="shared" si="87"/>
        <v>#DIV/0!</v>
      </c>
    </row>
    <row r="966" spans="1:23" x14ac:dyDescent="0.2">
      <c r="A966" t="s">
        <v>2462</v>
      </c>
      <c r="B966" s="24">
        <v>45722</v>
      </c>
      <c r="C966" s="24">
        <v>45706</v>
      </c>
      <c r="D966" t="s">
        <v>806</v>
      </c>
      <c r="E966" t="s">
        <v>807</v>
      </c>
      <c r="F966" s="23"/>
      <c r="G966" t="s">
        <v>2945</v>
      </c>
      <c r="H966" t="s">
        <v>1585</v>
      </c>
      <c r="I966" t="s">
        <v>1586</v>
      </c>
      <c r="J966" s="11" t="str">
        <f>+LEFT(U966,4)</f>
        <v>BAG-</v>
      </c>
      <c r="K966" t="s">
        <v>10</v>
      </c>
      <c r="L966">
        <v>10000</v>
      </c>
      <c r="M966" t="s">
        <v>1472</v>
      </c>
      <c r="N966" t="s">
        <v>11</v>
      </c>
      <c r="O966">
        <v>0.09</v>
      </c>
      <c r="P966" s="45">
        <f t="shared" si="86"/>
        <v>900</v>
      </c>
      <c r="Q966" s="13">
        <f>IF(N966="HKD",7.8,IF(N966="CNY",7.30034,1))</f>
        <v>7.3003400000000003</v>
      </c>
      <c r="R966" s="15">
        <f>+ROUND(O966/Q966,4)</f>
        <v>1.23E-2</v>
      </c>
      <c r="S966" s="14">
        <f>ROUND(R966*L966,2)</f>
        <v>123</v>
      </c>
      <c r="T966" s="15" t="s">
        <v>349</v>
      </c>
      <c r="U966" t="s">
        <v>810</v>
      </c>
      <c r="W966" s="49" t="e">
        <f t="shared" si="87"/>
        <v>#DIV/0!</v>
      </c>
    </row>
    <row r="967" spans="1:23" x14ac:dyDescent="0.2">
      <c r="A967" t="s">
        <v>2463</v>
      </c>
      <c r="B967" s="24">
        <v>45722</v>
      </c>
      <c r="C967" s="24">
        <v>45706</v>
      </c>
      <c r="D967" t="s">
        <v>806</v>
      </c>
      <c r="E967" t="s">
        <v>807</v>
      </c>
      <c r="F967" s="23"/>
      <c r="G967" t="s">
        <v>2945</v>
      </c>
      <c r="H967" t="s">
        <v>1599</v>
      </c>
      <c r="I967" t="s">
        <v>1600</v>
      </c>
      <c r="J967" s="11" t="str">
        <f>+LEFT(U967,4)</f>
        <v>BAG-</v>
      </c>
      <c r="K967" t="s">
        <v>10</v>
      </c>
      <c r="L967">
        <v>10000</v>
      </c>
      <c r="M967" t="s">
        <v>1472</v>
      </c>
      <c r="N967" t="s">
        <v>11</v>
      </c>
      <c r="O967">
        <v>0.12</v>
      </c>
      <c r="P967" s="45">
        <f t="shared" si="86"/>
        <v>1200</v>
      </c>
      <c r="Q967" s="13">
        <f>IF(N967="HKD",7.8,IF(N967="CNY",7.30034,1))</f>
        <v>7.3003400000000003</v>
      </c>
      <c r="R967" s="15">
        <f>+ROUND(O967/Q967,4)</f>
        <v>1.6400000000000001E-2</v>
      </c>
      <c r="S967" s="14">
        <f>ROUND(R967*L967,2)</f>
        <v>164</v>
      </c>
      <c r="T967" s="15" t="s">
        <v>349</v>
      </c>
      <c r="U967" t="s">
        <v>810</v>
      </c>
      <c r="W967" s="49" t="e">
        <f t="shared" si="87"/>
        <v>#DIV/0!</v>
      </c>
    </row>
    <row r="968" spans="1:23" x14ac:dyDescent="0.2">
      <c r="A968" t="s">
        <v>2464</v>
      </c>
      <c r="B968" s="24">
        <v>45722</v>
      </c>
      <c r="C968" s="24">
        <v>45706</v>
      </c>
      <c r="D968" t="s">
        <v>806</v>
      </c>
      <c r="E968" t="s">
        <v>807</v>
      </c>
      <c r="F968" s="23"/>
      <c r="G968" t="s">
        <v>2945</v>
      </c>
      <c r="H968" t="s">
        <v>3140</v>
      </c>
      <c r="I968" t="s">
        <v>3350</v>
      </c>
      <c r="J968" s="11" t="str">
        <f>+LEFT(U968,4)</f>
        <v>BAG-</v>
      </c>
      <c r="K968" t="s">
        <v>10</v>
      </c>
      <c r="L968">
        <v>1500</v>
      </c>
      <c r="M968" t="s">
        <v>1472</v>
      </c>
      <c r="N968" t="s">
        <v>11</v>
      </c>
      <c r="O968">
        <v>0.13200000000000001</v>
      </c>
      <c r="P968" s="45">
        <f t="shared" si="86"/>
        <v>198</v>
      </c>
      <c r="Q968" s="13">
        <f>IF(N968="HKD",7.8,IF(N968="CNY",7.30034,1))</f>
        <v>7.3003400000000003</v>
      </c>
      <c r="R968" s="15">
        <f>+ROUND(O968/Q968,4)</f>
        <v>1.8100000000000002E-2</v>
      </c>
      <c r="S968" s="14">
        <f>ROUND(R968*L968,2)</f>
        <v>27.15</v>
      </c>
      <c r="T968" s="15" t="s">
        <v>349</v>
      </c>
      <c r="U968" t="s">
        <v>810</v>
      </c>
      <c r="W968" s="49" t="e">
        <f t="shared" si="87"/>
        <v>#DIV/0!</v>
      </c>
    </row>
    <row r="969" spans="1:23" x14ac:dyDescent="0.2">
      <c r="A969" t="s">
        <v>2465</v>
      </c>
      <c r="B969" s="24">
        <v>45722</v>
      </c>
      <c r="C969" s="24">
        <v>45706</v>
      </c>
      <c r="D969" t="s">
        <v>806</v>
      </c>
      <c r="E969" t="s">
        <v>807</v>
      </c>
      <c r="F969" s="23"/>
      <c r="G969" t="s">
        <v>2945</v>
      </c>
      <c r="H969" t="s">
        <v>3141</v>
      </c>
      <c r="I969" t="s">
        <v>3351</v>
      </c>
      <c r="J969" s="11" t="str">
        <f>+LEFT(U969,4)</f>
        <v>BAG-</v>
      </c>
      <c r="K969" t="s">
        <v>10</v>
      </c>
      <c r="L969">
        <v>10000</v>
      </c>
      <c r="M969" t="s">
        <v>1472</v>
      </c>
      <c r="N969" t="s">
        <v>11</v>
      </c>
      <c r="O969">
        <v>0.15</v>
      </c>
      <c r="P969" s="45">
        <f t="shared" si="86"/>
        <v>1500</v>
      </c>
      <c r="Q969" s="13">
        <f>IF(N969="HKD",7.8,IF(N969="CNY",7.30034,1))</f>
        <v>7.3003400000000003</v>
      </c>
      <c r="R969" s="15">
        <f>+ROUND(O969/Q969,4)</f>
        <v>2.0500000000000001E-2</v>
      </c>
      <c r="S969" s="14">
        <f>ROUND(R969*L969,2)</f>
        <v>205</v>
      </c>
      <c r="T969" s="15" t="s">
        <v>349</v>
      </c>
      <c r="U969" t="s">
        <v>810</v>
      </c>
      <c r="W969" s="49" t="e">
        <f t="shared" si="87"/>
        <v>#DIV/0!</v>
      </c>
    </row>
    <row r="970" spans="1:23" x14ac:dyDescent="0.2">
      <c r="A970" t="s">
        <v>2604</v>
      </c>
      <c r="B970" s="24">
        <v>45722</v>
      </c>
      <c r="C970" s="24">
        <v>45719</v>
      </c>
      <c r="D970" t="s">
        <v>806</v>
      </c>
      <c r="E970" t="s">
        <v>807</v>
      </c>
      <c r="F970" s="23"/>
      <c r="G970" t="s">
        <v>2945</v>
      </c>
      <c r="H970" t="s">
        <v>3194</v>
      </c>
      <c r="I970" t="s">
        <v>3401</v>
      </c>
      <c r="J970" s="11" t="str">
        <f>+LEFT(U970,4)</f>
        <v>BAG-</v>
      </c>
      <c r="K970" t="s">
        <v>10</v>
      </c>
      <c r="L970">
        <v>10000</v>
      </c>
      <c r="M970" t="s">
        <v>1472</v>
      </c>
      <c r="N970" t="s">
        <v>11</v>
      </c>
      <c r="O970">
        <v>0.115</v>
      </c>
      <c r="P970" s="45">
        <f t="shared" si="86"/>
        <v>1150</v>
      </c>
      <c r="Q970" s="13">
        <f>IF(N970="HKD",7.8,IF(N970="CNY",7.30034,1))</f>
        <v>7.3003400000000003</v>
      </c>
      <c r="R970" s="15">
        <f>+ROUND(O970/Q970,4)</f>
        <v>1.5800000000000002E-2</v>
      </c>
      <c r="S970" s="14">
        <f>ROUND(R970*L970,2)</f>
        <v>158</v>
      </c>
      <c r="T970" s="15" t="s">
        <v>349</v>
      </c>
      <c r="U970" t="s">
        <v>810</v>
      </c>
      <c r="W970" s="49" t="e">
        <f t="shared" si="87"/>
        <v>#DIV/0!</v>
      </c>
    </row>
    <row r="971" spans="1:23" x14ac:dyDescent="0.2">
      <c r="A971" t="s">
        <v>2283</v>
      </c>
      <c r="B971" s="24">
        <v>45723</v>
      </c>
      <c r="C971" s="24">
        <v>45596</v>
      </c>
      <c r="D971" t="s">
        <v>287</v>
      </c>
      <c r="E971" t="s">
        <v>288</v>
      </c>
      <c r="F971" s="23"/>
      <c r="G971" t="s">
        <v>2850</v>
      </c>
      <c r="H971" t="s">
        <v>3064</v>
      </c>
      <c r="I971" t="s">
        <v>83</v>
      </c>
      <c r="J971" s="11" t="str">
        <f>+LEFT(U971,4)</f>
        <v>ANYD</v>
      </c>
      <c r="K971" t="s">
        <v>10</v>
      </c>
      <c r="L971">
        <v>-79</v>
      </c>
      <c r="M971" t="s">
        <v>1472</v>
      </c>
      <c r="N971" t="s">
        <v>11</v>
      </c>
      <c r="O971">
        <v>7.4237000000000002</v>
      </c>
      <c r="P971" s="45">
        <f t="shared" si="86"/>
        <v>-586.47</v>
      </c>
      <c r="Q971" s="13">
        <f>IF(N971="HKD",7.8,IF(N971="CNY",7.30034,1))</f>
        <v>7.3003400000000003</v>
      </c>
      <c r="R971" s="15">
        <f>+ROUND(O971/Q971,4)</f>
        <v>1.0168999999999999</v>
      </c>
      <c r="S971" s="14">
        <f>ROUND(R971*L971,2)</f>
        <v>-80.34</v>
      </c>
      <c r="T971" s="15" t="s">
        <v>349</v>
      </c>
      <c r="U971" t="s">
        <v>36</v>
      </c>
      <c r="W971" s="49" t="e">
        <f t="shared" si="87"/>
        <v>#DIV/0!</v>
      </c>
    </row>
    <row r="972" spans="1:23" x14ac:dyDescent="0.2">
      <c r="A972" t="s">
        <v>2284</v>
      </c>
      <c r="B972" s="24">
        <v>45723</v>
      </c>
      <c r="C972" s="24">
        <v>45604</v>
      </c>
      <c r="D972" t="s">
        <v>287</v>
      </c>
      <c r="E972" t="s">
        <v>288</v>
      </c>
      <c r="F972" s="23"/>
      <c r="G972" t="s">
        <v>2850</v>
      </c>
      <c r="H972" t="s">
        <v>75</v>
      </c>
      <c r="I972" t="s">
        <v>3280</v>
      </c>
      <c r="J972" s="11" t="str">
        <f>+LEFT(U972,4)</f>
        <v>ANYD</v>
      </c>
      <c r="K972" t="s">
        <v>10</v>
      </c>
      <c r="L972">
        <v>-100</v>
      </c>
      <c r="M972" t="s">
        <v>1472</v>
      </c>
      <c r="N972" t="s">
        <v>11</v>
      </c>
      <c r="O972">
        <v>9.2149999999999999</v>
      </c>
      <c r="P972" s="45">
        <f t="shared" si="86"/>
        <v>-921.5</v>
      </c>
      <c r="Q972" s="13">
        <f>IF(N972="HKD",7.8,IF(N972="CNY",7.30034,1))</f>
        <v>7.3003400000000003</v>
      </c>
      <c r="R972" s="15">
        <f>+ROUND(O972/Q972,4)</f>
        <v>1.2623</v>
      </c>
      <c r="S972" s="14">
        <f>ROUND(R972*L972,2)</f>
        <v>-126.23</v>
      </c>
      <c r="T972" s="15" t="s">
        <v>349</v>
      </c>
      <c r="U972" t="s">
        <v>36</v>
      </c>
      <c r="W972" s="49" t="e">
        <f t="shared" si="87"/>
        <v>#DIV/0!</v>
      </c>
    </row>
    <row r="973" spans="1:23" x14ac:dyDescent="0.2">
      <c r="A973" t="s">
        <v>2291</v>
      </c>
      <c r="B973" s="24">
        <v>45723</v>
      </c>
      <c r="C973" s="24">
        <v>45636</v>
      </c>
      <c r="D973" t="s">
        <v>143</v>
      </c>
      <c r="E973" t="s">
        <v>144</v>
      </c>
      <c r="F973" s="23"/>
      <c r="G973" t="s">
        <v>2858</v>
      </c>
      <c r="H973" t="s">
        <v>3065</v>
      </c>
      <c r="I973" t="s">
        <v>3281</v>
      </c>
      <c r="J973" s="11" t="str">
        <f>+LEFT(U973,4)</f>
        <v>HDL-</v>
      </c>
      <c r="K973" t="s">
        <v>10</v>
      </c>
      <c r="L973">
        <v>370</v>
      </c>
      <c r="M973" t="s">
        <v>1472</v>
      </c>
      <c r="N973" t="s">
        <v>11</v>
      </c>
      <c r="O973">
        <v>15.564299999999999</v>
      </c>
      <c r="P973" s="45">
        <f t="shared" si="86"/>
        <v>5758.79</v>
      </c>
      <c r="Q973" s="13">
        <f>IF(N973="HKD",7.8,IF(N973="CNY",7.30034,1))</f>
        <v>7.3003400000000003</v>
      </c>
      <c r="R973" s="15">
        <f>+ROUND(O973/Q973,4)</f>
        <v>2.1320000000000001</v>
      </c>
      <c r="S973" s="14">
        <f>ROUND(R973*L973,2)</f>
        <v>788.84</v>
      </c>
      <c r="T973" s="15" t="s">
        <v>349</v>
      </c>
      <c r="U973" t="s">
        <v>228</v>
      </c>
      <c r="W973" s="49" t="e">
        <f t="shared" si="87"/>
        <v>#DIV/0!</v>
      </c>
    </row>
    <row r="974" spans="1:23" x14ac:dyDescent="0.2">
      <c r="A974" t="s">
        <v>2292</v>
      </c>
      <c r="B974" s="24">
        <v>45723</v>
      </c>
      <c r="C974" s="24">
        <v>45636</v>
      </c>
      <c r="D974" t="s">
        <v>143</v>
      </c>
      <c r="E974" t="s">
        <v>144</v>
      </c>
      <c r="F974" s="23"/>
      <c r="G974" t="s">
        <v>2858</v>
      </c>
      <c r="H974" t="s">
        <v>3066</v>
      </c>
      <c r="I974" t="s">
        <v>3282</v>
      </c>
      <c r="J974" s="11" t="str">
        <f>+LEFT(U974,4)</f>
        <v>HDL-</v>
      </c>
      <c r="K974" t="s">
        <v>10</v>
      </c>
      <c r="L974">
        <v>500</v>
      </c>
      <c r="M974" t="s">
        <v>1472</v>
      </c>
      <c r="N974" t="s">
        <v>11</v>
      </c>
      <c r="O974">
        <v>15.564299999999999</v>
      </c>
      <c r="P974" s="45">
        <f t="shared" si="86"/>
        <v>7782.15</v>
      </c>
      <c r="Q974" s="13">
        <f>IF(N974="HKD",7.8,IF(N974="CNY",7.30034,1))</f>
        <v>7.3003400000000003</v>
      </c>
      <c r="R974" s="15">
        <f>+ROUND(O974/Q974,4)</f>
        <v>2.1320000000000001</v>
      </c>
      <c r="S974" s="14">
        <f>ROUND(R974*L974,2)</f>
        <v>1066</v>
      </c>
      <c r="T974" s="15" t="s">
        <v>349</v>
      </c>
      <c r="U974" t="s">
        <v>228</v>
      </c>
      <c r="W974" s="49" t="e">
        <f t="shared" si="87"/>
        <v>#DIV/0!</v>
      </c>
    </row>
    <row r="975" spans="1:23" x14ac:dyDescent="0.2">
      <c r="A975" t="s">
        <v>705</v>
      </c>
      <c r="B975" s="24">
        <v>45723</v>
      </c>
      <c r="C975" s="24">
        <v>45639</v>
      </c>
      <c r="D975" t="s">
        <v>287</v>
      </c>
      <c r="E975" t="s">
        <v>288</v>
      </c>
      <c r="F975" s="23"/>
      <c r="G975" t="s">
        <v>2850</v>
      </c>
      <c r="H975" t="s">
        <v>703</v>
      </c>
      <c r="I975" t="s">
        <v>704</v>
      </c>
      <c r="J975" s="11" t="str">
        <f>+LEFT(U975,4)</f>
        <v>ANYD</v>
      </c>
      <c r="K975" t="s">
        <v>10</v>
      </c>
      <c r="L975">
        <v>-78</v>
      </c>
      <c r="M975" t="s">
        <v>1472</v>
      </c>
      <c r="N975" t="s">
        <v>11</v>
      </c>
      <c r="O975">
        <v>7.4237000000000002</v>
      </c>
      <c r="P975" s="45">
        <f t="shared" si="86"/>
        <v>-579.04999999999995</v>
      </c>
      <c r="Q975" s="13">
        <f>IF(N975="HKD",7.8,IF(N975="CNY",7.30034,1))</f>
        <v>7.3003400000000003</v>
      </c>
      <c r="R975" s="15">
        <f>+ROUND(O975/Q975,4)</f>
        <v>1.0168999999999999</v>
      </c>
      <c r="S975" s="14">
        <f>ROUND(R975*L975,2)</f>
        <v>-79.319999999999993</v>
      </c>
      <c r="T975" s="15" t="s">
        <v>349</v>
      </c>
      <c r="U975" t="s">
        <v>36</v>
      </c>
      <c r="W975" s="49" t="e">
        <f t="shared" si="87"/>
        <v>#DIV/0!</v>
      </c>
    </row>
    <row r="976" spans="1:23" x14ac:dyDescent="0.2">
      <c r="A976" t="s">
        <v>648</v>
      </c>
      <c r="B976" s="24">
        <v>45723</v>
      </c>
      <c r="C976" s="24">
        <v>45643</v>
      </c>
      <c r="D976" t="s">
        <v>169</v>
      </c>
      <c r="E976" t="s">
        <v>170</v>
      </c>
      <c r="F976" s="23"/>
      <c r="G976" t="s">
        <v>2863</v>
      </c>
      <c r="H976" t="s">
        <v>646</v>
      </c>
      <c r="I976" t="s">
        <v>647</v>
      </c>
      <c r="J976" s="11" t="str">
        <f>+LEFT(U976,4)</f>
        <v>PRIM</v>
      </c>
      <c r="K976" t="s">
        <v>10</v>
      </c>
      <c r="L976">
        <v>-1200</v>
      </c>
      <c r="M976" t="s">
        <v>1472</v>
      </c>
      <c r="N976" t="s">
        <v>11</v>
      </c>
      <c r="O976">
        <v>0.82</v>
      </c>
      <c r="P976" s="45">
        <f t="shared" si="86"/>
        <v>-984</v>
      </c>
      <c r="Q976" s="13">
        <f>IF(N976="HKD",7.8,IF(N976="CNY",7.30034,1))</f>
        <v>7.3003400000000003</v>
      </c>
      <c r="R976" s="15">
        <f>+ROUND(O976/Q976,4)</f>
        <v>0.1123</v>
      </c>
      <c r="S976" s="14">
        <f>ROUND(R976*L976,2)</f>
        <v>-134.76</v>
      </c>
      <c r="T976" s="15" t="s">
        <v>349</v>
      </c>
      <c r="U976" t="s">
        <v>181</v>
      </c>
      <c r="W976" s="49" t="e">
        <f t="shared" si="87"/>
        <v>#DIV/0!</v>
      </c>
    </row>
    <row r="977" spans="1:23" x14ac:dyDescent="0.2">
      <c r="A977" t="s">
        <v>2054</v>
      </c>
      <c r="B977" s="24">
        <v>45723</v>
      </c>
      <c r="C977" s="24">
        <v>45656</v>
      </c>
      <c r="D977" t="s">
        <v>128</v>
      </c>
      <c r="E977" t="s">
        <v>129</v>
      </c>
      <c r="F977" s="23"/>
      <c r="G977" t="s">
        <v>2867</v>
      </c>
      <c r="H977" t="s">
        <v>1762</v>
      </c>
      <c r="I977" t="s">
        <v>1763</v>
      </c>
      <c r="J977" s="11" t="str">
        <f>+LEFT(U977,4)</f>
        <v>HDL-</v>
      </c>
      <c r="K977" t="s">
        <v>10</v>
      </c>
      <c r="L977">
        <v>3200</v>
      </c>
      <c r="M977" t="s">
        <v>1472</v>
      </c>
      <c r="N977" t="s">
        <v>11</v>
      </c>
      <c r="O977">
        <v>4.5491999999999999</v>
      </c>
      <c r="P977" s="45">
        <f t="shared" si="86"/>
        <v>14557.44</v>
      </c>
      <c r="Q977" s="13">
        <f>IF(N977="HKD",7.8,IF(N977="CNY",7.30034,1))</f>
        <v>7.3003400000000003</v>
      </c>
      <c r="R977" s="15">
        <f>+ROUND(O977/Q977,4)</f>
        <v>0.62309999999999999</v>
      </c>
      <c r="S977" s="14">
        <f>ROUND(R977*L977,2)</f>
        <v>1993.92</v>
      </c>
      <c r="T977" s="15" t="s">
        <v>349</v>
      </c>
      <c r="U977" t="s">
        <v>228</v>
      </c>
      <c r="W977" s="49" t="e">
        <f t="shared" si="87"/>
        <v>#DIV/0!</v>
      </c>
    </row>
    <row r="978" spans="1:23" x14ac:dyDescent="0.2">
      <c r="A978" t="s">
        <v>2324</v>
      </c>
      <c r="B978" s="24">
        <v>45723</v>
      </c>
      <c r="C978" s="24">
        <v>45664</v>
      </c>
      <c r="D978" t="s">
        <v>94</v>
      </c>
      <c r="E978" t="s">
        <v>95</v>
      </c>
      <c r="F978" s="23"/>
      <c r="G978" t="s">
        <v>2881</v>
      </c>
      <c r="H978" t="s">
        <v>997</v>
      </c>
      <c r="I978" t="s">
        <v>998</v>
      </c>
      <c r="J978" s="11" t="str">
        <f>+LEFT(U978,4)</f>
        <v>LID-</v>
      </c>
      <c r="K978" t="s">
        <v>3481</v>
      </c>
      <c r="L978">
        <v>1234</v>
      </c>
      <c r="M978" t="s">
        <v>1472</v>
      </c>
      <c r="N978" t="s">
        <v>11</v>
      </c>
      <c r="O978">
        <v>3.64</v>
      </c>
      <c r="P978" s="45">
        <f t="shared" si="86"/>
        <v>4491.76</v>
      </c>
      <c r="Q978" s="13">
        <f>IF(N978="HKD",7.8,IF(N978="CNY",7.30034,1))</f>
        <v>7.3003400000000003</v>
      </c>
      <c r="R978" s="15">
        <f>+ROUND(O978/Q978,4)</f>
        <v>0.49859999999999999</v>
      </c>
      <c r="S978" s="14">
        <f>ROUND(R978*L978,2)</f>
        <v>615.27</v>
      </c>
      <c r="T978" s="15" t="s">
        <v>349</v>
      </c>
      <c r="U978" t="s">
        <v>368</v>
      </c>
      <c r="W978" s="49" t="e">
        <f t="shared" si="87"/>
        <v>#DIV/0!</v>
      </c>
    </row>
    <row r="979" spans="1:23" x14ac:dyDescent="0.2">
      <c r="A979" t="s">
        <v>2325</v>
      </c>
      <c r="B979" s="24">
        <v>45723</v>
      </c>
      <c r="C979" s="24">
        <v>45664</v>
      </c>
      <c r="D979" t="s">
        <v>94</v>
      </c>
      <c r="E979" t="s">
        <v>95</v>
      </c>
      <c r="F979" s="23"/>
      <c r="G979" t="s">
        <v>2882</v>
      </c>
      <c r="H979" t="s">
        <v>1750</v>
      </c>
      <c r="I979" t="s">
        <v>1751</v>
      </c>
      <c r="J979" s="11" t="str">
        <f>+LEFT(U979,4)</f>
        <v>LID-</v>
      </c>
      <c r="K979" t="s">
        <v>3481</v>
      </c>
      <c r="L979">
        <v>990</v>
      </c>
      <c r="M979" t="s">
        <v>1472</v>
      </c>
      <c r="N979" t="s">
        <v>11</v>
      </c>
      <c r="O979">
        <v>3.92</v>
      </c>
      <c r="P979" s="45">
        <f t="shared" si="86"/>
        <v>3880.8</v>
      </c>
      <c r="Q979" s="13">
        <f>IF(N979="HKD",7.8,IF(N979="CNY",7.30034,1))</f>
        <v>7.3003400000000003</v>
      </c>
      <c r="R979" s="15">
        <f>+ROUND(O979/Q979,4)</f>
        <v>0.53700000000000003</v>
      </c>
      <c r="S979" s="14">
        <f>ROUND(R979*L979,2)</f>
        <v>531.63</v>
      </c>
      <c r="T979" s="15" t="s">
        <v>349</v>
      </c>
      <c r="U979" t="s">
        <v>368</v>
      </c>
      <c r="W979" s="49" t="e">
        <f t="shared" si="87"/>
        <v>#DIV/0!</v>
      </c>
    </row>
    <row r="980" spans="1:23" x14ac:dyDescent="0.2">
      <c r="A980" t="s">
        <v>1912</v>
      </c>
      <c r="B980" s="24">
        <v>45723</v>
      </c>
      <c r="C980" s="24">
        <v>45671</v>
      </c>
      <c r="D980" t="s">
        <v>128</v>
      </c>
      <c r="E980" t="s">
        <v>129</v>
      </c>
      <c r="F980" s="23"/>
      <c r="G980" t="s">
        <v>2867</v>
      </c>
      <c r="H980" t="s">
        <v>443</v>
      </c>
      <c r="I980" t="s">
        <v>444</v>
      </c>
      <c r="J980" s="11" t="str">
        <f>+LEFT(U980,4)</f>
        <v>FG--</v>
      </c>
      <c r="K980" t="s">
        <v>10</v>
      </c>
      <c r="L980">
        <v>3000</v>
      </c>
      <c r="M980" t="s">
        <v>1472</v>
      </c>
      <c r="N980" t="s">
        <v>11</v>
      </c>
      <c r="O980">
        <v>1.0021</v>
      </c>
      <c r="P980" s="45">
        <f t="shared" si="86"/>
        <v>3006.3</v>
      </c>
      <c r="Q980" s="13">
        <f>IF(N980="HKD",7.8,IF(N980="CNY",7.30034,1))</f>
        <v>7.3003400000000003</v>
      </c>
      <c r="R980" s="15">
        <f>+ROUND(O980/Q980,4)</f>
        <v>0.13730000000000001</v>
      </c>
      <c r="S980" s="14">
        <f>ROUND(R980*L980,2)</f>
        <v>411.9</v>
      </c>
      <c r="T980" s="15" t="s">
        <v>349</v>
      </c>
      <c r="U980" t="s">
        <v>64</v>
      </c>
      <c r="W980" s="49" t="e">
        <f t="shared" si="87"/>
        <v>#DIV/0!</v>
      </c>
    </row>
    <row r="981" spans="1:23" x14ac:dyDescent="0.2">
      <c r="A981" t="s">
        <v>2338</v>
      </c>
      <c r="B981" s="24">
        <v>45723</v>
      </c>
      <c r="C981" s="24">
        <v>45674</v>
      </c>
      <c r="D981" t="s">
        <v>169</v>
      </c>
      <c r="E981" t="s">
        <v>170</v>
      </c>
      <c r="F981" s="23"/>
      <c r="G981" t="s">
        <v>2863</v>
      </c>
      <c r="H981" t="s">
        <v>646</v>
      </c>
      <c r="I981" t="s">
        <v>647</v>
      </c>
      <c r="J981" s="11" t="str">
        <f>+LEFT(U981,4)</f>
        <v>PRIM</v>
      </c>
      <c r="K981" t="s">
        <v>10</v>
      </c>
      <c r="L981">
        <v>-5300</v>
      </c>
      <c r="M981" t="s">
        <v>1472</v>
      </c>
      <c r="N981" t="s">
        <v>11</v>
      </c>
      <c r="O981">
        <v>1.46</v>
      </c>
      <c r="P981" s="45">
        <f t="shared" si="86"/>
        <v>-7738</v>
      </c>
      <c r="Q981" s="13">
        <f>IF(N981="HKD",7.8,IF(N981="CNY",7.30034,1))</f>
        <v>7.3003400000000003</v>
      </c>
      <c r="R981" s="15">
        <f>+ROUND(O981/Q981,4)</f>
        <v>0.2</v>
      </c>
      <c r="S981" s="14">
        <f>ROUND(R981*L981,2)</f>
        <v>-1060</v>
      </c>
      <c r="T981" s="15" t="s">
        <v>349</v>
      </c>
      <c r="U981" t="s">
        <v>181</v>
      </c>
      <c r="W981" s="49" t="e">
        <f t="shared" si="87"/>
        <v>#DIV/0!</v>
      </c>
    </row>
    <row r="982" spans="1:23" x14ac:dyDescent="0.2">
      <c r="A982" t="s">
        <v>2338</v>
      </c>
      <c r="B982" s="24">
        <v>45723</v>
      </c>
      <c r="C982" s="24">
        <v>45674</v>
      </c>
      <c r="D982" t="s">
        <v>169</v>
      </c>
      <c r="E982" t="s">
        <v>170</v>
      </c>
      <c r="F982" s="23"/>
      <c r="G982" t="s">
        <v>2863</v>
      </c>
      <c r="H982" t="s">
        <v>646</v>
      </c>
      <c r="I982" t="s">
        <v>647</v>
      </c>
      <c r="J982" s="11" t="str">
        <f>+LEFT(U982,4)</f>
        <v>PRIM</v>
      </c>
      <c r="K982" t="s">
        <v>10</v>
      </c>
      <c r="L982">
        <v>-1200</v>
      </c>
      <c r="M982" t="s">
        <v>1472</v>
      </c>
      <c r="N982" t="s">
        <v>11</v>
      </c>
      <c r="O982">
        <v>1.46</v>
      </c>
      <c r="P982" s="45">
        <f t="shared" si="86"/>
        <v>-1752</v>
      </c>
      <c r="Q982" s="13">
        <f>IF(N982="HKD",7.8,IF(N982="CNY",7.30034,1))</f>
        <v>7.3003400000000003</v>
      </c>
      <c r="R982" s="15">
        <f>+ROUND(O982/Q982,4)</f>
        <v>0.2</v>
      </c>
      <c r="S982" s="14">
        <f>ROUND(R982*L982,2)</f>
        <v>-240</v>
      </c>
      <c r="T982" s="15" t="s">
        <v>349</v>
      </c>
      <c r="U982" t="s">
        <v>181</v>
      </c>
      <c r="W982" s="49" t="e">
        <f t="shared" si="87"/>
        <v>#DIV/0!</v>
      </c>
    </row>
    <row r="983" spans="1:23" x14ac:dyDescent="0.2">
      <c r="A983" t="s">
        <v>2339</v>
      </c>
      <c r="B983" s="24">
        <v>45723</v>
      </c>
      <c r="C983" s="24">
        <v>45674</v>
      </c>
      <c r="D983" t="s">
        <v>806</v>
      </c>
      <c r="E983" t="s">
        <v>807</v>
      </c>
      <c r="F983" s="23"/>
      <c r="G983" t="s">
        <v>2896</v>
      </c>
      <c r="H983" t="s">
        <v>3087</v>
      </c>
      <c r="I983" t="s">
        <v>3303</v>
      </c>
      <c r="J983" s="11" t="str">
        <f>+LEFT(U983,4)</f>
        <v>SWF-</v>
      </c>
      <c r="K983" t="s">
        <v>10</v>
      </c>
      <c r="L983">
        <v>18.7</v>
      </c>
      <c r="M983" t="s">
        <v>186</v>
      </c>
      <c r="N983" t="s">
        <v>11</v>
      </c>
      <c r="O983">
        <v>16</v>
      </c>
      <c r="P983" s="45">
        <f t="shared" si="86"/>
        <v>299.2</v>
      </c>
      <c r="Q983" s="13">
        <f>IF(N983="HKD",7.8,IF(N983="CNY",7.30034,1))</f>
        <v>7.3003400000000003</v>
      </c>
      <c r="R983" s="15">
        <f>+ROUND(O983/Q983,4)</f>
        <v>2.1917</v>
      </c>
      <c r="S983" s="14">
        <f>ROUND(R983*L983,2)</f>
        <v>40.98</v>
      </c>
      <c r="T983" s="15" t="s">
        <v>349</v>
      </c>
      <c r="U983" t="s">
        <v>3483</v>
      </c>
      <c r="W983" s="49" t="e">
        <f t="shared" si="87"/>
        <v>#DIV/0!</v>
      </c>
    </row>
    <row r="984" spans="1:23" x14ac:dyDescent="0.2">
      <c r="A984" t="s">
        <v>2340</v>
      </c>
      <c r="B984" s="24">
        <v>45723</v>
      </c>
      <c r="C984" s="24">
        <v>45674</v>
      </c>
      <c r="D984" t="s">
        <v>128</v>
      </c>
      <c r="E984" t="s">
        <v>129</v>
      </c>
      <c r="F984" s="23"/>
      <c r="G984" t="s">
        <v>2867</v>
      </c>
      <c r="H984" t="s">
        <v>1762</v>
      </c>
      <c r="I984" t="s">
        <v>1763</v>
      </c>
      <c r="J984" s="11" t="str">
        <f>+LEFT(U984,4)</f>
        <v>HDL-</v>
      </c>
      <c r="K984" t="s">
        <v>10</v>
      </c>
      <c r="L984">
        <v>200</v>
      </c>
      <c r="M984" t="s">
        <v>1472</v>
      </c>
      <c r="N984" t="s">
        <v>11</v>
      </c>
      <c r="O984">
        <v>4.5491999999999999</v>
      </c>
      <c r="P984" s="45">
        <f t="shared" si="86"/>
        <v>909.84</v>
      </c>
      <c r="Q984" s="13">
        <f>IF(N984="HKD",7.8,IF(N984="CNY",7.30034,1))</f>
        <v>7.3003400000000003</v>
      </c>
      <c r="R984" s="15">
        <f>+ROUND(O984/Q984,4)</f>
        <v>0.62309999999999999</v>
      </c>
      <c r="S984" s="14">
        <f>ROUND(R984*L984,2)</f>
        <v>124.62</v>
      </c>
      <c r="T984" s="15" t="s">
        <v>349</v>
      </c>
      <c r="U984" t="s">
        <v>228</v>
      </c>
      <c r="W984" s="49" t="e">
        <f t="shared" si="87"/>
        <v>#DIV/0!</v>
      </c>
    </row>
    <row r="985" spans="1:23" x14ac:dyDescent="0.2">
      <c r="A985" t="s">
        <v>2342</v>
      </c>
      <c r="B985" s="24">
        <v>45723</v>
      </c>
      <c r="C985" s="24">
        <v>45674</v>
      </c>
      <c r="D985" t="s">
        <v>287</v>
      </c>
      <c r="E985" t="s">
        <v>288</v>
      </c>
      <c r="F985" s="23"/>
      <c r="G985" t="s">
        <v>2897</v>
      </c>
      <c r="H985" t="s">
        <v>3064</v>
      </c>
      <c r="I985" t="s">
        <v>83</v>
      </c>
      <c r="J985" s="11" t="str">
        <f>+LEFT(U985,4)</f>
        <v>ANYD</v>
      </c>
      <c r="K985" t="s">
        <v>10</v>
      </c>
      <c r="L985">
        <v>2100</v>
      </c>
      <c r="M985" t="s">
        <v>1472</v>
      </c>
      <c r="N985" t="s">
        <v>11</v>
      </c>
      <c r="O985">
        <v>7.4237000000000002</v>
      </c>
      <c r="P985" s="45">
        <f t="shared" si="86"/>
        <v>15589.77</v>
      </c>
      <c r="Q985" s="13">
        <f>IF(N985="HKD",7.8,IF(N985="CNY",7.30034,1))</f>
        <v>7.3003400000000003</v>
      </c>
      <c r="R985" s="15">
        <f>+ROUND(O985/Q985,4)</f>
        <v>1.0168999999999999</v>
      </c>
      <c r="S985" s="14">
        <f>ROUND(R985*L985,2)</f>
        <v>2135.4899999999998</v>
      </c>
      <c r="T985" s="15" t="s">
        <v>349</v>
      </c>
      <c r="U985" t="s">
        <v>36</v>
      </c>
      <c r="W985" s="49" t="e">
        <f t="shared" si="87"/>
        <v>#DIV/0!</v>
      </c>
    </row>
    <row r="986" spans="1:23" x14ac:dyDescent="0.2">
      <c r="A986" t="s">
        <v>2373</v>
      </c>
      <c r="B986" s="24">
        <v>45723</v>
      </c>
      <c r="C986" s="24">
        <v>45695</v>
      </c>
      <c r="D986" t="s">
        <v>128</v>
      </c>
      <c r="E986" t="s">
        <v>129</v>
      </c>
      <c r="F986" s="23"/>
      <c r="G986" t="s">
        <v>2867</v>
      </c>
      <c r="H986" t="s">
        <v>3090</v>
      </c>
      <c r="I986" t="s">
        <v>3306</v>
      </c>
      <c r="J986" s="11" t="str">
        <f>+LEFT(U986,4)</f>
        <v>RIV-</v>
      </c>
      <c r="K986" t="s">
        <v>10</v>
      </c>
      <c r="L986">
        <v>12000</v>
      </c>
      <c r="M986" t="s">
        <v>1472</v>
      </c>
      <c r="N986" t="s">
        <v>11</v>
      </c>
      <c r="O986">
        <v>6.2199999999999998E-2</v>
      </c>
      <c r="P986" s="45">
        <f t="shared" si="86"/>
        <v>746.4</v>
      </c>
      <c r="Q986" s="13">
        <f>IF(N986="HKD",7.8,IF(N986="CNY",7.30034,1))</f>
        <v>7.3003400000000003</v>
      </c>
      <c r="R986" s="15">
        <f>+ROUND(O986/Q986,4)</f>
        <v>8.5000000000000006E-3</v>
      </c>
      <c r="S986" s="14">
        <f>ROUND(R986*L986,2)</f>
        <v>102</v>
      </c>
      <c r="T986" s="15" t="s">
        <v>349</v>
      </c>
      <c r="U986" t="s">
        <v>132</v>
      </c>
      <c r="W986" s="49" t="e">
        <f t="shared" si="87"/>
        <v>#DIV/0!</v>
      </c>
    </row>
    <row r="987" spans="1:23" x14ac:dyDescent="0.2">
      <c r="A987" t="s">
        <v>2410</v>
      </c>
      <c r="B987" s="24">
        <v>45723</v>
      </c>
      <c r="C987" s="24">
        <v>45700</v>
      </c>
      <c r="D987" t="s">
        <v>94</v>
      </c>
      <c r="E987" t="s">
        <v>95</v>
      </c>
      <c r="F987" s="23"/>
      <c r="G987" t="s">
        <v>2882</v>
      </c>
      <c r="H987" t="s">
        <v>1750</v>
      </c>
      <c r="I987" t="s">
        <v>1751</v>
      </c>
      <c r="J987" s="11" t="str">
        <f>+LEFT(U987,4)</f>
        <v>LID-</v>
      </c>
      <c r="K987" t="s">
        <v>3481</v>
      </c>
      <c r="L987">
        <v>436</v>
      </c>
      <c r="M987" t="s">
        <v>1472</v>
      </c>
      <c r="N987" t="s">
        <v>11</v>
      </c>
      <c r="O987">
        <v>3.92</v>
      </c>
      <c r="P987" s="45">
        <f t="shared" si="86"/>
        <v>1709.12</v>
      </c>
      <c r="Q987" s="13">
        <f>IF(N987="HKD",7.8,IF(N987="CNY",7.30034,1))</f>
        <v>7.3003400000000003</v>
      </c>
      <c r="R987" s="15">
        <f>+ROUND(O987/Q987,4)</f>
        <v>0.53700000000000003</v>
      </c>
      <c r="S987" s="14">
        <f>ROUND(R987*L987,2)</f>
        <v>234.13</v>
      </c>
      <c r="T987" s="15" t="s">
        <v>349</v>
      </c>
      <c r="U987" t="s">
        <v>368</v>
      </c>
      <c r="W987" s="49" t="e">
        <f t="shared" si="87"/>
        <v>#DIV/0!</v>
      </c>
    </row>
    <row r="988" spans="1:23" x14ac:dyDescent="0.2">
      <c r="A988" t="s">
        <v>2456</v>
      </c>
      <c r="B988" s="24">
        <v>45723</v>
      </c>
      <c r="C988" s="24">
        <v>45706</v>
      </c>
      <c r="D988" t="s">
        <v>61</v>
      </c>
      <c r="E988" t="s">
        <v>61</v>
      </c>
      <c r="F988" s="23"/>
      <c r="G988" t="s">
        <v>2943</v>
      </c>
      <c r="H988" t="s">
        <v>221</v>
      </c>
      <c r="I988" t="s">
        <v>222</v>
      </c>
      <c r="J988" s="11" t="str">
        <f>+LEFT(U988,4)</f>
        <v>KNOB</v>
      </c>
      <c r="K988" t="s">
        <v>10</v>
      </c>
      <c r="L988">
        <v>2700</v>
      </c>
      <c r="M988" t="s">
        <v>1472</v>
      </c>
      <c r="N988" t="s">
        <v>11</v>
      </c>
      <c r="O988">
        <v>1.2455000000000001</v>
      </c>
      <c r="P988" s="45">
        <f t="shared" si="86"/>
        <v>3362.85</v>
      </c>
      <c r="Q988" s="13">
        <f>IF(N988="HKD",7.8,IF(N988="CNY",7.30034,1))</f>
        <v>7.3003400000000003</v>
      </c>
      <c r="R988" s="15">
        <f>+ROUND(O988/Q988,4)</f>
        <v>0.1706</v>
      </c>
      <c r="S988" s="14">
        <f>ROUND(R988*L988,2)</f>
        <v>460.62</v>
      </c>
      <c r="T988" s="15" t="s">
        <v>349</v>
      </c>
      <c r="U988" t="s">
        <v>32</v>
      </c>
      <c r="W988" s="49" t="e">
        <f t="shared" si="87"/>
        <v>#DIV/0!</v>
      </c>
    </row>
    <row r="989" spans="1:23" x14ac:dyDescent="0.2">
      <c r="A989" t="s">
        <v>2467</v>
      </c>
      <c r="B989" s="24">
        <v>45723</v>
      </c>
      <c r="C989" s="24">
        <v>45706</v>
      </c>
      <c r="D989" t="s">
        <v>128</v>
      </c>
      <c r="E989" t="s">
        <v>129</v>
      </c>
      <c r="F989" s="23"/>
      <c r="G989" t="s">
        <v>2867</v>
      </c>
      <c r="H989" t="s">
        <v>954</v>
      </c>
      <c r="I989" t="s">
        <v>955</v>
      </c>
      <c r="J989" s="11" t="str">
        <f>+LEFT(U989,4)</f>
        <v>RIV-</v>
      </c>
      <c r="K989" t="s">
        <v>10</v>
      </c>
      <c r="L989">
        <v>20000</v>
      </c>
      <c r="M989" t="s">
        <v>1472</v>
      </c>
      <c r="N989" t="s">
        <v>11</v>
      </c>
      <c r="O989">
        <v>6.8599999999999994E-2</v>
      </c>
      <c r="P989" s="45">
        <f t="shared" si="86"/>
        <v>1372</v>
      </c>
      <c r="Q989" s="13">
        <f>IF(N989="HKD",7.8,IF(N989="CNY",7.30034,1))</f>
        <v>7.3003400000000003</v>
      </c>
      <c r="R989" s="15">
        <f>+ROUND(O989/Q989,4)</f>
        <v>9.4000000000000004E-3</v>
      </c>
      <c r="S989" s="14">
        <f>ROUND(R989*L989,2)</f>
        <v>188</v>
      </c>
      <c r="T989" s="15" t="s">
        <v>349</v>
      </c>
      <c r="U989" t="s">
        <v>132</v>
      </c>
      <c r="W989" s="49" t="e">
        <f t="shared" si="87"/>
        <v>#DIV/0!</v>
      </c>
    </row>
    <row r="990" spans="1:23" x14ac:dyDescent="0.2">
      <c r="A990" t="s">
        <v>2580</v>
      </c>
      <c r="B990" s="24">
        <v>45723</v>
      </c>
      <c r="C990" s="24">
        <v>45716</v>
      </c>
      <c r="D990" t="s">
        <v>268</v>
      </c>
      <c r="E990" t="s">
        <v>269</v>
      </c>
      <c r="F990" s="23"/>
      <c r="G990" t="s">
        <v>3003</v>
      </c>
      <c r="H990" t="s">
        <v>3184</v>
      </c>
      <c r="I990" t="s">
        <v>3391</v>
      </c>
      <c r="J990" s="11" t="str">
        <f>+LEFT(U990,4)</f>
        <v>MISC</v>
      </c>
      <c r="K990" t="s">
        <v>10</v>
      </c>
      <c r="L990">
        <v>50</v>
      </c>
      <c r="M990" t="s">
        <v>136</v>
      </c>
      <c r="N990" t="s">
        <v>11</v>
      </c>
      <c r="O990">
        <v>2.57</v>
      </c>
      <c r="P990" s="45">
        <f t="shared" si="86"/>
        <v>128.5</v>
      </c>
      <c r="Q990" s="13">
        <f>IF(N990="HKD",7.8,IF(N990="CNY",7.30034,1))</f>
        <v>7.3003400000000003</v>
      </c>
      <c r="R990" s="15">
        <f>+ROUND(O990/Q990,4)</f>
        <v>0.35199999999999998</v>
      </c>
      <c r="S990" s="14">
        <f>ROUND(R990*L990,2)</f>
        <v>17.600000000000001</v>
      </c>
      <c r="T990" s="15" t="s">
        <v>349</v>
      </c>
      <c r="U990" t="s">
        <v>25</v>
      </c>
      <c r="W990" s="49" t="e">
        <f t="shared" si="87"/>
        <v>#DIV/0!</v>
      </c>
    </row>
    <row r="991" spans="1:23" x14ac:dyDescent="0.2">
      <c r="A991" t="s">
        <v>2581</v>
      </c>
      <c r="B991" s="24">
        <v>45723</v>
      </c>
      <c r="C991" s="24">
        <v>45716</v>
      </c>
      <c r="D991" t="s">
        <v>268</v>
      </c>
      <c r="E991" t="s">
        <v>269</v>
      </c>
      <c r="F991" s="23"/>
      <c r="G991" t="s">
        <v>3003</v>
      </c>
      <c r="H991" t="s">
        <v>1077</v>
      </c>
      <c r="I991" t="s">
        <v>1078</v>
      </c>
      <c r="J991" s="11" t="str">
        <f>+LEFT(U991,4)</f>
        <v>MISC</v>
      </c>
      <c r="K991" t="s">
        <v>10</v>
      </c>
      <c r="L991">
        <v>50</v>
      </c>
      <c r="M991" t="s">
        <v>136</v>
      </c>
      <c r="N991" t="s">
        <v>11</v>
      </c>
      <c r="O991">
        <v>5.18</v>
      </c>
      <c r="P991" s="45">
        <f t="shared" si="86"/>
        <v>259</v>
      </c>
      <c r="Q991" s="13">
        <f>IF(N991="HKD",7.8,IF(N991="CNY",7.30034,1))</f>
        <v>7.3003400000000003</v>
      </c>
      <c r="R991" s="15">
        <f>+ROUND(O991/Q991,4)</f>
        <v>0.70960000000000001</v>
      </c>
      <c r="S991" s="14">
        <f>ROUND(R991*L991,2)</f>
        <v>35.479999999999997</v>
      </c>
      <c r="T991" s="15" t="s">
        <v>349</v>
      </c>
      <c r="U991" t="s">
        <v>25</v>
      </c>
      <c r="W991" s="49" t="e">
        <f t="shared" si="87"/>
        <v>#DIV/0!</v>
      </c>
    </row>
    <row r="992" spans="1:23" x14ac:dyDescent="0.2">
      <c r="A992" t="s">
        <v>2281</v>
      </c>
      <c r="B992" s="24">
        <v>45726</v>
      </c>
      <c r="C992" s="24">
        <v>45576</v>
      </c>
      <c r="D992" t="s">
        <v>94</v>
      </c>
      <c r="E992" t="s">
        <v>95</v>
      </c>
      <c r="F992" s="23"/>
      <c r="G992" t="s">
        <v>2848</v>
      </c>
      <c r="H992" t="s">
        <v>3062</v>
      </c>
      <c r="I992" t="s">
        <v>3278</v>
      </c>
      <c r="J992" s="11" t="str">
        <f>+LEFT(U992,4)</f>
        <v>LID-</v>
      </c>
      <c r="K992" t="s">
        <v>98</v>
      </c>
      <c r="L992">
        <v>1010</v>
      </c>
      <c r="M992" t="s">
        <v>1472</v>
      </c>
      <c r="N992" t="s">
        <v>11</v>
      </c>
      <c r="O992">
        <v>3.5</v>
      </c>
      <c r="P992" s="45">
        <f t="shared" si="86"/>
        <v>3535</v>
      </c>
      <c r="Q992" s="13">
        <f>IF(N992="HKD",7.8,IF(N992="CNY",7.30034,1))</f>
        <v>7.3003400000000003</v>
      </c>
      <c r="R992" s="15">
        <f>+ROUND(O992/Q992,4)</f>
        <v>0.47939999999999999</v>
      </c>
      <c r="S992" s="14">
        <f>ROUND(R992*L992,2)</f>
        <v>484.19</v>
      </c>
      <c r="T992" s="15" t="s">
        <v>349</v>
      </c>
      <c r="U992" t="s">
        <v>368</v>
      </c>
      <c r="W992" s="49" t="e">
        <f t="shared" si="87"/>
        <v>#DIV/0!</v>
      </c>
    </row>
    <row r="993" spans="1:23" x14ac:dyDescent="0.2">
      <c r="A993" t="s">
        <v>2042</v>
      </c>
      <c r="B993" s="24">
        <v>45726</v>
      </c>
      <c r="C993" s="24">
        <v>45576</v>
      </c>
      <c r="D993" t="s">
        <v>94</v>
      </c>
      <c r="E993" t="s">
        <v>95</v>
      </c>
      <c r="F993" s="23"/>
      <c r="G993" t="s">
        <v>2848</v>
      </c>
      <c r="H993" t="s">
        <v>1752</v>
      </c>
      <c r="I993" t="s">
        <v>1753</v>
      </c>
      <c r="J993" s="11" t="str">
        <f>+LEFT(U993,4)</f>
        <v>LID-</v>
      </c>
      <c r="K993" t="s">
        <v>98</v>
      </c>
      <c r="L993">
        <v>383</v>
      </c>
      <c r="M993" t="s">
        <v>1472</v>
      </c>
      <c r="N993" t="s">
        <v>11</v>
      </c>
      <c r="O993">
        <v>4</v>
      </c>
      <c r="P993" s="45">
        <f t="shared" si="86"/>
        <v>1532</v>
      </c>
      <c r="Q993" s="13">
        <f>IF(N993="HKD",7.8,IF(N993="CNY",7.30034,1))</f>
        <v>7.3003400000000003</v>
      </c>
      <c r="R993" s="15">
        <f>+ROUND(O993/Q993,4)</f>
        <v>0.54790000000000005</v>
      </c>
      <c r="S993" s="14">
        <f>ROUND(R993*L993,2)</f>
        <v>209.85</v>
      </c>
      <c r="T993" s="15" t="s">
        <v>349</v>
      </c>
      <c r="U993" t="s">
        <v>368</v>
      </c>
      <c r="W993" s="49" t="e">
        <f t="shared" si="87"/>
        <v>#DIV/0!</v>
      </c>
    </row>
    <row r="994" spans="1:23" x14ac:dyDescent="0.2">
      <c r="A994" t="s">
        <v>648</v>
      </c>
      <c r="B994" s="24">
        <v>45726</v>
      </c>
      <c r="C994" s="24">
        <v>45643</v>
      </c>
      <c r="D994" t="s">
        <v>169</v>
      </c>
      <c r="E994" t="s">
        <v>170</v>
      </c>
      <c r="F994" s="23"/>
      <c r="G994" t="s">
        <v>2862</v>
      </c>
      <c r="H994" t="s">
        <v>646</v>
      </c>
      <c r="I994" t="s">
        <v>647</v>
      </c>
      <c r="J994" s="11" t="str">
        <f>+LEFT(U994,4)</f>
        <v>PRIM</v>
      </c>
      <c r="K994" t="s">
        <v>10</v>
      </c>
      <c r="L994">
        <v>1200</v>
      </c>
      <c r="M994" t="s">
        <v>1472</v>
      </c>
      <c r="N994" t="s">
        <v>11</v>
      </c>
      <c r="O994">
        <v>0.82</v>
      </c>
      <c r="P994" s="45">
        <f t="shared" si="86"/>
        <v>984</v>
      </c>
      <c r="Q994" s="13">
        <f>IF(N994="HKD",7.8,IF(N994="CNY",7.30034,1))</f>
        <v>7.3003400000000003</v>
      </c>
      <c r="R994" s="15">
        <f>+ROUND(O994/Q994,4)</f>
        <v>0.1123</v>
      </c>
      <c r="S994" s="14">
        <f>ROUND(R994*L994,2)</f>
        <v>134.76</v>
      </c>
      <c r="T994" s="15" t="s">
        <v>349</v>
      </c>
      <c r="U994" t="s">
        <v>181</v>
      </c>
      <c r="W994" s="49" t="e">
        <f t="shared" si="87"/>
        <v>#DIV/0!</v>
      </c>
    </row>
    <row r="995" spans="1:23" x14ac:dyDescent="0.2">
      <c r="A995" t="s">
        <v>2326</v>
      </c>
      <c r="B995" s="24">
        <v>45726</v>
      </c>
      <c r="C995" s="24">
        <v>45664</v>
      </c>
      <c r="D995" t="s">
        <v>2817</v>
      </c>
      <c r="E995" t="s">
        <v>2818</v>
      </c>
      <c r="F995" s="23"/>
      <c r="G995" t="s">
        <v>2883</v>
      </c>
      <c r="H995" t="s">
        <v>3082</v>
      </c>
      <c r="I995" t="s">
        <v>3298</v>
      </c>
      <c r="J995" s="11" t="str">
        <f>+LEFT(U995,4)</f>
        <v>LID-</v>
      </c>
      <c r="K995" t="s">
        <v>10</v>
      </c>
      <c r="L995">
        <v>1020</v>
      </c>
      <c r="M995" t="s">
        <v>1472</v>
      </c>
      <c r="N995" t="s">
        <v>2246</v>
      </c>
      <c r="O995">
        <v>2.2799999999999998</v>
      </c>
      <c r="P995" s="45">
        <f t="shared" si="86"/>
        <v>2325.6</v>
      </c>
      <c r="Q995" s="13">
        <f>IF(N995="HKD",7.8,IF(N995="CNY",7.30034,1))</f>
        <v>1</v>
      </c>
      <c r="R995" s="15">
        <f>+ROUND(O995/Q995,4)</f>
        <v>2.2799999999999998</v>
      </c>
      <c r="S995" s="14">
        <f>ROUND(R995*L995,2)</f>
        <v>2325.6</v>
      </c>
      <c r="T995" s="15" t="s">
        <v>349</v>
      </c>
      <c r="U995" t="s">
        <v>368</v>
      </c>
      <c r="W995" s="49">
        <f t="shared" si="87"/>
        <v>1</v>
      </c>
    </row>
    <row r="996" spans="1:23" x14ac:dyDescent="0.2">
      <c r="A996" t="s">
        <v>2327</v>
      </c>
      <c r="B996" s="24">
        <v>45726</v>
      </c>
      <c r="C996" s="24">
        <v>45664</v>
      </c>
      <c r="D996" t="s">
        <v>2817</v>
      </c>
      <c r="E996" t="s">
        <v>2818</v>
      </c>
      <c r="F996" s="23"/>
      <c r="G996" t="s">
        <v>2883</v>
      </c>
      <c r="H996" t="s">
        <v>3083</v>
      </c>
      <c r="I996" t="s">
        <v>3299</v>
      </c>
      <c r="J996" s="11" t="str">
        <f>+LEFT(U996,4)</f>
        <v>STM-</v>
      </c>
      <c r="K996" t="s">
        <v>10</v>
      </c>
      <c r="L996">
        <v>1008</v>
      </c>
      <c r="M996" t="s">
        <v>1472</v>
      </c>
      <c r="N996" t="s">
        <v>2246</v>
      </c>
      <c r="O996">
        <v>6</v>
      </c>
      <c r="P996" s="45">
        <f t="shared" si="86"/>
        <v>6048</v>
      </c>
      <c r="Q996" s="13">
        <f>IF(N996="HKD",7.8,IF(N996="CNY",7.30034,1))</f>
        <v>1</v>
      </c>
      <c r="R996" s="15">
        <f>+ROUND(O996/Q996,4)</f>
        <v>6</v>
      </c>
      <c r="S996" s="14">
        <f>ROUND(R996*L996,2)</f>
        <v>6048</v>
      </c>
      <c r="T996" s="15" t="s">
        <v>349</v>
      </c>
      <c r="U996" t="s">
        <v>3482</v>
      </c>
      <c r="W996" s="49">
        <f t="shared" si="87"/>
        <v>1</v>
      </c>
    </row>
    <row r="997" spans="1:23" x14ac:dyDescent="0.2">
      <c r="A997" t="s">
        <v>2338</v>
      </c>
      <c r="B997" s="24">
        <v>45726</v>
      </c>
      <c r="C997" s="24">
        <v>45674</v>
      </c>
      <c r="D997" t="s">
        <v>169</v>
      </c>
      <c r="E997" t="s">
        <v>170</v>
      </c>
      <c r="F997" s="23"/>
      <c r="G997" t="s">
        <v>2862</v>
      </c>
      <c r="H997" t="s">
        <v>646</v>
      </c>
      <c r="I997" t="s">
        <v>647</v>
      </c>
      <c r="J997" s="11" t="str">
        <f>+LEFT(U997,4)</f>
        <v>PRIM</v>
      </c>
      <c r="K997" t="s">
        <v>10</v>
      </c>
      <c r="L997">
        <v>6500</v>
      </c>
      <c r="M997" t="s">
        <v>1472</v>
      </c>
      <c r="N997" t="s">
        <v>11</v>
      </c>
      <c r="O997">
        <v>1.46</v>
      </c>
      <c r="P997" s="45">
        <f t="shared" si="86"/>
        <v>9490</v>
      </c>
      <c r="Q997" s="13">
        <f>IF(N997="HKD",7.8,IF(N997="CNY",7.30034,1))</f>
        <v>7.3003400000000003</v>
      </c>
      <c r="R997" s="15">
        <f>+ROUND(O997/Q997,4)</f>
        <v>0.2</v>
      </c>
      <c r="S997" s="14">
        <f>ROUND(R997*L997,2)</f>
        <v>1300</v>
      </c>
      <c r="T997" s="15" t="s">
        <v>349</v>
      </c>
      <c r="U997" t="s">
        <v>181</v>
      </c>
      <c r="W997" s="49" t="e">
        <f t="shared" si="87"/>
        <v>#DIV/0!</v>
      </c>
    </row>
    <row r="998" spans="1:23" x14ac:dyDescent="0.2">
      <c r="A998" t="s">
        <v>2393</v>
      </c>
      <c r="B998" s="24">
        <v>45726</v>
      </c>
      <c r="C998" s="24">
        <v>45695</v>
      </c>
      <c r="D998" t="s">
        <v>169</v>
      </c>
      <c r="E998" t="s">
        <v>170</v>
      </c>
      <c r="F998" s="23"/>
      <c r="G998" t="s">
        <v>2919</v>
      </c>
      <c r="H998" t="s">
        <v>3094</v>
      </c>
      <c r="I998" t="s">
        <v>1628</v>
      </c>
      <c r="J998" s="11" t="str">
        <f>+LEFT(U998,4)</f>
        <v>WACD</v>
      </c>
      <c r="K998" t="s">
        <v>10</v>
      </c>
      <c r="L998">
        <v>1000</v>
      </c>
      <c r="M998" t="s">
        <v>1472</v>
      </c>
      <c r="N998" t="s">
        <v>11</v>
      </c>
      <c r="O998">
        <v>0.39200000000000002</v>
      </c>
      <c r="P998" s="45">
        <f t="shared" si="86"/>
        <v>392</v>
      </c>
      <c r="Q998" s="13">
        <f>IF(N998="HKD",7.8,IF(N998="CNY",7.30034,1))</f>
        <v>7.3003400000000003</v>
      </c>
      <c r="R998" s="15">
        <f>+ROUND(O998/Q998,4)</f>
        <v>5.3699999999999998E-2</v>
      </c>
      <c r="S998" s="14">
        <f>ROUND(R998*L998,2)</f>
        <v>53.7</v>
      </c>
      <c r="T998" s="15" t="s">
        <v>349</v>
      </c>
      <c r="U998" t="s">
        <v>635</v>
      </c>
      <c r="W998" s="49" t="e">
        <f t="shared" si="87"/>
        <v>#DIV/0!</v>
      </c>
    </row>
    <row r="999" spans="1:23" x14ac:dyDescent="0.2">
      <c r="A999" t="s">
        <v>2400</v>
      </c>
      <c r="B999" s="24">
        <v>45726</v>
      </c>
      <c r="C999" s="24">
        <v>45698</v>
      </c>
      <c r="D999" t="s">
        <v>235</v>
      </c>
      <c r="E999" t="s">
        <v>236</v>
      </c>
      <c r="F999" s="23"/>
      <c r="G999" t="s">
        <v>2923</v>
      </c>
      <c r="H999" t="s">
        <v>1361</v>
      </c>
      <c r="I999" t="s">
        <v>1362</v>
      </c>
      <c r="J999" s="11" t="str">
        <f>+LEFT(U999,4)</f>
        <v>RIV-</v>
      </c>
      <c r="K999" t="s">
        <v>10</v>
      </c>
      <c r="L999">
        <v>10000</v>
      </c>
      <c r="M999" t="s">
        <v>1472</v>
      </c>
      <c r="N999" t="s">
        <v>11</v>
      </c>
      <c r="O999">
        <v>0.17649999999999999</v>
      </c>
      <c r="P999" s="45">
        <f t="shared" si="86"/>
        <v>1765</v>
      </c>
      <c r="Q999" s="13">
        <f>IF(N999="HKD",7.8,IF(N999="CNY",7.30034,1))</f>
        <v>7.3003400000000003</v>
      </c>
      <c r="R999" s="15">
        <f>+ROUND(O999/Q999,4)</f>
        <v>2.4199999999999999E-2</v>
      </c>
      <c r="S999" s="14">
        <f>ROUND(R999*L999,2)</f>
        <v>242</v>
      </c>
      <c r="T999" s="15" t="s">
        <v>349</v>
      </c>
      <c r="U999" t="s">
        <v>132</v>
      </c>
      <c r="W999" s="49" t="e">
        <f t="shared" si="87"/>
        <v>#DIV/0!</v>
      </c>
    </row>
    <row r="1000" spans="1:23" x14ac:dyDescent="0.2">
      <c r="A1000" t="s">
        <v>2428</v>
      </c>
      <c r="B1000" s="24">
        <v>45726</v>
      </c>
      <c r="C1000" s="24">
        <v>45702</v>
      </c>
      <c r="D1000" t="s">
        <v>295</v>
      </c>
      <c r="E1000" t="s">
        <v>296</v>
      </c>
      <c r="F1000" s="23"/>
      <c r="G1000" t="s">
        <v>2932</v>
      </c>
      <c r="H1000" t="s">
        <v>3117</v>
      </c>
      <c r="I1000" t="s">
        <v>307</v>
      </c>
      <c r="J1000" s="11" t="str">
        <f>+LEFT(U1000,4)</f>
        <v>LHDL</v>
      </c>
      <c r="K1000" t="s">
        <v>10</v>
      </c>
      <c r="L1000">
        <v>1040</v>
      </c>
      <c r="M1000" t="s">
        <v>1472</v>
      </c>
      <c r="N1000" t="s">
        <v>11</v>
      </c>
      <c r="O1000">
        <v>0.98939999999999995</v>
      </c>
      <c r="P1000" s="45">
        <f t="shared" si="86"/>
        <v>1028.98</v>
      </c>
      <c r="Q1000" s="13">
        <f>IF(N1000="HKD",7.8,IF(N1000="CNY",7.30034,1))</f>
        <v>7.3003400000000003</v>
      </c>
      <c r="R1000" s="15">
        <f>+ROUND(O1000/Q1000,4)</f>
        <v>0.13550000000000001</v>
      </c>
      <c r="S1000" s="14">
        <f>ROUND(R1000*L1000,2)</f>
        <v>140.91999999999999</v>
      </c>
      <c r="T1000" s="15" t="s">
        <v>349</v>
      </c>
      <c r="U1000" t="s">
        <v>125</v>
      </c>
      <c r="W1000" s="49" t="e">
        <f t="shared" si="87"/>
        <v>#DIV/0!</v>
      </c>
    </row>
    <row r="1001" spans="1:23" x14ac:dyDescent="0.2">
      <c r="A1001" t="s">
        <v>2429</v>
      </c>
      <c r="B1001" s="24">
        <v>45726</v>
      </c>
      <c r="C1001" s="24">
        <v>45702</v>
      </c>
      <c r="D1001" t="s">
        <v>295</v>
      </c>
      <c r="E1001" t="s">
        <v>296</v>
      </c>
      <c r="F1001" s="23"/>
      <c r="G1001" t="s">
        <v>2932</v>
      </c>
      <c r="H1001" t="s">
        <v>3118</v>
      </c>
      <c r="I1001" t="s">
        <v>303</v>
      </c>
      <c r="J1001" s="11" t="str">
        <f>+LEFT(U1001,4)</f>
        <v>LHDL</v>
      </c>
      <c r="K1001" t="s">
        <v>10</v>
      </c>
      <c r="L1001">
        <v>1040</v>
      </c>
      <c r="M1001" t="s">
        <v>1472</v>
      </c>
      <c r="N1001" t="s">
        <v>11</v>
      </c>
      <c r="O1001">
        <v>1.0419</v>
      </c>
      <c r="P1001" s="45">
        <f t="shared" si="86"/>
        <v>1083.58</v>
      </c>
      <c r="Q1001" s="13">
        <f>IF(N1001="HKD",7.8,IF(N1001="CNY",7.30034,1))</f>
        <v>7.3003400000000003</v>
      </c>
      <c r="R1001" s="15">
        <f>+ROUND(O1001/Q1001,4)</f>
        <v>0.14269999999999999</v>
      </c>
      <c r="S1001" s="14">
        <f>ROUND(R1001*L1001,2)</f>
        <v>148.41</v>
      </c>
      <c r="T1001" s="15" t="s">
        <v>349</v>
      </c>
      <c r="U1001" t="s">
        <v>125</v>
      </c>
      <c r="W1001" s="49" t="e">
        <f t="shared" si="87"/>
        <v>#DIV/0!</v>
      </c>
    </row>
    <row r="1002" spans="1:23" x14ac:dyDescent="0.2">
      <c r="A1002" t="s">
        <v>2430</v>
      </c>
      <c r="B1002" s="24">
        <v>45726</v>
      </c>
      <c r="C1002" s="24">
        <v>45702</v>
      </c>
      <c r="D1002" t="s">
        <v>295</v>
      </c>
      <c r="E1002" t="s">
        <v>296</v>
      </c>
      <c r="F1002" s="23"/>
      <c r="G1002" t="s">
        <v>2933</v>
      </c>
      <c r="H1002" t="s">
        <v>3119</v>
      </c>
      <c r="I1002" t="s">
        <v>300</v>
      </c>
      <c r="J1002" s="11" t="str">
        <f>+LEFT(U1002,4)</f>
        <v>LHDL</v>
      </c>
      <c r="K1002" t="s">
        <v>10</v>
      </c>
      <c r="L1002">
        <v>1040</v>
      </c>
      <c r="M1002" t="s">
        <v>1472</v>
      </c>
      <c r="N1002" t="s">
        <v>11</v>
      </c>
      <c r="O1002">
        <v>1.0419</v>
      </c>
      <c r="P1002" s="45">
        <f t="shared" si="86"/>
        <v>1083.58</v>
      </c>
      <c r="Q1002" s="13">
        <f>IF(N1002="HKD",7.8,IF(N1002="CNY",7.30034,1))</f>
        <v>7.3003400000000003</v>
      </c>
      <c r="R1002" s="15">
        <f>+ROUND(O1002/Q1002,4)</f>
        <v>0.14269999999999999</v>
      </c>
      <c r="S1002" s="14">
        <f>ROUND(R1002*L1002,2)</f>
        <v>148.41</v>
      </c>
      <c r="T1002" s="15" t="s">
        <v>349</v>
      </c>
      <c r="U1002" t="s">
        <v>125</v>
      </c>
      <c r="W1002" s="49" t="e">
        <f t="shared" si="87"/>
        <v>#DIV/0!</v>
      </c>
    </row>
    <row r="1003" spans="1:23" x14ac:dyDescent="0.2">
      <c r="A1003" t="s">
        <v>2431</v>
      </c>
      <c r="B1003" s="24">
        <v>45726</v>
      </c>
      <c r="C1003" s="24">
        <v>45702</v>
      </c>
      <c r="D1003" t="s">
        <v>295</v>
      </c>
      <c r="E1003" t="s">
        <v>296</v>
      </c>
      <c r="F1003" s="23"/>
      <c r="G1003" t="s">
        <v>2933</v>
      </c>
      <c r="H1003" t="s">
        <v>3120</v>
      </c>
      <c r="I1003" t="s">
        <v>294</v>
      </c>
      <c r="J1003" s="11" t="str">
        <f>+LEFT(U1003,4)</f>
        <v>LHDL</v>
      </c>
      <c r="K1003" t="s">
        <v>10</v>
      </c>
      <c r="L1003">
        <v>1020</v>
      </c>
      <c r="M1003" t="s">
        <v>1472</v>
      </c>
      <c r="N1003" t="s">
        <v>11</v>
      </c>
      <c r="O1003">
        <v>1.0419</v>
      </c>
      <c r="P1003" s="45">
        <f t="shared" si="86"/>
        <v>1062.74</v>
      </c>
      <c r="Q1003" s="13">
        <f>IF(N1003="HKD",7.8,IF(N1003="CNY",7.30034,1))</f>
        <v>7.3003400000000003</v>
      </c>
      <c r="R1003" s="15">
        <f>+ROUND(O1003/Q1003,4)</f>
        <v>0.14269999999999999</v>
      </c>
      <c r="S1003" s="14">
        <f>ROUND(R1003*L1003,2)</f>
        <v>145.55000000000001</v>
      </c>
      <c r="T1003" s="15" t="s">
        <v>349</v>
      </c>
      <c r="U1003" t="s">
        <v>125</v>
      </c>
      <c r="W1003" s="49" t="e">
        <f t="shared" si="87"/>
        <v>#DIV/0!</v>
      </c>
    </row>
    <row r="1004" spans="1:23" x14ac:dyDescent="0.2">
      <c r="A1004" t="s">
        <v>2432</v>
      </c>
      <c r="B1004" s="24">
        <v>45726</v>
      </c>
      <c r="C1004" s="24">
        <v>45702</v>
      </c>
      <c r="D1004" t="s">
        <v>295</v>
      </c>
      <c r="E1004" t="s">
        <v>296</v>
      </c>
      <c r="F1004" s="23"/>
      <c r="G1004" t="s">
        <v>2933</v>
      </c>
      <c r="H1004" t="s">
        <v>3121</v>
      </c>
      <c r="I1004" t="s">
        <v>3331</v>
      </c>
      <c r="J1004" s="11" t="str">
        <f>+LEFT(U1004,4)</f>
        <v>LHDL</v>
      </c>
      <c r="K1004" t="s">
        <v>10</v>
      </c>
      <c r="L1004">
        <v>1040</v>
      </c>
      <c r="M1004" t="s">
        <v>1472</v>
      </c>
      <c r="N1004" t="s">
        <v>11</v>
      </c>
      <c r="O1004">
        <v>1.0419</v>
      </c>
      <c r="P1004" s="45">
        <f t="shared" si="86"/>
        <v>1083.58</v>
      </c>
      <c r="Q1004" s="13">
        <f>IF(N1004="HKD",7.8,IF(N1004="CNY",7.30034,1))</f>
        <v>7.3003400000000003</v>
      </c>
      <c r="R1004" s="15">
        <f>+ROUND(O1004/Q1004,4)</f>
        <v>0.14269999999999999</v>
      </c>
      <c r="S1004" s="14">
        <f>ROUND(R1004*L1004,2)</f>
        <v>148.41</v>
      </c>
      <c r="T1004" s="15" t="s">
        <v>349</v>
      </c>
      <c r="U1004" t="s">
        <v>125</v>
      </c>
      <c r="W1004" s="49" t="e">
        <f t="shared" si="87"/>
        <v>#DIV/0!</v>
      </c>
    </row>
    <row r="1005" spans="1:23" x14ac:dyDescent="0.2">
      <c r="A1005" t="s">
        <v>2452</v>
      </c>
      <c r="B1005" s="24">
        <v>45726</v>
      </c>
      <c r="C1005" s="24">
        <v>45705</v>
      </c>
      <c r="D1005" t="s">
        <v>2817</v>
      </c>
      <c r="E1005" t="s">
        <v>2818</v>
      </c>
      <c r="F1005" s="23"/>
      <c r="G1005" t="s">
        <v>2941</v>
      </c>
      <c r="H1005" t="s">
        <v>3069</v>
      </c>
      <c r="I1005" t="s">
        <v>3286</v>
      </c>
      <c r="J1005" s="11" t="str">
        <f>+LEFT(U1005,4)</f>
        <v>T&amp;G-</v>
      </c>
      <c r="K1005" t="s">
        <v>10</v>
      </c>
      <c r="L1005">
        <v>1000</v>
      </c>
      <c r="M1005" t="s">
        <v>1472</v>
      </c>
      <c r="N1005" t="s">
        <v>2246</v>
      </c>
      <c r="O1005">
        <v>0.23</v>
      </c>
      <c r="P1005" s="45">
        <f t="shared" si="86"/>
        <v>230</v>
      </c>
      <c r="Q1005" s="13">
        <f>IF(N1005="HKD",7.8,IF(N1005="CNY",7.30034,1))</f>
        <v>1</v>
      </c>
      <c r="R1005" s="15">
        <f>+ROUND(O1005/Q1005,4)</f>
        <v>0.23</v>
      </c>
      <c r="S1005" s="14">
        <f>ROUND(R1005*L1005,2)</f>
        <v>230</v>
      </c>
      <c r="T1005" s="15" t="s">
        <v>349</v>
      </c>
      <c r="U1005" t="s">
        <v>2245</v>
      </c>
      <c r="W1005" s="49">
        <f t="shared" si="87"/>
        <v>1</v>
      </c>
    </row>
    <row r="1006" spans="1:23" x14ac:dyDescent="0.2">
      <c r="A1006" t="s">
        <v>2453</v>
      </c>
      <c r="B1006" s="24">
        <v>45726</v>
      </c>
      <c r="C1006" s="24">
        <v>45705</v>
      </c>
      <c r="D1006" t="s">
        <v>2817</v>
      </c>
      <c r="E1006" t="s">
        <v>2818</v>
      </c>
      <c r="F1006" s="23"/>
      <c r="G1006" t="s">
        <v>2941</v>
      </c>
      <c r="H1006" t="s">
        <v>3070</v>
      </c>
      <c r="I1006" t="s">
        <v>3287</v>
      </c>
      <c r="J1006" s="11" t="str">
        <f>+LEFT(U1006,4)</f>
        <v>T&amp;G-</v>
      </c>
      <c r="K1006" t="s">
        <v>10</v>
      </c>
      <c r="L1006">
        <v>1000</v>
      </c>
      <c r="M1006" t="s">
        <v>1472</v>
      </c>
      <c r="N1006" t="s">
        <v>2246</v>
      </c>
      <c r="O1006">
        <v>0.2</v>
      </c>
      <c r="P1006" s="45">
        <f t="shared" si="86"/>
        <v>200</v>
      </c>
      <c r="Q1006" s="13">
        <f>IF(N1006="HKD",7.8,IF(N1006="CNY",7.30034,1))</f>
        <v>1</v>
      </c>
      <c r="R1006" s="15">
        <f>+ROUND(O1006/Q1006,4)</f>
        <v>0.2</v>
      </c>
      <c r="S1006" s="14">
        <f>ROUND(R1006*L1006,2)</f>
        <v>200</v>
      </c>
      <c r="T1006" s="15" t="s">
        <v>349</v>
      </c>
      <c r="U1006" t="s">
        <v>2245</v>
      </c>
      <c r="W1006" s="49">
        <f t="shared" si="87"/>
        <v>1</v>
      </c>
    </row>
    <row r="1007" spans="1:23" x14ac:dyDescent="0.2">
      <c r="A1007" t="s">
        <v>2454</v>
      </c>
      <c r="B1007" s="24">
        <v>45726</v>
      </c>
      <c r="C1007" s="24">
        <v>45705</v>
      </c>
      <c r="D1007" t="s">
        <v>2817</v>
      </c>
      <c r="E1007" t="s">
        <v>2818</v>
      </c>
      <c r="F1007" s="23"/>
      <c r="G1007" t="s">
        <v>2941</v>
      </c>
      <c r="H1007" t="s">
        <v>3071</v>
      </c>
      <c r="I1007" t="s">
        <v>3288</v>
      </c>
      <c r="J1007" s="11" t="str">
        <f>+LEFT(U1007,4)</f>
        <v>T&amp;G-</v>
      </c>
      <c r="K1007" t="s">
        <v>10</v>
      </c>
      <c r="L1007">
        <v>1000</v>
      </c>
      <c r="M1007" t="s">
        <v>1472</v>
      </c>
      <c r="N1007" t="s">
        <v>2246</v>
      </c>
      <c r="O1007">
        <v>0.18</v>
      </c>
      <c r="P1007" s="45">
        <f t="shared" si="86"/>
        <v>180</v>
      </c>
      <c r="Q1007" s="13">
        <f>IF(N1007="HKD",7.8,IF(N1007="CNY",7.30034,1))</f>
        <v>1</v>
      </c>
      <c r="R1007" s="15">
        <f>+ROUND(O1007/Q1007,4)</f>
        <v>0.18</v>
      </c>
      <c r="S1007" s="14">
        <f>ROUND(R1007*L1007,2)</f>
        <v>180</v>
      </c>
      <c r="T1007" s="15" t="s">
        <v>349</v>
      </c>
      <c r="U1007" t="s">
        <v>2245</v>
      </c>
      <c r="W1007" s="49">
        <f t="shared" si="87"/>
        <v>1</v>
      </c>
    </row>
    <row r="1008" spans="1:23" x14ac:dyDescent="0.2">
      <c r="A1008" t="s">
        <v>2484</v>
      </c>
      <c r="B1008" s="24">
        <v>45726</v>
      </c>
      <c r="C1008" s="24">
        <v>45712</v>
      </c>
      <c r="D1008" t="s">
        <v>2257</v>
      </c>
      <c r="E1008" t="s">
        <v>2258</v>
      </c>
      <c r="F1008" s="23"/>
      <c r="G1008" t="s">
        <v>2950</v>
      </c>
      <c r="H1008" t="s">
        <v>3147</v>
      </c>
      <c r="I1008" t="s">
        <v>3357</v>
      </c>
      <c r="J1008" s="11" t="str">
        <f>+LEFT(U1008,4)</f>
        <v>HDL-</v>
      </c>
      <c r="K1008" t="s">
        <v>10</v>
      </c>
      <c r="L1008">
        <v>3100</v>
      </c>
      <c r="M1008" t="s">
        <v>1472</v>
      </c>
      <c r="N1008" t="s">
        <v>11</v>
      </c>
      <c r="O1008">
        <v>8.5710999999999995</v>
      </c>
      <c r="P1008" s="45">
        <f t="shared" si="86"/>
        <v>26570.41</v>
      </c>
      <c r="Q1008" s="13">
        <f>IF(N1008="HKD",7.8,IF(N1008="CNY",7.30034,1))</f>
        <v>7.3003400000000003</v>
      </c>
      <c r="R1008" s="15">
        <f>+ROUND(O1008/Q1008,4)</f>
        <v>1.1740999999999999</v>
      </c>
      <c r="S1008" s="14">
        <f>ROUND(R1008*L1008,2)</f>
        <v>3639.71</v>
      </c>
      <c r="T1008" s="15" t="s">
        <v>349</v>
      </c>
      <c r="U1008" t="s">
        <v>228</v>
      </c>
      <c r="W1008" s="49" t="e">
        <f t="shared" si="87"/>
        <v>#DIV/0!</v>
      </c>
    </row>
    <row r="1009" spans="1:23" x14ac:dyDescent="0.2">
      <c r="A1009" t="s">
        <v>2485</v>
      </c>
      <c r="B1009" s="24">
        <v>45726</v>
      </c>
      <c r="C1009" s="24">
        <v>45712</v>
      </c>
      <c r="D1009" t="s">
        <v>2257</v>
      </c>
      <c r="E1009" t="s">
        <v>2258</v>
      </c>
      <c r="F1009" s="23"/>
      <c r="G1009" t="s">
        <v>2950</v>
      </c>
      <c r="H1009" t="s">
        <v>3148</v>
      </c>
      <c r="I1009" t="s">
        <v>3358</v>
      </c>
      <c r="J1009" s="11" t="str">
        <f>+LEFT(U1009,4)</f>
        <v>HDL-</v>
      </c>
      <c r="K1009" t="s">
        <v>10</v>
      </c>
      <c r="L1009">
        <v>1200</v>
      </c>
      <c r="M1009" t="s">
        <v>1472</v>
      </c>
      <c r="N1009" t="s">
        <v>11</v>
      </c>
      <c r="O1009">
        <v>7.6459999999999999</v>
      </c>
      <c r="P1009" s="45">
        <f t="shared" si="86"/>
        <v>9175.2000000000007</v>
      </c>
      <c r="Q1009" s="13">
        <f>IF(N1009="HKD",7.8,IF(N1009="CNY",7.30034,1))</f>
        <v>7.3003400000000003</v>
      </c>
      <c r="R1009" s="15">
        <f>+ROUND(O1009/Q1009,4)</f>
        <v>1.0472999999999999</v>
      </c>
      <c r="S1009" s="14">
        <f>ROUND(R1009*L1009,2)</f>
        <v>1256.76</v>
      </c>
      <c r="T1009" s="15" t="s">
        <v>349</v>
      </c>
      <c r="U1009" t="s">
        <v>228</v>
      </c>
      <c r="W1009" s="49" t="e">
        <f t="shared" si="87"/>
        <v>#DIV/0!</v>
      </c>
    </row>
    <row r="1010" spans="1:23" x14ac:dyDescent="0.2">
      <c r="A1010" t="s">
        <v>2486</v>
      </c>
      <c r="B1010" s="24">
        <v>45726</v>
      </c>
      <c r="C1010" s="24">
        <v>45712</v>
      </c>
      <c r="D1010" t="s">
        <v>2257</v>
      </c>
      <c r="E1010" t="s">
        <v>2258</v>
      </c>
      <c r="F1010" s="23"/>
      <c r="G1010" t="s">
        <v>2950</v>
      </c>
      <c r="H1010" t="s">
        <v>3148</v>
      </c>
      <c r="I1010" t="s">
        <v>3358</v>
      </c>
      <c r="J1010" s="11" t="str">
        <f>+LEFT(U1010,4)</f>
        <v>HDL-</v>
      </c>
      <c r="K1010" t="s">
        <v>10</v>
      </c>
      <c r="L1010">
        <v>3000</v>
      </c>
      <c r="M1010" t="s">
        <v>1472</v>
      </c>
      <c r="N1010" t="s">
        <v>11</v>
      </c>
      <c r="O1010">
        <v>7.6459999999999999</v>
      </c>
      <c r="P1010" s="45">
        <f t="shared" si="86"/>
        <v>22938</v>
      </c>
      <c r="Q1010" s="13">
        <f>IF(N1010="HKD",7.8,IF(N1010="CNY",7.30034,1))</f>
        <v>7.3003400000000003</v>
      </c>
      <c r="R1010" s="15">
        <f>+ROUND(O1010/Q1010,4)</f>
        <v>1.0472999999999999</v>
      </c>
      <c r="S1010" s="14">
        <f>ROUND(R1010*L1010,2)</f>
        <v>3141.9</v>
      </c>
      <c r="T1010" s="15" t="s">
        <v>349</v>
      </c>
      <c r="U1010" t="s">
        <v>228</v>
      </c>
      <c r="W1010" s="49" t="e">
        <f t="shared" si="87"/>
        <v>#DIV/0!</v>
      </c>
    </row>
    <row r="1011" spans="1:23" x14ac:dyDescent="0.2">
      <c r="A1011" t="s">
        <v>2489</v>
      </c>
      <c r="B1011" s="24">
        <v>45726</v>
      </c>
      <c r="C1011" s="24">
        <v>45712</v>
      </c>
      <c r="D1011" t="s">
        <v>2257</v>
      </c>
      <c r="E1011" t="s">
        <v>2258</v>
      </c>
      <c r="F1011" s="23"/>
      <c r="G1011" t="s">
        <v>2950</v>
      </c>
      <c r="H1011" t="s">
        <v>3147</v>
      </c>
      <c r="I1011" t="s">
        <v>3357</v>
      </c>
      <c r="J1011" s="11" t="str">
        <f>+LEFT(U1011,4)</f>
        <v>HDL-</v>
      </c>
      <c r="K1011" t="s">
        <v>10</v>
      </c>
      <c r="L1011">
        <v>600</v>
      </c>
      <c r="M1011" t="s">
        <v>1472</v>
      </c>
      <c r="N1011" t="s">
        <v>11</v>
      </c>
      <c r="O1011">
        <v>8.5710999999999995</v>
      </c>
      <c r="P1011" s="45">
        <f t="shared" si="86"/>
        <v>5142.66</v>
      </c>
      <c r="Q1011" s="13">
        <f>IF(N1011="HKD",7.8,IF(N1011="CNY",7.30034,1))</f>
        <v>7.3003400000000003</v>
      </c>
      <c r="R1011" s="15">
        <f>+ROUND(O1011/Q1011,4)</f>
        <v>1.1740999999999999</v>
      </c>
      <c r="S1011" s="14">
        <f>ROUND(R1011*L1011,2)</f>
        <v>704.46</v>
      </c>
      <c r="T1011" s="15" t="s">
        <v>349</v>
      </c>
      <c r="U1011" t="s">
        <v>228</v>
      </c>
      <c r="W1011" s="49" t="e">
        <f t="shared" si="87"/>
        <v>#DIV/0!</v>
      </c>
    </row>
    <row r="1012" spans="1:23" x14ac:dyDescent="0.2">
      <c r="A1012" t="s">
        <v>2495</v>
      </c>
      <c r="B1012" s="24">
        <v>45726</v>
      </c>
      <c r="C1012" s="24">
        <v>45713</v>
      </c>
      <c r="D1012" t="s">
        <v>2257</v>
      </c>
      <c r="E1012" t="s">
        <v>2258</v>
      </c>
      <c r="F1012" s="23"/>
      <c r="G1012" t="s">
        <v>2950</v>
      </c>
      <c r="H1012" t="s">
        <v>3150</v>
      </c>
      <c r="I1012" t="s">
        <v>3360</v>
      </c>
      <c r="J1012" s="11" t="str">
        <f>+LEFT(U1012,4)</f>
        <v>HDL-</v>
      </c>
      <c r="K1012" t="s">
        <v>10</v>
      </c>
      <c r="L1012">
        <v>510</v>
      </c>
      <c r="M1012" t="s">
        <v>1472</v>
      </c>
      <c r="N1012" t="s">
        <v>11</v>
      </c>
      <c r="O1012">
        <v>8.7460000000000004</v>
      </c>
      <c r="P1012" s="45">
        <f t="shared" si="86"/>
        <v>4460.46</v>
      </c>
      <c r="Q1012" s="13">
        <f>IF(N1012="HKD",7.8,IF(N1012="CNY",7.30034,1))</f>
        <v>7.3003400000000003</v>
      </c>
      <c r="R1012" s="15">
        <f>+ROUND(O1012/Q1012,4)</f>
        <v>1.198</v>
      </c>
      <c r="S1012" s="14">
        <f>ROUND(R1012*L1012,2)</f>
        <v>610.98</v>
      </c>
      <c r="T1012" s="15" t="s">
        <v>349</v>
      </c>
      <c r="U1012" t="s">
        <v>228</v>
      </c>
      <c r="W1012" s="49" t="e">
        <f t="shared" si="87"/>
        <v>#DIV/0!</v>
      </c>
    </row>
    <row r="1013" spans="1:23" x14ac:dyDescent="0.2">
      <c r="A1013" t="s">
        <v>2515</v>
      </c>
      <c r="B1013" s="24">
        <v>45726</v>
      </c>
      <c r="C1013" s="24">
        <v>45713</v>
      </c>
      <c r="D1013" t="s">
        <v>169</v>
      </c>
      <c r="E1013" t="s">
        <v>170</v>
      </c>
      <c r="F1013" s="23"/>
      <c r="G1013" t="s">
        <v>2961</v>
      </c>
      <c r="H1013" t="s">
        <v>1098</v>
      </c>
      <c r="I1013" t="s">
        <v>1099</v>
      </c>
      <c r="J1013" s="11" t="str">
        <f>+LEFT(U1013,4)</f>
        <v>PAP-</v>
      </c>
      <c r="K1013" t="s">
        <v>10</v>
      </c>
      <c r="L1013">
        <v>10000</v>
      </c>
      <c r="M1013" t="s">
        <v>1472</v>
      </c>
      <c r="N1013" t="s">
        <v>11</v>
      </c>
      <c r="O1013">
        <v>0.23</v>
      </c>
      <c r="P1013" s="45">
        <f t="shared" si="86"/>
        <v>2300</v>
      </c>
      <c r="Q1013" s="13">
        <f>IF(N1013="HKD",7.8,IF(N1013="CNY",7.30034,1))</f>
        <v>7.3003400000000003</v>
      </c>
      <c r="R1013" s="15">
        <f>+ROUND(O1013/Q1013,4)</f>
        <v>3.15E-2</v>
      </c>
      <c r="S1013" s="14">
        <f>ROUND(R1013*L1013,2)</f>
        <v>315</v>
      </c>
      <c r="T1013" s="15" t="s">
        <v>349</v>
      </c>
      <c r="U1013" t="s">
        <v>1094</v>
      </c>
      <c r="W1013" s="49" t="e">
        <f t="shared" si="87"/>
        <v>#DIV/0!</v>
      </c>
    </row>
    <row r="1014" spans="1:23" x14ac:dyDescent="0.2">
      <c r="A1014" t="s">
        <v>2516</v>
      </c>
      <c r="B1014" s="24">
        <v>45726</v>
      </c>
      <c r="C1014" s="24">
        <v>45713</v>
      </c>
      <c r="D1014" t="s">
        <v>169</v>
      </c>
      <c r="E1014" t="s">
        <v>170</v>
      </c>
      <c r="F1014" s="23"/>
      <c r="G1014" t="s">
        <v>2961</v>
      </c>
      <c r="H1014" t="s">
        <v>1095</v>
      </c>
      <c r="I1014" t="s">
        <v>1096</v>
      </c>
      <c r="J1014" s="11" t="str">
        <f>+LEFT(U1014,4)</f>
        <v>PAP-</v>
      </c>
      <c r="K1014" t="s">
        <v>10</v>
      </c>
      <c r="L1014">
        <v>30000</v>
      </c>
      <c r="M1014" t="s">
        <v>1472</v>
      </c>
      <c r="N1014" t="s">
        <v>11</v>
      </c>
      <c r="O1014">
        <v>0.28999999999999998</v>
      </c>
      <c r="P1014" s="45">
        <f t="shared" si="86"/>
        <v>8700</v>
      </c>
      <c r="Q1014" s="13">
        <f>IF(N1014="HKD",7.8,IF(N1014="CNY",7.30034,1))</f>
        <v>7.3003400000000003</v>
      </c>
      <c r="R1014" s="15">
        <f>+ROUND(O1014/Q1014,4)</f>
        <v>3.9699999999999999E-2</v>
      </c>
      <c r="S1014" s="14">
        <f>ROUND(R1014*L1014,2)</f>
        <v>1191</v>
      </c>
      <c r="T1014" s="15" t="s">
        <v>349</v>
      </c>
      <c r="U1014" t="s">
        <v>1094</v>
      </c>
      <c r="W1014" s="49" t="e">
        <f t="shared" si="87"/>
        <v>#DIV/0!</v>
      </c>
    </row>
    <row r="1015" spans="1:23" x14ac:dyDescent="0.2">
      <c r="A1015" t="s">
        <v>2545</v>
      </c>
      <c r="B1015" s="24">
        <v>45726</v>
      </c>
      <c r="C1015" s="24">
        <v>45714</v>
      </c>
      <c r="D1015" t="s">
        <v>235</v>
      </c>
      <c r="E1015" t="s">
        <v>236</v>
      </c>
      <c r="F1015" s="23"/>
      <c r="G1015" t="s">
        <v>2923</v>
      </c>
      <c r="H1015" t="s">
        <v>1352</v>
      </c>
      <c r="I1015" t="s">
        <v>1353</v>
      </c>
      <c r="J1015" s="11" t="str">
        <f>+LEFT(U1015,4)</f>
        <v>RIV-</v>
      </c>
      <c r="K1015" t="s">
        <v>10</v>
      </c>
      <c r="L1015">
        <v>80000</v>
      </c>
      <c r="M1015" t="s">
        <v>1472</v>
      </c>
      <c r="N1015" t="s">
        <v>11</v>
      </c>
      <c r="O1015">
        <v>0.13150000000000001</v>
      </c>
      <c r="P1015" s="45">
        <f t="shared" si="86"/>
        <v>10520</v>
      </c>
      <c r="Q1015" s="13">
        <f>IF(N1015="HKD",7.8,IF(N1015="CNY",7.30034,1))</f>
        <v>7.3003400000000003</v>
      </c>
      <c r="R1015" s="15">
        <f>+ROUND(O1015/Q1015,4)</f>
        <v>1.7999999999999999E-2</v>
      </c>
      <c r="S1015" s="14">
        <f>ROUND(R1015*L1015,2)</f>
        <v>1440</v>
      </c>
      <c r="T1015" s="15" t="s">
        <v>349</v>
      </c>
      <c r="U1015" t="s">
        <v>132</v>
      </c>
      <c r="W1015" s="49" t="e">
        <f t="shared" si="87"/>
        <v>#DIV/0!</v>
      </c>
    </row>
    <row r="1016" spans="1:23" x14ac:dyDescent="0.2">
      <c r="A1016" t="s">
        <v>2619</v>
      </c>
      <c r="B1016" s="24">
        <v>45726</v>
      </c>
      <c r="C1016" s="24">
        <v>45721</v>
      </c>
      <c r="D1016" t="s">
        <v>169</v>
      </c>
      <c r="E1016" t="s">
        <v>170</v>
      </c>
      <c r="F1016" s="23"/>
      <c r="G1016" t="s">
        <v>3015</v>
      </c>
      <c r="H1016" t="s">
        <v>1324</v>
      </c>
      <c r="I1016" t="s">
        <v>1325</v>
      </c>
      <c r="J1016" s="11" t="str">
        <f>+LEFT(U1016,4)</f>
        <v>STKR</v>
      </c>
      <c r="K1016" t="s">
        <v>10</v>
      </c>
      <c r="L1016">
        <v>1010</v>
      </c>
      <c r="M1016" t="s">
        <v>1472</v>
      </c>
      <c r="N1016" t="s">
        <v>11</v>
      </c>
      <c r="O1016">
        <v>0.08</v>
      </c>
      <c r="P1016" s="45">
        <f t="shared" si="86"/>
        <v>80.8</v>
      </c>
      <c r="Q1016" s="13">
        <f>IF(N1016="HKD",7.8,IF(N1016="CNY",7.30034,1))</f>
        <v>7.3003400000000003</v>
      </c>
      <c r="R1016" s="15">
        <f>+ROUND(O1016/Q1016,4)</f>
        <v>1.0999999999999999E-2</v>
      </c>
      <c r="S1016" s="14">
        <f>ROUND(R1016*L1016,2)</f>
        <v>11.11</v>
      </c>
      <c r="T1016" s="15" t="s">
        <v>349</v>
      </c>
      <c r="U1016" t="s">
        <v>18</v>
      </c>
      <c r="W1016" s="49" t="e">
        <f t="shared" si="87"/>
        <v>#DIV/0!</v>
      </c>
    </row>
    <row r="1017" spans="1:23" x14ac:dyDescent="0.2">
      <c r="A1017" t="s">
        <v>2620</v>
      </c>
      <c r="B1017" s="24">
        <v>45726</v>
      </c>
      <c r="C1017" s="24">
        <v>45721</v>
      </c>
      <c r="D1017" t="s">
        <v>169</v>
      </c>
      <c r="E1017" t="s">
        <v>170</v>
      </c>
      <c r="F1017" s="23"/>
      <c r="G1017" t="s">
        <v>3015</v>
      </c>
      <c r="H1017" t="s">
        <v>3204</v>
      </c>
      <c r="I1017" t="s">
        <v>3411</v>
      </c>
      <c r="J1017" s="11" t="str">
        <f>+LEFT(U1017,4)</f>
        <v>STKR</v>
      </c>
      <c r="K1017" t="s">
        <v>10</v>
      </c>
      <c r="L1017">
        <v>1010</v>
      </c>
      <c r="M1017" t="s">
        <v>1472</v>
      </c>
      <c r="N1017" t="s">
        <v>11</v>
      </c>
      <c r="O1017">
        <v>0.06</v>
      </c>
      <c r="P1017" s="45">
        <f t="shared" si="86"/>
        <v>60.6</v>
      </c>
      <c r="Q1017" s="13">
        <f>IF(N1017="HKD",7.8,IF(N1017="CNY",7.30034,1))</f>
        <v>7.3003400000000003</v>
      </c>
      <c r="R1017" s="15">
        <f>+ROUND(O1017/Q1017,4)</f>
        <v>8.2000000000000007E-3</v>
      </c>
      <c r="S1017" s="14">
        <f>ROUND(R1017*L1017,2)</f>
        <v>8.2799999999999994</v>
      </c>
      <c r="T1017" s="15" t="s">
        <v>349</v>
      </c>
      <c r="U1017" t="s">
        <v>18</v>
      </c>
      <c r="W1017" s="49" t="e">
        <f t="shared" si="87"/>
        <v>#DIV/0!</v>
      </c>
    </row>
    <row r="1018" spans="1:23" x14ac:dyDescent="0.2">
      <c r="A1018" t="s">
        <v>2621</v>
      </c>
      <c r="B1018" s="24">
        <v>45726</v>
      </c>
      <c r="C1018" s="24">
        <v>45721</v>
      </c>
      <c r="D1018" t="s">
        <v>169</v>
      </c>
      <c r="E1018" t="s">
        <v>170</v>
      </c>
      <c r="F1018" s="23"/>
      <c r="G1018" t="s">
        <v>3015</v>
      </c>
      <c r="H1018" t="s">
        <v>1320</v>
      </c>
      <c r="I1018" t="s">
        <v>1321</v>
      </c>
      <c r="J1018" s="11" t="str">
        <f>+LEFT(U1018,4)</f>
        <v>STKR</v>
      </c>
      <c r="K1018" t="s">
        <v>10</v>
      </c>
      <c r="L1018">
        <v>1010</v>
      </c>
      <c r="M1018" t="s">
        <v>1472</v>
      </c>
      <c r="N1018" t="s">
        <v>11</v>
      </c>
      <c r="O1018">
        <v>0.06</v>
      </c>
      <c r="P1018" s="45">
        <f t="shared" si="86"/>
        <v>60.6</v>
      </c>
      <c r="Q1018" s="13">
        <f>IF(N1018="HKD",7.8,IF(N1018="CNY",7.30034,1))</f>
        <v>7.3003400000000003</v>
      </c>
      <c r="R1018" s="15">
        <f>+ROUND(O1018/Q1018,4)</f>
        <v>8.2000000000000007E-3</v>
      </c>
      <c r="S1018" s="14">
        <f>ROUND(R1018*L1018,2)</f>
        <v>8.2799999999999994</v>
      </c>
      <c r="T1018" s="15" t="s">
        <v>349</v>
      </c>
      <c r="U1018" t="s">
        <v>18</v>
      </c>
      <c r="W1018" s="49" t="e">
        <f t="shared" si="87"/>
        <v>#DIV/0!</v>
      </c>
    </row>
    <row r="1019" spans="1:23" x14ac:dyDescent="0.2">
      <c r="A1019" t="s">
        <v>2622</v>
      </c>
      <c r="B1019" s="24">
        <v>45726</v>
      </c>
      <c r="C1019" s="24">
        <v>45721</v>
      </c>
      <c r="D1019" t="s">
        <v>169</v>
      </c>
      <c r="E1019" t="s">
        <v>170</v>
      </c>
      <c r="F1019" s="23"/>
      <c r="G1019" t="s">
        <v>3015</v>
      </c>
      <c r="H1019" t="s">
        <v>3205</v>
      </c>
      <c r="I1019" t="s">
        <v>3412</v>
      </c>
      <c r="J1019" s="11" t="str">
        <f>+LEFT(U1019,4)</f>
        <v>STKR</v>
      </c>
      <c r="K1019" t="s">
        <v>10</v>
      </c>
      <c r="L1019">
        <v>1010</v>
      </c>
      <c r="M1019" t="s">
        <v>1472</v>
      </c>
      <c r="N1019" t="s">
        <v>11</v>
      </c>
      <c r="O1019">
        <v>0.06</v>
      </c>
      <c r="P1019" s="45">
        <f t="shared" si="86"/>
        <v>60.6</v>
      </c>
      <c r="Q1019" s="13">
        <f>IF(N1019="HKD",7.8,IF(N1019="CNY",7.30034,1))</f>
        <v>7.3003400000000003</v>
      </c>
      <c r="R1019" s="15">
        <f>+ROUND(O1019/Q1019,4)</f>
        <v>8.2000000000000007E-3</v>
      </c>
      <c r="S1019" s="14">
        <f>ROUND(R1019*L1019,2)</f>
        <v>8.2799999999999994</v>
      </c>
      <c r="T1019" s="15" t="s">
        <v>349</v>
      </c>
      <c r="U1019" t="s">
        <v>18</v>
      </c>
      <c r="W1019" s="49" t="e">
        <f t="shared" si="87"/>
        <v>#DIV/0!</v>
      </c>
    </row>
    <row r="1020" spans="1:23" x14ac:dyDescent="0.2">
      <c r="A1020" t="s">
        <v>2053</v>
      </c>
      <c r="B1020" s="24">
        <v>45727</v>
      </c>
      <c r="C1020" s="24">
        <v>45350</v>
      </c>
      <c r="D1020" t="s">
        <v>128</v>
      </c>
      <c r="E1020" t="s">
        <v>129</v>
      </c>
      <c r="F1020" s="23"/>
      <c r="G1020" t="s">
        <v>2839</v>
      </c>
      <c r="H1020" t="s">
        <v>1762</v>
      </c>
      <c r="I1020" t="s">
        <v>1763</v>
      </c>
      <c r="J1020" s="11" t="str">
        <f>+LEFT(U1020,4)</f>
        <v>HDL-</v>
      </c>
      <c r="K1020" t="s">
        <v>10</v>
      </c>
      <c r="L1020">
        <v>-1820</v>
      </c>
      <c r="M1020" t="s">
        <v>1472</v>
      </c>
      <c r="N1020" t="s">
        <v>11</v>
      </c>
      <c r="O1020">
        <v>4.5491999999999999</v>
      </c>
      <c r="P1020" s="45">
        <f t="shared" si="86"/>
        <v>-8279.5400000000009</v>
      </c>
      <c r="Q1020" s="13">
        <f>IF(N1020="HKD",7.8,IF(N1020="CNY",7.30034,1))</f>
        <v>7.3003400000000003</v>
      </c>
      <c r="R1020" s="15">
        <f>+ROUND(O1020/Q1020,4)</f>
        <v>0.62309999999999999</v>
      </c>
      <c r="S1020" s="14">
        <f>ROUND(R1020*L1020,2)</f>
        <v>-1134.04</v>
      </c>
      <c r="T1020" s="15" t="s">
        <v>349</v>
      </c>
      <c r="U1020" t="s">
        <v>228</v>
      </c>
      <c r="W1020" s="49" t="e">
        <f t="shared" si="87"/>
        <v>#DIV/0!</v>
      </c>
    </row>
    <row r="1021" spans="1:23" x14ac:dyDescent="0.2">
      <c r="A1021" t="s">
        <v>2053</v>
      </c>
      <c r="B1021" s="24">
        <v>45727</v>
      </c>
      <c r="C1021" s="24">
        <v>45350</v>
      </c>
      <c r="D1021" t="s">
        <v>128</v>
      </c>
      <c r="E1021" t="s">
        <v>129</v>
      </c>
      <c r="F1021" s="23"/>
      <c r="G1021" t="s">
        <v>2840</v>
      </c>
      <c r="H1021" t="s">
        <v>1762</v>
      </c>
      <c r="I1021" t="s">
        <v>1763</v>
      </c>
      <c r="J1021" s="11" t="str">
        <f>+LEFT(U1021,4)</f>
        <v>HDL-</v>
      </c>
      <c r="K1021" t="s">
        <v>10</v>
      </c>
      <c r="L1021">
        <v>1820</v>
      </c>
      <c r="M1021" t="s">
        <v>1472</v>
      </c>
      <c r="N1021" t="s">
        <v>11</v>
      </c>
      <c r="O1021">
        <v>4.5491999999999999</v>
      </c>
      <c r="P1021" s="45">
        <f t="shared" si="86"/>
        <v>8279.5400000000009</v>
      </c>
      <c r="Q1021" s="13">
        <f>IF(N1021="HKD",7.8,IF(N1021="CNY",7.30034,1))</f>
        <v>7.3003400000000003</v>
      </c>
      <c r="R1021" s="15">
        <f>+ROUND(O1021/Q1021,4)</f>
        <v>0.62309999999999999</v>
      </c>
      <c r="S1021" s="14">
        <f>ROUND(R1021*L1021,2)</f>
        <v>1134.04</v>
      </c>
      <c r="T1021" s="15" t="s">
        <v>349</v>
      </c>
      <c r="U1021" t="s">
        <v>228</v>
      </c>
      <c r="W1021" s="49" t="e">
        <f t="shared" si="87"/>
        <v>#DIV/0!</v>
      </c>
    </row>
    <row r="1022" spans="1:23" x14ac:dyDescent="0.2">
      <c r="A1022" t="s">
        <v>2034</v>
      </c>
      <c r="B1022" s="24">
        <v>45727</v>
      </c>
      <c r="C1022" s="24">
        <v>45609</v>
      </c>
      <c r="D1022" t="s">
        <v>128</v>
      </c>
      <c r="E1022" t="s">
        <v>129</v>
      </c>
      <c r="F1022" s="23"/>
      <c r="G1022" t="s">
        <v>2840</v>
      </c>
      <c r="H1022" t="s">
        <v>1744</v>
      </c>
      <c r="I1022" t="s">
        <v>1745</v>
      </c>
      <c r="J1022" s="11" t="str">
        <f>+LEFT(U1022,4)</f>
        <v>HDL-</v>
      </c>
      <c r="K1022" t="s">
        <v>10</v>
      </c>
      <c r="L1022">
        <v>18</v>
      </c>
      <c r="M1022" t="s">
        <v>1472</v>
      </c>
      <c r="N1022" t="s">
        <v>11</v>
      </c>
      <c r="O1022">
        <v>3.7610000000000001</v>
      </c>
      <c r="P1022" s="45">
        <f t="shared" si="86"/>
        <v>67.7</v>
      </c>
      <c r="Q1022" s="13">
        <f>IF(N1022="HKD",7.8,IF(N1022="CNY",7.30034,1))</f>
        <v>7.3003400000000003</v>
      </c>
      <c r="R1022" s="15">
        <f>+ROUND(O1022/Q1022,4)</f>
        <v>0.51519999999999999</v>
      </c>
      <c r="S1022" s="14">
        <f>ROUND(R1022*L1022,2)</f>
        <v>9.27</v>
      </c>
      <c r="T1022" s="15" t="s">
        <v>349</v>
      </c>
      <c r="U1022" t="s">
        <v>228</v>
      </c>
      <c r="W1022" s="49" t="e">
        <f t="shared" si="87"/>
        <v>#DIV/0!</v>
      </c>
    </row>
    <row r="1023" spans="1:23" x14ac:dyDescent="0.2">
      <c r="A1023" t="s">
        <v>2054</v>
      </c>
      <c r="B1023" s="24">
        <v>45727</v>
      </c>
      <c r="C1023" s="24">
        <v>45656</v>
      </c>
      <c r="D1023" t="s">
        <v>128</v>
      </c>
      <c r="E1023" t="s">
        <v>129</v>
      </c>
      <c r="F1023" s="23"/>
      <c r="G1023" t="s">
        <v>2839</v>
      </c>
      <c r="H1023" t="s">
        <v>1762</v>
      </c>
      <c r="I1023" t="s">
        <v>1763</v>
      </c>
      <c r="J1023" s="11" t="str">
        <f>+LEFT(U1023,4)</f>
        <v>HDL-</v>
      </c>
      <c r="K1023" t="s">
        <v>10</v>
      </c>
      <c r="L1023">
        <v>-3200</v>
      </c>
      <c r="M1023" t="s">
        <v>1472</v>
      </c>
      <c r="N1023" t="s">
        <v>11</v>
      </c>
      <c r="O1023">
        <v>4.5491999999999999</v>
      </c>
      <c r="P1023" s="45">
        <f t="shared" si="86"/>
        <v>-14557.44</v>
      </c>
      <c r="Q1023" s="13">
        <f>IF(N1023="HKD",7.8,IF(N1023="CNY",7.30034,1))</f>
        <v>7.3003400000000003</v>
      </c>
      <c r="R1023" s="15">
        <f>+ROUND(O1023/Q1023,4)</f>
        <v>0.62309999999999999</v>
      </c>
      <c r="S1023" s="14">
        <f>ROUND(R1023*L1023,2)</f>
        <v>-1993.92</v>
      </c>
      <c r="T1023" s="15" t="s">
        <v>349</v>
      </c>
      <c r="U1023" t="s">
        <v>228</v>
      </c>
      <c r="W1023" s="49" t="e">
        <f t="shared" si="87"/>
        <v>#DIV/0!</v>
      </c>
    </row>
    <row r="1024" spans="1:23" x14ac:dyDescent="0.2">
      <c r="A1024" t="s">
        <v>2304</v>
      </c>
      <c r="B1024" s="24">
        <v>45727</v>
      </c>
      <c r="C1024" s="24">
        <v>45660</v>
      </c>
      <c r="D1024" t="s">
        <v>252</v>
      </c>
      <c r="E1024" t="s">
        <v>253</v>
      </c>
      <c r="F1024" s="23"/>
      <c r="G1024" t="s">
        <v>2872</v>
      </c>
      <c r="H1024" t="s">
        <v>3068</v>
      </c>
      <c r="I1024" t="s">
        <v>3285</v>
      </c>
      <c r="J1024" s="11" t="str">
        <f>+LEFT(U1024,4)</f>
        <v>ANYD</v>
      </c>
      <c r="K1024" t="s">
        <v>10</v>
      </c>
      <c r="L1024">
        <v>6010</v>
      </c>
      <c r="M1024" t="s">
        <v>1472</v>
      </c>
      <c r="N1024" t="s">
        <v>11</v>
      </c>
      <c r="O1024">
        <v>0.873</v>
      </c>
      <c r="P1024" s="45">
        <f t="shared" si="86"/>
        <v>5246.73</v>
      </c>
      <c r="Q1024" s="13">
        <f>IF(N1024="HKD",7.8,IF(N1024="CNY",7.30034,1))</f>
        <v>7.3003400000000003</v>
      </c>
      <c r="R1024" s="15">
        <f>+ROUND(O1024/Q1024,4)</f>
        <v>0.1196</v>
      </c>
      <c r="S1024" s="14">
        <f>ROUND(R1024*L1024,2)</f>
        <v>718.8</v>
      </c>
      <c r="T1024" s="15" t="s">
        <v>349</v>
      </c>
      <c r="U1024" t="s">
        <v>36</v>
      </c>
      <c r="W1024" s="49" t="e">
        <f t="shared" si="87"/>
        <v>#DIV/0!</v>
      </c>
    </row>
    <row r="1025" spans="1:23" x14ac:dyDescent="0.2">
      <c r="A1025" t="s">
        <v>2316</v>
      </c>
      <c r="B1025" s="24">
        <v>45727</v>
      </c>
      <c r="C1025" s="24">
        <v>45664</v>
      </c>
      <c r="D1025" t="s">
        <v>287</v>
      </c>
      <c r="E1025" t="s">
        <v>288</v>
      </c>
      <c r="F1025" s="23"/>
      <c r="G1025" t="s">
        <v>2876</v>
      </c>
      <c r="H1025" t="s">
        <v>1557</v>
      </c>
      <c r="I1025" t="s">
        <v>1558</v>
      </c>
      <c r="J1025" s="11" t="str">
        <f>+LEFT(U1025,4)</f>
        <v>ANYD</v>
      </c>
      <c r="K1025" t="s">
        <v>10</v>
      </c>
      <c r="L1025">
        <v>2080</v>
      </c>
      <c r="M1025" t="s">
        <v>1472</v>
      </c>
      <c r="N1025" t="s">
        <v>11</v>
      </c>
      <c r="O1025">
        <v>7.2716000000000003</v>
      </c>
      <c r="P1025" s="45">
        <f t="shared" si="86"/>
        <v>15124.93</v>
      </c>
      <c r="Q1025" s="13">
        <f>IF(N1025="HKD",7.8,IF(N1025="CNY",7.30034,1))</f>
        <v>7.3003400000000003</v>
      </c>
      <c r="R1025" s="15">
        <f>+ROUND(O1025/Q1025,4)</f>
        <v>0.99609999999999999</v>
      </c>
      <c r="S1025" s="14">
        <f>ROUND(R1025*L1025,2)</f>
        <v>2071.89</v>
      </c>
      <c r="T1025" s="15" t="s">
        <v>349</v>
      </c>
      <c r="U1025" t="s">
        <v>36</v>
      </c>
      <c r="W1025" s="49" t="e">
        <f t="shared" si="87"/>
        <v>#DIV/0!</v>
      </c>
    </row>
    <row r="1026" spans="1:23" x14ac:dyDescent="0.2">
      <c r="A1026" t="s">
        <v>2320</v>
      </c>
      <c r="B1026" s="24">
        <v>45727</v>
      </c>
      <c r="C1026" s="24">
        <v>45664</v>
      </c>
      <c r="D1026" t="s">
        <v>287</v>
      </c>
      <c r="E1026" t="s">
        <v>288</v>
      </c>
      <c r="F1026" s="23"/>
      <c r="G1026" t="s">
        <v>2876</v>
      </c>
      <c r="H1026" t="s">
        <v>71</v>
      </c>
      <c r="I1026" t="s">
        <v>72</v>
      </c>
      <c r="J1026" s="11" t="str">
        <f>+LEFT(U1026,4)</f>
        <v>ANYD</v>
      </c>
      <c r="K1026" t="s">
        <v>10</v>
      </c>
      <c r="L1026">
        <v>2050</v>
      </c>
      <c r="M1026" t="s">
        <v>1472</v>
      </c>
      <c r="N1026" t="s">
        <v>11</v>
      </c>
      <c r="O1026">
        <v>7.9870000000000001</v>
      </c>
      <c r="P1026" s="45">
        <f t="shared" ref="P1026:P1089" si="88">ROUND(O1026*L1026,2)</f>
        <v>16373.35</v>
      </c>
      <c r="Q1026" s="13">
        <f>IF(N1026="HKD",7.8,IF(N1026="CNY",7.30034,1))</f>
        <v>7.3003400000000003</v>
      </c>
      <c r="R1026" s="15">
        <f>+ROUND(O1026/Q1026,4)</f>
        <v>1.0941000000000001</v>
      </c>
      <c r="S1026" s="14">
        <f>ROUND(R1026*L1026,2)</f>
        <v>2242.91</v>
      </c>
      <c r="T1026" s="15" t="s">
        <v>349</v>
      </c>
      <c r="U1026" t="s">
        <v>36</v>
      </c>
      <c r="W1026" s="49" t="e">
        <f t="shared" ref="W1026:W1089" si="89">IF(N1026="CNY",O1026/V1026*L1026,1)</f>
        <v>#DIV/0!</v>
      </c>
    </row>
    <row r="1027" spans="1:23" x14ac:dyDescent="0.2">
      <c r="A1027" t="s">
        <v>1912</v>
      </c>
      <c r="B1027" s="24">
        <v>45727</v>
      </c>
      <c r="C1027" s="24">
        <v>45671</v>
      </c>
      <c r="D1027" t="s">
        <v>128</v>
      </c>
      <c r="E1027" t="s">
        <v>129</v>
      </c>
      <c r="F1027" s="23"/>
      <c r="G1027" t="s">
        <v>2840</v>
      </c>
      <c r="H1027" t="s">
        <v>443</v>
      </c>
      <c r="I1027" t="s">
        <v>444</v>
      </c>
      <c r="J1027" s="11" t="str">
        <f>+LEFT(U1027,4)</f>
        <v>FG--</v>
      </c>
      <c r="K1027" t="s">
        <v>10</v>
      </c>
      <c r="L1027">
        <v>1300</v>
      </c>
      <c r="M1027" t="s">
        <v>1472</v>
      </c>
      <c r="N1027" t="s">
        <v>11</v>
      </c>
      <c r="O1027">
        <v>1.0021</v>
      </c>
      <c r="P1027" s="45">
        <f t="shared" si="88"/>
        <v>1302.73</v>
      </c>
      <c r="Q1027" s="13">
        <f>IF(N1027="HKD",7.8,IF(N1027="CNY",7.30034,1))</f>
        <v>7.3003400000000003</v>
      </c>
      <c r="R1027" s="15">
        <f>+ROUND(O1027/Q1027,4)</f>
        <v>0.13730000000000001</v>
      </c>
      <c r="S1027" s="14">
        <f>ROUND(R1027*L1027,2)</f>
        <v>178.49</v>
      </c>
      <c r="T1027" s="15" t="s">
        <v>349</v>
      </c>
      <c r="U1027" t="s">
        <v>64</v>
      </c>
      <c r="W1027" s="49" t="e">
        <f t="shared" si="89"/>
        <v>#DIV/0!</v>
      </c>
    </row>
    <row r="1028" spans="1:23" x14ac:dyDescent="0.2">
      <c r="A1028" t="s">
        <v>2340</v>
      </c>
      <c r="B1028" s="24">
        <v>45727</v>
      </c>
      <c r="C1028" s="24">
        <v>45674</v>
      </c>
      <c r="D1028" t="s">
        <v>128</v>
      </c>
      <c r="E1028" t="s">
        <v>129</v>
      </c>
      <c r="F1028" s="23"/>
      <c r="G1028" t="s">
        <v>2839</v>
      </c>
      <c r="H1028" t="s">
        <v>1762</v>
      </c>
      <c r="I1028" t="s">
        <v>1763</v>
      </c>
      <c r="J1028" s="11" t="str">
        <f>+LEFT(U1028,4)</f>
        <v>HDL-</v>
      </c>
      <c r="K1028" t="s">
        <v>10</v>
      </c>
      <c r="L1028">
        <v>-200</v>
      </c>
      <c r="M1028" t="s">
        <v>1472</v>
      </c>
      <c r="N1028" t="s">
        <v>11</v>
      </c>
      <c r="O1028">
        <v>4.5491999999999999</v>
      </c>
      <c r="P1028" s="45">
        <f t="shared" si="88"/>
        <v>-909.84</v>
      </c>
      <c r="Q1028" s="13">
        <f>IF(N1028="HKD",7.8,IF(N1028="CNY",7.30034,1))</f>
        <v>7.3003400000000003</v>
      </c>
      <c r="R1028" s="15">
        <f>+ROUND(O1028/Q1028,4)</f>
        <v>0.62309999999999999</v>
      </c>
      <c r="S1028" s="14">
        <f>ROUND(R1028*L1028,2)</f>
        <v>-124.62</v>
      </c>
      <c r="T1028" s="15" t="s">
        <v>349</v>
      </c>
      <c r="U1028" t="s">
        <v>228</v>
      </c>
      <c r="W1028" s="49" t="e">
        <f t="shared" si="89"/>
        <v>#DIV/0!</v>
      </c>
    </row>
    <row r="1029" spans="1:23" x14ac:dyDescent="0.2">
      <c r="A1029" t="s">
        <v>2360</v>
      </c>
      <c r="B1029" s="24">
        <v>45727</v>
      </c>
      <c r="C1029" s="24">
        <v>45680</v>
      </c>
      <c r="D1029" t="s">
        <v>252</v>
      </c>
      <c r="E1029" t="s">
        <v>253</v>
      </c>
      <c r="F1029" s="23"/>
      <c r="G1029" t="s">
        <v>2872</v>
      </c>
      <c r="H1029" t="s">
        <v>685</v>
      </c>
      <c r="I1029" t="s">
        <v>686</v>
      </c>
      <c r="J1029" s="11" t="str">
        <f>+LEFT(U1029,4)</f>
        <v>ANYD</v>
      </c>
      <c r="K1029" t="s">
        <v>10</v>
      </c>
      <c r="L1029">
        <v>1300</v>
      </c>
      <c r="M1029" t="s">
        <v>1472</v>
      </c>
      <c r="N1029" t="s">
        <v>11</v>
      </c>
      <c r="O1029">
        <v>1.31</v>
      </c>
      <c r="P1029" s="45">
        <f t="shared" si="88"/>
        <v>1703</v>
      </c>
      <c r="Q1029" s="13">
        <f>IF(N1029="HKD",7.8,IF(N1029="CNY",7.30034,1))</f>
        <v>7.3003400000000003</v>
      </c>
      <c r="R1029" s="15">
        <f>+ROUND(O1029/Q1029,4)</f>
        <v>0.1794</v>
      </c>
      <c r="S1029" s="14">
        <f>ROUND(R1029*L1029,2)</f>
        <v>233.22</v>
      </c>
      <c r="T1029" s="15" t="s">
        <v>349</v>
      </c>
      <c r="U1029" t="s">
        <v>36</v>
      </c>
      <c r="W1029" s="49" t="e">
        <f t="shared" si="89"/>
        <v>#DIV/0!</v>
      </c>
    </row>
    <row r="1030" spans="1:23" x14ac:dyDescent="0.2">
      <c r="A1030" t="s">
        <v>2361</v>
      </c>
      <c r="B1030" s="24">
        <v>45727</v>
      </c>
      <c r="C1030" s="24">
        <v>45680</v>
      </c>
      <c r="D1030" t="s">
        <v>252</v>
      </c>
      <c r="E1030" t="s">
        <v>253</v>
      </c>
      <c r="F1030" s="23"/>
      <c r="G1030" t="s">
        <v>2872</v>
      </c>
      <c r="H1030" t="s">
        <v>1530</v>
      </c>
      <c r="I1030" t="s">
        <v>1531</v>
      </c>
      <c r="J1030" s="11" t="str">
        <f>+LEFT(U1030,4)</f>
        <v>ANYD</v>
      </c>
      <c r="K1030" t="s">
        <v>10</v>
      </c>
      <c r="L1030">
        <v>3000</v>
      </c>
      <c r="M1030" t="s">
        <v>1472</v>
      </c>
      <c r="N1030" t="s">
        <v>11</v>
      </c>
      <c r="O1030">
        <v>1.3524</v>
      </c>
      <c r="P1030" s="45">
        <f t="shared" si="88"/>
        <v>4057.2</v>
      </c>
      <c r="Q1030" s="13">
        <f>IF(N1030="HKD",7.8,IF(N1030="CNY",7.30034,1))</f>
        <v>7.3003400000000003</v>
      </c>
      <c r="R1030" s="15">
        <f>+ROUND(O1030/Q1030,4)</f>
        <v>0.18529999999999999</v>
      </c>
      <c r="S1030" s="14">
        <f>ROUND(R1030*L1030,2)</f>
        <v>555.9</v>
      </c>
      <c r="T1030" s="15" t="s">
        <v>349</v>
      </c>
      <c r="U1030" t="s">
        <v>36</v>
      </c>
      <c r="W1030" s="49" t="e">
        <f t="shared" si="89"/>
        <v>#DIV/0!</v>
      </c>
    </row>
    <row r="1031" spans="1:23" x14ac:dyDescent="0.2">
      <c r="A1031" t="s">
        <v>2362</v>
      </c>
      <c r="B1031" s="24">
        <v>45727</v>
      </c>
      <c r="C1031" s="24">
        <v>45680</v>
      </c>
      <c r="D1031" t="s">
        <v>252</v>
      </c>
      <c r="E1031" t="s">
        <v>253</v>
      </c>
      <c r="F1031" s="23"/>
      <c r="G1031" t="s">
        <v>2872</v>
      </c>
      <c r="H1031" t="s">
        <v>678</v>
      </c>
      <c r="I1031" t="s">
        <v>679</v>
      </c>
      <c r="J1031" s="11" t="str">
        <f>+LEFT(U1031,4)</f>
        <v>ANYD</v>
      </c>
      <c r="K1031" t="s">
        <v>10</v>
      </c>
      <c r="L1031">
        <v>2000</v>
      </c>
      <c r="M1031" t="s">
        <v>1472</v>
      </c>
      <c r="N1031" t="s">
        <v>11</v>
      </c>
      <c r="O1031">
        <v>1.3524</v>
      </c>
      <c r="P1031" s="45">
        <f t="shared" si="88"/>
        <v>2704.8</v>
      </c>
      <c r="Q1031" s="13">
        <f>IF(N1031="HKD",7.8,IF(N1031="CNY",7.30034,1))</f>
        <v>7.3003400000000003</v>
      </c>
      <c r="R1031" s="15">
        <f>+ROUND(O1031/Q1031,4)</f>
        <v>0.18529999999999999</v>
      </c>
      <c r="S1031" s="14">
        <f>ROUND(R1031*L1031,2)</f>
        <v>370.6</v>
      </c>
      <c r="T1031" s="15" t="s">
        <v>349</v>
      </c>
      <c r="U1031" t="s">
        <v>36</v>
      </c>
      <c r="W1031" s="49" t="e">
        <f t="shared" si="89"/>
        <v>#DIV/0!</v>
      </c>
    </row>
    <row r="1032" spans="1:23" x14ac:dyDescent="0.2">
      <c r="A1032" t="s">
        <v>2363</v>
      </c>
      <c r="B1032" s="24">
        <v>45727</v>
      </c>
      <c r="C1032" s="24">
        <v>45680</v>
      </c>
      <c r="D1032" t="s">
        <v>252</v>
      </c>
      <c r="E1032" t="s">
        <v>253</v>
      </c>
      <c r="F1032" s="23"/>
      <c r="G1032" t="s">
        <v>2872</v>
      </c>
      <c r="H1032" t="s">
        <v>1026</v>
      </c>
      <c r="I1032" t="s">
        <v>1027</v>
      </c>
      <c r="J1032" s="11" t="str">
        <f>+LEFT(U1032,4)</f>
        <v>ANYD</v>
      </c>
      <c r="K1032" t="s">
        <v>10</v>
      </c>
      <c r="L1032">
        <v>1050</v>
      </c>
      <c r="M1032" t="s">
        <v>1472</v>
      </c>
      <c r="N1032" t="s">
        <v>11</v>
      </c>
      <c r="O1032">
        <v>0.9</v>
      </c>
      <c r="P1032" s="45">
        <f t="shared" si="88"/>
        <v>945</v>
      </c>
      <c r="Q1032" s="13">
        <f>IF(N1032="HKD",7.8,IF(N1032="CNY",7.30034,1))</f>
        <v>7.3003400000000003</v>
      </c>
      <c r="R1032" s="15">
        <f>+ROUND(O1032/Q1032,4)</f>
        <v>0.12330000000000001</v>
      </c>
      <c r="S1032" s="14">
        <f>ROUND(R1032*L1032,2)</f>
        <v>129.47</v>
      </c>
      <c r="T1032" s="15" t="s">
        <v>349</v>
      </c>
      <c r="U1032" t="s">
        <v>36</v>
      </c>
      <c r="W1032" s="49" t="e">
        <f t="shared" si="89"/>
        <v>#DIV/0!</v>
      </c>
    </row>
    <row r="1033" spans="1:23" x14ac:dyDescent="0.2">
      <c r="A1033" t="s">
        <v>2370</v>
      </c>
      <c r="B1033" s="24">
        <v>45727</v>
      </c>
      <c r="C1033" s="24">
        <v>45695</v>
      </c>
      <c r="D1033" t="s">
        <v>121</v>
      </c>
      <c r="E1033" t="s">
        <v>122</v>
      </c>
      <c r="F1033" s="23"/>
      <c r="G1033" t="s">
        <v>2908</v>
      </c>
      <c r="H1033" t="s">
        <v>1306</v>
      </c>
      <c r="I1033" t="s">
        <v>1307</v>
      </c>
      <c r="J1033" s="11" t="str">
        <f>+LEFT(U1033,4)</f>
        <v>ANYD</v>
      </c>
      <c r="K1033" t="s">
        <v>10</v>
      </c>
      <c r="L1033">
        <v>6000</v>
      </c>
      <c r="M1033" t="s">
        <v>1472</v>
      </c>
      <c r="N1033" t="s">
        <v>11</v>
      </c>
      <c r="O1033">
        <v>0.8</v>
      </c>
      <c r="P1033" s="45">
        <f t="shared" si="88"/>
        <v>4800</v>
      </c>
      <c r="Q1033" s="13">
        <f>IF(N1033="HKD",7.8,IF(N1033="CNY",7.30034,1))</f>
        <v>7.3003400000000003</v>
      </c>
      <c r="R1033" s="15">
        <f>+ROUND(O1033/Q1033,4)</f>
        <v>0.1096</v>
      </c>
      <c r="S1033" s="14">
        <f>ROUND(R1033*L1033,2)</f>
        <v>657.6</v>
      </c>
      <c r="T1033" s="15" t="s">
        <v>349</v>
      </c>
      <c r="U1033" t="s">
        <v>36</v>
      </c>
      <c r="W1033" s="49" t="e">
        <f t="shared" si="89"/>
        <v>#DIV/0!</v>
      </c>
    </row>
    <row r="1034" spans="1:23" x14ac:dyDescent="0.2">
      <c r="A1034" t="s">
        <v>2371</v>
      </c>
      <c r="B1034" s="24">
        <v>45727</v>
      </c>
      <c r="C1034" s="24">
        <v>45695</v>
      </c>
      <c r="D1034" t="s">
        <v>121</v>
      </c>
      <c r="E1034" t="s">
        <v>122</v>
      </c>
      <c r="F1034" s="23"/>
      <c r="G1034" t="s">
        <v>2908</v>
      </c>
      <c r="H1034" t="s">
        <v>1548</v>
      </c>
      <c r="I1034" t="s">
        <v>1549</v>
      </c>
      <c r="J1034" s="11" t="str">
        <f>+LEFT(U1034,4)</f>
        <v>ANYD</v>
      </c>
      <c r="K1034" t="s">
        <v>10</v>
      </c>
      <c r="L1034">
        <v>2100</v>
      </c>
      <c r="M1034" t="s">
        <v>1472</v>
      </c>
      <c r="N1034" t="s">
        <v>11</v>
      </c>
      <c r="O1034">
        <v>0.8</v>
      </c>
      <c r="P1034" s="45">
        <f t="shared" si="88"/>
        <v>1680</v>
      </c>
      <c r="Q1034" s="13">
        <f>IF(N1034="HKD",7.8,IF(N1034="CNY",7.30034,1))</f>
        <v>7.3003400000000003</v>
      </c>
      <c r="R1034" s="15">
        <f>+ROUND(O1034/Q1034,4)</f>
        <v>0.1096</v>
      </c>
      <c r="S1034" s="14">
        <f>ROUND(R1034*L1034,2)</f>
        <v>230.16</v>
      </c>
      <c r="T1034" s="15" t="s">
        <v>349</v>
      </c>
      <c r="U1034" t="s">
        <v>36</v>
      </c>
      <c r="W1034" s="49" t="e">
        <f t="shared" si="89"/>
        <v>#DIV/0!</v>
      </c>
    </row>
    <row r="1035" spans="1:23" x14ac:dyDescent="0.2">
      <c r="A1035" t="s">
        <v>2372</v>
      </c>
      <c r="B1035" s="24">
        <v>45727</v>
      </c>
      <c r="C1035" s="24">
        <v>45695</v>
      </c>
      <c r="D1035" t="s">
        <v>121</v>
      </c>
      <c r="E1035" t="s">
        <v>122</v>
      </c>
      <c r="F1035" s="23"/>
      <c r="G1035" t="s">
        <v>2908</v>
      </c>
      <c r="H1035" t="s">
        <v>1550</v>
      </c>
      <c r="I1035" t="s">
        <v>1533</v>
      </c>
      <c r="J1035" s="11" t="str">
        <f>+LEFT(U1035,4)</f>
        <v>ANYD</v>
      </c>
      <c r="K1035" t="s">
        <v>10</v>
      </c>
      <c r="L1035">
        <v>4050</v>
      </c>
      <c r="M1035" t="s">
        <v>1472</v>
      </c>
      <c r="N1035" t="s">
        <v>11</v>
      </c>
      <c r="O1035">
        <v>0.8</v>
      </c>
      <c r="P1035" s="45">
        <f t="shared" si="88"/>
        <v>3240</v>
      </c>
      <c r="Q1035" s="13">
        <f>IF(N1035="HKD",7.8,IF(N1035="CNY",7.30034,1))</f>
        <v>7.3003400000000003</v>
      </c>
      <c r="R1035" s="15">
        <f>+ROUND(O1035/Q1035,4)</f>
        <v>0.1096</v>
      </c>
      <c r="S1035" s="14">
        <f>ROUND(R1035*L1035,2)</f>
        <v>443.88</v>
      </c>
      <c r="T1035" s="15" t="s">
        <v>349</v>
      </c>
      <c r="U1035" t="s">
        <v>36</v>
      </c>
      <c r="W1035" s="49" t="e">
        <f t="shared" si="89"/>
        <v>#DIV/0!</v>
      </c>
    </row>
    <row r="1036" spans="1:23" x14ac:dyDescent="0.2">
      <c r="A1036" t="s">
        <v>2386</v>
      </c>
      <c r="B1036" s="24">
        <v>45727</v>
      </c>
      <c r="C1036" s="24">
        <v>45695</v>
      </c>
      <c r="D1036" t="s">
        <v>252</v>
      </c>
      <c r="E1036" t="s">
        <v>253</v>
      </c>
      <c r="F1036" s="23"/>
      <c r="G1036" t="s">
        <v>2872</v>
      </c>
      <c r="H1036" t="s">
        <v>688</v>
      </c>
      <c r="I1036" t="s">
        <v>689</v>
      </c>
      <c r="J1036" s="11" t="str">
        <f>+LEFT(U1036,4)</f>
        <v>ANYD</v>
      </c>
      <c r="K1036" t="s">
        <v>10</v>
      </c>
      <c r="L1036">
        <v>1050</v>
      </c>
      <c r="M1036" t="s">
        <v>1472</v>
      </c>
      <c r="N1036" t="s">
        <v>11</v>
      </c>
      <c r="O1036">
        <v>0.9</v>
      </c>
      <c r="P1036" s="45">
        <f t="shared" si="88"/>
        <v>945</v>
      </c>
      <c r="Q1036" s="13">
        <f>IF(N1036="HKD",7.8,IF(N1036="CNY",7.30034,1))</f>
        <v>7.3003400000000003</v>
      </c>
      <c r="R1036" s="15">
        <f>+ROUND(O1036/Q1036,4)</f>
        <v>0.12330000000000001</v>
      </c>
      <c r="S1036" s="14">
        <f>ROUND(R1036*L1036,2)</f>
        <v>129.47</v>
      </c>
      <c r="T1036" s="15" t="s">
        <v>349</v>
      </c>
      <c r="U1036" t="s">
        <v>36</v>
      </c>
      <c r="W1036" s="49" t="e">
        <f t="shared" si="89"/>
        <v>#DIV/0!</v>
      </c>
    </row>
    <row r="1037" spans="1:23" x14ac:dyDescent="0.2">
      <c r="A1037" t="s">
        <v>2389</v>
      </c>
      <c r="B1037" s="24">
        <v>45727</v>
      </c>
      <c r="C1037" s="24">
        <v>45695</v>
      </c>
      <c r="D1037" t="s">
        <v>252</v>
      </c>
      <c r="E1037" t="s">
        <v>253</v>
      </c>
      <c r="F1037" s="23"/>
      <c r="G1037" t="s">
        <v>2872</v>
      </c>
      <c r="H1037" t="s">
        <v>1530</v>
      </c>
      <c r="I1037" t="s">
        <v>1531</v>
      </c>
      <c r="J1037" s="11" t="str">
        <f>+LEFT(U1037,4)</f>
        <v>ANYD</v>
      </c>
      <c r="K1037" t="s">
        <v>10</v>
      </c>
      <c r="L1037">
        <v>4000</v>
      </c>
      <c r="M1037" t="s">
        <v>1472</v>
      </c>
      <c r="N1037" t="s">
        <v>11</v>
      </c>
      <c r="O1037">
        <v>1.38</v>
      </c>
      <c r="P1037" s="45">
        <f t="shared" si="88"/>
        <v>5520</v>
      </c>
      <c r="Q1037" s="13">
        <f>IF(N1037="HKD",7.8,IF(N1037="CNY",7.30034,1))</f>
        <v>7.3003400000000003</v>
      </c>
      <c r="R1037" s="15">
        <f>+ROUND(O1037/Q1037,4)</f>
        <v>0.189</v>
      </c>
      <c r="S1037" s="14">
        <f>ROUND(R1037*L1037,2)</f>
        <v>756</v>
      </c>
      <c r="T1037" s="15" t="s">
        <v>349</v>
      </c>
      <c r="U1037" t="s">
        <v>36</v>
      </c>
      <c r="W1037" s="49" t="e">
        <f t="shared" si="89"/>
        <v>#DIV/0!</v>
      </c>
    </row>
    <row r="1038" spans="1:23" x14ac:dyDescent="0.2">
      <c r="A1038" t="s">
        <v>2538</v>
      </c>
      <c r="B1038" s="24">
        <v>45727</v>
      </c>
      <c r="C1038" s="24">
        <v>45714</v>
      </c>
      <c r="D1038" t="s">
        <v>830</v>
      </c>
      <c r="E1038" t="s">
        <v>831</v>
      </c>
      <c r="F1038" s="23"/>
      <c r="G1038" t="s">
        <v>2982</v>
      </c>
      <c r="H1038" t="s">
        <v>3166</v>
      </c>
      <c r="I1038" t="s">
        <v>3376</v>
      </c>
      <c r="J1038" s="11" t="str">
        <f>+LEFT(U1038,4)</f>
        <v>LID-</v>
      </c>
      <c r="K1038" t="s">
        <v>98</v>
      </c>
      <c r="L1038">
        <v>1920</v>
      </c>
      <c r="M1038" t="s">
        <v>1472</v>
      </c>
      <c r="N1038" t="s">
        <v>11</v>
      </c>
      <c r="O1038">
        <v>4.2</v>
      </c>
      <c r="P1038" s="45">
        <f t="shared" si="88"/>
        <v>8064</v>
      </c>
      <c r="Q1038" s="13">
        <f>IF(N1038="HKD",7.8,IF(N1038="CNY",7.30034,1))</f>
        <v>7.3003400000000003</v>
      </c>
      <c r="R1038" s="15">
        <f>+ROUND(O1038/Q1038,4)</f>
        <v>0.57530000000000003</v>
      </c>
      <c r="S1038" s="14">
        <f>ROUND(R1038*L1038,2)</f>
        <v>1104.58</v>
      </c>
      <c r="T1038" s="15" t="s">
        <v>349</v>
      </c>
      <c r="U1038" t="s">
        <v>368</v>
      </c>
      <c r="W1038" s="49" t="e">
        <f t="shared" si="89"/>
        <v>#DIV/0!</v>
      </c>
    </row>
    <row r="1039" spans="1:23" x14ac:dyDescent="0.2">
      <c r="A1039" t="s">
        <v>2538</v>
      </c>
      <c r="B1039" s="24">
        <v>45727</v>
      </c>
      <c r="C1039" s="24">
        <v>45714</v>
      </c>
      <c r="D1039" t="s">
        <v>830</v>
      </c>
      <c r="E1039" t="s">
        <v>831</v>
      </c>
      <c r="F1039" s="23"/>
      <c r="G1039" t="s">
        <v>2983</v>
      </c>
      <c r="H1039" t="s">
        <v>3166</v>
      </c>
      <c r="I1039" t="s">
        <v>3376</v>
      </c>
      <c r="J1039" s="11" t="str">
        <f>+LEFT(U1039,4)</f>
        <v>LID-</v>
      </c>
      <c r="K1039" t="s">
        <v>98</v>
      </c>
      <c r="L1039">
        <v>-1920</v>
      </c>
      <c r="M1039" t="s">
        <v>1472</v>
      </c>
      <c r="N1039" t="s">
        <v>11</v>
      </c>
      <c r="O1039">
        <v>4.2</v>
      </c>
      <c r="P1039" s="45">
        <f t="shared" si="88"/>
        <v>-8064</v>
      </c>
      <c r="Q1039" s="13">
        <f>IF(N1039="HKD",7.8,IF(N1039="CNY",7.30034,1))</f>
        <v>7.3003400000000003</v>
      </c>
      <c r="R1039" s="15">
        <f>+ROUND(O1039/Q1039,4)</f>
        <v>0.57530000000000003</v>
      </c>
      <c r="S1039" s="14">
        <f>ROUND(R1039*L1039,2)</f>
        <v>-1104.58</v>
      </c>
      <c r="T1039" s="15" t="s">
        <v>349</v>
      </c>
      <c r="U1039" t="s">
        <v>368</v>
      </c>
      <c r="W1039" s="49" t="e">
        <f t="shared" si="89"/>
        <v>#DIV/0!</v>
      </c>
    </row>
    <row r="1040" spans="1:23" x14ac:dyDescent="0.2">
      <c r="A1040" t="s">
        <v>2538</v>
      </c>
      <c r="B1040" s="24">
        <v>45727</v>
      </c>
      <c r="C1040" s="24">
        <v>45714</v>
      </c>
      <c r="D1040" t="s">
        <v>830</v>
      </c>
      <c r="E1040" t="s">
        <v>831</v>
      </c>
      <c r="F1040" s="23"/>
      <c r="G1040" t="s">
        <v>2854</v>
      </c>
      <c r="H1040" t="s">
        <v>3166</v>
      </c>
      <c r="I1040" t="s">
        <v>3376</v>
      </c>
      <c r="J1040" s="11" t="str">
        <f>+LEFT(U1040,4)</f>
        <v>LID-</v>
      </c>
      <c r="K1040" t="s">
        <v>98</v>
      </c>
      <c r="L1040">
        <v>1920</v>
      </c>
      <c r="M1040" t="s">
        <v>1472</v>
      </c>
      <c r="N1040" t="s">
        <v>11</v>
      </c>
      <c r="O1040">
        <v>4.2</v>
      </c>
      <c r="P1040" s="45">
        <f t="shared" si="88"/>
        <v>8064</v>
      </c>
      <c r="Q1040" s="13">
        <f>IF(N1040="HKD",7.8,IF(N1040="CNY",7.30034,1))</f>
        <v>7.3003400000000003</v>
      </c>
      <c r="R1040" s="15">
        <f>+ROUND(O1040/Q1040,4)</f>
        <v>0.57530000000000003</v>
      </c>
      <c r="S1040" s="14">
        <f>ROUND(R1040*L1040,2)</f>
        <v>1104.58</v>
      </c>
      <c r="T1040" s="15" t="s">
        <v>349</v>
      </c>
      <c r="U1040" t="s">
        <v>368</v>
      </c>
      <c r="W1040" s="49" t="e">
        <f t="shared" si="89"/>
        <v>#DIV/0!</v>
      </c>
    </row>
    <row r="1041" spans="1:23" x14ac:dyDescent="0.2">
      <c r="A1041" t="s">
        <v>2574</v>
      </c>
      <c r="B1041" s="24">
        <v>45727</v>
      </c>
      <c r="C1041" s="24">
        <v>45716</v>
      </c>
      <c r="D1041" t="s">
        <v>121</v>
      </c>
      <c r="E1041" t="s">
        <v>122</v>
      </c>
      <c r="F1041" s="23"/>
      <c r="G1041" t="s">
        <v>2908</v>
      </c>
      <c r="H1041" t="s">
        <v>1306</v>
      </c>
      <c r="I1041" t="s">
        <v>1307</v>
      </c>
      <c r="J1041" s="11" t="str">
        <f>+LEFT(U1041,4)</f>
        <v>ANYD</v>
      </c>
      <c r="K1041" t="s">
        <v>10</v>
      </c>
      <c r="L1041">
        <v>500</v>
      </c>
      <c r="M1041" t="s">
        <v>1472</v>
      </c>
      <c r="N1041" t="s">
        <v>11</v>
      </c>
      <c r="O1041">
        <v>0.8</v>
      </c>
      <c r="P1041" s="45">
        <f t="shared" si="88"/>
        <v>400</v>
      </c>
      <c r="Q1041" s="13">
        <f>IF(N1041="HKD",7.8,IF(N1041="CNY",7.30034,1))</f>
        <v>7.3003400000000003</v>
      </c>
      <c r="R1041" s="15">
        <f>+ROUND(O1041/Q1041,4)</f>
        <v>0.1096</v>
      </c>
      <c r="S1041" s="14">
        <f>ROUND(R1041*L1041,2)</f>
        <v>54.8</v>
      </c>
      <c r="T1041" s="15" t="s">
        <v>349</v>
      </c>
      <c r="U1041" t="s">
        <v>36</v>
      </c>
      <c r="W1041" s="49" t="e">
        <f t="shared" si="89"/>
        <v>#DIV/0!</v>
      </c>
    </row>
    <row r="1042" spans="1:23" x14ac:dyDescent="0.2">
      <c r="A1042" t="s">
        <v>914</v>
      </c>
      <c r="B1042" s="24">
        <v>45728</v>
      </c>
      <c r="C1042" s="24">
        <v>45526</v>
      </c>
      <c r="D1042" t="s">
        <v>866</v>
      </c>
      <c r="E1042" t="s">
        <v>867</v>
      </c>
      <c r="F1042" s="23"/>
      <c r="G1042" t="s">
        <v>2844</v>
      </c>
      <c r="H1042" t="s">
        <v>912</v>
      </c>
      <c r="I1042" t="s">
        <v>913</v>
      </c>
      <c r="J1042" s="11" t="str">
        <f>+LEFT(U1042,4)</f>
        <v>ANYD</v>
      </c>
      <c r="K1042" t="s">
        <v>10</v>
      </c>
      <c r="L1042">
        <v>12000</v>
      </c>
      <c r="M1042" t="s">
        <v>1472</v>
      </c>
      <c r="N1042" t="s">
        <v>11</v>
      </c>
      <c r="O1042">
        <v>6.5929000000000002</v>
      </c>
      <c r="P1042" s="45">
        <f t="shared" si="88"/>
        <v>79114.8</v>
      </c>
      <c r="Q1042" s="13">
        <f>IF(N1042="HKD",7.8,IF(N1042="CNY",7.30034,1))</f>
        <v>7.3003400000000003</v>
      </c>
      <c r="R1042" s="15">
        <f>+ROUND(O1042/Q1042,4)</f>
        <v>0.90310000000000001</v>
      </c>
      <c r="S1042" s="14">
        <f>ROUND(R1042*L1042,2)</f>
        <v>10837.2</v>
      </c>
      <c r="T1042" s="15" t="s">
        <v>349</v>
      </c>
      <c r="U1042" t="s">
        <v>36</v>
      </c>
      <c r="W1042" s="49" t="e">
        <f t="shared" si="89"/>
        <v>#DIV/0!</v>
      </c>
    </row>
    <row r="1043" spans="1:23" x14ac:dyDescent="0.2">
      <c r="A1043" t="s">
        <v>889</v>
      </c>
      <c r="B1043" s="24">
        <v>45728</v>
      </c>
      <c r="C1043" s="24">
        <v>45526</v>
      </c>
      <c r="D1043" t="s">
        <v>866</v>
      </c>
      <c r="E1043" t="s">
        <v>867</v>
      </c>
      <c r="F1043" s="23"/>
      <c r="G1043" t="s">
        <v>2844</v>
      </c>
      <c r="H1043" t="s">
        <v>887</v>
      </c>
      <c r="I1043" t="s">
        <v>888</v>
      </c>
      <c r="J1043" s="11" t="str">
        <f>+LEFT(U1043,4)</f>
        <v>ANYD</v>
      </c>
      <c r="K1043" t="s">
        <v>10</v>
      </c>
      <c r="L1043">
        <v>5008</v>
      </c>
      <c r="M1043" t="s">
        <v>1472</v>
      </c>
      <c r="N1043" t="s">
        <v>11</v>
      </c>
      <c r="O1043">
        <v>9.2124000000000006</v>
      </c>
      <c r="P1043" s="45">
        <f t="shared" si="88"/>
        <v>46135.7</v>
      </c>
      <c r="Q1043" s="13">
        <f>IF(N1043="HKD",7.8,IF(N1043="CNY",7.30034,1))</f>
        <v>7.3003400000000003</v>
      </c>
      <c r="R1043" s="15">
        <f>+ROUND(O1043/Q1043,4)</f>
        <v>1.2619</v>
      </c>
      <c r="S1043" s="14">
        <f>ROUND(R1043*L1043,2)</f>
        <v>6319.6</v>
      </c>
      <c r="T1043" s="15" t="s">
        <v>349</v>
      </c>
      <c r="U1043" t="s">
        <v>36</v>
      </c>
      <c r="W1043" s="49" t="e">
        <f t="shared" si="89"/>
        <v>#DIV/0!</v>
      </c>
    </row>
    <row r="1044" spans="1:23" x14ac:dyDescent="0.2">
      <c r="A1044" t="s">
        <v>885</v>
      </c>
      <c r="B1044" s="24">
        <v>45728</v>
      </c>
      <c r="C1044" s="24">
        <v>45526</v>
      </c>
      <c r="D1044" t="s">
        <v>866</v>
      </c>
      <c r="E1044" t="s">
        <v>867</v>
      </c>
      <c r="F1044" s="23"/>
      <c r="G1044" t="s">
        <v>2844</v>
      </c>
      <c r="H1044" t="s">
        <v>883</v>
      </c>
      <c r="I1044" t="s">
        <v>884</v>
      </c>
      <c r="J1044" s="11" t="str">
        <f>+LEFT(U1044,4)</f>
        <v>ANYD</v>
      </c>
      <c r="K1044" t="s">
        <v>10</v>
      </c>
      <c r="L1044">
        <v>5004</v>
      </c>
      <c r="M1044" t="s">
        <v>1472</v>
      </c>
      <c r="N1044" t="s">
        <v>11</v>
      </c>
      <c r="O1044">
        <v>9.7788000000000004</v>
      </c>
      <c r="P1044" s="45">
        <f t="shared" si="88"/>
        <v>48933.120000000003</v>
      </c>
      <c r="Q1044" s="13">
        <f>IF(N1044="HKD",7.8,IF(N1044="CNY",7.30034,1))</f>
        <v>7.3003400000000003</v>
      </c>
      <c r="R1044" s="15">
        <f>+ROUND(O1044/Q1044,4)</f>
        <v>1.3394999999999999</v>
      </c>
      <c r="S1044" s="14">
        <f>ROUND(R1044*L1044,2)</f>
        <v>6702.86</v>
      </c>
      <c r="T1044" s="15" t="s">
        <v>349</v>
      </c>
      <c r="U1044" t="s">
        <v>36</v>
      </c>
      <c r="W1044" s="49" t="e">
        <f t="shared" si="89"/>
        <v>#DIV/0!</v>
      </c>
    </row>
    <row r="1045" spans="1:23" x14ac:dyDescent="0.2">
      <c r="A1045" t="s">
        <v>2069</v>
      </c>
      <c r="B1045" s="24">
        <v>45728</v>
      </c>
      <c r="C1045" s="24">
        <v>45646</v>
      </c>
      <c r="D1045" t="s">
        <v>866</v>
      </c>
      <c r="E1045" t="s">
        <v>867</v>
      </c>
      <c r="F1045" s="23"/>
      <c r="G1045" t="s">
        <v>2864</v>
      </c>
      <c r="H1045" t="s">
        <v>34</v>
      </c>
      <c r="I1045" t="s">
        <v>35</v>
      </c>
      <c r="J1045" s="11" t="str">
        <f>+LEFT(U1045,4)</f>
        <v>ANYD</v>
      </c>
      <c r="K1045" t="s">
        <v>10</v>
      </c>
      <c r="L1045">
        <v>8016</v>
      </c>
      <c r="M1045" t="s">
        <v>1472</v>
      </c>
      <c r="N1045" t="s">
        <v>11</v>
      </c>
      <c r="O1045">
        <v>5.2389000000000001</v>
      </c>
      <c r="P1045" s="45">
        <f t="shared" si="88"/>
        <v>41995.02</v>
      </c>
      <c r="Q1045" s="13">
        <f>IF(N1045="HKD",7.8,IF(N1045="CNY",7.30034,1))</f>
        <v>7.3003400000000003</v>
      </c>
      <c r="R1045" s="15">
        <f>+ROUND(O1045/Q1045,4)</f>
        <v>0.71760000000000002</v>
      </c>
      <c r="S1045" s="14">
        <f>ROUND(R1045*L1045,2)</f>
        <v>5752.28</v>
      </c>
      <c r="T1045" s="15" t="s">
        <v>349</v>
      </c>
      <c r="U1045" t="s">
        <v>36</v>
      </c>
      <c r="W1045" s="49" t="e">
        <f t="shared" si="89"/>
        <v>#DIV/0!</v>
      </c>
    </row>
    <row r="1046" spans="1:23" x14ac:dyDescent="0.2">
      <c r="A1046" t="s">
        <v>918</v>
      </c>
      <c r="B1046" s="24">
        <v>45728</v>
      </c>
      <c r="C1046" s="24">
        <v>45646</v>
      </c>
      <c r="D1046" t="s">
        <v>866</v>
      </c>
      <c r="E1046" t="s">
        <v>867</v>
      </c>
      <c r="F1046" s="23"/>
      <c r="G1046" t="s">
        <v>2864</v>
      </c>
      <c r="H1046" t="s">
        <v>916</v>
      </c>
      <c r="I1046" t="s">
        <v>917</v>
      </c>
      <c r="J1046" s="11" t="str">
        <f>+LEFT(U1046,4)</f>
        <v>ANYD</v>
      </c>
      <c r="K1046" t="s">
        <v>10</v>
      </c>
      <c r="L1046">
        <v>24</v>
      </c>
      <c r="M1046" t="s">
        <v>1472</v>
      </c>
      <c r="N1046" t="s">
        <v>11</v>
      </c>
      <c r="O1046">
        <v>5.9381000000000004</v>
      </c>
      <c r="P1046" s="45">
        <f t="shared" si="88"/>
        <v>142.51</v>
      </c>
      <c r="Q1046" s="13">
        <f>IF(N1046="HKD",7.8,IF(N1046="CNY",7.30034,1))</f>
        <v>7.3003400000000003</v>
      </c>
      <c r="R1046" s="15">
        <f>+ROUND(O1046/Q1046,4)</f>
        <v>0.81340000000000001</v>
      </c>
      <c r="S1046" s="14">
        <f>ROUND(R1046*L1046,2)</f>
        <v>19.52</v>
      </c>
      <c r="T1046" s="15" t="s">
        <v>349</v>
      </c>
      <c r="U1046" t="s">
        <v>36</v>
      </c>
      <c r="W1046" s="49" t="e">
        <f t="shared" si="89"/>
        <v>#DIV/0!</v>
      </c>
    </row>
    <row r="1047" spans="1:23" x14ac:dyDescent="0.2">
      <c r="A1047" t="s">
        <v>918</v>
      </c>
      <c r="B1047" s="24">
        <v>45728</v>
      </c>
      <c r="C1047" s="24">
        <v>45646</v>
      </c>
      <c r="D1047" t="s">
        <v>866</v>
      </c>
      <c r="E1047" t="s">
        <v>867</v>
      </c>
      <c r="F1047" s="23"/>
      <c r="G1047" t="s">
        <v>2864</v>
      </c>
      <c r="H1047" t="s">
        <v>916</v>
      </c>
      <c r="I1047" t="s">
        <v>917</v>
      </c>
      <c r="J1047" s="11" t="str">
        <f>+LEFT(U1047,4)</f>
        <v>ANYD</v>
      </c>
      <c r="K1047" t="s">
        <v>10</v>
      </c>
      <c r="L1047">
        <v>10008</v>
      </c>
      <c r="M1047" t="s">
        <v>1472</v>
      </c>
      <c r="N1047" t="s">
        <v>11</v>
      </c>
      <c r="O1047">
        <v>5.9381000000000004</v>
      </c>
      <c r="P1047" s="45">
        <f t="shared" si="88"/>
        <v>59428.5</v>
      </c>
      <c r="Q1047" s="13">
        <f>IF(N1047="HKD",7.8,IF(N1047="CNY",7.30034,1))</f>
        <v>7.3003400000000003</v>
      </c>
      <c r="R1047" s="15">
        <f>+ROUND(O1047/Q1047,4)</f>
        <v>0.81340000000000001</v>
      </c>
      <c r="S1047" s="14">
        <f>ROUND(R1047*L1047,2)</f>
        <v>8140.51</v>
      </c>
      <c r="T1047" s="15" t="s">
        <v>349</v>
      </c>
      <c r="U1047" t="s">
        <v>36</v>
      </c>
      <c r="W1047" s="49" t="e">
        <f t="shared" si="89"/>
        <v>#DIV/0!</v>
      </c>
    </row>
    <row r="1048" spans="1:23" x14ac:dyDescent="0.2">
      <c r="A1048" t="s">
        <v>2300</v>
      </c>
      <c r="B1048" s="24">
        <v>45728</v>
      </c>
      <c r="C1048" s="24">
        <v>45653</v>
      </c>
      <c r="D1048" t="s">
        <v>5</v>
      </c>
      <c r="E1048" t="s">
        <v>6</v>
      </c>
      <c r="F1048" s="23"/>
      <c r="G1048" t="s">
        <v>2866</v>
      </c>
      <c r="H1048" t="s">
        <v>489</v>
      </c>
      <c r="I1048" t="s">
        <v>490</v>
      </c>
      <c r="J1048" s="11" t="str">
        <f>+LEFT(U1048,4)</f>
        <v>SHTS</v>
      </c>
      <c r="K1048" t="s">
        <v>10</v>
      </c>
      <c r="L1048">
        <v>1010</v>
      </c>
      <c r="M1048" t="s">
        <v>1472</v>
      </c>
      <c r="N1048" t="s">
        <v>11</v>
      </c>
      <c r="O1048">
        <v>1.66</v>
      </c>
      <c r="P1048" s="45">
        <f t="shared" si="88"/>
        <v>1676.6</v>
      </c>
      <c r="Q1048" s="13">
        <f>IF(N1048="HKD",7.8,IF(N1048="CNY",7.30034,1))</f>
        <v>7.3003400000000003</v>
      </c>
      <c r="R1048" s="15">
        <f>+ROUND(O1048/Q1048,4)</f>
        <v>0.22739999999999999</v>
      </c>
      <c r="S1048" s="14">
        <f>ROUND(R1048*L1048,2)</f>
        <v>229.67</v>
      </c>
      <c r="T1048" s="15" t="s">
        <v>349</v>
      </c>
      <c r="U1048" t="s">
        <v>9</v>
      </c>
      <c r="W1048" s="49" t="e">
        <f t="shared" si="89"/>
        <v>#DIV/0!</v>
      </c>
    </row>
    <row r="1049" spans="1:23" x14ac:dyDescent="0.2">
      <c r="A1049" t="s">
        <v>1866</v>
      </c>
      <c r="B1049" s="24">
        <v>45728</v>
      </c>
      <c r="C1049" s="24">
        <v>45672</v>
      </c>
      <c r="D1049" t="s">
        <v>806</v>
      </c>
      <c r="E1049" t="s">
        <v>807</v>
      </c>
      <c r="F1049" s="23"/>
      <c r="G1049" t="s">
        <v>2890</v>
      </c>
      <c r="H1049" t="s">
        <v>1603</v>
      </c>
      <c r="I1049" t="s">
        <v>1604</v>
      </c>
      <c r="J1049" s="11" t="str">
        <f>+LEFT(U1049,4)</f>
        <v>BAG-</v>
      </c>
      <c r="K1049" t="s">
        <v>10</v>
      </c>
      <c r="L1049">
        <v>10000</v>
      </c>
      <c r="M1049" t="s">
        <v>1472</v>
      </c>
      <c r="N1049" t="s">
        <v>11</v>
      </c>
      <c r="O1049">
        <v>0.158</v>
      </c>
      <c r="P1049" s="45">
        <f t="shared" si="88"/>
        <v>1580</v>
      </c>
      <c r="Q1049" s="13">
        <f>IF(N1049="HKD",7.8,IF(N1049="CNY",7.30034,1))</f>
        <v>7.3003400000000003</v>
      </c>
      <c r="R1049" s="15">
        <f>+ROUND(O1049/Q1049,4)</f>
        <v>2.1600000000000001E-2</v>
      </c>
      <c r="S1049" s="14">
        <f>ROUND(R1049*L1049,2)</f>
        <v>216</v>
      </c>
      <c r="T1049" s="15" t="s">
        <v>349</v>
      </c>
      <c r="U1049" t="s">
        <v>810</v>
      </c>
      <c r="W1049" s="49" t="e">
        <f t="shared" si="89"/>
        <v>#DIV/0!</v>
      </c>
    </row>
    <row r="1050" spans="1:23" x14ac:dyDescent="0.2">
      <c r="A1050" t="s">
        <v>2345</v>
      </c>
      <c r="B1050" s="24">
        <v>45728</v>
      </c>
      <c r="C1050" s="24">
        <v>45677</v>
      </c>
      <c r="D1050" t="s">
        <v>5</v>
      </c>
      <c r="E1050" t="s">
        <v>6</v>
      </c>
      <c r="F1050" s="23"/>
      <c r="G1050" t="s">
        <v>2866</v>
      </c>
      <c r="H1050" t="s">
        <v>493</v>
      </c>
      <c r="I1050" t="s">
        <v>494</v>
      </c>
      <c r="J1050" s="11" t="str">
        <f>+LEFT(U1050,4)</f>
        <v>SHTS</v>
      </c>
      <c r="K1050" t="s">
        <v>10</v>
      </c>
      <c r="L1050">
        <v>1010</v>
      </c>
      <c r="M1050" t="s">
        <v>1472</v>
      </c>
      <c r="N1050" t="s">
        <v>11</v>
      </c>
      <c r="O1050">
        <v>1.64</v>
      </c>
      <c r="P1050" s="45">
        <f t="shared" si="88"/>
        <v>1656.4</v>
      </c>
      <c r="Q1050" s="13">
        <f>IF(N1050="HKD",7.8,IF(N1050="CNY",7.30034,1))</f>
        <v>7.3003400000000003</v>
      </c>
      <c r="R1050" s="15">
        <f>+ROUND(O1050/Q1050,4)</f>
        <v>0.22459999999999999</v>
      </c>
      <c r="S1050" s="14">
        <f>ROUND(R1050*L1050,2)</f>
        <v>226.85</v>
      </c>
      <c r="T1050" s="15" t="s">
        <v>349</v>
      </c>
      <c r="U1050" t="s">
        <v>9</v>
      </c>
      <c r="W1050" s="49" t="e">
        <f t="shared" si="89"/>
        <v>#DIV/0!</v>
      </c>
    </row>
    <row r="1051" spans="1:23" x14ac:dyDescent="0.2">
      <c r="A1051" t="s">
        <v>2346</v>
      </c>
      <c r="B1051" s="24">
        <v>45728</v>
      </c>
      <c r="C1051" s="24">
        <v>45677</v>
      </c>
      <c r="D1051" t="s">
        <v>5</v>
      </c>
      <c r="E1051" t="s">
        <v>6</v>
      </c>
      <c r="F1051" s="23"/>
      <c r="G1051" t="s">
        <v>2866</v>
      </c>
      <c r="H1051" t="s">
        <v>1676</v>
      </c>
      <c r="I1051" t="s">
        <v>1677</v>
      </c>
      <c r="J1051" s="11" t="str">
        <f>+LEFT(U1051,4)</f>
        <v>SHTS</v>
      </c>
      <c r="K1051" t="s">
        <v>10</v>
      </c>
      <c r="L1051">
        <v>1010</v>
      </c>
      <c r="M1051" t="s">
        <v>1472</v>
      </c>
      <c r="N1051" t="s">
        <v>11</v>
      </c>
      <c r="O1051">
        <v>2.27</v>
      </c>
      <c r="P1051" s="45">
        <f t="shared" si="88"/>
        <v>2292.6999999999998</v>
      </c>
      <c r="Q1051" s="13">
        <f>IF(N1051="HKD",7.8,IF(N1051="CNY",7.30034,1))</f>
        <v>7.3003400000000003</v>
      </c>
      <c r="R1051" s="15">
        <f>+ROUND(O1051/Q1051,4)</f>
        <v>0.31090000000000001</v>
      </c>
      <c r="S1051" s="14">
        <f>ROUND(R1051*L1051,2)</f>
        <v>314.01</v>
      </c>
      <c r="T1051" s="15" t="s">
        <v>349</v>
      </c>
      <c r="U1051" t="s">
        <v>9</v>
      </c>
      <c r="W1051" s="49" t="e">
        <f t="shared" si="89"/>
        <v>#DIV/0!</v>
      </c>
    </row>
    <row r="1052" spans="1:23" x14ac:dyDescent="0.2">
      <c r="A1052" t="s">
        <v>2348</v>
      </c>
      <c r="B1052" s="24">
        <v>45728</v>
      </c>
      <c r="C1052" s="24">
        <v>45677</v>
      </c>
      <c r="D1052" t="s">
        <v>5</v>
      </c>
      <c r="E1052" t="s">
        <v>6</v>
      </c>
      <c r="F1052" s="23"/>
      <c r="G1052" t="s">
        <v>2866</v>
      </c>
      <c r="H1052" t="s">
        <v>1660</v>
      </c>
      <c r="I1052" t="s">
        <v>1661</v>
      </c>
      <c r="J1052" s="11" t="str">
        <f>+LEFT(U1052,4)</f>
        <v>SHTS</v>
      </c>
      <c r="K1052" t="s">
        <v>10</v>
      </c>
      <c r="L1052">
        <v>1010</v>
      </c>
      <c r="M1052" t="s">
        <v>1472</v>
      </c>
      <c r="N1052" t="s">
        <v>11</v>
      </c>
      <c r="O1052">
        <v>1.63</v>
      </c>
      <c r="P1052" s="45">
        <f t="shared" si="88"/>
        <v>1646.3</v>
      </c>
      <c r="Q1052" s="13">
        <f>IF(N1052="HKD",7.8,IF(N1052="CNY",7.30034,1))</f>
        <v>7.3003400000000003</v>
      </c>
      <c r="R1052" s="15">
        <f>+ROUND(O1052/Q1052,4)</f>
        <v>0.2233</v>
      </c>
      <c r="S1052" s="14">
        <f>ROUND(R1052*L1052,2)</f>
        <v>225.53</v>
      </c>
      <c r="T1052" s="15" t="s">
        <v>349</v>
      </c>
      <c r="U1052" t="s">
        <v>9</v>
      </c>
      <c r="W1052" s="49" t="e">
        <f t="shared" si="89"/>
        <v>#DIV/0!</v>
      </c>
    </row>
    <row r="1053" spans="1:23" x14ac:dyDescent="0.2">
      <c r="A1053" t="s">
        <v>2375</v>
      </c>
      <c r="B1053" s="24">
        <v>45728</v>
      </c>
      <c r="C1053" s="24">
        <v>45695</v>
      </c>
      <c r="D1053" t="s">
        <v>2255</v>
      </c>
      <c r="E1053" t="s">
        <v>2256</v>
      </c>
      <c r="F1053" s="23"/>
      <c r="G1053" t="s">
        <v>2911</v>
      </c>
      <c r="H1053" t="s">
        <v>1796</v>
      </c>
      <c r="I1053" t="s">
        <v>1797</v>
      </c>
      <c r="J1053" s="11" t="str">
        <f>+LEFT(U1053,4)</f>
        <v>GLID</v>
      </c>
      <c r="K1053" t="s">
        <v>10</v>
      </c>
      <c r="L1053">
        <v>610</v>
      </c>
      <c r="M1053" t="s">
        <v>1472</v>
      </c>
      <c r="N1053" t="s">
        <v>11</v>
      </c>
      <c r="O1053">
        <v>7.4503000000000004</v>
      </c>
      <c r="P1053" s="45">
        <f t="shared" si="88"/>
        <v>4544.68</v>
      </c>
      <c r="Q1053" s="13">
        <f>IF(N1053="HKD",7.8,IF(N1053="CNY",7.30034,1))</f>
        <v>7.3003400000000003</v>
      </c>
      <c r="R1053" s="15">
        <f>+ROUND(O1053/Q1053,4)</f>
        <v>1.0205</v>
      </c>
      <c r="S1053" s="14">
        <f>ROUND(R1053*L1053,2)</f>
        <v>622.51</v>
      </c>
      <c r="T1053" s="15" t="s">
        <v>349</v>
      </c>
      <c r="U1053" t="s">
        <v>78</v>
      </c>
      <c r="W1053" s="49" t="e">
        <f t="shared" si="89"/>
        <v>#DIV/0!</v>
      </c>
    </row>
    <row r="1054" spans="1:23" x14ac:dyDescent="0.2">
      <c r="A1054" t="s">
        <v>1900</v>
      </c>
      <c r="B1054" s="24">
        <v>45728</v>
      </c>
      <c r="C1054" s="24">
        <v>45695</v>
      </c>
      <c r="D1054" t="s">
        <v>709</v>
      </c>
      <c r="E1054" t="s">
        <v>710</v>
      </c>
      <c r="F1054" s="23"/>
      <c r="G1054" t="s">
        <v>2917</v>
      </c>
      <c r="H1054" t="s">
        <v>713</v>
      </c>
      <c r="I1054" t="s">
        <v>714</v>
      </c>
      <c r="J1054" s="11" t="str">
        <f>+LEFT(U1054,4)</f>
        <v>KNOB</v>
      </c>
      <c r="K1054" t="s">
        <v>10</v>
      </c>
      <c r="L1054">
        <v>850</v>
      </c>
      <c r="M1054" t="s">
        <v>1472</v>
      </c>
      <c r="N1054" t="s">
        <v>11</v>
      </c>
      <c r="O1054">
        <v>0.61839999999999995</v>
      </c>
      <c r="P1054" s="45">
        <f t="shared" si="88"/>
        <v>525.64</v>
      </c>
      <c r="Q1054" s="13">
        <f>IF(N1054="HKD",7.8,IF(N1054="CNY",7.30034,1))</f>
        <v>7.3003400000000003</v>
      </c>
      <c r="R1054" s="15">
        <f>+ROUND(O1054/Q1054,4)</f>
        <v>8.4699999999999998E-2</v>
      </c>
      <c r="S1054" s="14">
        <f>ROUND(R1054*L1054,2)</f>
        <v>72</v>
      </c>
      <c r="T1054" s="15" t="s">
        <v>349</v>
      </c>
      <c r="U1054" t="s">
        <v>32</v>
      </c>
      <c r="W1054" s="49" t="e">
        <f t="shared" si="89"/>
        <v>#DIV/0!</v>
      </c>
    </row>
    <row r="1055" spans="1:23" x14ac:dyDescent="0.2">
      <c r="A1055" t="s">
        <v>2667</v>
      </c>
      <c r="B1055" s="24">
        <v>45728</v>
      </c>
      <c r="C1055" s="24">
        <v>45723</v>
      </c>
      <c r="D1055" t="s">
        <v>806</v>
      </c>
      <c r="E1055" t="s">
        <v>807</v>
      </c>
      <c r="F1055" s="23"/>
      <c r="G1055" t="s">
        <v>2890</v>
      </c>
      <c r="H1055" t="s">
        <v>3214</v>
      </c>
      <c r="I1055" t="s">
        <v>3421</v>
      </c>
      <c r="J1055" s="11" t="str">
        <f>+LEFT(U1055,4)</f>
        <v>BAG-</v>
      </c>
      <c r="K1055" t="s">
        <v>10</v>
      </c>
      <c r="L1055">
        <v>10000</v>
      </c>
      <c r="M1055" t="s">
        <v>1472</v>
      </c>
      <c r="N1055" t="s">
        <v>11</v>
      </c>
      <c r="O1055">
        <v>8.7999999999999995E-2</v>
      </c>
      <c r="P1055" s="45">
        <f t="shared" si="88"/>
        <v>880</v>
      </c>
      <c r="Q1055" s="13">
        <f>IF(N1055="HKD",7.8,IF(N1055="CNY",7.30034,1))</f>
        <v>7.3003400000000003</v>
      </c>
      <c r="R1055" s="15">
        <f>+ROUND(O1055/Q1055,4)</f>
        <v>1.21E-2</v>
      </c>
      <c r="S1055" s="14">
        <f>ROUND(R1055*L1055,2)</f>
        <v>121</v>
      </c>
      <c r="T1055" s="15" t="s">
        <v>349</v>
      </c>
      <c r="U1055" t="s">
        <v>810</v>
      </c>
      <c r="W1055" s="49" t="e">
        <f t="shared" si="89"/>
        <v>#DIV/0!</v>
      </c>
    </row>
    <row r="1056" spans="1:23" x14ac:dyDescent="0.2">
      <c r="A1056" t="s">
        <v>2669</v>
      </c>
      <c r="B1056" s="24">
        <v>45728</v>
      </c>
      <c r="C1056" s="24">
        <v>45723</v>
      </c>
      <c r="D1056" t="s">
        <v>806</v>
      </c>
      <c r="E1056" t="s">
        <v>807</v>
      </c>
      <c r="F1056" s="23"/>
      <c r="G1056" t="s">
        <v>2890</v>
      </c>
      <c r="H1056" t="s">
        <v>3216</v>
      </c>
      <c r="I1056" t="s">
        <v>3423</v>
      </c>
      <c r="J1056" s="11" t="str">
        <f>+LEFT(U1056,4)</f>
        <v>BAG-</v>
      </c>
      <c r="K1056" t="s">
        <v>10</v>
      </c>
      <c r="L1056">
        <v>15000</v>
      </c>
      <c r="M1056" t="s">
        <v>1472</v>
      </c>
      <c r="N1056" t="s">
        <v>11</v>
      </c>
      <c r="O1056">
        <v>0.13</v>
      </c>
      <c r="P1056" s="45">
        <f t="shared" si="88"/>
        <v>1950</v>
      </c>
      <c r="Q1056" s="13">
        <f>IF(N1056="HKD",7.8,IF(N1056="CNY",7.30034,1))</f>
        <v>7.3003400000000003</v>
      </c>
      <c r="R1056" s="15">
        <f>+ROUND(O1056/Q1056,4)</f>
        <v>1.78E-2</v>
      </c>
      <c r="S1056" s="14">
        <f>ROUND(R1056*L1056,2)</f>
        <v>267</v>
      </c>
      <c r="T1056" s="15" t="s">
        <v>349</v>
      </c>
      <c r="U1056" t="s">
        <v>810</v>
      </c>
      <c r="W1056" s="49" t="e">
        <f t="shared" si="89"/>
        <v>#DIV/0!</v>
      </c>
    </row>
    <row r="1057" spans="1:23" x14ac:dyDescent="0.2">
      <c r="A1057" t="s">
        <v>2670</v>
      </c>
      <c r="B1057" s="24">
        <v>45728</v>
      </c>
      <c r="C1057" s="24">
        <v>45723</v>
      </c>
      <c r="D1057" t="s">
        <v>806</v>
      </c>
      <c r="E1057" t="s">
        <v>807</v>
      </c>
      <c r="F1057" s="23"/>
      <c r="G1057" t="s">
        <v>2890</v>
      </c>
      <c r="H1057" t="s">
        <v>3217</v>
      </c>
      <c r="I1057" t="s">
        <v>3424</v>
      </c>
      <c r="J1057" s="11" t="str">
        <f>+LEFT(U1057,4)</f>
        <v>BAG-</v>
      </c>
      <c r="K1057" t="s">
        <v>10</v>
      </c>
      <c r="L1057">
        <v>5000</v>
      </c>
      <c r="M1057" t="s">
        <v>1472</v>
      </c>
      <c r="N1057" t="s">
        <v>11</v>
      </c>
      <c r="O1057">
        <v>0.14000000000000001</v>
      </c>
      <c r="P1057" s="45">
        <f t="shared" si="88"/>
        <v>700</v>
      </c>
      <c r="Q1057" s="13">
        <f>IF(N1057="HKD",7.8,IF(N1057="CNY",7.30034,1))</f>
        <v>7.3003400000000003</v>
      </c>
      <c r="R1057" s="15">
        <f>+ROUND(O1057/Q1057,4)</f>
        <v>1.9199999999999998E-2</v>
      </c>
      <c r="S1057" s="14">
        <f>ROUND(R1057*L1057,2)</f>
        <v>96</v>
      </c>
      <c r="T1057" s="15" t="s">
        <v>349</v>
      </c>
      <c r="U1057" t="s">
        <v>810</v>
      </c>
      <c r="W1057" s="49" t="e">
        <f t="shared" si="89"/>
        <v>#DIV/0!</v>
      </c>
    </row>
    <row r="1058" spans="1:23" x14ac:dyDescent="0.2">
      <c r="A1058" t="s">
        <v>2685</v>
      </c>
      <c r="B1058" s="24">
        <v>45728</v>
      </c>
      <c r="C1058" s="24">
        <v>45727</v>
      </c>
      <c r="D1058" t="s">
        <v>5</v>
      </c>
      <c r="E1058" t="s">
        <v>6</v>
      </c>
      <c r="F1058" s="23"/>
      <c r="G1058" t="s">
        <v>3030</v>
      </c>
      <c r="H1058" t="s">
        <v>3224</v>
      </c>
      <c r="I1058" t="s">
        <v>3431</v>
      </c>
      <c r="J1058" s="11" t="str">
        <f>+LEFT(U1058,4)</f>
        <v>BOX-</v>
      </c>
      <c r="K1058" t="s">
        <v>10</v>
      </c>
      <c r="L1058">
        <v>1000</v>
      </c>
      <c r="M1058" t="s">
        <v>1472</v>
      </c>
      <c r="N1058" t="s">
        <v>11</v>
      </c>
      <c r="O1058">
        <v>2.27</v>
      </c>
      <c r="P1058" s="45">
        <f t="shared" si="88"/>
        <v>2270</v>
      </c>
      <c r="Q1058" s="13">
        <f>IF(N1058="HKD",7.8,IF(N1058="CNY",7.30034,1))</f>
        <v>7.3003400000000003</v>
      </c>
      <c r="R1058" s="15">
        <f>+ROUND(O1058/Q1058,4)</f>
        <v>0.31090000000000001</v>
      </c>
      <c r="S1058" s="14">
        <f>ROUND(R1058*L1058,2)</f>
        <v>310.89999999999998</v>
      </c>
      <c r="T1058" s="15" t="s">
        <v>349</v>
      </c>
      <c r="U1058" t="s">
        <v>1</v>
      </c>
      <c r="W1058" s="49" t="e">
        <f t="shared" si="89"/>
        <v>#DIV/0!</v>
      </c>
    </row>
    <row r="1059" spans="1:23" x14ac:dyDescent="0.2">
      <c r="A1059" t="s">
        <v>2686</v>
      </c>
      <c r="B1059" s="24">
        <v>45728</v>
      </c>
      <c r="C1059" s="24">
        <v>45727</v>
      </c>
      <c r="D1059" t="s">
        <v>5</v>
      </c>
      <c r="E1059" t="s">
        <v>6</v>
      </c>
      <c r="F1059" s="23"/>
      <c r="G1059" t="s">
        <v>3030</v>
      </c>
      <c r="H1059" t="s">
        <v>3225</v>
      </c>
      <c r="I1059" t="s">
        <v>3432</v>
      </c>
      <c r="J1059" s="11" t="str">
        <f>+LEFT(U1059,4)</f>
        <v>BOX-</v>
      </c>
      <c r="K1059" t="s">
        <v>10</v>
      </c>
      <c r="L1059">
        <v>1000</v>
      </c>
      <c r="M1059" t="s">
        <v>1472</v>
      </c>
      <c r="N1059" t="s">
        <v>11</v>
      </c>
      <c r="O1059">
        <v>2.29</v>
      </c>
      <c r="P1059" s="45">
        <f t="shared" si="88"/>
        <v>2290</v>
      </c>
      <c r="Q1059" s="13">
        <f>IF(N1059="HKD",7.8,IF(N1059="CNY",7.30034,1))</f>
        <v>7.3003400000000003</v>
      </c>
      <c r="R1059" s="15">
        <f>+ROUND(O1059/Q1059,4)</f>
        <v>0.31369999999999998</v>
      </c>
      <c r="S1059" s="14">
        <f>ROUND(R1059*L1059,2)</f>
        <v>313.7</v>
      </c>
      <c r="T1059" s="15" t="s">
        <v>349</v>
      </c>
      <c r="U1059" t="s">
        <v>1</v>
      </c>
      <c r="W1059" s="49" t="e">
        <f t="shared" si="89"/>
        <v>#DIV/0!</v>
      </c>
    </row>
    <row r="1060" spans="1:23" x14ac:dyDescent="0.2">
      <c r="A1060" t="s">
        <v>2687</v>
      </c>
      <c r="B1060" s="24">
        <v>45728</v>
      </c>
      <c r="C1060" s="24">
        <v>45727</v>
      </c>
      <c r="D1060" t="s">
        <v>5</v>
      </c>
      <c r="E1060" t="s">
        <v>6</v>
      </c>
      <c r="F1060" s="23"/>
      <c r="G1060" t="s">
        <v>3030</v>
      </c>
      <c r="H1060" t="s">
        <v>418</v>
      </c>
      <c r="I1060" t="s">
        <v>419</v>
      </c>
      <c r="J1060" s="11" t="str">
        <f>+LEFT(U1060,4)</f>
        <v>BOX-</v>
      </c>
      <c r="K1060" t="s">
        <v>10</v>
      </c>
      <c r="L1060">
        <v>2020</v>
      </c>
      <c r="M1060" t="s">
        <v>1472</v>
      </c>
      <c r="N1060" t="s">
        <v>11</v>
      </c>
      <c r="O1060">
        <v>1.94</v>
      </c>
      <c r="P1060" s="45">
        <f t="shared" si="88"/>
        <v>3918.8</v>
      </c>
      <c r="Q1060" s="13">
        <f>IF(N1060="HKD",7.8,IF(N1060="CNY",7.30034,1))</f>
        <v>7.3003400000000003</v>
      </c>
      <c r="R1060" s="15">
        <f>+ROUND(O1060/Q1060,4)</f>
        <v>0.26569999999999999</v>
      </c>
      <c r="S1060" s="14">
        <f>ROUND(R1060*L1060,2)</f>
        <v>536.71</v>
      </c>
      <c r="T1060" s="15" t="s">
        <v>349</v>
      </c>
      <c r="U1060" t="s">
        <v>1</v>
      </c>
      <c r="W1060" s="49" t="e">
        <f t="shared" si="89"/>
        <v>#DIV/0!</v>
      </c>
    </row>
    <row r="1061" spans="1:23" x14ac:dyDescent="0.2">
      <c r="A1061" t="s">
        <v>2272</v>
      </c>
      <c r="B1061" s="24">
        <v>45729</v>
      </c>
      <c r="C1061" s="24">
        <v>44813</v>
      </c>
      <c r="D1061" t="s">
        <v>866</v>
      </c>
      <c r="E1061" t="s">
        <v>867</v>
      </c>
      <c r="F1061" s="23"/>
      <c r="G1061" t="s">
        <v>2834</v>
      </c>
      <c r="H1061" t="s">
        <v>1551</v>
      </c>
      <c r="I1061" t="s">
        <v>1552</v>
      </c>
      <c r="J1061" s="11" t="str">
        <f>+LEFT(U1061,4)</f>
        <v>ANYD</v>
      </c>
      <c r="K1061" t="s">
        <v>10</v>
      </c>
      <c r="L1061">
        <v>1960</v>
      </c>
      <c r="M1061" t="s">
        <v>1472</v>
      </c>
      <c r="N1061" t="s">
        <v>11</v>
      </c>
      <c r="O1061">
        <v>8.2035</v>
      </c>
      <c r="P1061" s="45">
        <f t="shared" si="88"/>
        <v>16078.86</v>
      </c>
      <c r="Q1061" s="13">
        <f>IF(N1061="HKD",7.8,IF(N1061="CNY",7.30034,1))</f>
        <v>7.3003400000000003</v>
      </c>
      <c r="R1061" s="15">
        <f>+ROUND(O1061/Q1061,4)</f>
        <v>1.1236999999999999</v>
      </c>
      <c r="S1061" s="14">
        <f>ROUND(R1061*L1061,2)</f>
        <v>2202.4499999999998</v>
      </c>
      <c r="T1061" s="15" t="s">
        <v>349</v>
      </c>
      <c r="U1061" t="s">
        <v>36</v>
      </c>
      <c r="W1061" s="49" t="e">
        <f t="shared" si="89"/>
        <v>#DIV/0!</v>
      </c>
    </row>
    <row r="1062" spans="1:23" x14ac:dyDescent="0.2">
      <c r="A1062" t="s">
        <v>2273</v>
      </c>
      <c r="B1062" s="24">
        <v>45729</v>
      </c>
      <c r="C1062" s="24">
        <v>45000</v>
      </c>
      <c r="D1062" t="s">
        <v>866</v>
      </c>
      <c r="E1062" t="s">
        <v>867</v>
      </c>
      <c r="F1062" s="23"/>
      <c r="G1062" t="s">
        <v>2835</v>
      </c>
      <c r="H1062" t="s">
        <v>1546</v>
      </c>
      <c r="I1062" t="s">
        <v>1818</v>
      </c>
      <c r="J1062" s="11" t="str">
        <f>+LEFT(U1062,4)</f>
        <v>ANYD</v>
      </c>
      <c r="K1062" t="s">
        <v>10</v>
      </c>
      <c r="L1062">
        <v>820</v>
      </c>
      <c r="M1062" t="s">
        <v>1472</v>
      </c>
      <c r="N1062" t="s">
        <v>11</v>
      </c>
      <c r="O1062">
        <v>17.805299999999999</v>
      </c>
      <c r="P1062" s="45">
        <f t="shared" si="88"/>
        <v>14600.35</v>
      </c>
      <c r="Q1062" s="13">
        <f>IF(N1062="HKD",7.8,IF(N1062="CNY",7.30034,1))</f>
        <v>7.3003400000000003</v>
      </c>
      <c r="R1062" s="15">
        <f>+ROUND(O1062/Q1062,4)</f>
        <v>2.4390000000000001</v>
      </c>
      <c r="S1062" s="14">
        <f>ROUND(R1062*L1062,2)</f>
        <v>1999.98</v>
      </c>
      <c r="T1062" s="15" t="s">
        <v>349</v>
      </c>
      <c r="U1062" t="s">
        <v>36</v>
      </c>
      <c r="W1062" s="49" t="e">
        <f t="shared" si="89"/>
        <v>#DIV/0!</v>
      </c>
    </row>
    <row r="1063" spans="1:23" x14ac:dyDescent="0.2">
      <c r="A1063" t="s">
        <v>910</v>
      </c>
      <c r="B1063" s="24">
        <v>45729</v>
      </c>
      <c r="C1063" s="24">
        <v>45287</v>
      </c>
      <c r="D1063" t="s">
        <v>866</v>
      </c>
      <c r="E1063" t="s">
        <v>867</v>
      </c>
      <c r="F1063" s="23"/>
      <c r="G1063" t="s">
        <v>2836</v>
      </c>
      <c r="H1063" t="s">
        <v>908</v>
      </c>
      <c r="I1063" t="s">
        <v>909</v>
      </c>
      <c r="J1063" s="11" t="str">
        <f>+LEFT(U1063,4)</f>
        <v>ANYD</v>
      </c>
      <c r="K1063" t="s">
        <v>10</v>
      </c>
      <c r="L1063">
        <v>8016</v>
      </c>
      <c r="M1063" t="s">
        <v>1472</v>
      </c>
      <c r="N1063" t="s">
        <v>11</v>
      </c>
      <c r="O1063">
        <v>5.3804999999999996</v>
      </c>
      <c r="P1063" s="45">
        <f t="shared" si="88"/>
        <v>43130.09</v>
      </c>
      <c r="Q1063" s="13">
        <f>IF(N1063="HKD",7.8,IF(N1063="CNY",7.30034,1))</f>
        <v>7.3003400000000003</v>
      </c>
      <c r="R1063" s="15">
        <f>+ROUND(O1063/Q1063,4)</f>
        <v>0.73699999999999999</v>
      </c>
      <c r="S1063" s="14">
        <f>ROUND(R1063*L1063,2)</f>
        <v>5907.79</v>
      </c>
      <c r="T1063" s="15" t="s">
        <v>349</v>
      </c>
      <c r="U1063" t="s">
        <v>36</v>
      </c>
      <c r="W1063" s="49" t="e">
        <f t="shared" si="89"/>
        <v>#DIV/0!</v>
      </c>
    </row>
    <row r="1064" spans="1:23" x14ac:dyDescent="0.2">
      <c r="A1064" t="s">
        <v>882</v>
      </c>
      <c r="B1064" s="24">
        <v>45729</v>
      </c>
      <c r="C1064" s="24">
        <v>45287</v>
      </c>
      <c r="D1064" t="s">
        <v>866</v>
      </c>
      <c r="E1064" t="s">
        <v>867</v>
      </c>
      <c r="F1064" s="23"/>
      <c r="G1064" t="s">
        <v>2836</v>
      </c>
      <c r="H1064" t="s">
        <v>880</v>
      </c>
      <c r="I1064" t="s">
        <v>881</v>
      </c>
      <c r="J1064" s="11" t="str">
        <f>+LEFT(U1064,4)</f>
        <v>ANYD</v>
      </c>
      <c r="K1064" t="s">
        <v>10</v>
      </c>
      <c r="L1064">
        <v>6000</v>
      </c>
      <c r="M1064" t="s">
        <v>1472</v>
      </c>
      <c r="N1064" t="s">
        <v>11</v>
      </c>
      <c r="O1064">
        <v>8.1858000000000004</v>
      </c>
      <c r="P1064" s="45">
        <f t="shared" si="88"/>
        <v>49114.8</v>
      </c>
      <c r="Q1064" s="13">
        <f>IF(N1064="HKD",7.8,IF(N1064="CNY",7.30034,1))</f>
        <v>7.3003400000000003</v>
      </c>
      <c r="R1064" s="15">
        <f>+ROUND(O1064/Q1064,4)</f>
        <v>1.1213</v>
      </c>
      <c r="S1064" s="14">
        <f>ROUND(R1064*L1064,2)</f>
        <v>6727.8</v>
      </c>
      <c r="T1064" s="15" t="s">
        <v>349</v>
      </c>
      <c r="U1064" t="s">
        <v>36</v>
      </c>
      <c r="W1064" s="49" t="e">
        <f t="shared" si="89"/>
        <v>#DIV/0!</v>
      </c>
    </row>
    <row r="1065" spans="1:23" x14ac:dyDescent="0.2">
      <c r="A1065" t="s">
        <v>879</v>
      </c>
      <c r="B1065" s="24">
        <v>45729</v>
      </c>
      <c r="C1065" s="24">
        <v>45287</v>
      </c>
      <c r="D1065" t="s">
        <v>866</v>
      </c>
      <c r="E1065" t="s">
        <v>867</v>
      </c>
      <c r="F1065" s="23"/>
      <c r="G1065" t="s">
        <v>2836</v>
      </c>
      <c r="H1065" t="s">
        <v>877</v>
      </c>
      <c r="I1065" t="s">
        <v>878</v>
      </c>
      <c r="J1065" s="11" t="str">
        <f>+LEFT(U1065,4)</f>
        <v>ANYD</v>
      </c>
      <c r="K1065" t="s">
        <v>10</v>
      </c>
      <c r="L1065">
        <v>2156</v>
      </c>
      <c r="M1065" t="s">
        <v>1472</v>
      </c>
      <c r="N1065" t="s">
        <v>11</v>
      </c>
      <c r="O1065">
        <v>11.672599999999999</v>
      </c>
      <c r="P1065" s="45">
        <f t="shared" si="88"/>
        <v>25166.13</v>
      </c>
      <c r="Q1065" s="13">
        <f>IF(N1065="HKD",7.8,IF(N1065="CNY",7.30034,1))</f>
        <v>7.3003400000000003</v>
      </c>
      <c r="R1065" s="15">
        <f>+ROUND(O1065/Q1065,4)</f>
        <v>1.5989</v>
      </c>
      <c r="S1065" s="14">
        <f>ROUND(R1065*L1065,2)</f>
        <v>3447.23</v>
      </c>
      <c r="T1065" s="15" t="s">
        <v>349</v>
      </c>
      <c r="U1065" t="s">
        <v>36</v>
      </c>
      <c r="W1065" s="49" t="e">
        <f t="shared" si="89"/>
        <v>#DIV/0!</v>
      </c>
    </row>
    <row r="1066" spans="1:23" x14ac:dyDescent="0.2">
      <c r="A1066" t="s">
        <v>876</v>
      </c>
      <c r="B1066" s="24">
        <v>45729</v>
      </c>
      <c r="C1066" s="24">
        <v>45287</v>
      </c>
      <c r="D1066" t="s">
        <v>866</v>
      </c>
      <c r="E1066" t="s">
        <v>867</v>
      </c>
      <c r="F1066" s="23"/>
      <c r="G1066" t="s">
        <v>2836</v>
      </c>
      <c r="H1066" t="s">
        <v>874</v>
      </c>
      <c r="I1066" t="s">
        <v>875</v>
      </c>
      <c r="J1066" s="11" t="str">
        <f>+LEFT(U1066,4)</f>
        <v>ANYD</v>
      </c>
      <c r="K1066" t="s">
        <v>10</v>
      </c>
      <c r="L1066">
        <v>6000</v>
      </c>
      <c r="M1066" t="s">
        <v>1472</v>
      </c>
      <c r="N1066" t="s">
        <v>11</v>
      </c>
      <c r="O1066">
        <v>6.6637000000000004</v>
      </c>
      <c r="P1066" s="45">
        <f t="shared" si="88"/>
        <v>39982.199999999997</v>
      </c>
      <c r="Q1066" s="13">
        <f>IF(N1066="HKD",7.8,IF(N1066="CNY",7.30034,1))</f>
        <v>7.3003400000000003</v>
      </c>
      <c r="R1066" s="15">
        <f>+ROUND(O1066/Q1066,4)</f>
        <v>0.91279999999999994</v>
      </c>
      <c r="S1066" s="14">
        <f>ROUND(R1066*L1066,2)</f>
        <v>5476.8</v>
      </c>
      <c r="T1066" s="15" t="s">
        <v>349</v>
      </c>
      <c r="U1066" t="s">
        <v>36</v>
      </c>
      <c r="W1066" s="49" t="e">
        <f t="shared" si="89"/>
        <v>#DIV/0!</v>
      </c>
    </row>
    <row r="1067" spans="1:23" x14ac:dyDescent="0.2">
      <c r="A1067" t="s">
        <v>872</v>
      </c>
      <c r="B1067" s="24">
        <v>45729</v>
      </c>
      <c r="C1067" s="24">
        <v>45287</v>
      </c>
      <c r="D1067" t="s">
        <v>866</v>
      </c>
      <c r="E1067" t="s">
        <v>867</v>
      </c>
      <c r="F1067" s="23"/>
      <c r="G1067" t="s">
        <v>2836</v>
      </c>
      <c r="H1067" t="s">
        <v>870</v>
      </c>
      <c r="I1067" t="s">
        <v>871</v>
      </c>
      <c r="J1067" s="11" t="str">
        <f>+LEFT(U1067,4)</f>
        <v>ANYD</v>
      </c>
      <c r="K1067" t="s">
        <v>10</v>
      </c>
      <c r="L1067">
        <v>120</v>
      </c>
      <c r="M1067" t="s">
        <v>1472</v>
      </c>
      <c r="N1067" t="s">
        <v>11</v>
      </c>
      <c r="O1067">
        <v>8.8053000000000008</v>
      </c>
      <c r="P1067" s="45">
        <f t="shared" si="88"/>
        <v>1056.6400000000001</v>
      </c>
      <c r="Q1067" s="13">
        <f>IF(N1067="HKD",7.8,IF(N1067="CNY",7.30034,1))</f>
        <v>7.3003400000000003</v>
      </c>
      <c r="R1067" s="15">
        <f>+ROUND(O1067/Q1067,4)</f>
        <v>1.2060999999999999</v>
      </c>
      <c r="S1067" s="14">
        <f>ROUND(R1067*L1067,2)</f>
        <v>144.72999999999999</v>
      </c>
      <c r="T1067" s="15" t="s">
        <v>349</v>
      </c>
      <c r="U1067" t="s">
        <v>36</v>
      </c>
      <c r="W1067" s="49" t="e">
        <f t="shared" si="89"/>
        <v>#DIV/0!</v>
      </c>
    </row>
    <row r="1068" spans="1:23" x14ac:dyDescent="0.2">
      <c r="A1068" t="s">
        <v>2070</v>
      </c>
      <c r="B1068" s="24">
        <v>45729</v>
      </c>
      <c r="C1068" s="24">
        <v>45309</v>
      </c>
      <c r="D1068" t="s">
        <v>866</v>
      </c>
      <c r="E1068" t="s">
        <v>867</v>
      </c>
      <c r="F1068" s="23"/>
      <c r="G1068" t="s">
        <v>2837</v>
      </c>
      <c r="H1068" t="s">
        <v>1497</v>
      </c>
      <c r="I1068" t="s">
        <v>1498</v>
      </c>
      <c r="J1068" s="11" t="str">
        <f>+LEFT(U1068,4)</f>
        <v>ANYD</v>
      </c>
      <c r="K1068" t="s">
        <v>10</v>
      </c>
      <c r="L1068">
        <v>5000</v>
      </c>
      <c r="M1068" t="s">
        <v>1472</v>
      </c>
      <c r="N1068" t="s">
        <v>11</v>
      </c>
      <c r="O1068">
        <v>5.3574999999999999</v>
      </c>
      <c r="P1068" s="45">
        <f t="shared" si="88"/>
        <v>26787.5</v>
      </c>
      <c r="Q1068" s="13">
        <f>IF(N1068="HKD",7.8,IF(N1068="CNY",7.30034,1))</f>
        <v>7.3003400000000003</v>
      </c>
      <c r="R1068" s="15">
        <f>+ROUND(O1068/Q1068,4)</f>
        <v>0.7339</v>
      </c>
      <c r="S1068" s="14">
        <f>ROUND(R1068*L1068,2)</f>
        <v>3669.5</v>
      </c>
      <c r="T1068" s="15" t="s">
        <v>349</v>
      </c>
      <c r="U1068" t="s">
        <v>36</v>
      </c>
      <c r="W1068" s="49" t="e">
        <f t="shared" si="89"/>
        <v>#DIV/0!</v>
      </c>
    </row>
    <row r="1069" spans="1:23" x14ac:dyDescent="0.2">
      <c r="A1069" t="s">
        <v>868</v>
      </c>
      <c r="B1069" s="24">
        <v>45729</v>
      </c>
      <c r="C1069" s="24">
        <v>45309</v>
      </c>
      <c r="D1069" t="s">
        <v>866</v>
      </c>
      <c r="E1069" t="s">
        <v>867</v>
      </c>
      <c r="F1069" s="23"/>
      <c r="G1069" t="s">
        <v>2837</v>
      </c>
      <c r="H1069" t="s">
        <v>864</v>
      </c>
      <c r="I1069" t="s">
        <v>865</v>
      </c>
      <c r="J1069" s="11" t="str">
        <f>+LEFT(U1069,4)</f>
        <v>ANYD</v>
      </c>
      <c r="K1069" t="s">
        <v>10</v>
      </c>
      <c r="L1069">
        <v>3000</v>
      </c>
      <c r="M1069" t="s">
        <v>1472</v>
      </c>
      <c r="N1069" t="s">
        <v>11</v>
      </c>
      <c r="O1069">
        <v>6.0212000000000003</v>
      </c>
      <c r="P1069" s="45">
        <f t="shared" si="88"/>
        <v>18063.599999999999</v>
      </c>
      <c r="Q1069" s="13">
        <f>IF(N1069="HKD",7.8,IF(N1069="CNY",7.30034,1))</f>
        <v>7.3003400000000003</v>
      </c>
      <c r="R1069" s="15">
        <f>+ROUND(O1069/Q1069,4)</f>
        <v>0.82479999999999998</v>
      </c>
      <c r="S1069" s="14">
        <f>ROUND(R1069*L1069,2)</f>
        <v>2474.4</v>
      </c>
      <c r="T1069" s="15" t="s">
        <v>349</v>
      </c>
      <c r="U1069" t="s">
        <v>36</v>
      </c>
      <c r="W1069" s="49" t="e">
        <f t="shared" si="89"/>
        <v>#DIV/0!</v>
      </c>
    </row>
    <row r="1070" spans="1:23" x14ac:dyDescent="0.2">
      <c r="A1070" t="s">
        <v>2274</v>
      </c>
      <c r="B1070" s="24">
        <v>45729</v>
      </c>
      <c r="C1070" s="24">
        <v>45498</v>
      </c>
      <c r="D1070" t="s">
        <v>866</v>
      </c>
      <c r="E1070" t="s">
        <v>867</v>
      </c>
      <c r="F1070" s="23"/>
      <c r="G1070" t="s">
        <v>2841</v>
      </c>
      <c r="H1070" t="s">
        <v>916</v>
      </c>
      <c r="I1070" t="s">
        <v>917</v>
      </c>
      <c r="J1070" s="11" t="str">
        <f>+LEFT(U1070,4)</f>
        <v>ANYD</v>
      </c>
      <c r="K1070" t="s">
        <v>10</v>
      </c>
      <c r="L1070">
        <v>-4992</v>
      </c>
      <c r="M1070" t="s">
        <v>1472</v>
      </c>
      <c r="N1070" t="s">
        <v>11</v>
      </c>
      <c r="O1070">
        <v>5.9381000000000004</v>
      </c>
      <c r="P1070" s="45">
        <f t="shared" si="88"/>
        <v>-29643</v>
      </c>
      <c r="Q1070" s="13">
        <f>IF(N1070="HKD",7.8,IF(N1070="CNY",7.30034,1))</f>
        <v>7.3003400000000003</v>
      </c>
      <c r="R1070" s="15">
        <f>+ROUND(O1070/Q1070,4)</f>
        <v>0.81340000000000001</v>
      </c>
      <c r="S1070" s="14">
        <f>ROUND(R1070*L1070,2)</f>
        <v>-4060.49</v>
      </c>
      <c r="T1070" s="15" t="s">
        <v>349</v>
      </c>
      <c r="U1070" t="s">
        <v>36</v>
      </c>
      <c r="W1070" s="49" t="e">
        <f t="shared" si="89"/>
        <v>#DIV/0!</v>
      </c>
    </row>
    <row r="1071" spans="1:23" x14ac:dyDescent="0.2">
      <c r="A1071" t="s">
        <v>889</v>
      </c>
      <c r="B1071" s="24">
        <v>45729</v>
      </c>
      <c r="C1071" s="24">
        <v>45526</v>
      </c>
      <c r="D1071" t="s">
        <v>866</v>
      </c>
      <c r="E1071" t="s">
        <v>867</v>
      </c>
      <c r="F1071" s="23"/>
      <c r="G1071" t="s">
        <v>2841</v>
      </c>
      <c r="H1071" t="s">
        <v>887</v>
      </c>
      <c r="I1071" t="s">
        <v>888</v>
      </c>
      <c r="J1071" s="11" t="str">
        <f>+LEFT(U1071,4)</f>
        <v>ANYD</v>
      </c>
      <c r="K1071" t="s">
        <v>10</v>
      </c>
      <c r="L1071">
        <v>-7680</v>
      </c>
      <c r="M1071" t="s">
        <v>1472</v>
      </c>
      <c r="N1071" t="s">
        <v>11</v>
      </c>
      <c r="O1071">
        <v>9.2124000000000006</v>
      </c>
      <c r="P1071" s="45">
        <f t="shared" si="88"/>
        <v>-70751.23</v>
      </c>
      <c r="Q1071" s="13">
        <f>IF(N1071="HKD",7.8,IF(N1071="CNY",7.30034,1))</f>
        <v>7.3003400000000003</v>
      </c>
      <c r="R1071" s="15">
        <f>+ROUND(O1071/Q1071,4)</f>
        <v>1.2619</v>
      </c>
      <c r="S1071" s="14">
        <f>ROUND(R1071*L1071,2)</f>
        <v>-9691.39</v>
      </c>
      <c r="T1071" s="15" t="s">
        <v>349</v>
      </c>
      <c r="U1071" t="s">
        <v>36</v>
      </c>
      <c r="W1071" s="49" t="e">
        <f t="shared" si="89"/>
        <v>#DIV/0!</v>
      </c>
    </row>
    <row r="1072" spans="1:23" x14ac:dyDescent="0.2">
      <c r="A1072" t="s">
        <v>2120</v>
      </c>
      <c r="B1072" s="24">
        <v>45729</v>
      </c>
      <c r="C1072" s="24">
        <v>45646</v>
      </c>
      <c r="D1072" t="s">
        <v>866</v>
      </c>
      <c r="E1072" t="s">
        <v>867</v>
      </c>
      <c r="F1072" s="23"/>
      <c r="G1072" t="s">
        <v>2865</v>
      </c>
      <c r="H1072" t="s">
        <v>1546</v>
      </c>
      <c r="I1072" t="s">
        <v>1818</v>
      </c>
      <c r="J1072" s="11" t="str">
        <f>+LEFT(U1072,4)</f>
        <v>ANYD</v>
      </c>
      <c r="K1072" t="s">
        <v>10</v>
      </c>
      <c r="L1072">
        <v>188</v>
      </c>
      <c r="M1072" t="s">
        <v>1472</v>
      </c>
      <c r="N1072" t="s">
        <v>11</v>
      </c>
      <c r="O1072">
        <v>17.805299999999999</v>
      </c>
      <c r="P1072" s="45">
        <f t="shared" si="88"/>
        <v>3347.4</v>
      </c>
      <c r="Q1072" s="13">
        <f>IF(N1072="HKD",7.8,IF(N1072="CNY",7.30034,1))</f>
        <v>7.3003400000000003</v>
      </c>
      <c r="R1072" s="15">
        <f>+ROUND(O1072/Q1072,4)</f>
        <v>2.4390000000000001</v>
      </c>
      <c r="S1072" s="14">
        <f>ROUND(R1072*L1072,2)</f>
        <v>458.53</v>
      </c>
      <c r="T1072" s="15" t="s">
        <v>349</v>
      </c>
      <c r="U1072" t="s">
        <v>36</v>
      </c>
      <c r="W1072" s="49" t="e">
        <f t="shared" si="89"/>
        <v>#DIV/0!</v>
      </c>
    </row>
    <row r="1073" spans="1:23" x14ac:dyDescent="0.2">
      <c r="A1073" t="s">
        <v>2299</v>
      </c>
      <c r="B1073" s="24">
        <v>45729</v>
      </c>
      <c r="C1073" s="24">
        <v>45646</v>
      </c>
      <c r="D1073" t="s">
        <v>866</v>
      </c>
      <c r="E1073" t="s">
        <v>867</v>
      </c>
      <c r="F1073" s="23"/>
      <c r="G1073" t="s">
        <v>2865</v>
      </c>
      <c r="H1073" t="s">
        <v>877</v>
      </c>
      <c r="I1073" t="s">
        <v>878</v>
      </c>
      <c r="J1073" s="11" t="str">
        <f>+LEFT(U1073,4)</f>
        <v>ANYD</v>
      </c>
      <c r="K1073" t="s">
        <v>10</v>
      </c>
      <c r="L1073">
        <v>2260</v>
      </c>
      <c r="M1073" t="s">
        <v>1472</v>
      </c>
      <c r="N1073" t="s">
        <v>11</v>
      </c>
      <c r="O1073">
        <v>11.672599999999999</v>
      </c>
      <c r="P1073" s="45">
        <f t="shared" si="88"/>
        <v>26380.080000000002</v>
      </c>
      <c r="Q1073" s="13">
        <f>IF(N1073="HKD",7.8,IF(N1073="CNY",7.30034,1))</f>
        <v>7.3003400000000003</v>
      </c>
      <c r="R1073" s="15">
        <f>+ROUND(O1073/Q1073,4)</f>
        <v>1.5989</v>
      </c>
      <c r="S1073" s="14">
        <f>ROUND(R1073*L1073,2)</f>
        <v>3613.51</v>
      </c>
      <c r="T1073" s="15" t="s">
        <v>349</v>
      </c>
      <c r="U1073" t="s">
        <v>36</v>
      </c>
      <c r="W1073" s="49" t="e">
        <f t="shared" si="89"/>
        <v>#DIV/0!</v>
      </c>
    </row>
    <row r="1074" spans="1:23" x14ac:dyDescent="0.2">
      <c r="A1074" t="s">
        <v>1835</v>
      </c>
      <c r="B1074" s="24">
        <v>45729</v>
      </c>
      <c r="C1074" s="24">
        <v>45674</v>
      </c>
      <c r="D1074" t="s">
        <v>806</v>
      </c>
      <c r="E1074" t="s">
        <v>807</v>
      </c>
      <c r="F1074" s="23"/>
      <c r="G1074" t="s">
        <v>2895</v>
      </c>
      <c r="H1074" t="s">
        <v>1569</v>
      </c>
      <c r="I1074" t="s">
        <v>1570</v>
      </c>
      <c r="J1074" s="11" t="str">
        <f>+LEFT(U1074,4)</f>
        <v>BAG-</v>
      </c>
      <c r="K1074" t="s">
        <v>10</v>
      </c>
      <c r="L1074">
        <v>2840</v>
      </c>
      <c r="M1074" t="s">
        <v>1472</v>
      </c>
      <c r="N1074" t="s">
        <v>11</v>
      </c>
      <c r="O1074">
        <v>0.06</v>
      </c>
      <c r="P1074" s="45">
        <f t="shared" si="88"/>
        <v>170.4</v>
      </c>
      <c r="Q1074" s="13">
        <f>IF(N1074="HKD",7.8,IF(N1074="CNY",7.30034,1))</f>
        <v>7.3003400000000003</v>
      </c>
      <c r="R1074" s="15">
        <f>+ROUND(O1074/Q1074,4)</f>
        <v>8.2000000000000007E-3</v>
      </c>
      <c r="S1074" s="14">
        <f>ROUND(R1074*L1074,2)</f>
        <v>23.29</v>
      </c>
      <c r="T1074" s="15" t="s">
        <v>349</v>
      </c>
      <c r="U1074" t="s">
        <v>810</v>
      </c>
      <c r="W1074" s="49" t="e">
        <f t="shared" si="89"/>
        <v>#DIV/0!</v>
      </c>
    </row>
    <row r="1075" spans="1:23" x14ac:dyDescent="0.2">
      <c r="A1075" t="s">
        <v>2343</v>
      </c>
      <c r="B1075" s="24">
        <v>45729</v>
      </c>
      <c r="C1075" s="24">
        <v>45675</v>
      </c>
      <c r="D1075" t="s">
        <v>866</v>
      </c>
      <c r="E1075" t="s">
        <v>867</v>
      </c>
      <c r="F1075" s="23"/>
      <c r="G1075" t="s">
        <v>2898</v>
      </c>
      <c r="H1075" t="s">
        <v>870</v>
      </c>
      <c r="I1075" t="s">
        <v>871</v>
      </c>
      <c r="J1075" s="11" t="str">
        <f>+LEFT(U1075,4)</f>
        <v>ANYD</v>
      </c>
      <c r="K1075" t="s">
        <v>10</v>
      </c>
      <c r="L1075">
        <v>120</v>
      </c>
      <c r="M1075" t="s">
        <v>1472</v>
      </c>
      <c r="N1075" t="s">
        <v>11</v>
      </c>
      <c r="O1075">
        <v>8.8053000000000008</v>
      </c>
      <c r="P1075" s="45">
        <f t="shared" si="88"/>
        <v>1056.6400000000001</v>
      </c>
      <c r="Q1075" s="13">
        <f>IF(N1075="HKD",7.8,IF(N1075="CNY",7.30034,1))</f>
        <v>7.3003400000000003</v>
      </c>
      <c r="R1075" s="15">
        <f>+ROUND(O1075/Q1075,4)</f>
        <v>1.2060999999999999</v>
      </c>
      <c r="S1075" s="14">
        <f>ROUND(R1075*L1075,2)</f>
        <v>144.72999999999999</v>
      </c>
      <c r="T1075" s="15" t="s">
        <v>349</v>
      </c>
      <c r="U1075" t="s">
        <v>36</v>
      </c>
      <c r="W1075" s="49" t="e">
        <f t="shared" si="89"/>
        <v>#DIV/0!</v>
      </c>
    </row>
    <row r="1076" spans="1:23" x14ac:dyDescent="0.2">
      <c r="A1076" t="s">
        <v>2390</v>
      </c>
      <c r="B1076" s="24">
        <v>45729</v>
      </c>
      <c r="C1076" s="24">
        <v>45695</v>
      </c>
      <c r="D1076" t="s">
        <v>149</v>
      </c>
      <c r="E1076" t="s">
        <v>150</v>
      </c>
      <c r="F1076" s="23"/>
      <c r="G1076" t="s">
        <v>2916</v>
      </c>
      <c r="H1076" t="s">
        <v>3092</v>
      </c>
      <c r="I1076" t="s">
        <v>3308</v>
      </c>
      <c r="J1076" s="11" t="str">
        <f>+LEFT(U1076,4)</f>
        <v>GLID</v>
      </c>
      <c r="K1076" t="s">
        <v>10</v>
      </c>
      <c r="L1076">
        <v>1020</v>
      </c>
      <c r="M1076" t="s">
        <v>1472</v>
      </c>
      <c r="N1076" t="s">
        <v>11</v>
      </c>
      <c r="O1076">
        <v>5.4089</v>
      </c>
      <c r="P1076" s="45">
        <f t="shared" si="88"/>
        <v>5517.08</v>
      </c>
      <c r="Q1076" s="13">
        <f>IF(N1076="HKD",7.8,IF(N1076="CNY",7.30034,1))</f>
        <v>7.3003400000000003</v>
      </c>
      <c r="R1076" s="15">
        <f>+ROUND(O1076/Q1076,4)</f>
        <v>0.7409</v>
      </c>
      <c r="S1076" s="14">
        <f>ROUND(R1076*L1076,2)</f>
        <v>755.72</v>
      </c>
      <c r="T1076" s="15" t="s">
        <v>349</v>
      </c>
      <c r="U1076" t="s">
        <v>78</v>
      </c>
      <c r="W1076" s="49" t="e">
        <f t="shared" si="89"/>
        <v>#DIV/0!</v>
      </c>
    </row>
    <row r="1077" spans="1:23" x14ac:dyDescent="0.2">
      <c r="A1077" t="s">
        <v>2411</v>
      </c>
      <c r="B1077" s="24">
        <v>45729</v>
      </c>
      <c r="C1077" s="24">
        <v>45702</v>
      </c>
      <c r="D1077" t="s">
        <v>372</v>
      </c>
      <c r="E1077" t="s">
        <v>373</v>
      </c>
      <c r="F1077" s="23"/>
      <c r="G1077" t="s">
        <v>2926</v>
      </c>
      <c r="H1077" t="s">
        <v>1033</v>
      </c>
      <c r="I1077" t="s">
        <v>1034</v>
      </c>
      <c r="J1077" s="11" t="str">
        <f>+LEFT(U1077,4)</f>
        <v>HDL-</v>
      </c>
      <c r="K1077" t="s">
        <v>98</v>
      </c>
      <c r="L1077">
        <v>950</v>
      </c>
      <c r="M1077" t="s">
        <v>1472</v>
      </c>
      <c r="N1077" t="s">
        <v>11</v>
      </c>
      <c r="O1077">
        <v>1.1168</v>
      </c>
      <c r="P1077" s="45">
        <f t="shared" si="88"/>
        <v>1060.96</v>
      </c>
      <c r="Q1077" s="13">
        <f>IF(N1077="HKD",7.8,IF(N1077="CNY",7.30034,1))</f>
        <v>7.3003400000000003</v>
      </c>
      <c r="R1077" s="15">
        <f>+ROUND(O1077/Q1077,4)</f>
        <v>0.153</v>
      </c>
      <c r="S1077" s="14">
        <f>ROUND(R1077*L1077,2)</f>
        <v>145.35</v>
      </c>
      <c r="T1077" s="15" t="s">
        <v>349</v>
      </c>
      <c r="U1077" t="s">
        <v>228</v>
      </c>
      <c r="W1077" s="49" t="e">
        <f t="shared" si="89"/>
        <v>#DIV/0!</v>
      </c>
    </row>
    <row r="1078" spans="1:23" x14ac:dyDescent="0.2">
      <c r="A1078" t="s">
        <v>2483</v>
      </c>
      <c r="B1078" s="24">
        <v>45729</v>
      </c>
      <c r="C1078" s="24">
        <v>45712</v>
      </c>
      <c r="D1078" t="s">
        <v>898</v>
      </c>
      <c r="E1078" t="s">
        <v>899</v>
      </c>
      <c r="F1078" s="23"/>
      <c r="G1078" t="s">
        <v>2949</v>
      </c>
      <c r="H1078" t="s">
        <v>896</v>
      </c>
      <c r="I1078" t="s">
        <v>897</v>
      </c>
      <c r="J1078" s="11" t="str">
        <f>+LEFT(U1078,4)</f>
        <v>GLID</v>
      </c>
      <c r="K1078" t="s">
        <v>10</v>
      </c>
      <c r="L1078">
        <v>2050</v>
      </c>
      <c r="M1078" t="s">
        <v>1472</v>
      </c>
      <c r="N1078" t="s">
        <v>11</v>
      </c>
      <c r="O1078">
        <v>16.5</v>
      </c>
      <c r="P1078" s="45">
        <f t="shared" si="88"/>
        <v>33825</v>
      </c>
      <c r="Q1078" s="13">
        <f>IF(N1078="HKD",7.8,IF(N1078="CNY",7.30034,1))</f>
        <v>7.3003400000000003</v>
      </c>
      <c r="R1078" s="15">
        <f>+ROUND(O1078/Q1078,4)</f>
        <v>2.2602000000000002</v>
      </c>
      <c r="S1078" s="14">
        <f>ROUND(R1078*L1078,2)</f>
        <v>4633.41</v>
      </c>
      <c r="T1078" s="15" t="s">
        <v>349</v>
      </c>
      <c r="U1078" t="s">
        <v>78</v>
      </c>
      <c r="W1078" s="49" t="e">
        <f t="shared" si="89"/>
        <v>#DIV/0!</v>
      </c>
    </row>
    <row r="1079" spans="1:23" x14ac:dyDescent="0.2">
      <c r="A1079" t="s">
        <v>2531</v>
      </c>
      <c r="B1079" s="24">
        <v>45729</v>
      </c>
      <c r="C1079" s="24">
        <v>45713</v>
      </c>
      <c r="D1079" t="s">
        <v>372</v>
      </c>
      <c r="E1079" t="s">
        <v>373</v>
      </c>
      <c r="F1079" s="23"/>
      <c r="G1079" t="s">
        <v>2926</v>
      </c>
      <c r="H1079" t="s">
        <v>1029</v>
      </c>
      <c r="I1079" t="s">
        <v>1030</v>
      </c>
      <c r="J1079" s="11" t="str">
        <f>+LEFT(U1079,4)</f>
        <v>LHDL</v>
      </c>
      <c r="K1079" t="s">
        <v>98</v>
      </c>
      <c r="L1079">
        <v>1800</v>
      </c>
      <c r="M1079" t="s">
        <v>1472</v>
      </c>
      <c r="N1079" t="s">
        <v>11</v>
      </c>
      <c r="O1079">
        <v>0.78120000000000001</v>
      </c>
      <c r="P1079" s="45">
        <f t="shared" si="88"/>
        <v>1406.16</v>
      </c>
      <c r="Q1079" s="13">
        <f>IF(N1079="HKD",7.8,IF(N1079="CNY",7.30034,1))</f>
        <v>7.3003400000000003</v>
      </c>
      <c r="R1079" s="15">
        <f>+ROUND(O1079/Q1079,4)</f>
        <v>0.107</v>
      </c>
      <c r="S1079" s="14">
        <f>ROUND(R1079*L1079,2)</f>
        <v>192.6</v>
      </c>
      <c r="T1079" s="15" t="s">
        <v>349</v>
      </c>
      <c r="U1079" t="s">
        <v>125</v>
      </c>
      <c r="W1079" s="49" t="e">
        <f t="shared" si="89"/>
        <v>#DIV/0!</v>
      </c>
    </row>
    <row r="1080" spans="1:23" x14ac:dyDescent="0.2">
      <c r="A1080" t="s">
        <v>2538</v>
      </c>
      <c r="B1080" s="24">
        <v>45729</v>
      </c>
      <c r="C1080" s="24">
        <v>45714</v>
      </c>
      <c r="D1080" t="s">
        <v>830</v>
      </c>
      <c r="E1080" t="s">
        <v>831</v>
      </c>
      <c r="F1080" s="23"/>
      <c r="G1080" t="s">
        <v>2981</v>
      </c>
      <c r="H1080" t="s">
        <v>3166</v>
      </c>
      <c r="I1080" t="s">
        <v>3376</v>
      </c>
      <c r="J1080" s="11" t="str">
        <f>+LEFT(U1080,4)</f>
        <v>LID-</v>
      </c>
      <c r="K1080" t="s">
        <v>98</v>
      </c>
      <c r="L1080">
        <v>1460</v>
      </c>
      <c r="M1080" t="s">
        <v>1472</v>
      </c>
      <c r="N1080" t="s">
        <v>11</v>
      </c>
      <c r="O1080">
        <v>4.2</v>
      </c>
      <c r="P1080" s="45">
        <f t="shared" si="88"/>
        <v>6132</v>
      </c>
      <c r="Q1080" s="13">
        <f>IF(N1080="HKD",7.8,IF(N1080="CNY",7.30034,1))</f>
        <v>7.3003400000000003</v>
      </c>
      <c r="R1080" s="15">
        <f>+ROUND(O1080/Q1080,4)</f>
        <v>0.57530000000000003</v>
      </c>
      <c r="S1080" s="14">
        <f>ROUND(R1080*L1080,2)</f>
        <v>839.94</v>
      </c>
      <c r="T1080" s="15" t="s">
        <v>349</v>
      </c>
      <c r="U1080" t="s">
        <v>368</v>
      </c>
      <c r="W1080" s="49" t="e">
        <f t="shared" si="89"/>
        <v>#DIV/0!</v>
      </c>
    </row>
    <row r="1081" spans="1:23" x14ac:dyDescent="0.2">
      <c r="A1081" t="s">
        <v>2541</v>
      </c>
      <c r="B1081" s="24">
        <v>45729</v>
      </c>
      <c r="C1081" s="24">
        <v>45714</v>
      </c>
      <c r="D1081" t="s">
        <v>372</v>
      </c>
      <c r="E1081" t="s">
        <v>373</v>
      </c>
      <c r="F1081" s="23"/>
      <c r="G1081" t="s">
        <v>2926</v>
      </c>
      <c r="H1081" t="s">
        <v>1046</v>
      </c>
      <c r="I1081" t="s">
        <v>1047</v>
      </c>
      <c r="J1081" s="11" t="str">
        <f>+LEFT(U1081,4)</f>
        <v>KNOB</v>
      </c>
      <c r="K1081" t="s">
        <v>98</v>
      </c>
      <c r="L1081">
        <v>4000</v>
      </c>
      <c r="M1081" t="s">
        <v>1472</v>
      </c>
      <c r="N1081" t="s">
        <v>11</v>
      </c>
      <c r="O1081">
        <v>0.6411</v>
      </c>
      <c r="P1081" s="45">
        <f t="shared" si="88"/>
        <v>2564.4</v>
      </c>
      <c r="Q1081" s="13">
        <f>IF(N1081="HKD",7.8,IF(N1081="CNY",7.30034,1))</f>
        <v>7.3003400000000003</v>
      </c>
      <c r="R1081" s="15">
        <f>+ROUND(O1081/Q1081,4)</f>
        <v>8.7800000000000003E-2</v>
      </c>
      <c r="S1081" s="14">
        <f>ROUND(R1081*L1081,2)</f>
        <v>351.2</v>
      </c>
      <c r="T1081" s="15" t="s">
        <v>349</v>
      </c>
      <c r="U1081" t="s">
        <v>32</v>
      </c>
      <c r="W1081" s="49" t="e">
        <f t="shared" si="89"/>
        <v>#DIV/0!</v>
      </c>
    </row>
    <row r="1082" spans="1:23" x14ac:dyDescent="0.2">
      <c r="A1082" t="s">
        <v>2668</v>
      </c>
      <c r="B1082" s="24">
        <v>45729</v>
      </c>
      <c r="C1082" s="24">
        <v>45723</v>
      </c>
      <c r="D1082" t="s">
        <v>806</v>
      </c>
      <c r="E1082" t="s">
        <v>807</v>
      </c>
      <c r="F1082" s="23"/>
      <c r="G1082" t="s">
        <v>2895</v>
      </c>
      <c r="H1082" t="s">
        <v>3215</v>
      </c>
      <c r="I1082" t="s">
        <v>3422</v>
      </c>
      <c r="J1082" s="11" t="str">
        <f>+LEFT(U1082,4)</f>
        <v>BAG-</v>
      </c>
      <c r="K1082" t="s">
        <v>10</v>
      </c>
      <c r="L1082">
        <v>15000</v>
      </c>
      <c r="M1082" t="s">
        <v>1472</v>
      </c>
      <c r="N1082" t="s">
        <v>11</v>
      </c>
      <c r="O1082">
        <v>0.1</v>
      </c>
      <c r="P1082" s="45">
        <f t="shared" si="88"/>
        <v>1500</v>
      </c>
      <c r="Q1082" s="13">
        <f>IF(N1082="HKD",7.8,IF(N1082="CNY",7.30034,1))</f>
        <v>7.3003400000000003</v>
      </c>
      <c r="R1082" s="15">
        <f>+ROUND(O1082/Q1082,4)</f>
        <v>1.37E-2</v>
      </c>
      <c r="S1082" s="14">
        <f>ROUND(R1082*L1082,2)</f>
        <v>205.5</v>
      </c>
      <c r="T1082" s="15" t="s">
        <v>349</v>
      </c>
      <c r="U1082" t="s">
        <v>810</v>
      </c>
      <c r="W1082" s="49" t="e">
        <f t="shared" si="89"/>
        <v>#DIV/0!</v>
      </c>
    </row>
    <row r="1083" spans="1:23" x14ac:dyDescent="0.2">
      <c r="A1083" t="s">
        <v>2053</v>
      </c>
      <c r="B1083" s="24">
        <v>45730</v>
      </c>
      <c r="C1083" s="24">
        <v>45350</v>
      </c>
      <c r="D1083" t="s">
        <v>128</v>
      </c>
      <c r="E1083" t="s">
        <v>129</v>
      </c>
      <c r="F1083" s="23"/>
      <c r="G1083" t="s">
        <v>2838</v>
      </c>
      <c r="H1083" t="s">
        <v>1762</v>
      </c>
      <c r="I1083" t="s">
        <v>1763</v>
      </c>
      <c r="J1083" s="11" t="str">
        <f>+LEFT(U1083,4)</f>
        <v>HDL-</v>
      </c>
      <c r="K1083" t="s">
        <v>10</v>
      </c>
      <c r="L1083">
        <v>1800</v>
      </c>
      <c r="M1083" t="s">
        <v>1472</v>
      </c>
      <c r="N1083" t="s">
        <v>11</v>
      </c>
      <c r="O1083">
        <v>4.5491999999999999</v>
      </c>
      <c r="P1083" s="45">
        <f t="shared" si="88"/>
        <v>8188.56</v>
      </c>
      <c r="Q1083" s="13">
        <f>IF(N1083="HKD",7.8,IF(N1083="CNY",7.30034,1))</f>
        <v>7.3003400000000003</v>
      </c>
      <c r="R1083" s="15">
        <f>+ROUND(O1083/Q1083,4)</f>
        <v>0.62309999999999999</v>
      </c>
      <c r="S1083" s="14">
        <f>ROUND(R1083*L1083,2)</f>
        <v>1121.58</v>
      </c>
      <c r="T1083" s="15" t="s">
        <v>349</v>
      </c>
      <c r="U1083" t="s">
        <v>228</v>
      </c>
      <c r="W1083" s="49" t="e">
        <f t="shared" si="89"/>
        <v>#DIV/0!</v>
      </c>
    </row>
    <row r="1084" spans="1:23" x14ac:dyDescent="0.2">
      <c r="A1084" t="s">
        <v>2275</v>
      </c>
      <c r="B1084" s="24">
        <v>45730</v>
      </c>
      <c r="C1084" s="24">
        <v>45509</v>
      </c>
      <c r="D1084" t="s">
        <v>128</v>
      </c>
      <c r="E1084" t="s">
        <v>129</v>
      </c>
      <c r="F1084" s="23"/>
      <c r="G1084" t="s">
        <v>2842</v>
      </c>
      <c r="H1084" t="s">
        <v>26</v>
      </c>
      <c r="I1084" t="s">
        <v>27</v>
      </c>
      <c r="J1084" s="11" t="str">
        <f>+LEFT(U1084,4)</f>
        <v>KNOB</v>
      </c>
      <c r="K1084" t="s">
        <v>10</v>
      </c>
      <c r="L1084">
        <v>1209</v>
      </c>
      <c r="M1084" t="s">
        <v>1472</v>
      </c>
      <c r="N1084" t="s">
        <v>11</v>
      </c>
      <c r="O1084">
        <v>2.2957000000000001</v>
      </c>
      <c r="P1084" s="45">
        <f t="shared" si="88"/>
        <v>2775.5</v>
      </c>
      <c r="Q1084" s="13">
        <f>IF(N1084="HKD",7.8,IF(N1084="CNY",7.30034,1))</f>
        <v>7.3003400000000003</v>
      </c>
      <c r="R1084" s="15">
        <f>+ROUND(O1084/Q1084,4)</f>
        <v>0.3145</v>
      </c>
      <c r="S1084" s="14">
        <f>ROUND(R1084*L1084,2)</f>
        <v>380.23</v>
      </c>
      <c r="T1084" s="15" t="s">
        <v>349</v>
      </c>
      <c r="U1084" t="s">
        <v>32</v>
      </c>
      <c r="W1084" s="49" t="e">
        <f t="shared" si="89"/>
        <v>#DIV/0!</v>
      </c>
    </row>
    <row r="1085" spans="1:23" x14ac:dyDescent="0.2">
      <c r="A1085" t="s">
        <v>2289</v>
      </c>
      <c r="B1085" s="24">
        <v>45730</v>
      </c>
      <c r="C1085" s="24">
        <v>45630</v>
      </c>
      <c r="D1085" t="s">
        <v>94</v>
      </c>
      <c r="E1085" t="s">
        <v>95</v>
      </c>
      <c r="F1085" s="23"/>
      <c r="G1085" t="s">
        <v>2853</v>
      </c>
      <c r="H1085" t="s">
        <v>360</v>
      </c>
      <c r="I1085" t="s">
        <v>361</v>
      </c>
      <c r="J1085" s="11" t="str">
        <f>+LEFT(U1085,4)</f>
        <v>SKU-</v>
      </c>
      <c r="K1085" t="s">
        <v>98</v>
      </c>
      <c r="L1085">
        <v>1320</v>
      </c>
      <c r="M1085" t="s">
        <v>1472</v>
      </c>
      <c r="N1085" t="s">
        <v>11</v>
      </c>
      <c r="O1085">
        <v>5.8230000000000004</v>
      </c>
      <c r="P1085" s="45">
        <f t="shared" si="88"/>
        <v>7686.36</v>
      </c>
      <c r="Q1085" s="13">
        <f>IF(N1085="HKD",7.8,IF(N1085="CNY",7.30034,1))</f>
        <v>7.3003400000000003</v>
      </c>
      <c r="R1085" s="15">
        <f>+ROUND(O1085/Q1085,4)</f>
        <v>0.79759999999999998</v>
      </c>
      <c r="S1085" s="14">
        <f>ROUND(R1085*L1085,2)</f>
        <v>1052.83</v>
      </c>
      <c r="T1085" s="15" t="s">
        <v>349</v>
      </c>
      <c r="U1085" t="s">
        <v>2</v>
      </c>
      <c r="W1085" s="49" t="e">
        <f t="shared" si="89"/>
        <v>#DIV/0!</v>
      </c>
    </row>
    <row r="1086" spans="1:23" x14ac:dyDescent="0.2">
      <c r="A1086" t="s">
        <v>2289</v>
      </c>
      <c r="B1086" s="24">
        <v>45730</v>
      </c>
      <c r="C1086" s="24">
        <v>45630</v>
      </c>
      <c r="D1086" t="s">
        <v>94</v>
      </c>
      <c r="E1086" t="s">
        <v>95</v>
      </c>
      <c r="F1086" s="23"/>
      <c r="G1086" t="s">
        <v>2854</v>
      </c>
      <c r="H1086" t="s">
        <v>360</v>
      </c>
      <c r="I1086" t="s">
        <v>361</v>
      </c>
      <c r="J1086" s="11" t="str">
        <f>+LEFT(U1086,4)</f>
        <v>SKU-</v>
      </c>
      <c r="K1086" t="s">
        <v>98</v>
      </c>
      <c r="L1086">
        <v>7600</v>
      </c>
      <c r="M1086" t="s">
        <v>1472</v>
      </c>
      <c r="N1086" t="s">
        <v>11</v>
      </c>
      <c r="O1086">
        <v>5.8230000000000004</v>
      </c>
      <c r="P1086" s="45">
        <f t="shared" si="88"/>
        <v>44254.8</v>
      </c>
      <c r="Q1086" s="13">
        <f>IF(N1086="HKD",7.8,IF(N1086="CNY",7.30034,1))</f>
        <v>7.3003400000000003</v>
      </c>
      <c r="R1086" s="15">
        <f>+ROUND(O1086/Q1086,4)</f>
        <v>0.79759999999999998</v>
      </c>
      <c r="S1086" s="14">
        <f>ROUND(R1086*L1086,2)</f>
        <v>6061.76</v>
      </c>
      <c r="T1086" s="15" t="s">
        <v>349</v>
      </c>
      <c r="U1086" t="s">
        <v>2</v>
      </c>
      <c r="W1086" s="49" t="e">
        <f t="shared" si="89"/>
        <v>#DIV/0!</v>
      </c>
    </row>
    <row r="1087" spans="1:23" x14ac:dyDescent="0.2">
      <c r="A1087" t="s">
        <v>2054</v>
      </c>
      <c r="B1087" s="24">
        <v>45730</v>
      </c>
      <c r="C1087" s="24">
        <v>45656</v>
      </c>
      <c r="D1087" t="s">
        <v>128</v>
      </c>
      <c r="E1087" t="s">
        <v>129</v>
      </c>
      <c r="F1087" s="23"/>
      <c r="G1087" t="s">
        <v>2838</v>
      </c>
      <c r="H1087" t="s">
        <v>1762</v>
      </c>
      <c r="I1087" t="s">
        <v>1763</v>
      </c>
      <c r="J1087" s="11" t="str">
        <f>+LEFT(U1087,4)</f>
        <v>HDL-</v>
      </c>
      <c r="K1087" t="s">
        <v>10</v>
      </c>
      <c r="L1087">
        <v>3200</v>
      </c>
      <c r="M1087" t="s">
        <v>1472</v>
      </c>
      <c r="N1087" t="s">
        <v>11</v>
      </c>
      <c r="O1087">
        <v>4.5491999999999999</v>
      </c>
      <c r="P1087" s="45">
        <f t="shared" si="88"/>
        <v>14557.44</v>
      </c>
      <c r="Q1087" s="13">
        <f>IF(N1087="HKD",7.8,IF(N1087="CNY",7.30034,1))</f>
        <v>7.3003400000000003</v>
      </c>
      <c r="R1087" s="15">
        <f>+ROUND(O1087/Q1087,4)</f>
        <v>0.62309999999999999</v>
      </c>
      <c r="S1087" s="14">
        <f>ROUND(R1087*L1087,2)</f>
        <v>1993.92</v>
      </c>
      <c r="T1087" s="15" t="s">
        <v>349</v>
      </c>
      <c r="U1087" t="s">
        <v>228</v>
      </c>
      <c r="W1087" s="49" t="e">
        <f t="shared" si="89"/>
        <v>#DIV/0!</v>
      </c>
    </row>
    <row r="1088" spans="1:23" x14ac:dyDescent="0.2">
      <c r="A1088" t="s">
        <v>2317</v>
      </c>
      <c r="B1088" s="24">
        <v>45730</v>
      </c>
      <c r="C1088" s="24">
        <v>45664</v>
      </c>
      <c r="D1088" t="s">
        <v>287</v>
      </c>
      <c r="E1088" t="s">
        <v>288</v>
      </c>
      <c r="F1088" s="23"/>
      <c r="G1088" t="s">
        <v>2877</v>
      </c>
      <c r="H1088" t="s">
        <v>73</v>
      </c>
      <c r="I1088" t="s">
        <v>74</v>
      </c>
      <c r="J1088" s="11" t="str">
        <f>+LEFT(U1088,4)</f>
        <v>ANYD</v>
      </c>
      <c r="K1088" t="s">
        <v>10</v>
      </c>
      <c r="L1088">
        <v>1000</v>
      </c>
      <c r="M1088" t="s">
        <v>1472</v>
      </c>
      <c r="N1088" t="s">
        <v>11</v>
      </c>
      <c r="O1088">
        <v>8.84</v>
      </c>
      <c r="P1088" s="45">
        <f t="shared" si="88"/>
        <v>8840</v>
      </c>
      <c r="Q1088" s="13">
        <f>IF(N1088="HKD",7.8,IF(N1088="CNY",7.30034,1))</f>
        <v>7.3003400000000003</v>
      </c>
      <c r="R1088" s="15">
        <f>+ROUND(O1088/Q1088,4)</f>
        <v>1.2109000000000001</v>
      </c>
      <c r="S1088" s="14">
        <f>ROUND(R1088*L1088,2)</f>
        <v>1210.9000000000001</v>
      </c>
      <c r="T1088" s="15" t="s">
        <v>349</v>
      </c>
      <c r="U1088" t="s">
        <v>36</v>
      </c>
      <c r="W1088" s="49" t="e">
        <f t="shared" si="89"/>
        <v>#DIV/0!</v>
      </c>
    </row>
    <row r="1089" spans="1:23" x14ac:dyDescent="0.2">
      <c r="A1089" t="s">
        <v>2318</v>
      </c>
      <c r="B1089" s="24">
        <v>45730</v>
      </c>
      <c r="C1089" s="24">
        <v>45664</v>
      </c>
      <c r="D1089" t="s">
        <v>287</v>
      </c>
      <c r="E1089" t="s">
        <v>288</v>
      </c>
      <c r="F1089" s="23"/>
      <c r="G1089" t="s">
        <v>2877</v>
      </c>
      <c r="H1089" t="s">
        <v>75</v>
      </c>
      <c r="I1089" t="s">
        <v>3280</v>
      </c>
      <c r="J1089" s="11" t="str">
        <f>+LEFT(U1089,4)</f>
        <v>ANYD</v>
      </c>
      <c r="K1089" t="s">
        <v>10</v>
      </c>
      <c r="L1089">
        <v>1050</v>
      </c>
      <c r="M1089" t="s">
        <v>1472</v>
      </c>
      <c r="N1089" t="s">
        <v>11</v>
      </c>
      <c r="O1089">
        <v>9.5</v>
      </c>
      <c r="P1089" s="45">
        <f t="shared" si="88"/>
        <v>9975</v>
      </c>
      <c r="Q1089" s="13">
        <f>IF(N1089="HKD",7.8,IF(N1089="CNY",7.30034,1))</f>
        <v>7.3003400000000003</v>
      </c>
      <c r="R1089" s="15">
        <f>+ROUND(O1089/Q1089,4)</f>
        <v>1.3012999999999999</v>
      </c>
      <c r="S1089" s="14">
        <f>ROUND(R1089*L1089,2)</f>
        <v>1366.37</v>
      </c>
      <c r="T1089" s="15" t="s">
        <v>349</v>
      </c>
      <c r="U1089" t="s">
        <v>36</v>
      </c>
      <c r="W1089" s="49" t="e">
        <f t="shared" si="89"/>
        <v>#DIV/0!</v>
      </c>
    </row>
    <row r="1090" spans="1:23" x14ac:dyDescent="0.2">
      <c r="A1090" t="s">
        <v>1912</v>
      </c>
      <c r="B1090" s="24">
        <v>45730</v>
      </c>
      <c r="C1090" s="24">
        <v>45671</v>
      </c>
      <c r="D1090" t="s">
        <v>128</v>
      </c>
      <c r="E1090" t="s">
        <v>129</v>
      </c>
      <c r="F1090" s="23"/>
      <c r="G1090" t="s">
        <v>2842</v>
      </c>
      <c r="H1090" t="s">
        <v>443</v>
      </c>
      <c r="I1090" t="s">
        <v>444</v>
      </c>
      <c r="J1090" s="11" t="str">
        <f>+LEFT(U1090,4)</f>
        <v>FG--</v>
      </c>
      <c r="K1090" t="s">
        <v>10</v>
      </c>
      <c r="L1090">
        <v>5000</v>
      </c>
      <c r="M1090" t="s">
        <v>1472</v>
      </c>
      <c r="N1090" t="s">
        <v>11</v>
      </c>
      <c r="O1090">
        <v>1.0021</v>
      </c>
      <c r="P1090" s="45">
        <f t="shared" ref="P1090:P1153" si="90">ROUND(O1090*L1090,2)</f>
        <v>5010.5</v>
      </c>
      <c r="Q1090" s="13">
        <f>IF(N1090="HKD",7.8,IF(N1090="CNY",7.30034,1))</f>
        <v>7.3003400000000003</v>
      </c>
      <c r="R1090" s="15">
        <f>+ROUND(O1090/Q1090,4)</f>
        <v>0.13730000000000001</v>
      </c>
      <c r="S1090" s="14">
        <f>ROUND(R1090*L1090,2)</f>
        <v>686.5</v>
      </c>
      <c r="T1090" s="15" t="s">
        <v>349</v>
      </c>
      <c r="U1090" t="s">
        <v>64</v>
      </c>
      <c r="W1090" s="49" t="e">
        <f t="shared" ref="W1090:W1153" si="91">IF(N1090="CNY",O1090/V1090*L1090,1)</f>
        <v>#DIV/0!</v>
      </c>
    </row>
    <row r="1091" spans="1:23" x14ac:dyDescent="0.2">
      <c r="A1091" t="s">
        <v>2340</v>
      </c>
      <c r="B1091" s="24">
        <v>45730</v>
      </c>
      <c r="C1091" s="24">
        <v>45674</v>
      </c>
      <c r="D1091" t="s">
        <v>128</v>
      </c>
      <c r="E1091" t="s">
        <v>129</v>
      </c>
      <c r="F1091" s="23"/>
      <c r="G1091" t="s">
        <v>2838</v>
      </c>
      <c r="H1091" t="s">
        <v>1762</v>
      </c>
      <c r="I1091" t="s">
        <v>1763</v>
      </c>
      <c r="J1091" s="11" t="str">
        <f>+LEFT(U1091,4)</f>
        <v>HDL-</v>
      </c>
      <c r="K1091" t="s">
        <v>10</v>
      </c>
      <c r="L1091">
        <v>200</v>
      </c>
      <c r="M1091" t="s">
        <v>1472</v>
      </c>
      <c r="N1091" t="s">
        <v>11</v>
      </c>
      <c r="O1091">
        <v>4.5491999999999999</v>
      </c>
      <c r="P1091" s="45">
        <f t="shared" si="90"/>
        <v>909.84</v>
      </c>
      <c r="Q1091" s="13">
        <f>IF(N1091="HKD",7.8,IF(N1091="CNY",7.30034,1))</f>
        <v>7.3003400000000003</v>
      </c>
      <c r="R1091" s="15">
        <f>+ROUND(O1091/Q1091,4)</f>
        <v>0.62309999999999999</v>
      </c>
      <c r="S1091" s="14">
        <f>ROUND(R1091*L1091,2)</f>
        <v>124.62</v>
      </c>
      <c r="T1091" s="15" t="s">
        <v>349</v>
      </c>
      <c r="U1091" t="s">
        <v>228</v>
      </c>
      <c r="W1091" s="49" t="e">
        <f t="shared" si="91"/>
        <v>#DIV/0!</v>
      </c>
    </row>
    <row r="1092" spans="1:23" x14ac:dyDescent="0.2">
      <c r="A1092" t="s">
        <v>2341</v>
      </c>
      <c r="B1092" s="24">
        <v>45730</v>
      </c>
      <c r="C1092" s="24">
        <v>45674</v>
      </c>
      <c r="D1092" t="s">
        <v>128</v>
      </c>
      <c r="E1092" t="s">
        <v>129</v>
      </c>
      <c r="F1092" s="23"/>
      <c r="G1092" t="s">
        <v>2842</v>
      </c>
      <c r="H1092" t="s">
        <v>26</v>
      </c>
      <c r="I1092" t="s">
        <v>27</v>
      </c>
      <c r="J1092" s="11" t="str">
        <f>+LEFT(U1092,4)</f>
        <v>KNOB</v>
      </c>
      <c r="K1092" t="s">
        <v>10</v>
      </c>
      <c r="L1092">
        <v>1060</v>
      </c>
      <c r="M1092" t="s">
        <v>1472</v>
      </c>
      <c r="N1092" t="s">
        <v>11</v>
      </c>
      <c r="O1092">
        <v>2.3666999999999998</v>
      </c>
      <c r="P1092" s="45">
        <f t="shared" si="90"/>
        <v>2508.6999999999998</v>
      </c>
      <c r="Q1092" s="13">
        <f>IF(N1092="HKD",7.8,IF(N1092="CNY",7.30034,1))</f>
        <v>7.3003400000000003</v>
      </c>
      <c r="R1092" s="15">
        <f>+ROUND(O1092/Q1092,4)</f>
        <v>0.32419999999999999</v>
      </c>
      <c r="S1092" s="14">
        <f>ROUND(R1092*L1092,2)</f>
        <v>343.65</v>
      </c>
      <c r="T1092" s="15" t="s">
        <v>349</v>
      </c>
      <c r="U1092" t="s">
        <v>32</v>
      </c>
      <c r="W1092" s="49" t="e">
        <f t="shared" si="91"/>
        <v>#DIV/0!</v>
      </c>
    </row>
    <row r="1093" spans="1:23" x14ac:dyDescent="0.2">
      <c r="A1093" t="s">
        <v>2356</v>
      </c>
      <c r="B1093" s="24">
        <v>45730</v>
      </c>
      <c r="C1093" s="24">
        <v>45680</v>
      </c>
      <c r="D1093" t="s">
        <v>569</v>
      </c>
      <c r="E1093" t="s">
        <v>570</v>
      </c>
      <c r="F1093" s="23"/>
      <c r="G1093" t="s">
        <v>2903</v>
      </c>
      <c r="H1093" t="s">
        <v>1521</v>
      </c>
      <c r="I1093" t="s">
        <v>1522</v>
      </c>
      <c r="J1093" s="11" t="str">
        <f>+LEFT(U1093,4)</f>
        <v>ANYD</v>
      </c>
      <c r="K1093" t="s">
        <v>10</v>
      </c>
      <c r="L1093">
        <v>1600</v>
      </c>
      <c r="M1093" t="s">
        <v>1472</v>
      </c>
      <c r="N1093" t="s">
        <v>11</v>
      </c>
      <c r="O1093">
        <v>3.1</v>
      </c>
      <c r="P1093" s="45">
        <f t="shared" si="90"/>
        <v>4960</v>
      </c>
      <c r="Q1093" s="13">
        <f>IF(N1093="HKD",7.8,IF(N1093="CNY",7.30034,1))</f>
        <v>7.3003400000000003</v>
      </c>
      <c r="R1093" s="15">
        <f>+ROUND(O1093/Q1093,4)</f>
        <v>0.42459999999999998</v>
      </c>
      <c r="S1093" s="14">
        <f>ROUND(R1093*L1093,2)</f>
        <v>679.36</v>
      </c>
      <c r="T1093" s="15" t="s">
        <v>349</v>
      </c>
      <c r="U1093" t="s">
        <v>36</v>
      </c>
      <c r="W1093" s="49" t="e">
        <f t="shared" si="91"/>
        <v>#DIV/0!</v>
      </c>
    </row>
    <row r="1094" spans="1:23" x14ac:dyDescent="0.2">
      <c r="A1094" t="s">
        <v>2357</v>
      </c>
      <c r="B1094" s="24">
        <v>45730</v>
      </c>
      <c r="C1094" s="24">
        <v>45680</v>
      </c>
      <c r="D1094" t="s">
        <v>569</v>
      </c>
      <c r="E1094" t="s">
        <v>570</v>
      </c>
      <c r="F1094" s="23"/>
      <c r="G1094" t="s">
        <v>2903</v>
      </c>
      <c r="H1094" t="s">
        <v>567</v>
      </c>
      <c r="I1094" t="s">
        <v>568</v>
      </c>
      <c r="J1094" s="11" t="str">
        <f>+LEFT(U1094,4)</f>
        <v>ANYD</v>
      </c>
      <c r="K1094" t="s">
        <v>10</v>
      </c>
      <c r="L1094">
        <v>1200</v>
      </c>
      <c r="M1094" t="s">
        <v>1472</v>
      </c>
      <c r="N1094" t="s">
        <v>11</v>
      </c>
      <c r="O1094">
        <v>3.85</v>
      </c>
      <c r="P1094" s="45">
        <f t="shared" si="90"/>
        <v>4620</v>
      </c>
      <c r="Q1094" s="13">
        <f>IF(N1094="HKD",7.8,IF(N1094="CNY",7.30034,1))</f>
        <v>7.3003400000000003</v>
      </c>
      <c r="R1094" s="15">
        <f>+ROUND(O1094/Q1094,4)</f>
        <v>0.52739999999999998</v>
      </c>
      <c r="S1094" s="14">
        <f>ROUND(R1094*L1094,2)</f>
        <v>632.88</v>
      </c>
      <c r="T1094" s="15" t="s">
        <v>349</v>
      </c>
      <c r="U1094" t="s">
        <v>36</v>
      </c>
      <c r="W1094" s="49" t="e">
        <f t="shared" si="91"/>
        <v>#DIV/0!</v>
      </c>
    </row>
    <row r="1095" spans="1:23" x14ac:dyDescent="0.2">
      <c r="A1095" t="s">
        <v>2358</v>
      </c>
      <c r="B1095" s="24">
        <v>45730</v>
      </c>
      <c r="C1095" s="24">
        <v>45680</v>
      </c>
      <c r="D1095" t="s">
        <v>569</v>
      </c>
      <c r="E1095" t="s">
        <v>570</v>
      </c>
      <c r="F1095" s="23"/>
      <c r="G1095" t="s">
        <v>2903</v>
      </c>
      <c r="H1095" t="s">
        <v>763</v>
      </c>
      <c r="I1095" t="s">
        <v>764</v>
      </c>
      <c r="J1095" s="11" t="str">
        <f>+LEFT(U1095,4)</f>
        <v>ANYD</v>
      </c>
      <c r="K1095" t="s">
        <v>10</v>
      </c>
      <c r="L1095">
        <v>1800</v>
      </c>
      <c r="M1095" t="s">
        <v>1472</v>
      </c>
      <c r="N1095" t="s">
        <v>11</v>
      </c>
      <c r="O1095">
        <v>4.9000000000000004</v>
      </c>
      <c r="P1095" s="45">
        <f t="shared" si="90"/>
        <v>8820</v>
      </c>
      <c r="Q1095" s="13">
        <f>IF(N1095="HKD",7.8,IF(N1095="CNY",7.30034,1))</f>
        <v>7.3003400000000003</v>
      </c>
      <c r="R1095" s="15">
        <f>+ROUND(O1095/Q1095,4)</f>
        <v>0.67120000000000002</v>
      </c>
      <c r="S1095" s="14">
        <f>ROUND(R1095*L1095,2)</f>
        <v>1208.1600000000001</v>
      </c>
      <c r="T1095" s="15" t="s">
        <v>349</v>
      </c>
      <c r="U1095" t="s">
        <v>36</v>
      </c>
      <c r="W1095" s="49" t="e">
        <f t="shared" si="91"/>
        <v>#DIV/0!</v>
      </c>
    </row>
    <row r="1096" spans="1:23" x14ac:dyDescent="0.2">
      <c r="A1096" t="s">
        <v>2359</v>
      </c>
      <c r="B1096" s="24">
        <v>45730</v>
      </c>
      <c r="C1096" s="24">
        <v>45680</v>
      </c>
      <c r="D1096" t="s">
        <v>569</v>
      </c>
      <c r="E1096" t="s">
        <v>570</v>
      </c>
      <c r="F1096" s="23"/>
      <c r="G1096" t="s">
        <v>2903</v>
      </c>
      <c r="H1096" t="s">
        <v>1415</v>
      </c>
      <c r="I1096" t="s">
        <v>1416</v>
      </c>
      <c r="J1096" s="11" t="str">
        <f>+LEFT(U1096,4)</f>
        <v>ANYD</v>
      </c>
      <c r="K1096" t="s">
        <v>10</v>
      </c>
      <c r="L1096">
        <v>1500</v>
      </c>
      <c r="M1096" t="s">
        <v>1472</v>
      </c>
      <c r="N1096" t="s">
        <v>11</v>
      </c>
      <c r="O1096">
        <v>5.7</v>
      </c>
      <c r="P1096" s="45">
        <f t="shared" si="90"/>
        <v>8550</v>
      </c>
      <c r="Q1096" s="13">
        <f>IF(N1096="HKD",7.8,IF(N1096="CNY",7.30034,1))</f>
        <v>7.3003400000000003</v>
      </c>
      <c r="R1096" s="15">
        <f>+ROUND(O1096/Q1096,4)</f>
        <v>0.78080000000000005</v>
      </c>
      <c r="S1096" s="14">
        <f>ROUND(R1096*L1096,2)</f>
        <v>1171.2</v>
      </c>
      <c r="T1096" s="15" t="s">
        <v>349</v>
      </c>
      <c r="U1096" t="s">
        <v>36</v>
      </c>
      <c r="W1096" s="49" t="e">
        <f t="shared" si="91"/>
        <v>#DIV/0!</v>
      </c>
    </row>
    <row r="1097" spans="1:23" x14ac:dyDescent="0.2">
      <c r="A1097" t="s">
        <v>2364</v>
      </c>
      <c r="B1097" s="24">
        <v>45730</v>
      </c>
      <c r="C1097" s="24">
        <v>45680</v>
      </c>
      <c r="D1097" t="s">
        <v>569</v>
      </c>
      <c r="E1097" t="s">
        <v>570</v>
      </c>
      <c r="F1097" s="23"/>
      <c r="G1097" t="s">
        <v>2903</v>
      </c>
      <c r="H1097" t="s">
        <v>1508</v>
      </c>
      <c r="I1097" t="s">
        <v>1509</v>
      </c>
      <c r="J1097" s="11" t="str">
        <f>+LEFT(U1097,4)</f>
        <v>ANYD</v>
      </c>
      <c r="K1097" t="s">
        <v>10</v>
      </c>
      <c r="L1097">
        <v>1500</v>
      </c>
      <c r="M1097" t="s">
        <v>1472</v>
      </c>
      <c r="N1097" t="s">
        <v>11</v>
      </c>
      <c r="O1097">
        <v>2.75</v>
      </c>
      <c r="P1097" s="45">
        <f t="shared" si="90"/>
        <v>4125</v>
      </c>
      <c r="Q1097" s="13">
        <f>IF(N1097="HKD",7.8,IF(N1097="CNY",7.30034,1))</f>
        <v>7.3003400000000003</v>
      </c>
      <c r="R1097" s="15">
        <f>+ROUND(O1097/Q1097,4)</f>
        <v>0.37669999999999998</v>
      </c>
      <c r="S1097" s="14">
        <f>ROUND(R1097*L1097,2)</f>
        <v>565.04999999999995</v>
      </c>
      <c r="T1097" s="15" t="s">
        <v>349</v>
      </c>
      <c r="U1097" t="s">
        <v>36</v>
      </c>
      <c r="W1097" s="49" t="e">
        <f t="shared" si="91"/>
        <v>#DIV/0!</v>
      </c>
    </row>
    <row r="1098" spans="1:23" x14ac:dyDescent="0.2">
      <c r="A1098" t="s">
        <v>2374</v>
      </c>
      <c r="B1098" s="24">
        <v>45730</v>
      </c>
      <c r="C1098" s="24">
        <v>45695</v>
      </c>
      <c r="D1098" t="s">
        <v>128</v>
      </c>
      <c r="E1098" t="s">
        <v>129</v>
      </c>
      <c r="F1098" s="23"/>
      <c r="G1098" t="s">
        <v>2842</v>
      </c>
      <c r="H1098" t="s">
        <v>443</v>
      </c>
      <c r="I1098" t="s">
        <v>444</v>
      </c>
      <c r="J1098" s="11" t="str">
        <f>+LEFT(U1098,4)</f>
        <v>FG--</v>
      </c>
      <c r="K1098" t="s">
        <v>10</v>
      </c>
      <c r="L1098">
        <v>1000</v>
      </c>
      <c r="M1098" t="s">
        <v>1472</v>
      </c>
      <c r="N1098" t="s">
        <v>11</v>
      </c>
      <c r="O1098">
        <v>1.0021</v>
      </c>
      <c r="P1098" s="45">
        <f t="shared" si="90"/>
        <v>1002.1</v>
      </c>
      <c r="Q1098" s="13">
        <f>IF(N1098="HKD",7.8,IF(N1098="CNY",7.30034,1))</f>
        <v>7.3003400000000003</v>
      </c>
      <c r="R1098" s="15">
        <f>+ROUND(O1098/Q1098,4)</f>
        <v>0.13730000000000001</v>
      </c>
      <c r="S1098" s="14">
        <f>ROUND(R1098*L1098,2)</f>
        <v>137.30000000000001</v>
      </c>
      <c r="T1098" s="15" t="s">
        <v>349</v>
      </c>
      <c r="U1098" t="s">
        <v>64</v>
      </c>
      <c r="W1098" s="49" t="e">
        <f t="shared" si="91"/>
        <v>#DIV/0!</v>
      </c>
    </row>
    <row r="1099" spans="1:23" x14ac:dyDescent="0.2">
      <c r="A1099" t="s">
        <v>2381</v>
      </c>
      <c r="B1099" s="24">
        <v>45730</v>
      </c>
      <c r="C1099" s="24">
        <v>45695</v>
      </c>
      <c r="D1099" t="s">
        <v>569</v>
      </c>
      <c r="E1099" t="s">
        <v>570</v>
      </c>
      <c r="F1099" s="23"/>
      <c r="G1099" t="s">
        <v>2914</v>
      </c>
      <c r="H1099" t="s">
        <v>1408</v>
      </c>
      <c r="I1099" t="s">
        <v>1409</v>
      </c>
      <c r="J1099" s="11" t="str">
        <f>+LEFT(U1099,4)</f>
        <v>ANYD</v>
      </c>
      <c r="K1099" t="s">
        <v>10</v>
      </c>
      <c r="L1099">
        <v>2050</v>
      </c>
      <c r="M1099" t="s">
        <v>1472</v>
      </c>
      <c r="N1099" t="s">
        <v>11</v>
      </c>
      <c r="O1099">
        <v>4.8019999999999996</v>
      </c>
      <c r="P1099" s="45">
        <f t="shared" si="90"/>
        <v>9844.1</v>
      </c>
      <c r="Q1099" s="13">
        <f>IF(N1099="HKD",7.8,IF(N1099="CNY",7.30034,1))</f>
        <v>7.3003400000000003</v>
      </c>
      <c r="R1099" s="15">
        <f>+ROUND(O1099/Q1099,4)</f>
        <v>0.65780000000000005</v>
      </c>
      <c r="S1099" s="14">
        <f>ROUND(R1099*L1099,2)</f>
        <v>1348.49</v>
      </c>
      <c r="T1099" s="15" t="s">
        <v>349</v>
      </c>
      <c r="U1099" t="s">
        <v>36</v>
      </c>
      <c r="W1099" s="49" t="e">
        <f t="shared" si="91"/>
        <v>#DIV/0!</v>
      </c>
    </row>
    <row r="1100" spans="1:23" x14ac:dyDescent="0.2">
      <c r="A1100" t="s">
        <v>2382</v>
      </c>
      <c r="B1100" s="24">
        <v>45730</v>
      </c>
      <c r="C1100" s="24">
        <v>45695</v>
      </c>
      <c r="D1100" t="s">
        <v>569</v>
      </c>
      <c r="E1100" t="s">
        <v>570</v>
      </c>
      <c r="F1100" s="23"/>
      <c r="G1100" t="s">
        <v>2914</v>
      </c>
      <c r="H1100" t="s">
        <v>766</v>
      </c>
      <c r="I1100" t="s">
        <v>767</v>
      </c>
      <c r="J1100" s="11" t="str">
        <f>+LEFT(U1100,4)</f>
        <v>ANYD</v>
      </c>
      <c r="K1100" t="s">
        <v>10</v>
      </c>
      <c r="L1100">
        <v>3000</v>
      </c>
      <c r="M1100" t="s">
        <v>1472</v>
      </c>
      <c r="N1100" t="s">
        <v>11</v>
      </c>
      <c r="O1100">
        <v>5.5860000000000003</v>
      </c>
      <c r="P1100" s="45">
        <f t="shared" si="90"/>
        <v>16758</v>
      </c>
      <c r="Q1100" s="13">
        <f>IF(N1100="HKD",7.8,IF(N1100="CNY",7.30034,1))</f>
        <v>7.3003400000000003</v>
      </c>
      <c r="R1100" s="15">
        <f>+ROUND(O1100/Q1100,4)</f>
        <v>0.76519999999999999</v>
      </c>
      <c r="S1100" s="14">
        <f>ROUND(R1100*L1100,2)</f>
        <v>2295.6</v>
      </c>
      <c r="T1100" s="15" t="s">
        <v>349</v>
      </c>
      <c r="U1100" t="s">
        <v>36</v>
      </c>
      <c r="W1100" s="49" t="e">
        <f t="shared" si="91"/>
        <v>#DIV/0!</v>
      </c>
    </row>
    <row r="1101" spans="1:23" x14ac:dyDescent="0.2">
      <c r="A1101" t="s">
        <v>2383</v>
      </c>
      <c r="B1101" s="24">
        <v>45730</v>
      </c>
      <c r="C1101" s="24">
        <v>45695</v>
      </c>
      <c r="D1101" t="s">
        <v>569</v>
      </c>
      <c r="E1101" t="s">
        <v>570</v>
      </c>
      <c r="F1101" s="23"/>
      <c r="G1101" t="s">
        <v>2914</v>
      </c>
      <c r="H1101" t="s">
        <v>1405</v>
      </c>
      <c r="I1101" t="s">
        <v>1406</v>
      </c>
      <c r="J1101" s="11" t="str">
        <f>+LEFT(U1101,4)</f>
        <v>ANYD</v>
      </c>
      <c r="K1101" t="s">
        <v>10</v>
      </c>
      <c r="L1101">
        <v>2000</v>
      </c>
      <c r="M1101" t="s">
        <v>1472</v>
      </c>
      <c r="N1101" t="s">
        <v>11</v>
      </c>
      <c r="O1101">
        <v>5.5860000000000003</v>
      </c>
      <c r="P1101" s="45">
        <f t="shared" si="90"/>
        <v>11172</v>
      </c>
      <c r="Q1101" s="13">
        <f>IF(N1101="HKD",7.8,IF(N1101="CNY",7.30034,1))</f>
        <v>7.3003400000000003</v>
      </c>
      <c r="R1101" s="15">
        <f>+ROUND(O1101/Q1101,4)</f>
        <v>0.76519999999999999</v>
      </c>
      <c r="S1101" s="14">
        <f>ROUND(R1101*L1101,2)</f>
        <v>1530.4</v>
      </c>
      <c r="T1101" s="15" t="s">
        <v>349</v>
      </c>
      <c r="U1101" t="s">
        <v>36</v>
      </c>
      <c r="W1101" s="49" t="e">
        <f t="shared" si="91"/>
        <v>#DIV/0!</v>
      </c>
    </row>
    <row r="1102" spans="1:23" x14ac:dyDescent="0.2">
      <c r="A1102" t="s">
        <v>2391</v>
      </c>
      <c r="B1102" s="24">
        <v>45730</v>
      </c>
      <c r="C1102" s="24">
        <v>45695</v>
      </c>
      <c r="D1102" t="s">
        <v>287</v>
      </c>
      <c r="E1102" t="s">
        <v>288</v>
      </c>
      <c r="F1102" s="23"/>
      <c r="G1102" t="s">
        <v>2877</v>
      </c>
      <c r="H1102" t="s">
        <v>703</v>
      </c>
      <c r="I1102" t="s">
        <v>704</v>
      </c>
      <c r="J1102" s="11" t="str">
        <f>+LEFT(U1102,4)</f>
        <v>ANYD</v>
      </c>
      <c r="K1102" t="s">
        <v>10</v>
      </c>
      <c r="L1102">
        <v>1800</v>
      </c>
      <c r="M1102" t="s">
        <v>1472</v>
      </c>
      <c r="N1102" t="s">
        <v>11</v>
      </c>
      <c r="O1102">
        <v>7.5751999999999997</v>
      </c>
      <c r="P1102" s="45">
        <f t="shared" si="90"/>
        <v>13635.36</v>
      </c>
      <c r="Q1102" s="13">
        <f>IF(N1102="HKD",7.8,IF(N1102="CNY",7.30034,1))</f>
        <v>7.3003400000000003</v>
      </c>
      <c r="R1102" s="15">
        <f>+ROUND(O1102/Q1102,4)</f>
        <v>1.0377000000000001</v>
      </c>
      <c r="S1102" s="14">
        <f>ROUND(R1102*L1102,2)</f>
        <v>1867.86</v>
      </c>
      <c r="T1102" s="15" t="s">
        <v>349</v>
      </c>
      <c r="U1102" t="s">
        <v>36</v>
      </c>
      <c r="W1102" s="49" t="e">
        <f t="shared" si="91"/>
        <v>#DIV/0!</v>
      </c>
    </row>
    <row r="1103" spans="1:23" x14ac:dyDescent="0.2">
      <c r="A1103" t="s">
        <v>2405</v>
      </c>
      <c r="B1103" s="24">
        <v>45730</v>
      </c>
      <c r="C1103" s="24">
        <v>45698</v>
      </c>
      <c r="D1103" t="s">
        <v>128</v>
      </c>
      <c r="E1103" t="s">
        <v>129</v>
      </c>
      <c r="F1103" s="23"/>
      <c r="G1103" t="s">
        <v>2842</v>
      </c>
      <c r="H1103" t="s">
        <v>1587</v>
      </c>
      <c r="I1103" t="s">
        <v>1588</v>
      </c>
      <c r="J1103" s="11" t="str">
        <f>+LEFT(U1103,4)</f>
        <v>RIV-</v>
      </c>
      <c r="K1103" t="s">
        <v>10</v>
      </c>
      <c r="L1103">
        <v>3100</v>
      </c>
      <c r="M1103" t="s">
        <v>1472</v>
      </c>
      <c r="N1103" t="s">
        <v>11</v>
      </c>
      <c r="O1103">
        <v>9.6100000000000005E-2</v>
      </c>
      <c r="P1103" s="45">
        <f t="shared" si="90"/>
        <v>297.91000000000003</v>
      </c>
      <c r="Q1103" s="13">
        <f>IF(N1103="HKD",7.8,IF(N1103="CNY",7.30034,1))</f>
        <v>7.3003400000000003</v>
      </c>
      <c r="R1103" s="15">
        <f>+ROUND(O1103/Q1103,4)</f>
        <v>1.32E-2</v>
      </c>
      <c r="S1103" s="14">
        <f>ROUND(R1103*L1103,2)</f>
        <v>40.92</v>
      </c>
      <c r="T1103" s="15" t="s">
        <v>349</v>
      </c>
      <c r="U1103" t="s">
        <v>132</v>
      </c>
      <c r="W1103" s="49" t="e">
        <f t="shared" si="91"/>
        <v>#DIV/0!</v>
      </c>
    </row>
    <row r="1104" spans="1:23" x14ac:dyDescent="0.2">
      <c r="A1104" t="s">
        <v>2468</v>
      </c>
      <c r="B1104" s="24">
        <v>45730</v>
      </c>
      <c r="C1104" s="24">
        <v>45706</v>
      </c>
      <c r="D1104" t="s">
        <v>569</v>
      </c>
      <c r="E1104" t="s">
        <v>570</v>
      </c>
      <c r="F1104" s="23"/>
      <c r="G1104" t="s">
        <v>2914</v>
      </c>
      <c r="H1104" t="s">
        <v>1408</v>
      </c>
      <c r="I1104" t="s">
        <v>1409</v>
      </c>
      <c r="J1104" s="11" t="str">
        <f>+LEFT(U1104,4)</f>
        <v>ANYD</v>
      </c>
      <c r="K1104" t="s">
        <v>10</v>
      </c>
      <c r="L1104">
        <v>1700</v>
      </c>
      <c r="M1104" t="s">
        <v>1472</v>
      </c>
      <c r="N1104" t="s">
        <v>11</v>
      </c>
      <c r="O1104">
        <v>4.9000000000000004</v>
      </c>
      <c r="P1104" s="45">
        <f t="shared" si="90"/>
        <v>8330</v>
      </c>
      <c r="Q1104" s="13">
        <f>IF(N1104="HKD",7.8,IF(N1104="CNY",7.30034,1))</f>
        <v>7.3003400000000003</v>
      </c>
      <c r="R1104" s="15">
        <f>+ROUND(O1104/Q1104,4)</f>
        <v>0.67120000000000002</v>
      </c>
      <c r="S1104" s="14">
        <f>ROUND(R1104*L1104,2)</f>
        <v>1141.04</v>
      </c>
      <c r="T1104" s="15" t="s">
        <v>349</v>
      </c>
      <c r="U1104" t="s">
        <v>36</v>
      </c>
      <c r="W1104" s="49" t="e">
        <f t="shared" si="91"/>
        <v>#DIV/0!</v>
      </c>
    </row>
    <row r="1105" spans="1:23" x14ac:dyDescent="0.2">
      <c r="A1105" t="s">
        <v>2487</v>
      </c>
      <c r="B1105" s="24">
        <v>45730</v>
      </c>
      <c r="C1105" s="24">
        <v>45712</v>
      </c>
      <c r="D1105" t="s">
        <v>2257</v>
      </c>
      <c r="E1105" t="s">
        <v>2258</v>
      </c>
      <c r="F1105" s="23"/>
      <c r="G1105" t="s">
        <v>2951</v>
      </c>
      <c r="H1105" t="s">
        <v>3148</v>
      </c>
      <c r="I1105" t="s">
        <v>3358</v>
      </c>
      <c r="J1105" s="11" t="str">
        <f>+LEFT(U1105,4)</f>
        <v>HDL-</v>
      </c>
      <c r="K1105" t="s">
        <v>10</v>
      </c>
      <c r="L1105">
        <v>2500</v>
      </c>
      <c r="M1105" t="s">
        <v>1472</v>
      </c>
      <c r="N1105" t="s">
        <v>11</v>
      </c>
      <c r="O1105">
        <v>7.6459999999999999</v>
      </c>
      <c r="P1105" s="45">
        <f t="shared" si="90"/>
        <v>19115</v>
      </c>
      <c r="Q1105" s="13">
        <f>IF(N1105="HKD",7.8,IF(N1105="CNY",7.30034,1))</f>
        <v>7.3003400000000003</v>
      </c>
      <c r="R1105" s="15">
        <f>+ROUND(O1105/Q1105,4)</f>
        <v>1.0472999999999999</v>
      </c>
      <c r="S1105" s="14">
        <f>ROUND(R1105*L1105,2)</f>
        <v>2618.25</v>
      </c>
      <c r="T1105" s="15" t="s">
        <v>349</v>
      </c>
      <c r="U1105" t="s">
        <v>228</v>
      </c>
      <c r="W1105" s="49" t="e">
        <f t="shared" si="91"/>
        <v>#DIV/0!</v>
      </c>
    </row>
    <row r="1106" spans="1:23" x14ac:dyDescent="0.2">
      <c r="A1106" t="s">
        <v>2490</v>
      </c>
      <c r="B1106" s="24">
        <v>45730</v>
      </c>
      <c r="C1106" s="24">
        <v>45713</v>
      </c>
      <c r="D1106" t="s">
        <v>2257</v>
      </c>
      <c r="E1106" t="s">
        <v>2258</v>
      </c>
      <c r="F1106" s="23"/>
      <c r="G1106" t="s">
        <v>2951</v>
      </c>
      <c r="H1106" t="s">
        <v>3149</v>
      </c>
      <c r="I1106" t="s">
        <v>3359</v>
      </c>
      <c r="J1106" s="11" t="str">
        <f>+LEFT(U1106,4)</f>
        <v>HDL-</v>
      </c>
      <c r="K1106" t="s">
        <v>10</v>
      </c>
      <c r="L1106">
        <v>3400</v>
      </c>
      <c r="M1106" t="s">
        <v>1472</v>
      </c>
      <c r="N1106" t="s">
        <v>11</v>
      </c>
      <c r="O1106">
        <v>8.5710999999999995</v>
      </c>
      <c r="P1106" s="45">
        <f t="shared" si="90"/>
        <v>29141.74</v>
      </c>
      <c r="Q1106" s="13">
        <f>IF(N1106="HKD",7.8,IF(N1106="CNY",7.30034,1))</f>
        <v>7.3003400000000003</v>
      </c>
      <c r="R1106" s="15">
        <f>+ROUND(O1106/Q1106,4)</f>
        <v>1.1740999999999999</v>
      </c>
      <c r="S1106" s="14">
        <f>ROUND(R1106*L1106,2)</f>
        <v>3991.94</v>
      </c>
      <c r="T1106" s="15" t="s">
        <v>349</v>
      </c>
      <c r="U1106" t="s">
        <v>228</v>
      </c>
      <c r="W1106" s="49" t="e">
        <f t="shared" si="91"/>
        <v>#DIV/0!</v>
      </c>
    </row>
    <row r="1107" spans="1:23" x14ac:dyDescent="0.2">
      <c r="A1107" t="s">
        <v>2496</v>
      </c>
      <c r="B1107" s="24">
        <v>45730</v>
      </c>
      <c r="C1107" s="24">
        <v>45713</v>
      </c>
      <c r="D1107" t="s">
        <v>2257</v>
      </c>
      <c r="E1107" t="s">
        <v>2258</v>
      </c>
      <c r="F1107" s="23"/>
      <c r="G1107" t="s">
        <v>2951</v>
      </c>
      <c r="H1107" t="s">
        <v>3150</v>
      </c>
      <c r="I1107" t="s">
        <v>3360</v>
      </c>
      <c r="J1107" s="11" t="str">
        <f>+LEFT(U1107,4)</f>
        <v>HDL-</v>
      </c>
      <c r="K1107" t="s">
        <v>10</v>
      </c>
      <c r="L1107">
        <v>2700</v>
      </c>
      <c r="M1107" t="s">
        <v>1472</v>
      </c>
      <c r="N1107" t="s">
        <v>11</v>
      </c>
      <c r="O1107">
        <v>8.7460000000000004</v>
      </c>
      <c r="P1107" s="45">
        <f t="shared" si="90"/>
        <v>23614.2</v>
      </c>
      <c r="Q1107" s="13">
        <f>IF(N1107="HKD",7.8,IF(N1107="CNY",7.30034,1))</f>
        <v>7.3003400000000003</v>
      </c>
      <c r="R1107" s="15">
        <f>+ROUND(O1107/Q1107,4)</f>
        <v>1.198</v>
      </c>
      <c r="S1107" s="14">
        <f>ROUND(R1107*L1107,2)</f>
        <v>3234.6</v>
      </c>
      <c r="T1107" s="15" t="s">
        <v>349</v>
      </c>
      <c r="U1107" t="s">
        <v>228</v>
      </c>
      <c r="W1107" s="49" t="e">
        <f t="shared" si="91"/>
        <v>#DIV/0!</v>
      </c>
    </row>
    <row r="1108" spans="1:23" x14ac:dyDescent="0.2">
      <c r="A1108" t="s">
        <v>2502</v>
      </c>
      <c r="B1108" s="24">
        <v>45730</v>
      </c>
      <c r="C1108" s="24">
        <v>45713</v>
      </c>
      <c r="D1108" t="s">
        <v>2257</v>
      </c>
      <c r="E1108" t="s">
        <v>2258</v>
      </c>
      <c r="F1108" s="23"/>
      <c r="G1108" t="s">
        <v>2951</v>
      </c>
      <c r="H1108" t="s">
        <v>3151</v>
      </c>
      <c r="I1108" t="s">
        <v>3361</v>
      </c>
      <c r="J1108" s="11" t="str">
        <f>+LEFT(U1108,4)</f>
        <v>HDL-</v>
      </c>
      <c r="K1108" t="s">
        <v>10</v>
      </c>
      <c r="L1108">
        <v>600</v>
      </c>
      <c r="M1108" t="s">
        <v>1472</v>
      </c>
      <c r="N1108" t="s">
        <v>11</v>
      </c>
      <c r="O1108">
        <v>8.7460000000000004</v>
      </c>
      <c r="P1108" s="45">
        <f t="shared" si="90"/>
        <v>5247.6</v>
      </c>
      <c r="Q1108" s="13">
        <f>IF(N1108="HKD",7.8,IF(N1108="CNY",7.30034,1))</f>
        <v>7.3003400000000003</v>
      </c>
      <c r="R1108" s="15">
        <f>+ROUND(O1108/Q1108,4)</f>
        <v>1.198</v>
      </c>
      <c r="S1108" s="14">
        <f>ROUND(R1108*L1108,2)</f>
        <v>718.8</v>
      </c>
      <c r="T1108" s="15" t="s">
        <v>349</v>
      </c>
      <c r="U1108" t="s">
        <v>228</v>
      </c>
      <c r="W1108" s="49" t="e">
        <f t="shared" si="91"/>
        <v>#DIV/0!</v>
      </c>
    </row>
    <row r="1109" spans="1:23" x14ac:dyDescent="0.2">
      <c r="A1109" t="s">
        <v>2536</v>
      </c>
      <c r="B1109" s="24">
        <v>45730</v>
      </c>
      <c r="C1109" s="24">
        <v>45714</v>
      </c>
      <c r="D1109" t="s">
        <v>94</v>
      </c>
      <c r="E1109" t="s">
        <v>95</v>
      </c>
      <c r="F1109" s="23"/>
      <c r="G1109" t="s">
        <v>2978</v>
      </c>
      <c r="H1109" t="s">
        <v>3165</v>
      </c>
      <c r="I1109" t="s">
        <v>3375</v>
      </c>
      <c r="J1109" s="11" t="str">
        <f>+LEFT(U1109,4)</f>
        <v>LID-</v>
      </c>
      <c r="K1109" t="s">
        <v>98</v>
      </c>
      <c r="L1109">
        <v>1080</v>
      </c>
      <c r="M1109" t="s">
        <v>1472</v>
      </c>
      <c r="N1109" t="s">
        <v>11</v>
      </c>
      <c r="O1109">
        <v>4.37</v>
      </c>
      <c r="P1109" s="45">
        <f t="shared" si="90"/>
        <v>4719.6000000000004</v>
      </c>
      <c r="Q1109" s="13">
        <f>IF(N1109="HKD",7.8,IF(N1109="CNY",7.30034,1))</f>
        <v>7.3003400000000003</v>
      </c>
      <c r="R1109" s="15">
        <f>+ROUND(O1109/Q1109,4)</f>
        <v>0.59860000000000002</v>
      </c>
      <c r="S1109" s="14">
        <f>ROUND(R1109*L1109,2)</f>
        <v>646.49</v>
      </c>
      <c r="T1109" s="15" t="s">
        <v>349</v>
      </c>
      <c r="U1109" t="s">
        <v>368</v>
      </c>
      <c r="W1109" s="49" t="e">
        <f t="shared" si="91"/>
        <v>#DIV/0!</v>
      </c>
    </row>
    <row r="1110" spans="1:23" x14ac:dyDescent="0.2">
      <c r="A1110" t="s">
        <v>2544</v>
      </c>
      <c r="B1110" s="24">
        <v>45730</v>
      </c>
      <c r="C1110" s="24">
        <v>45714</v>
      </c>
      <c r="D1110" t="s">
        <v>545</v>
      </c>
      <c r="E1110" t="s">
        <v>546</v>
      </c>
      <c r="F1110" s="23"/>
      <c r="G1110" t="s">
        <v>2989</v>
      </c>
      <c r="H1110" t="s">
        <v>553</v>
      </c>
      <c r="I1110" t="s">
        <v>554</v>
      </c>
      <c r="J1110" s="11" t="str">
        <f>+LEFT(U1110,4)</f>
        <v>WHR-</v>
      </c>
      <c r="K1110" t="s">
        <v>10</v>
      </c>
      <c r="L1110">
        <v>3500</v>
      </c>
      <c r="M1110" t="s">
        <v>1472</v>
      </c>
      <c r="N1110" t="s">
        <v>11</v>
      </c>
      <c r="O1110">
        <v>8.5000000000000006E-2</v>
      </c>
      <c r="P1110" s="45">
        <f t="shared" si="90"/>
        <v>297.5</v>
      </c>
      <c r="Q1110" s="13">
        <f>IF(N1110="HKD",7.8,IF(N1110="CNY",7.30034,1))</f>
        <v>7.3003400000000003</v>
      </c>
      <c r="R1110" s="15">
        <f>+ROUND(O1110/Q1110,4)</f>
        <v>1.1599999999999999E-2</v>
      </c>
      <c r="S1110" s="14">
        <f>ROUND(R1110*L1110,2)</f>
        <v>40.6</v>
      </c>
      <c r="T1110" s="15" t="s">
        <v>349</v>
      </c>
      <c r="U1110" t="s">
        <v>248</v>
      </c>
      <c r="W1110" s="49" t="e">
        <f t="shared" si="91"/>
        <v>#DIV/0!</v>
      </c>
    </row>
    <row r="1111" spans="1:23" x14ac:dyDescent="0.2">
      <c r="A1111" t="s">
        <v>2546</v>
      </c>
      <c r="B1111" s="24">
        <v>45730</v>
      </c>
      <c r="C1111" s="24">
        <v>45716</v>
      </c>
      <c r="D1111" t="s">
        <v>2825</v>
      </c>
      <c r="E1111" t="s">
        <v>2826</v>
      </c>
      <c r="F1111" s="23"/>
      <c r="G1111" t="s">
        <v>2991</v>
      </c>
      <c r="H1111" t="s">
        <v>3168</v>
      </c>
      <c r="I1111" t="s">
        <v>3378</v>
      </c>
      <c r="J1111" s="11" t="str">
        <f>+LEFT(U1111,4)</f>
        <v>CDM-</v>
      </c>
      <c r="K1111" t="s">
        <v>10</v>
      </c>
      <c r="L1111">
        <v>550</v>
      </c>
      <c r="M1111" t="s">
        <v>1472</v>
      </c>
      <c r="N1111" t="s">
        <v>11</v>
      </c>
      <c r="O1111">
        <v>43.610599999999998</v>
      </c>
      <c r="P1111" s="45">
        <f t="shared" si="90"/>
        <v>23985.83</v>
      </c>
      <c r="Q1111" s="13">
        <f>IF(N1111="HKD",7.8,IF(N1111="CNY",7.30034,1))</f>
        <v>7.3003400000000003</v>
      </c>
      <c r="R1111" s="15">
        <f>+ROUND(O1111/Q1111,4)</f>
        <v>5.9737999999999998</v>
      </c>
      <c r="S1111" s="14">
        <f>ROUND(R1111*L1111,2)</f>
        <v>3285.59</v>
      </c>
      <c r="T1111" s="15" t="s">
        <v>349</v>
      </c>
      <c r="U1111" t="s">
        <v>3484</v>
      </c>
      <c r="W1111" s="49" t="e">
        <f t="shared" si="91"/>
        <v>#DIV/0!</v>
      </c>
    </row>
    <row r="1112" spans="1:23" x14ac:dyDescent="0.2">
      <c r="A1112" t="s">
        <v>2289</v>
      </c>
      <c r="B1112" s="24">
        <v>45733</v>
      </c>
      <c r="C1112" s="24">
        <v>45630</v>
      </c>
      <c r="D1112" t="s">
        <v>94</v>
      </c>
      <c r="E1112" t="s">
        <v>95</v>
      </c>
      <c r="F1112" s="23"/>
      <c r="G1112" t="s">
        <v>2852</v>
      </c>
      <c r="H1112" t="s">
        <v>360</v>
      </c>
      <c r="I1112" t="s">
        <v>361</v>
      </c>
      <c r="J1112" s="11" t="str">
        <f>+LEFT(U1112,4)</f>
        <v>SKU-</v>
      </c>
      <c r="K1112" t="s">
        <v>98</v>
      </c>
      <c r="L1112">
        <v>2380</v>
      </c>
      <c r="M1112" t="s">
        <v>1472</v>
      </c>
      <c r="N1112" t="s">
        <v>11</v>
      </c>
      <c r="O1112">
        <v>5.8230000000000004</v>
      </c>
      <c r="P1112" s="45">
        <f t="shared" si="90"/>
        <v>13858.74</v>
      </c>
      <c r="Q1112" s="13">
        <f>IF(N1112="HKD",7.8,IF(N1112="CNY",7.30034,1))</f>
        <v>7.3003400000000003</v>
      </c>
      <c r="R1112" s="15">
        <f>+ROUND(O1112/Q1112,4)</f>
        <v>0.79759999999999998</v>
      </c>
      <c r="S1112" s="14">
        <f>ROUND(R1112*L1112,2)</f>
        <v>1898.29</v>
      </c>
      <c r="T1112" s="15" t="s">
        <v>349</v>
      </c>
      <c r="U1112" t="s">
        <v>2</v>
      </c>
      <c r="W1112" s="49" t="e">
        <f t="shared" si="91"/>
        <v>#DIV/0!</v>
      </c>
    </row>
    <row r="1113" spans="1:23" x14ac:dyDescent="0.2">
      <c r="A1113" t="s">
        <v>2295</v>
      </c>
      <c r="B1113" s="24">
        <v>45733</v>
      </c>
      <c r="C1113" s="24">
        <v>45646</v>
      </c>
      <c r="D1113" t="s">
        <v>94</v>
      </c>
      <c r="E1113" t="s">
        <v>95</v>
      </c>
      <c r="F1113" s="23"/>
      <c r="G1113" t="s">
        <v>2852</v>
      </c>
      <c r="H1113" t="s">
        <v>360</v>
      </c>
      <c r="I1113" t="s">
        <v>361</v>
      </c>
      <c r="J1113" s="11" t="str">
        <f>+LEFT(U1113,4)</f>
        <v>SKU-</v>
      </c>
      <c r="K1113" t="s">
        <v>98</v>
      </c>
      <c r="L1113">
        <v>6000</v>
      </c>
      <c r="M1113" t="s">
        <v>1472</v>
      </c>
      <c r="N1113" t="s">
        <v>11</v>
      </c>
      <c r="O1113">
        <v>5.8230000000000004</v>
      </c>
      <c r="P1113" s="45">
        <f t="shared" si="90"/>
        <v>34938</v>
      </c>
      <c r="Q1113" s="13">
        <f>IF(N1113="HKD",7.8,IF(N1113="CNY",7.30034,1))</f>
        <v>7.3003400000000003</v>
      </c>
      <c r="R1113" s="15">
        <f>+ROUND(O1113/Q1113,4)</f>
        <v>0.79759999999999998</v>
      </c>
      <c r="S1113" s="14">
        <f>ROUND(R1113*L1113,2)</f>
        <v>4785.6000000000004</v>
      </c>
      <c r="T1113" s="15" t="s">
        <v>349</v>
      </c>
      <c r="U1113" t="s">
        <v>2</v>
      </c>
      <c r="W1113" s="49" t="e">
        <f t="shared" si="91"/>
        <v>#DIV/0!</v>
      </c>
    </row>
    <row r="1114" spans="1:23" x14ac:dyDescent="0.2">
      <c r="A1114" t="s">
        <v>2374</v>
      </c>
      <c r="B1114" s="24">
        <v>45733</v>
      </c>
      <c r="C1114" s="24">
        <v>45695</v>
      </c>
      <c r="D1114" t="s">
        <v>128</v>
      </c>
      <c r="E1114" t="s">
        <v>129</v>
      </c>
      <c r="F1114" s="23"/>
      <c r="G1114" t="s">
        <v>2910</v>
      </c>
      <c r="H1114" t="s">
        <v>443</v>
      </c>
      <c r="I1114" t="s">
        <v>444</v>
      </c>
      <c r="J1114" s="11" t="str">
        <f>+LEFT(U1114,4)</f>
        <v>FG--</v>
      </c>
      <c r="K1114" t="s">
        <v>10</v>
      </c>
      <c r="L1114">
        <v>3000</v>
      </c>
      <c r="M1114" t="s">
        <v>1472</v>
      </c>
      <c r="N1114" t="s">
        <v>11</v>
      </c>
      <c r="O1114">
        <v>1.0021</v>
      </c>
      <c r="P1114" s="45">
        <f t="shared" si="90"/>
        <v>3006.3</v>
      </c>
      <c r="Q1114" s="13">
        <f>IF(N1114="HKD",7.8,IF(N1114="CNY",7.30034,1))</f>
        <v>7.3003400000000003</v>
      </c>
      <c r="R1114" s="15">
        <f>+ROUND(O1114/Q1114,4)</f>
        <v>0.13730000000000001</v>
      </c>
      <c r="S1114" s="14">
        <f>ROUND(R1114*L1114,2)</f>
        <v>411.9</v>
      </c>
      <c r="T1114" s="15" t="s">
        <v>349</v>
      </c>
      <c r="U1114" t="s">
        <v>64</v>
      </c>
      <c r="W1114" s="49" t="e">
        <f t="shared" si="91"/>
        <v>#DIV/0!</v>
      </c>
    </row>
    <row r="1115" spans="1:23" x14ac:dyDescent="0.2">
      <c r="A1115" t="s">
        <v>2413</v>
      </c>
      <c r="B1115" s="24">
        <v>45733</v>
      </c>
      <c r="C1115" s="24">
        <v>45702</v>
      </c>
      <c r="D1115" t="s">
        <v>372</v>
      </c>
      <c r="E1115" t="s">
        <v>373</v>
      </c>
      <c r="F1115" s="23"/>
      <c r="G1115" t="s">
        <v>2928</v>
      </c>
      <c r="H1115" t="s">
        <v>3104</v>
      </c>
      <c r="I1115" t="s">
        <v>3319</v>
      </c>
      <c r="J1115" s="11" t="str">
        <f>+LEFT(U1115,4)</f>
        <v>FG--</v>
      </c>
      <c r="K1115" t="s">
        <v>98</v>
      </c>
      <c r="L1115">
        <v>1030</v>
      </c>
      <c r="M1115" t="s">
        <v>1472</v>
      </c>
      <c r="N1115" t="s">
        <v>11</v>
      </c>
      <c r="O1115">
        <v>0.99399999999999999</v>
      </c>
      <c r="P1115" s="45">
        <f t="shared" si="90"/>
        <v>1023.82</v>
      </c>
      <c r="Q1115" s="13">
        <f>IF(N1115="HKD",7.8,IF(N1115="CNY",7.30034,1))</f>
        <v>7.3003400000000003</v>
      </c>
      <c r="R1115" s="15">
        <f>+ROUND(O1115/Q1115,4)</f>
        <v>0.13619999999999999</v>
      </c>
      <c r="S1115" s="14">
        <f>ROUND(R1115*L1115,2)</f>
        <v>140.29</v>
      </c>
      <c r="T1115" s="15" t="s">
        <v>349</v>
      </c>
      <c r="U1115" t="s">
        <v>64</v>
      </c>
      <c r="W1115" s="49" t="e">
        <f t="shared" si="91"/>
        <v>#DIV/0!</v>
      </c>
    </row>
    <row r="1116" spans="1:23" x14ac:dyDescent="0.2">
      <c r="A1116" t="s">
        <v>2427</v>
      </c>
      <c r="B1116" s="24">
        <v>45733</v>
      </c>
      <c r="C1116" s="24">
        <v>45702</v>
      </c>
      <c r="D1116" t="s">
        <v>651</v>
      </c>
      <c r="E1116" t="s">
        <v>652</v>
      </c>
      <c r="F1116" s="23"/>
      <c r="G1116" t="s">
        <v>2931</v>
      </c>
      <c r="H1116" t="s">
        <v>3116</v>
      </c>
      <c r="I1116" t="s">
        <v>3330</v>
      </c>
      <c r="J1116" s="11" t="str">
        <f>+LEFT(U1116,4)</f>
        <v>HDL-</v>
      </c>
      <c r="K1116" t="s">
        <v>10</v>
      </c>
      <c r="L1116">
        <v>4050</v>
      </c>
      <c r="M1116" t="s">
        <v>1472</v>
      </c>
      <c r="N1116" t="s">
        <v>11</v>
      </c>
      <c r="O1116">
        <v>1.7248000000000001</v>
      </c>
      <c r="P1116" s="45">
        <f t="shared" si="90"/>
        <v>6985.44</v>
      </c>
      <c r="Q1116" s="13">
        <f>IF(N1116="HKD",7.8,IF(N1116="CNY",7.30034,1))</f>
        <v>7.3003400000000003</v>
      </c>
      <c r="R1116" s="15">
        <f>+ROUND(O1116/Q1116,4)</f>
        <v>0.23630000000000001</v>
      </c>
      <c r="S1116" s="14">
        <f>ROUND(R1116*L1116,2)</f>
        <v>957.02</v>
      </c>
      <c r="T1116" s="15" t="s">
        <v>349</v>
      </c>
      <c r="U1116" t="s">
        <v>228</v>
      </c>
      <c r="W1116" s="49" t="e">
        <f t="shared" si="91"/>
        <v>#DIV/0!</v>
      </c>
    </row>
    <row r="1117" spans="1:23" x14ac:dyDescent="0.2">
      <c r="A1117" t="s">
        <v>2437</v>
      </c>
      <c r="B1117" s="24">
        <v>45733</v>
      </c>
      <c r="C1117" s="24">
        <v>45702</v>
      </c>
      <c r="D1117" t="s">
        <v>28</v>
      </c>
      <c r="E1117" t="s">
        <v>29</v>
      </c>
      <c r="F1117" s="23"/>
      <c r="G1117" t="s">
        <v>2936</v>
      </c>
      <c r="H1117" t="s">
        <v>3126</v>
      </c>
      <c r="I1117" t="s">
        <v>3336</v>
      </c>
      <c r="J1117" s="11" t="str">
        <f>+LEFT(U1117,4)</f>
        <v>LHDL</v>
      </c>
      <c r="K1117" t="s">
        <v>10</v>
      </c>
      <c r="L1117">
        <v>530</v>
      </c>
      <c r="M1117" t="s">
        <v>1472</v>
      </c>
      <c r="N1117" t="s">
        <v>11</v>
      </c>
      <c r="O1117">
        <v>2.1898</v>
      </c>
      <c r="P1117" s="45">
        <f t="shared" si="90"/>
        <v>1160.5899999999999</v>
      </c>
      <c r="Q1117" s="13">
        <f>IF(N1117="HKD",7.8,IF(N1117="CNY",7.30034,1))</f>
        <v>7.3003400000000003</v>
      </c>
      <c r="R1117" s="15">
        <f>+ROUND(O1117/Q1117,4)</f>
        <v>0.3</v>
      </c>
      <c r="S1117" s="14">
        <f>ROUND(R1117*L1117,2)</f>
        <v>159</v>
      </c>
      <c r="T1117" s="15" t="s">
        <v>349</v>
      </c>
      <c r="U1117" t="s">
        <v>125</v>
      </c>
      <c r="W1117" s="49" t="e">
        <f t="shared" si="91"/>
        <v>#DIV/0!</v>
      </c>
    </row>
    <row r="1118" spans="1:23" x14ac:dyDescent="0.2">
      <c r="A1118" t="s">
        <v>2438</v>
      </c>
      <c r="B1118" s="24">
        <v>45733</v>
      </c>
      <c r="C1118" s="24">
        <v>45702</v>
      </c>
      <c r="D1118" t="s">
        <v>28</v>
      </c>
      <c r="E1118" t="s">
        <v>29</v>
      </c>
      <c r="F1118" s="23"/>
      <c r="G1118" t="s">
        <v>2936</v>
      </c>
      <c r="H1118" t="s">
        <v>3127</v>
      </c>
      <c r="I1118" t="s">
        <v>3337</v>
      </c>
      <c r="J1118" s="11" t="str">
        <f>+LEFT(U1118,4)</f>
        <v>SHDL</v>
      </c>
      <c r="K1118" t="s">
        <v>10</v>
      </c>
      <c r="L1118">
        <v>1040</v>
      </c>
      <c r="M1118" t="s">
        <v>1472</v>
      </c>
      <c r="N1118" t="s">
        <v>11</v>
      </c>
      <c r="O1118">
        <v>2.4588000000000001</v>
      </c>
      <c r="P1118" s="45">
        <f t="shared" si="90"/>
        <v>2557.15</v>
      </c>
      <c r="Q1118" s="13">
        <f>IF(N1118="HKD",7.8,IF(N1118="CNY",7.30034,1))</f>
        <v>7.3003400000000003</v>
      </c>
      <c r="R1118" s="15">
        <f>+ROUND(O1118/Q1118,4)</f>
        <v>0.33679999999999999</v>
      </c>
      <c r="S1118" s="14">
        <f>ROUND(R1118*L1118,2)</f>
        <v>350.27</v>
      </c>
      <c r="T1118" s="15" t="s">
        <v>349</v>
      </c>
      <c r="U1118" t="s">
        <v>722</v>
      </c>
      <c r="W1118" s="49" t="e">
        <f t="shared" si="91"/>
        <v>#DIV/0!</v>
      </c>
    </row>
    <row r="1119" spans="1:23" x14ac:dyDescent="0.2">
      <c r="A1119" t="s">
        <v>2439</v>
      </c>
      <c r="B1119" s="24">
        <v>45733</v>
      </c>
      <c r="C1119" s="24">
        <v>45702</v>
      </c>
      <c r="D1119" t="s">
        <v>28</v>
      </c>
      <c r="E1119" t="s">
        <v>29</v>
      </c>
      <c r="F1119" s="23"/>
      <c r="G1119" t="s">
        <v>2936</v>
      </c>
      <c r="H1119" t="s">
        <v>1175</v>
      </c>
      <c r="I1119" t="s">
        <v>1176</v>
      </c>
      <c r="J1119" s="11" t="str">
        <f>+LEFT(U1119,4)</f>
        <v>MISC</v>
      </c>
      <c r="K1119" t="s">
        <v>10</v>
      </c>
      <c r="L1119">
        <v>4320</v>
      </c>
      <c r="M1119" t="s">
        <v>1472</v>
      </c>
      <c r="N1119" t="s">
        <v>11</v>
      </c>
      <c r="O1119">
        <v>0.18160000000000001</v>
      </c>
      <c r="P1119" s="45">
        <f t="shared" si="90"/>
        <v>784.51</v>
      </c>
      <c r="Q1119" s="13">
        <f>IF(N1119="HKD",7.8,IF(N1119="CNY",7.30034,1))</f>
        <v>7.3003400000000003</v>
      </c>
      <c r="R1119" s="15">
        <f>+ROUND(O1119/Q1119,4)</f>
        <v>2.4899999999999999E-2</v>
      </c>
      <c r="S1119" s="14">
        <f>ROUND(R1119*L1119,2)</f>
        <v>107.57</v>
      </c>
      <c r="T1119" s="15" t="s">
        <v>349</v>
      </c>
      <c r="U1119" t="s">
        <v>25</v>
      </c>
      <c r="W1119" s="49" t="e">
        <f t="shared" si="91"/>
        <v>#DIV/0!</v>
      </c>
    </row>
    <row r="1120" spans="1:23" x14ac:dyDescent="0.2">
      <c r="A1120" t="s">
        <v>2449</v>
      </c>
      <c r="B1120" s="24">
        <v>45733</v>
      </c>
      <c r="C1120" s="24">
        <v>45702</v>
      </c>
      <c r="D1120" t="s">
        <v>2247</v>
      </c>
      <c r="E1120" t="s">
        <v>2248</v>
      </c>
      <c r="F1120" s="23"/>
      <c r="G1120" t="s">
        <v>2940</v>
      </c>
      <c r="H1120" t="s">
        <v>3135</v>
      </c>
      <c r="I1120" t="s">
        <v>3345</v>
      </c>
      <c r="J1120" s="11" t="str">
        <f>+LEFT(U1120,4)</f>
        <v>HDL-</v>
      </c>
      <c r="K1120" t="s">
        <v>10</v>
      </c>
      <c r="L1120">
        <v>1010</v>
      </c>
      <c r="M1120" t="s">
        <v>1472</v>
      </c>
      <c r="N1120" t="s">
        <v>11</v>
      </c>
      <c r="O1120">
        <v>4.3320999999999996</v>
      </c>
      <c r="P1120" s="45">
        <f t="shared" si="90"/>
        <v>4375.42</v>
      </c>
      <c r="Q1120" s="13">
        <f>IF(N1120="HKD",7.8,IF(N1120="CNY",7.30034,1))</f>
        <v>7.3003400000000003</v>
      </c>
      <c r="R1120" s="15">
        <f>+ROUND(O1120/Q1120,4)</f>
        <v>0.59340000000000004</v>
      </c>
      <c r="S1120" s="14">
        <f>ROUND(R1120*L1120,2)</f>
        <v>599.33000000000004</v>
      </c>
      <c r="T1120" s="15" t="s">
        <v>349</v>
      </c>
      <c r="U1120" t="s">
        <v>228</v>
      </c>
      <c r="W1120" s="49" t="e">
        <f t="shared" si="91"/>
        <v>#DIV/0!</v>
      </c>
    </row>
    <row r="1121" spans="1:23" x14ac:dyDescent="0.2">
      <c r="A1121" t="s">
        <v>2450</v>
      </c>
      <c r="B1121" s="24">
        <v>45733</v>
      </c>
      <c r="C1121" s="24">
        <v>45702</v>
      </c>
      <c r="D1121" t="s">
        <v>2247</v>
      </c>
      <c r="E1121" t="s">
        <v>2248</v>
      </c>
      <c r="F1121" s="23"/>
      <c r="G1121" t="s">
        <v>2940</v>
      </c>
      <c r="H1121" t="s">
        <v>3136</v>
      </c>
      <c r="I1121" t="s">
        <v>3346</v>
      </c>
      <c r="J1121" s="11" t="str">
        <f>+LEFT(U1121,4)</f>
        <v>HDL-</v>
      </c>
      <c r="K1121" t="s">
        <v>10</v>
      </c>
      <c r="L1121">
        <v>1000</v>
      </c>
      <c r="M1121" t="s">
        <v>1472</v>
      </c>
      <c r="N1121" t="s">
        <v>11</v>
      </c>
      <c r="O1121">
        <v>4.7900999999999998</v>
      </c>
      <c r="P1121" s="45">
        <f t="shared" si="90"/>
        <v>4790.1000000000004</v>
      </c>
      <c r="Q1121" s="13">
        <f>IF(N1121="HKD",7.8,IF(N1121="CNY",7.30034,1))</f>
        <v>7.3003400000000003</v>
      </c>
      <c r="R1121" s="15">
        <f>+ROUND(O1121/Q1121,4)</f>
        <v>0.65610000000000002</v>
      </c>
      <c r="S1121" s="14">
        <f>ROUND(R1121*L1121,2)</f>
        <v>656.1</v>
      </c>
      <c r="T1121" s="15" t="s">
        <v>349</v>
      </c>
      <c r="U1121" t="s">
        <v>228</v>
      </c>
      <c r="W1121" s="49" t="e">
        <f t="shared" si="91"/>
        <v>#DIV/0!</v>
      </c>
    </row>
    <row r="1122" spans="1:23" x14ac:dyDescent="0.2">
      <c r="A1122" t="s">
        <v>2451</v>
      </c>
      <c r="B1122" s="24">
        <v>45733</v>
      </c>
      <c r="C1122" s="24">
        <v>45702</v>
      </c>
      <c r="D1122" t="s">
        <v>2247</v>
      </c>
      <c r="E1122" t="s">
        <v>2248</v>
      </c>
      <c r="F1122" s="23"/>
      <c r="G1122" t="s">
        <v>2940</v>
      </c>
      <c r="H1122" t="s">
        <v>3137</v>
      </c>
      <c r="I1122" t="s">
        <v>3347</v>
      </c>
      <c r="J1122" s="11" t="str">
        <f>+LEFT(U1122,4)</f>
        <v>HDL-</v>
      </c>
      <c r="K1122" t="s">
        <v>10</v>
      </c>
      <c r="L1122">
        <v>1020</v>
      </c>
      <c r="M1122" t="s">
        <v>1472</v>
      </c>
      <c r="N1122" t="s">
        <v>11</v>
      </c>
      <c r="O1122">
        <v>4.7900999999999998</v>
      </c>
      <c r="P1122" s="45">
        <f t="shared" si="90"/>
        <v>4885.8999999999996</v>
      </c>
      <c r="Q1122" s="13">
        <f>IF(N1122="HKD",7.8,IF(N1122="CNY",7.30034,1))</f>
        <v>7.3003400000000003</v>
      </c>
      <c r="R1122" s="15">
        <f>+ROUND(O1122/Q1122,4)</f>
        <v>0.65610000000000002</v>
      </c>
      <c r="S1122" s="14">
        <f>ROUND(R1122*L1122,2)</f>
        <v>669.22</v>
      </c>
      <c r="T1122" s="15" t="s">
        <v>349</v>
      </c>
      <c r="U1122" t="s">
        <v>228</v>
      </c>
      <c r="W1122" s="49" t="e">
        <f t="shared" si="91"/>
        <v>#DIV/0!</v>
      </c>
    </row>
    <row r="1123" spans="1:23" x14ac:dyDescent="0.2">
      <c r="A1123" t="s">
        <v>2470</v>
      </c>
      <c r="B1123" s="24">
        <v>45733</v>
      </c>
      <c r="C1123" s="24">
        <v>45707</v>
      </c>
      <c r="D1123" t="s">
        <v>287</v>
      </c>
      <c r="E1123" t="s">
        <v>288</v>
      </c>
      <c r="F1123" s="23"/>
      <c r="G1123" t="s">
        <v>2946</v>
      </c>
      <c r="H1123" t="s">
        <v>73</v>
      </c>
      <c r="I1123" t="s">
        <v>74</v>
      </c>
      <c r="J1123" s="11" t="str">
        <f>+LEFT(U1123,4)</f>
        <v>ANYD</v>
      </c>
      <c r="K1123" t="s">
        <v>10</v>
      </c>
      <c r="L1123">
        <v>1050</v>
      </c>
      <c r="M1123" t="s">
        <v>1472</v>
      </c>
      <c r="N1123" t="s">
        <v>11</v>
      </c>
      <c r="O1123">
        <v>8.84</v>
      </c>
      <c r="P1123" s="45">
        <f t="shared" si="90"/>
        <v>9282</v>
      </c>
      <c r="Q1123" s="13">
        <f>IF(N1123="HKD",7.8,IF(N1123="CNY",7.30034,1))</f>
        <v>7.3003400000000003</v>
      </c>
      <c r="R1123" s="15">
        <f>+ROUND(O1123/Q1123,4)</f>
        <v>1.2109000000000001</v>
      </c>
      <c r="S1123" s="14">
        <f>ROUND(R1123*L1123,2)</f>
        <v>1271.45</v>
      </c>
      <c r="T1123" s="15" t="s">
        <v>349</v>
      </c>
      <c r="U1123" t="s">
        <v>36</v>
      </c>
      <c r="W1123" s="49" t="e">
        <f t="shared" si="91"/>
        <v>#DIV/0!</v>
      </c>
    </row>
    <row r="1124" spans="1:23" x14ac:dyDescent="0.2">
      <c r="A1124" t="s">
        <v>2471</v>
      </c>
      <c r="B1124" s="24">
        <v>45733</v>
      </c>
      <c r="C1124" s="24">
        <v>45707</v>
      </c>
      <c r="D1124" t="s">
        <v>287</v>
      </c>
      <c r="E1124" t="s">
        <v>288</v>
      </c>
      <c r="F1124" s="23"/>
      <c r="G1124" t="s">
        <v>2946</v>
      </c>
      <c r="H1124" t="s">
        <v>75</v>
      </c>
      <c r="I1124" t="s">
        <v>3280</v>
      </c>
      <c r="J1124" s="11" t="str">
        <f>+LEFT(U1124,4)</f>
        <v>ANYD</v>
      </c>
      <c r="K1124" t="s">
        <v>10</v>
      </c>
      <c r="L1124">
        <v>1050</v>
      </c>
      <c r="M1124" t="s">
        <v>1472</v>
      </c>
      <c r="N1124" t="s">
        <v>11</v>
      </c>
      <c r="O1124">
        <v>9.5</v>
      </c>
      <c r="P1124" s="45">
        <f t="shared" si="90"/>
        <v>9975</v>
      </c>
      <c r="Q1124" s="13">
        <f>IF(N1124="HKD",7.8,IF(N1124="CNY",7.30034,1))</f>
        <v>7.3003400000000003</v>
      </c>
      <c r="R1124" s="15">
        <f>+ROUND(O1124/Q1124,4)</f>
        <v>1.3012999999999999</v>
      </c>
      <c r="S1124" s="14">
        <f>ROUND(R1124*L1124,2)</f>
        <v>1366.37</v>
      </c>
      <c r="T1124" s="15" t="s">
        <v>349</v>
      </c>
      <c r="U1124" t="s">
        <v>36</v>
      </c>
      <c r="W1124" s="49" t="e">
        <f t="shared" si="91"/>
        <v>#DIV/0!</v>
      </c>
    </row>
    <row r="1125" spans="1:23" x14ac:dyDescent="0.2">
      <c r="A1125" t="s">
        <v>2472</v>
      </c>
      <c r="B1125" s="24">
        <v>45733</v>
      </c>
      <c r="C1125" s="24">
        <v>45708</v>
      </c>
      <c r="D1125" t="s">
        <v>2823</v>
      </c>
      <c r="E1125" t="s">
        <v>2824</v>
      </c>
      <c r="F1125" s="23"/>
      <c r="G1125" t="s">
        <v>2947</v>
      </c>
      <c r="H1125" t="s">
        <v>3142</v>
      </c>
      <c r="I1125" t="s">
        <v>3352</v>
      </c>
      <c r="J1125" s="11" t="str">
        <f>+LEFT(U1125,4)</f>
        <v>MISC</v>
      </c>
      <c r="K1125" t="s">
        <v>10</v>
      </c>
      <c r="L1125">
        <v>200</v>
      </c>
      <c r="M1125" t="s">
        <v>1472</v>
      </c>
      <c r="N1125" t="s">
        <v>11</v>
      </c>
      <c r="O1125">
        <v>64</v>
      </c>
      <c r="P1125" s="45">
        <f t="shared" si="90"/>
        <v>12800</v>
      </c>
      <c r="Q1125" s="13">
        <f>IF(N1125="HKD",7.8,IF(N1125="CNY",7.30034,1))</f>
        <v>7.3003400000000003</v>
      </c>
      <c r="R1125" s="15">
        <f>+ROUND(O1125/Q1125,4)</f>
        <v>8.7667000000000002</v>
      </c>
      <c r="S1125" s="14">
        <f>ROUND(R1125*L1125,2)</f>
        <v>1753.34</v>
      </c>
      <c r="T1125" s="15" t="s">
        <v>349</v>
      </c>
      <c r="U1125" t="s">
        <v>25</v>
      </c>
      <c r="W1125" s="49" t="e">
        <f t="shared" si="91"/>
        <v>#DIV/0!</v>
      </c>
    </row>
    <row r="1126" spans="1:23" x14ac:dyDescent="0.2">
      <c r="A1126" t="s">
        <v>2473</v>
      </c>
      <c r="B1126" s="24">
        <v>45733</v>
      </c>
      <c r="C1126" s="24">
        <v>45708</v>
      </c>
      <c r="D1126" t="s">
        <v>2823</v>
      </c>
      <c r="E1126" t="s">
        <v>2824</v>
      </c>
      <c r="F1126" s="23"/>
      <c r="G1126" t="s">
        <v>2947</v>
      </c>
      <c r="H1126" t="s">
        <v>3143</v>
      </c>
      <c r="I1126" t="s">
        <v>3353</v>
      </c>
      <c r="J1126" s="11" t="str">
        <f>+LEFT(U1126,4)</f>
        <v>MISC</v>
      </c>
      <c r="K1126" t="s">
        <v>10</v>
      </c>
      <c r="L1126">
        <v>100</v>
      </c>
      <c r="M1126" t="s">
        <v>1472</v>
      </c>
      <c r="N1126" t="s">
        <v>11</v>
      </c>
      <c r="O1126">
        <v>52</v>
      </c>
      <c r="P1126" s="45">
        <f t="shared" si="90"/>
        <v>5200</v>
      </c>
      <c r="Q1126" s="13">
        <f>IF(N1126="HKD",7.8,IF(N1126="CNY",7.30034,1))</f>
        <v>7.3003400000000003</v>
      </c>
      <c r="R1126" s="15">
        <f>+ROUND(O1126/Q1126,4)</f>
        <v>7.1230000000000002</v>
      </c>
      <c r="S1126" s="14">
        <f>ROUND(R1126*L1126,2)</f>
        <v>712.3</v>
      </c>
      <c r="T1126" s="15" t="s">
        <v>349</v>
      </c>
      <c r="U1126" t="s">
        <v>25</v>
      </c>
      <c r="W1126" s="49" t="e">
        <f t="shared" si="91"/>
        <v>#DIV/0!</v>
      </c>
    </row>
    <row r="1127" spans="1:23" x14ac:dyDescent="0.2">
      <c r="A1127" t="s">
        <v>2474</v>
      </c>
      <c r="B1127" s="24">
        <v>45733</v>
      </c>
      <c r="C1127" s="24">
        <v>45708</v>
      </c>
      <c r="D1127" t="s">
        <v>2823</v>
      </c>
      <c r="E1127" t="s">
        <v>2824</v>
      </c>
      <c r="F1127" s="23"/>
      <c r="G1127" t="s">
        <v>2947</v>
      </c>
      <c r="H1127" t="s">
        <v>3144</v>
      </c>
      <c r="I1127" t="s">
        <v>3354</v>
      </c>
      <c r="J1127" s="11" t="str">
        <f>+LEFT(U1127,4)</f>
        <v>MISC</v>
      </c>
      <c r="K1127" t="s">
        <v>10</v>
      </c>
      <c r="L1127">
        <v>50</v>
      </c>
      <c r="M1127" t="s">
        <v>1472</v>
      </c>
      <c r="N1127" t="s">
        <v>11</v>
      </c>
      <c r="O1127">
        <v>276.60000000000002</v>
      </c>
      <c r="P1127" s="45">
        <f t="shared" si="90"/>
        <v>13830</v>
      </c>
      <c r="Q1127" s="13">
        <f>IF(N1127="HKD",7.8,IF(N1127="CNY",7.30034,1))</f>
        <v>7.3003400000000003</v>
      </c>
      <c r="R1127" s="15">
        <f>+ROUND(O1127/Q1127,4)</f>
        <v>37.888599999999997</v>
      </c>
      <c r="S1127" s="14">
        <f>ROUND(R1127*L1127,2)</f>
        <v>1894.43</v>
      </c>
      <c r="T1127" s="15" t="s">
        <v>349</v>
      </c>
      <c r="U1127" t="s">
        <v>25</v>
      </c>
      <c r="W1127" s="49" t="e">
        <f t="shared" si="91"/>
        <v>#DIV/0!</v>
      </c>
    </row>
    <row r="1128" spans="1:23" x14ac:dyDescent="0.2">
      <c r="A1128" t="s">
        <v>2476</v>
      </c>
      <c r="B1128" s="24">
        <v>45733</v>
      </c>
      <c r="C1128" s="24">
        <v>45709</v>
      </c>
      <c r="D1128" t="s">
        <v>287</v>
      </c>
      <c r="E1128" t="s">
        <v>288</v>
      </c>
      <c r="F1128" s="23"/>
      <c r="G1128" t="s">
        <v>2946</v>
      </c>
      <c r="H1128" t="s">
        <v>73</v>
      </c>
      <c r="I1128" t="s">
        <v>74</v>
      </c>
      <c r="J1128" s="11" t="str">
        <f>+LEFT(U1128,4)</f>
        <v>ANYD</v>
      </c>
      <c r="K1128" t="s">
        <v>10</v>
      </c>
      <c r="L1128">
        <v>900</v>
      </c>
      <c r="M1128" t="s">
        <v>1472</v>
      </c>
      <c r="N1128" t="s">
        <v>11</v>
      </c>
      <c r="O1128">
        <v>8.84</v>
      </c>
      <c r="P1128" s="45">
        <f t="shared" si="90"/>
        <v>7956</v>
      </c>
      <c r="Q1128" s="13">
        <f>IF(N1128="HKD",7.8,IF(N1128="CNY",7.30034,1))</f>
        <v>7.3003400000000003</v>
      </c>
      <c r="R1128" s="15">
        <f>+ROUND(O1128/Q1128,4)</f>
        <v>1.2109000000000001</v>
      </c>
      <c r="S1128" s="14">
        <f>ROUND(R1128*L1128,2)</f>
        <v>1089.81</v>
      </c>
      <c r="T1128" s="15" t="s">
        <v>349</v>
      </c>
      <c r="U1128" t="s">
        <v>36</v>
      </c>
      <c r="W1128" s="49" t="e">
        <f t="shared" si="91"/>
        <v>#DIV/0!</v>
      </c>
    </row>
    <row r="1129" spans="1:23" x14ac:dyDescent="0.2">
      <c r="A1129" t="s">
        <v>2477</v>
      </c>
      <c r="B1129" s="24">
        <v>45733</v>
      </c>
      <c r="C1129" s="24">
        <v>45709</v>
      </c>
      <c r="D1129" t="s">
        <v>287</v>
      </c>
      <c r="E1129" t="s">
        <v>288</v>
      </c>
      <c r="F1129" s="23"/>
      <c r="G1129" t="s">
        <v>2946</v>
      </c>
      <c r="H1129" t="s">
        <v>75</v>
      </c>
      <c r="I1129" t="s">
        <v>3280</v>
      </c>
      <c r="J1129" s="11" t="str">
        <f>+LEFT(U1129,4)</f>
        <v>ANYD</v>
      </c>
      <c r="K1129" t="s">
        <v>10</v>
      </c>
      <c r="L1129">
        <v>1000</v>
      </c>
      <c r="M1129" t="s">
        <v>1472</v>
      </c>
      <c r="N1129" t="s">
        <v>11</v>
      </c>
      <c r="O1129">
        <v>9.5</v>
      </c>
      <c r="P1129" s="45">
        <f t="shared" si="90"/>
        <v>9500</v>
      </c>
      <c r="Q1129" s="13">
        <f>IF(N1129="HKD",7.8,IF(N1129="CNY",7.30034,1))</f>
        <v>7.3003400000000003</v>
      </c>
      <c r="R1129" s="15">
        <f>+ROUND(O1129/Q1129,4)</f>
        <v>1.3012999999999999</v>
      </c>
      <c r="S1129" s="14">
        <f>ROUND(R1129*L1129,2)</f>
        <v>1301.3</v>
      </c>
      <c r="T1129" s="15" t="s">
        <v>349</v>
      </c>
      <c r="U1129" t="s">
        <v>36</v>
      </c>
      <c r="W1129" s="49" t="e">
        <f t="shared" si="91"/>
        <v>#DIV/0!</v>
      </c>
    </row>
    <row r="1130" spans="1:23" x14ac:dyDescent="0.2">
      <c r="A1130" t="s">
        <v>2479</v>
      </c>
      <c r="B1130" s="24">
        <v>45733</v>
      </c>
      <c r="C1130" s="24">
        <v>45709</v>
      </c>
      <c r="D1130" t="s">
        <v>169</v>
      </c>
      <c r="E1130" t="s">
        <v>170</v>
      </c>
      <c r="F1130" s="23"/>
      <c r="G1130" t="s">
        <v>2948</v>
      </c>
      <c r="H1130" t="s">
        <v>1104</v>
      </c>
      <c r="I1130" t="s">
        <v>1105</v>
      </c>
      <c r="J1130" s="11" t="str">
        <f>+LEFT(U1130,4)</f>
        <v>WACD</v>
      </c>
      <c r="K1130" t="s">
        <v>10</v>
      </c>
      <c r="L1130">
        <v>1000</v>
      </c>
      <c r="M1130" t="s">
        <v>1472</v>
      </c>
      <c r="N1130" t="s">
        <v>11</v>
      </c>
      <c r="O1130">
        <v>0.26800000000000002</v>
      </c>
      <c r="P1130" s="45">
        <f t="shared" si="90"/>
        <v>268</v>
      </c>
      <c r="Q1130" s="13">
        <f>IF(N1130="HKD",7.8,IF(N1130="CNY",7.30034,1))</f>
        <v>7.3003400000000003</v>
      </c>
      <c r="R1130" s="15">
        <f>+ROUND(O1130/Q1130,4)</f>
        <v>3.6700000000000003E-2</v>
      </c>
      <c r="S1130" s="14">
        <f>ROUND(R1130*L1130,2)</f>
        <v>36.700000000000003</v>
      </c>
      <c r="T1130" s="15" t="s">
        <v>349</v>
      </c>
      <c r="U1130" t="s">
        <v>635</v>
      </c>
      <c r="W1130" s="49" t="e">
        <f t="shared" si="91"/>
        <v>#DIV/0!</v>
      </c>
    </row>
    <row r="1131" spans="1:23" x14ac:dyDescent="0.2">
      <c r="A1131" t="s">
        <v>2491</v>
      </c>
      <c r="B1131" s="24">
        <v>45733</v>
      </c>
      <c r="C1131" s="24">
        <v>45713</v>
      </c>
      <c r="D1131" t="s">
        <v>2257</v>
      </c>
      <c r="E1131" t="s">
        <v>2258</v>
      </c>
      <c r="F1131" s="23"/>
      <c r="G1131" t="s">
        <v>2954</v>
      </c>
      <c r="H1131" t="s">
        <v>1798</v>
      </c>
      <c r="I1131" t="s">
        <v>1799</v>
      </c>
      <c r="J1131" s="11" t="str">
        <f>+LEFT(U1131,4)</f>
        <v>HDL-</v>
      </c>
      <c r="K1131" t="s">
        <v>10</v>
      </c>
      <c r="L1131">
        <v>4100</v>
      </c>
      <c r="M1131" t="s">
        <v>1472</v>
      </c>
      <c r="N1131" t="s">
        <v>11</v>
      </c>
      <c r="O1131">
        <v>7.4931000000000001</v>
      </c>
      <c r="P1131" s="45">
        <f t="shared" si="90"/>
        <v>30721.71</v>
      </c>
      <c r="Q1131" s="13">
        <f>IF(N1131="HKD",7.8,IF(N1131="CNY",7.30034,1))</f>
        <v>7.3003400000000003</v>
      </c>
      <c r="R1131" s="15">
        <f>+ROUND(O1131/Q1131,4)</f>
        <v>1.0264</v>
      </c>
      <c r="S1131" s="14">
        <f>ROUND(R1131*L1131,2)</f>
        <v>4208.24</v>
      </c>
      <c r="T1131" s="15" t="s">
        <v>349</v>
      </c>
      <c r="U1131" t="s">
        <v>228</v>
      </c>
      <c r="W1131" s="49" t="e">
        <f t="shared" si="91"/>
        <v>#DIV/0!</v>
      </c>
    </row>
    <row r="1132" spans="1:23" x14ac:dyDescent="0.2">
      <c r="A1132" t="s">
        <v>2503</v>
      </c>
      <c r="B1132" s="24">
        <v>45733</v>
      </c>
      <c r="C1132" s="24">
        <v>45713</v>
      </c>
      <c r="D1132" t="s">
        <v>2257</v>
      </c>
      <c r="E1132" t="s">
        <v>2258</v>
      </c>
      <c r="F1132" s="23"/>
      <c r="G1132" t="s">
        <v>2954</v>
      </c>
      <c r="H1132" t="s">
        <v>3151</v>
      </c>
      <c r="I1132" t="s">
        <v>3361</v>
      </c>
      <c r="J1132" s="11" t="str">
        <f>+LEFT(U1132,4)</f>
        <v>HDL-</v>
      </c>
      <c r="K1132" t="s">
        <v>10</v>
      </c>
      <c r="L1132">
        <v>4400</v>
      </c>
      <c r="M1132" t="s">
        <v>1472</v>
      </c>
      <c r="N1132" t="s">
        <v>11</v>
      </c>
      <c r="O1132">
        <v>8.7460000000000004</v>
      </c>
      <c r="P1132" s="45">
        <f t="shared" si="90"/>
        <v>38482.400000000001</v>
      </c>
      <c r="Q1132" s="13">
        <f>IF(N1132="HKD",7.8,IF(N1132="CNY",7.30034,1))</f>
        <v>7.3003400000000003</v>
      </c>
      <c r="R1132" s="15">
        <f>+ROUND(O1132/Q1132,4)</f>
        <v>1.198</v>
      </c>
      <c r="S1132" s="14">
        <f>ROUND(R1132*L1132,2)</f>
        <v>5271.2</v>
      </c>
      <c r="T1132" s="15" t="s">
        <v>349</v>
      </c>
      <c r="U1132" t="s">
        <v>228</v>
      </c>
      <c r="W1132" s="49" t="e">
        <f t="shared" si="91"/>
        <v>#DIV/0!</v>
      </c>
    </row>
    <row r="1133" spans="1:23" x14ac:dyDescent="0.2">
      <c r="A1133" t="s">
        <v>2512</v>
      </c>
      <c r="B1133" s="24">
        <v>45733</v>
      </c>
      <c r="C1133" s="24">
        <v>45713</v>
      </c>
      <c r="D1133" t="s">
        <v>169</v>
      </c>
      <c r="E1133" t="s">
        <v>170</v>
      </c>
      <c r="F1133" s="23"/>
      <c r="G1133" t="s">
        <v>2960</v>
      </c>
      <c r="H1133" t="s">
        <v>3155</v>
      </c>
      <c r="I1133" t="s">
        <v>3365</v>
      </c>
      <c r="J1133" s="11" t="str">
        <f>+LEFT(U1133,4)</f>
        <v>STKR</v>
      </c>
      <c r="K1133" t="s">
        <v>10</v>
      </c>
      <c r="L1133">
        <v>1010</v>
      </c>
      <c r="M1133" t="s">
        <v>1472</v>
      </c>
      <c r="N1133" t="s">
        <v>11</v>
      </c>
      <c r="O1133">
        <v>0.08</v>
      </c>
      <c r="P1133" s="45">
        <f t="shared" si="90"/>
        <v>80.8</v>
      </c>
      <c r="Q1133" s="13">
        <f>IF(N1133="HKD",7.8,IF(N1133="CNY",7.30034,1))</f>
        <v>7.3003400000000003</v>
      </c>
      <c r="R1133" s="15">
        <f>+ROUND(O1133/Q1133,4)</f>
        <v>1.0999999999999999E-2</v>
      </c>
      <c r="S1133" s="14">
        <f>ROUND(R1133*L1133,2)</f>
        <v>11.11</v>
      </c>
      <c r="T1133" s="15" t="s">
        <v>349</v>
      </c>
      <c r="U1133" t="s">
        <v>18</v>
      </c>
      <c r="W1133" s="49" t="e">
        <f t="shared" si="91"/>
        <v>#DIV/0!</v>
      </c>
    </row>
    <row r="1134" spans="1:23" x14ac:dyDescent="0.2">
      <c r="A1134" t="s">
        <v>2519</v>
      </c>
      <c r="B1134" s="24">
        <v>45733</v>
      </c>
      <c r="C1134" s="24">
        <v>45713</v>
      </c>
      <c r="D1134" t="s">
        <v>169</v>
      </c>
      <c r="E1134" t="s">
        <v>170</v>
      </c>
      <c r="F1134" s="23"/>
      <c r="G1134" t="s">
        <v>2948</v>
      </c>
      <c r="H1134" t="s">
        <v>174</v>
      </c>
      <c r="I1134" t="s">
        <v>175</v>
      </c>
      <c r="J1134" s="11" t="str">
        <f>+LEFT(U1134,4)</f>
        <v>U&amp;C-</v>
      </c>
      <c r="K1134" t="s">
        <v>10</v>
      </c>
      <c r="L1134">
        <v>2000</v>
      </c>
      <c r="M1134" t="s">
        <v>1472</v>
      </c>
      <c r="N1134" t="s">
        <v>11</v>
      </c>
      <c r="O1134">
        <v>0.28000000000000003</v>
      </c>
      <c r="P1134" s="45">
        <f t="shared" si="90"/>
        <v>560</v>
      </c>
      <c r="Q1134" s="13">
        <f>IF(N1134="HKD",7.8,IF(N1134="CNY",7.30034,1))</f>
        <v>7.3003400000000003</v>
      </c>
      <c r="R1134" s="15">
        <f>+ROUND(O1134/Q1134,4)</f>
        <v>3.8399999999999997E-2</v>
      </c>
      <c r="S1134" s="14">
        <f>ROUND(R1134*L1134,2)</f>
        <v>76.8</v>
      </c>
      <c r="T1134" s="15" t="s">
        <v>349</v>
      </c>
      <c r="U1134" t="s">
        <v>177</v>
      </c>
      <c r="W1134" s="49" t="e">
        <f t="shared" si="91"/>
        <v>#DIV/0!</v>
      </c>
    </row>
    <row r="1135" spans="1:23" x14ac:dyDescent="0.2">
      <c r="A1135" t="s">
        <v>2524</v>
      </c>
      <c r="B1135" s="24">
        <v>45733</v>
      </c>
      <c r="C1135" s="24">
        <v>45713</v>
      </c>
      <c r="D1135" t="s">
        <v>101</v>
      </c>
      <c r="E1135" t="s">
        <v>102</v>
      </c>
      <c r="F1135" s="23"/>
      <c r="G1135" t="s">
        <v>2964</v>
      </c>
      <c r="H1135" t="s">
        <v>99</v>
      </c>
      <c r="I1135" t="s">
        <v>100</v>
      </c>
      <c r="J1135" s="11" t="str">
        <f>+LEFT(U1135,4)</f>
        <v>STKR</v>
      </c>
      <c r="K1135" t="s">
        <v>10</v>
      </c>
      <c r="L1135">
        <v>1010</v>
      </c>
      <c r="M1135" t="s">
        <v>1472</v>
      </c>
      <c r="N1135" t="s">
        <v>11</v>
      </c>
      <c r="O1135">
        <v>0.11</v>
      </c>
      <c r="P1135" s="45">
        <f t="shared" si="90"/>
        <v>111.1</v>
      </c>
      <c r="Q1135" s="13">
        <f>IF(N1135="HKD",7.8,IF(N1135="CNY",7.30034,1))</f>
        <v>7.3003400000000003</v>
      </c>
      <c r="R1135" s="15">
        <f>+ROUND(O1135/Q1135,4)</f>
        <v>1.5100000000000001E-2</v>
      </c>
      <c r="S1135" s="14">
        <f>ROUND(R1135*L1135,2)</f>
        <v>15.25</v>
      </c>
      <c r="T1135" s="15" t="s">
        <v>349</v>
      </c>
      <c r="U1135" t="s">
        <v>18</v>
      </c>
      <c r="W1135" s="49" t="e">
        <f t="shared" si="91"/>
        <v>#DIV/0!</v>
      </c>
    </row>
    <row r="1136" spans="1:23" x14ac:dyDescent="0.2">
      <c r="A1136" t="s">
        <v>2525</v>
      </c>
      <c r="B1136" s="24">
        <v>45733</v>
      </c>
      <c r="C1136" s="24">
        <v>45713</v>
      </c>
      <c r="D1136" t="s">
        <v>101</v>
      </c>
      <c r="E1136" t="s">
        <v>102</v>
      </c>
      <c r="F1136" s="23"/>
      <c r="G1136" t="s">
        <v>2964</v>
      </c>
      <c r="H1136" t="s">
        <v>99</v>
      </c>
      <c r="I1136" t="s">
        <v>100</v>
      </c>
      <c r="J1136" s="11" t="str">
        <f>+LEFT(U1136,4)</f>
        <v>STKR</v>
      </c>
      <c r="K1136" t="s">
        <v>10</v>
      </c>
      <c r="L1136">
        <v>1010</v>
      </c>
      <c r="M1136" t="s">
        <v>1472</v>
      </c>
      <c r="N1136" t="s">
        <v>11</v>
      </c>
      <c r="O1136">
        <v>0.11</v>
      </c>
      <c r="P1136" s="45">
        <f t="shared" si="90"/>
        <v>111.1</v>
      </c>
      <c r="Q1136" s="13">
        <f>IF(N1136="HKD",7.8,IF(N1136="CNY",7.30034,1))</f>
        <v>7.3003400000000003</v>
      </c>
      <c r="R1136" s="15">
        <f>+ROUND(O1136/Q1136,4)</f>
        <v>1.5100000000000001E-2</v>
      </c>
      <c r="S1136" s="14">
        <f>ROUND(R1136*L1136,2)</f>
        <v>15.25</v>
      </c>
      <c r="T1136" s="15" t="s">
        <v>349</v>
      </c>
      <c r="U1136" t="s">
        <v>18</v>
      </c>
      <c r="W1136" s="49" t="e">
        <f t="shared" si="91"/>
        <v>#DIV/0!</v>
      </c>
    </row>
    <row r="1137" spans="1:23" x14ac:dyDescent="0.2">
      <c r="A1137" t="s">
        <v>2526</v>
      </c>
      <c r="B1137" s="24">
        <v>45733</v>
      </c>
      <c r="C1137" s="24">
        <v>45713</v>
      </c>
      <c r="D1137" t="s">
        <v>101</v>
      </c>
      <c r="E1137" t="s">
        <v>102</v>
      </c>
      <c r="F1137" s="23"/>
      <c r="G1137" t="s">
        <v>2964</v>
      </c>
      <c r="H1137" t="s">
        <v>99</v>
      </c>
      <c r="I1137" t="s">
        <v>100</v>
      </c>
      <c r="J1137" s="11" t="str">
        <f>+LEFT(U1137,4)</f>
        <v>STKR</v>
      </c>
      <c r="K1137" t="s">
        <v>10</v>
      </c>
      <c r="L1137">
        <v>1010</v>
      </c>
      <c r="M1137" t="s">
        <v>1472</v>
      </c>
      <c r="N1137" t="s">
        <v>11</v>
      </c>
      <c r="O1137">
        <v>0.11</v>
      </c>
      <c r="P1137" s="45">
        <f t="shared" si="90"/>
        <v>111.1</v>
      </c>
      <c r="Q1137" s="13">
        <f>IF(N1137="HKD",7.8,IF(N1137="CNY",7.30034,1))</f>
        <v>7.3003400000000003</v>
      </c>
      <c r="R1137" s="15">
        <f>+ROUND(O1137/Q1137,4)</f>
        <v>1.5100000000000001E-2</v>
      </c>
      <c r="S1137" s="14">
        <f>ROUND(R1137*L1137,2)</f>
        <v>15.25</v>
      </c>
      <c r="T1137" s="15" t="s">
        <v>349</v>
      </c>
      <c r="U1137" t="s">
        <v>18</v>
      </c>
      <c r="W1137" s="49" t="e">
        <f t="shared" si="91"/>
        <v>#DIV/0!</v>
      </c>
    </row>
    <row r="1138" spans="1:23" x14ac:dyDescent="0.2">
      <c r="A1138" t="s">
        <v>2527</v>
      </c>
      <c r="B1138" s="24">
        <v>45733</v>
      </c>
      <c r="C1138" s="24">
        <v>45713</v>
      </c>
      <c r="D1138" t="s">
        <v>101</v>
      </c>
      <c r="E1138" t="s">
        <v>102</v>
      </c>
      <c r="F1138" s="23"/>
      <c r="G1138" t="s">
        <v>2964</v>
      </c>
      <c r="H1138" t="s">
        <v>3162</v>
      </c>
      <c r="I1138" t="s">
        <v>3372</v>
      </c>
      <c r="J1138" s="11" t="str">
        <f>+LEFT(U1138,4)</f>
        <v>STKR</v>
      </c>
      <c r="K1138" t="s">
        <v>10</v>
      </c>
      <c r="L1138">
        <v>1010</v>
      </c>
      <c r="M1138" t="s">
        <v>1472</v>
      </c>
      <c r="N1138" t="s">
        <v>11</v>
      </c>
      <c r="O1138">
        <v>0.05</v>
      </c>
      <c r="P1138" s="45">
        <f t="shared" si="90"/>
        <v>50.5</v>
      </c>
      <c r="Q1138" s="13">
        <f>IF(N1138="HKD",7.8,IF(N1138="CNY",7.30034,1))</f>
        <v>7.3003400000000003</v>
      </c>
      <c r="R1138" s="15">
        <f>+ROUND(O1138/Q1138,4)</f>
        <v>6.7999999999999996E-3</v>
      </c>
      <c r="S1138" s="14">
        <f>ROUND(R1138*L1138,2)</f>
        <v>6.87</v>
      </c>
      <c r="T1138" s="15" t="s">
        <v>349</v>
      </c>
      <c r="U1138" t="s">
        <v>18</v>
      </c>
      <c r="W1138" s="49" t="e">
        <f t="shared" si="91"/>
        <v>#DIV/0!</v>
      </c>
    </row>
    <row r="1139" spans="1:23" x14ac:dyDescent="0.2">
      <c r="A1139" t="s">
        <v>2536</v>
      </c>
      <c r="B1139" s="24">
        <v>45733</v>
      </c>
      <c r="C1139" s="24">
        <v>45714</v>
      </c>
      <c r="D1139" t="s">
        <v>94</v>
      </c>
      <c r="E1139" t="s">
        <v>95</v>
      </c>
      <c r="F1139" s="23"/>
      <c r="G1139" t="s">
        <v>2977</v>
      </c>
      <c r="H1139" t="s">
        <v>3165</v>
      </c>
      <c r="I1139" t="s">
        <v>3375</v>
      </c>
      <c r="J1139" s="11" t="str">
        <f>+LEFT(U1139,4)</f>
        <v>LID-</v>
      </c>
      <c r="K1139" t="s">
        <v>98</v>
      </c>
      <c r="L1139">
        <v>1265</v>
      </c>
      <c r="M1139" t="s">
        <v>1472</v>
      </c>
      <c r="N1139" t="s">
        <v>11</v>
      </c>
      <c r="O1139">
        <v>4.37</v>
      </c>
      <c r="P1139" s="45">
        <f t="shared" si="90"/>
        <v>5528.05</v>
      </c>
      <c r="Q1139" s="13">
        <f>IF(N1139="HKD",7.8,IF(N1139="CNY",7.30034,1))</f>
        <v>7.3003400000000003</v>
      </c>
      <c r="R1139" s="15">
        <f>+ROUND(O1139/Q1139,4)</f>
        <v>0.59860000000000002</v>
      </c>
      <c r="S1139" s="14">
        <f>ROUND(R1139*L1139,2)</f>
        <v>757.23</v>
      </c>
      <c r="T1139" s="15" t="s">
        <v>349</v>
      </c>
      <c r="U1139" t="s">
        <v>368</v>
      </c>
      <c r="W1139" s="49" t="e">
        <f t="shared" si="91"/>
        <v>#DIV/0!</v>
      </c>
    </row>
    <row r="1140" spans="1:23" x14ac:dyDescent="0.2">
      <c r="A1140" t="s">
        <v>2538</v>
      </c>
      <c r="B1140" s="24">
        <v>45733</v>
      </c>
      <c r="C1140" s="24">
        <v>45714</v>
      </c>
      <c r="D1140" t="s">
        <v>830</v>
      </c>
      <c r="E1140" t="s">
        <v>831</v>
      </c>
      <c r="F1140" s="23"/>
      <c r="G1140" t="s">
        <v>2980</v>
      </c>
      <c r="H1140" t="s">
        <v>3166</v>
      </c>
      <c r="I1140" t="s">
        <v>3376</v>
      </c>
      <c r="J1140" s="11" t="str">
        <f>+LEFT(U1140,4)</f>
        <v>LID-</v>
      </c>
      <c r="K1140" t="s">
        <v>98</v>
      </c>
      <c r="L1140">
        <v>3168</v>
      </c>
      <c r="M1140" t="s">
        <v>1472</v>
      </c>
      <c r="N1140" t="s">
        <v>11</v>
      </c>
      <c r="O1140">
        <v>4.2</v>
      </c>
      <c r="P1140" s="45">
        <f t="shared" si="90"/>
        <v>13305.6</v>
      </c>
      <c r="Q1140" s="13">
        <f>IF(N1140="HKD",7.8,IF(N1140="CNY",7.30034,1))</f>
        <v>7.3003400000000003</v>
      </c>
      <c r="R1140" s="15">
        <f>+ROUND(O1140/Q1140,4)</f>
        <v>0.57530000000000003</v>
      </c>
      <c r="S1140" s="14">
        <f>ROUND(R1140*L1140,2)</f>
        <v>1822.55</v>
      </c>
      <c r="T1140" s="15" t="s">
        <v>349</v>
      </c>
      <c r="U1140" t="s">
        <v>368</v>
      </c>
      <c r="W1140" s="49" t="e">
        <f t="shared" si="91"/>
        <v>#DIV/0!</v>
      </c>
    </row>
    <row r="1141" spans="1:23" x14ac:dyDescent="0.2">
      <c r="A1141" t="s">
        <v>2542</v>
      </c>
      <c r="B1141" s="24">
        <v>45733</v>
      </c>
      <c r="C1141" s="24">
        <v>45714</v>
      </c>
      <c r="D1141" t="s">
        <v>651</v>
      </c>
      <c r="E1141" t="s">
        <v>652</v>
      </c>
      <c r="F1141" s="23"/>
      <c r="G1141" t="s">
        <v>2931</v>
      </c>
      <c r="H1141" t="s">
        <v>716</v>
      </c>
      <c r="I1141" t="s">
        <v>717</v>
      </c>
      <c r="J1141" s="11" t="str">
        <f>+LEFT(U1141,4)</f>
        <v>KNOB</v>
      </c>
      <c r="K1141" t="s">
        <v>10</v>
      </c>
      <c r="L1141">
        <v>1030</v>
      </c>
      <c r="M1141" t="s">
        <v>1472</v>
      </c>
      <c r="N1141" t="s">
        <v>11</v>
      </c>
      <c r="O1141">
        <v>0.7</v>
      </c>
      <c r="P1141" s="45">
        <f t="shared" si="90"/>
        <v>721</v>
      </c>
      <c r="Q1141" s="13">
        <f>IF(N1141="HKD",7.8,IF(N1141="CNY",7.30034,1))</f>
        <v>7.3003400000000003</v>
      </c>
      <c r="R1141" s="15">
        <f>+ROUND(O1141/Q1141,4)</f>
        <v>9.5899999999999999E-2</v>
      </c>
      <c r="S1141" s="14">
        <f>ROUND(R1141*L1141,2)</f>
        <v>98.78</v>
      </c>
      <c r="T1141" s="15" t="s">
        <v>349</v>
      </c>
      <c r="U1141" t="s">
        <v>32</v>
      </c>
      <c r="W1141" s="49" t="e">
        <f t="shared" si="91"/>
        <v>#DIV/0!</v>
      </c>
    </row>
    <row r="1142" spans="1:23" x14ac:dyDescent="0.2">
      <c r="A1142" t="s">
        <v>2545</v>
      </c>
      <c r="B1142" s="24">
        <v>45733</v>
      </c>
      <c r="C1142" s="24">
        <v>45714</v>
      </c>
      <c r="D1142" t="s">
        <v>235</v>
      </c>
      <c r="E1142" t="s">
        <v>236</v>
      </c>
      <c r="F1142" s="23"/>
      <c r="G1142" t="s">
        <v>2990</v>
      </c>
      <c r="H1142" t="s">
        <v>1352</v>
      </c>
      <c r="I1142" t="s">
        <v>1353</v>
      </c>
      <c r="J1142" s="11" t="str">
        <f>+LEFT(U1142,4)</f>
        <v>RIV-</v>
      </c>
      <c r="K1142" t="s">
        <v>10</v>
      </c>
      <c r="L1142">
        <v>80000</v>
      </c>
      <c r="M1142" t="s">
        <v>1472</v>
      </c>
      <c r="N1142" t="s">
        <v>11</v>
      </c>
      <c r="O1142">
        <v>0.13150000000000001</v>
      </c>
      <c r="P1142" s="45">
        <f t="shared" si="90"/>
        <v>10520</v>
      </c>
      <c r="Q1142" s="13">
        <f>IF(N1142="HKD",7.8,IF(N1142="CNY",7.30034,1))</f>
        <v>7.3003400000000003</v>
      </c>
      <c r="R1142" s="15">
        <f>+ROUND(O1142/Q1142,4)</f>
        <v>1.7999999999999999E-2</v>
      </c>
      <c r="S1142" s="14">
        <f>ROUND(R1142*L1142,2)</f>
        <v>1440</v>
      </c>
      <c r="T1142" s="15" t="s">
        <v>349</v>
      </c>
      <c r="U1142" t="s">
        <v>132</v>
      </c>
      <c r="W1142" s="49" t="e">
        <f t="shared" si="91"/>
        <v>#DIV/0!</v>
      </c>
    </row>
    <row r="1143" spans="1:23" x14ac:dyDescent="0.2">
      <c r="A1143" t="s">
        <v>2547</v>
      </c>
      <c r="B1143" s="24">
        <v>45733</v>
      </c>
      <c r="C1143" s="24">
        <v>45716</v>
      </c>
      <c r="D1143" t="s">
        <v>311</v>
      </c>
      <c r="E1143" t="s">
        <v>312</v>
      </c>
      <c r="F1143" s="23"/>
      <c r="G1143" t="s">
        <v>2992</v>
      </c>
      <c r="H1143" t="s">
        <v>341</v>
      </c>
      <c r="I1143" t="s">
        <v>342</v>
      </c>
      <c r="J1143" s="11" t="str">
        <f>+LEFT(U1143,4)</f>
        <v>INM-</v>
      </c>
      <c r="K1143" t="s">
        <v>10</v>
      </c>
      <c r="L1143">
        <v>50</v>
      </c>
      <c r="M1143" t="s">
        <v>186</v>
      </c>
      <c r="N1143" t="s">
        <v>11</v>
      </c>
      <c r="O1143">
        <v>63.008800000000001</v>
      </c>
      <c r="P1143" s="45">
        <f t="shared" si="90"/>
        <v>3150.44</v>
      </c>
      <c r="Q1143" s="13">
        <f>IF(N1143="HKD",7.8,IF(N1143="CNY",7.30034,1))</f>
        <v>7.3003400000000003</v>
      </c>
      <c r="R1143" s="15">
        <f>+ROUND(O1143/Q1143,4)</f>
        <v>8.6309000000000005</v>
      </c>
      <c r="S1143" s="14">
        <f>ROUND(R1143*L1143,2)</f>
        <v>431.55</v>
      </c>
      <c r="T1143" s="15" t="s">
        <v>349</v>
      </c>
      <c r="U1143" t="s">
        <v>327</v>
      </c>
      <c r="W1143" s="49" t="e">
        <f t="shared" si="91"/>
        <v>#DIV/0!</v>
      </c>
    </row>
    <row r="1144" spans="1:23" x14ac:dyDescent="0.2">
      <c r="A1144" t="s">
        <v>2548</v>
      </c>
      <c r="B1144" s="24">
        <v>45733</v>
      </c>
      <c r="C1144" s="24">
        <v>45716</v>
      </c>
      <c r="D1144" t="s">
        <v>311</v>
      </c>
      <c r="E1144" t="s">
        <v>312</v>
      </c>
      <c r="F1144" s="23"/>
      <c r="G1144" t="s">
        <v>2992</v>
      </c>
      <c r="H1144" t="s">
        <v>662</v>
      </c>
      <c r="I1144" t="s">
        <v>663</v>
      </c>
      <c r="J1144" s="11" t="str">
        <f>+LEFT(U1144,4)</f>
        <v>INM-</v>
      </c>
      <c r="K1144" t="s">
        <v>10</v>
      </c>
      <c r="L1144">
        <v>75</v>
      </c>
      <c r="M1144" t="s">
        <v>186</v>
      </c>
      <c r="N1144" t="s">
        <v>11</v>
      </c>
      <c r="O1144">
        <v>92.743399999999994</v>
      </c>
      <c r="P1144" s="45">
        <f t="shared" si="90"/>
        <v>6955.76</v>
      </c>
      <c r="Q1144" s="13">
        <f>IF(N1144="HKD",7.8,IF(N1144="CNY",7.30034,1))</f>
        <v>7.3003400000000003</v>
      </c>
      <c r="R1144" s="15">
        <f>+ROUND(O1144/Q1144,4)</f>
        <v>12.704000000000001</v>
      </c>
      <c r="S1144" s="14">
        <f>ROUND(R1144*L1144,2)</f>
        <v>952.8</v>
      </c>
      <c r="T1144" s="15" t="s">
        <v>349</v>
      </c>
      <c r="U1144" t="s">
        <v>327</v>
      </c>
      <c r="W1144" s="49" t="e">
        <f t="shared" si="91"/>
        <v>#DIV/0!</v>
      </c>
    </row>
    <row r="1145" spans="1:23" x14ac:dyDescent="0.2">
      <c r="A1145" t="s">
        <v>2582</v>
      </c>
      <c r="B1145" s="24">
        <v>45733</v>
      </c>
      <c r="C1145" s="24">
        <v>45716</v>
      </c>
      <c r="D1145" t="s">
        <v>2827</v>
      </c>
      <c r="E1145" t="s">
        <v>2828</v>
      </c>
      <c r="F1145" s="23"/>
      <c r="G1145" t="s">
        <v>3004</v>
      </c>
      <c r="H1145" t="s">
        <v>3185</v>
      </c>
      <c r="I1145" t="s">
        <v>3392</v>
      </c>
      <c r="J1145" s="11" t="str">
        <f>+LEFT(U1145,4)</f>
        <v>INM-</v>
      </c>
      <c r="K1145" t="s">
        <v>10</v>
      </c>
      <c r="L1145">
        <v>150</v>
      </c>
      <c r="M1145" t="s">
        <v>186</v>
      </c>
      <c r="N1145" t="s">
        <v>11</v>
      </c>
      <c r="O1145">
        <v>120.4248</v>
      </c>
      <c r="P1145" s="45">
        <f t="shared" si="90"/>
        <v>18063.72</v>
      </c>
      <c r="Q1145" s="13">
        <f>IF(N1145="HKD",7.8,IF(N1145="CNY",7.30034,1))</f>
        <v>7.3003400000000003</v>
      </c>
      <c r="R1145" s="15">
        <f>+ROUND(O1145/Q1145,4)</f>
        <v>16.495799999999999</v>
      </c>
      <c r="S1145" s="14">
        <f>ROUND(R1145*L1145,2)</f>
        <v>2474.37</v>
      </c>
      <c r="T1145" s="15" t="s">
        <v>349</v>
      </c>
      <c r="U1145" t="s">
        <v>327</v>
      </c>
      <c r="W1145" s="49" t="e">
        <f t="shared" si="91"/>
        <v>#DIV/0!</v>
      </c>
    </row>
    <row r="1146" spans="1:23" x14ac:dyDescent="0.2">
      <c r="A1146" t="s">
        <v>2582</v>
      </c>
      <c r="B1146" s="24">
        <v>45733</v>
      </c>
      <c r="C1146" s="24">
        <v>45716</v>
      </c>
      <c r="D1146" t="s">
        <v>2827</v>
      </c>
      <c r="E1146" t="s">
        <v>2828</v>
      </c>
      <c r="F1146" s="23"/>
      <c r="G1146" t="s">
        <v>3005</v>
      </c>
      <c r="H1146" t="s">
        <v>3185</v>
      </c>
      <c r="I1146" t="s">
        <v>3392</v>
      </c>
      <c r="J1146" s="11" t="str">
        <f>+LEFT(U1146,4)</f>
        <v>INM-</v>
      </c>
      <c r="K1146" t="s">
        <v>10</v>
      </c>
      <c r="L1146">
        <v>-150</v>
      </c>
      <c r="M1146" t="s">
        <v>186</v>
      </c>
      <c r="N1146" t="s">
        <v>11</v>
      </c>
      <c r="O1146">
        <v>120.4248</v>
      </c>
      <c r="P1146" s="45">
        <f t="shared" si="90"/>
        <v>-18063.72</v>
      </c>
      <c r="Q1146" s="13">
        <f>IF(N1146="HKD",7.8,IF(N1146="CNY",7.30034,1))</f>
        <v>7.3003400000000003</v>
      </c>
      <c r="R1146" s="15">
        <f>+ROUND(O1146/Q1146,4)</f>
        <v>16.495799999999999</v>
      </c>
      <c r="S1146" s="14">
        <f>ROUND(R1146*L1146,2)</f>
        <v>-2474.37</v>
      </c>
      <c r="T1146" s="15" t="s">
        <v>349</v>
      </c>
      <c r="U1146" t="s">
        <v>327</v>
      </c>
      <c r="W1146" s="49" t="e">
        <f t="shared" si="91"/>
        <v>#DIV/0!</v>
      </c>
    </row>
    <row r="1147" spans="1:23" x14ac:dyDescent="0.2">
      <c r="A1147" t="s">
        <v>2582</v>
      </c>
      <c r="B1147" s="24">
        <v>45733</v>
      </c>
      <c r="C1147" s="24">
        <v>45716</v>
      </c>
      <c r="D1147" t="s">
        <v>2827</v>
      </c>
      <c r="E1147" t="s">
        <v>2828</v>
      </c>
      <c r="F1147" s="23"/>
      <c r="G1147" t="s">
        <v>3004</v>
      </c>
      <c r="H1147" t="s">
        <v>3185</v>
      </c>
      <c r="I1147" t="s">
        <v>3392</v>
      </c>
      <c r="J1147" s="11" t="str">
        <f>+LEFT(U1147,4)</f>
        <v>INM-</v>
      </c>
      <c r="K1147" t="s">
        <v>10</v>
      </c>
      <c r="L1147">
        <v>150</v>
      </c>
      <c r="M1147" t="s">
        <v>186</v>
      </c>
      <c r="N1147" t="s">
        <v>11</v>
      </c>
      <c r="O1147">
        <v>120.4248</v>
      </c>
      <c r="P1147" s="45">
        <f t="shared" si="90"/>
        <v>18063.72</v>
      </c>
      <c r="Q1147" s="13">
        <f>IF(N1147="HKD",7.8,IF(N1147="CNY",7.30034,1))</f>
        <v>7.3003400000000003</v>
      </c>
      <c r="R1147" s="15">
        <f>+ROUND(O1147/Q1147,4)</f>
        <v>16.495799999999999</v>
      </c>
      <c r="S1147" s="14">
        <f>ROUND(R1147*L1147,2)</f>
        <v>2474.37</v>
      </c>
      <c r="T1147" s="15" t="s">
        <v>349</v>
      </c>
      <c r="U1147" t="s">
        <v>327</v>
      </c>
      <c r="W1147" s="49" t="e">
        <f t="shared" si="91"/>
        <v>#DIV/0!</v>
      </c>
    </row>
    <row r="1148" spans="1:23" x14ac:dyDescent="0.2">
      <c r="A1148" t="s">
        <v>2583</v>
      </c>
      <c r="B1148" s="24">
        <v>45733</v>
      </c>
      <c r="C1148" s="24">
        <v>45716</v>
      </c>
      <c r="D1148" t="s">
        <v>2827</v>
      </c>
      <c r="E1148" t="s">
        <v>2828</v>
      </c>
      <c r="F1148" s="23"/>
      <c r="G1148" t="s">
        <v>3004</v>
      </c>
      <c r="H1148" t="s">
        <v>3186</v>
      </c>
      <c r="I1148" t="s">
        <v>3393</v>
      </c>
      <c r="J1148" s="11" t="str">
        <f>+LEFT(U1148,4)</f>
        <v>INM-</v>
      </c>
      <c r="K1148" t="s">
        <v>10</v>
      </c>
      <c r="L1148">
        <v>30</v>
      </c>
      <c r="M1148" t="s">
        <v>186</v>
      </c>
      <c r="N1148" t="s">
        <v>11</v>
      </c>
      <c r="O1148">
        <v>129.82300000000001</v>
      </c>
      <c r="P1148" s="45">
        <f t="shared" si="90"/>
        <v>3894.69</v>
      </c>
      <c r="Q1148" s="13">
        <f>IF(N1148="HKD",7.8,IF(N1148="CNY",7.30034,1))</f>
        <v>7.3003400000000003</v>
      </c>
      <c r="R1148" s="15">
        <f>+ROUND(O1148/Q1148,4)</f>
        <v>17.783100000000001</v>
      </c>
      <c r="S1148" s="14">
        <f>ROUND(R1148*L1148,2)</f>
        <v>533.49</v>
      </c>
      <c r="T1148" s="15" t="s">
        <v>349</v>
      </c>
      <c r="U1148" t="s">
        <v>327</v>
      </c>
      <c r="W1148" s="49" t="e">
        <f t="shared" si="91"/>
        <v>#DIV/0!</v>
      </c>
    </row>
    <row r="1149" spans="1:23" x14ac:dyDescent="0.2">
      <c r="A1149" t="s">
        <v>2584</v>
      </c>
      <c r="B1149" s="24">
        <v>45733</v>
      </c>
      <c r="C1149" s="24">
        <v>45716</v>
      </c>
      <c r="D1149" t="s">
        <v>2827</v>
      </c>
      <c r="E1149" t="s">
        <v>2828</v>
      </c>
      <c r="F1149" s="23"/>
      <c r="G1149" t="s">
        <v>3004</v>
      </c>
      <c r="H1149" t="s">
        <v>3187</v>
      </c>
      <c r="I1149" t="s">
        <v>3394</v>
      </c>
      <c r="J1149" s="11" t="str">
        <f>+LEFT(U1149,4)</f>
        <v>INM-</v>
      </c>
      <c r="K1149" t="s">
        <v>10</v>
      </c>
      <c r="L1149">
        <v>150</v>
      </c>
      <c r="M1149" t="s">
        <v>186</v>
      </c>
      <c r="N1149" t="s">
        <v>11</v>
      </c>
      <c r="O1149">
        <v>81</v>
      </c>
      <c r="P1149" s="45">
        <f t="shared" si="90"/>
        <v>12150</v>
      </c>
      <c r="Q1149" s="13">
        <f>IF(N1149="HKD",7.8,IF(N1149="CNY",7.30034,1))</f>
        <v>7.3003400000000003</v>
      </c>
      <c r="R1149" s="15">
        <f>+ROUND(O1149/Q1149,4)</f>
        <v>11.0954</v>
      </c>
      <c r="S1149" s="14">
        <f>ROUND(R1149*L1149,2)</f>
        <v>1664.31</v>
      </c>
      <c r="T1149" s="15" t="s">
        <v>349</v>
      </c>
      <c r="U1149" t="s">
        <v>327</v>
      </c>
      <c r="W1149" s="49" t="e">
        <f t="shared" si="91"/>
        <v>#DIV/0!</v>
      </c>
    </row>
    <row r="1150" spans="1:23" x14ac:dyDescent="0.2">
      <c r="A1150" t="s">
        <v>2611</v>
      </c>
      <c r="B1150" s="24">
        <v>45733</v>
      </c>
      <c r="C1150" s="24">
        <v>45720</v>
      </c>
      <c r="D1150" t="s">
        <v>287</v>
      </c>
      <c r="E1150" t="s">
        <v>288</v>
      </c>
      <c r="F1150" s="23"/>
      <c r="G1150" t="s">
        <v>2946</v>
      </c>
      <c r="H1150" t="s">
        <v>71</v>
      </c>
      <c r="I1150" t="s">
        <v>72</v>
      </c>
      <c r="J1150" s="11" t="str">
        <f>+LEFT(U1150,4)</f>
        <v>ANYD</v>
      </c>
      <c r="K1150" t="s">
        <v>10</v>
      </c>
      <c r="L1150">
        <v>1000</v>
      </c>
      <c r="M1150" t="s">
        <v>1472</v>
      </c>
      <c r="N1150" t="s">
        <v>11</v>
      </c>
      <c r="O1150">
        <v>8.15</v>
      </c>
      <c r="P1150" s="45">
        <f t="shared" si="90"/>
        <v>8150</v>
      </c>
      <c r="Q1150" s="13">
        <f>IF(N1150="HKD",7.8,IF(N1150="CNY",7.30034,1))</f>
        <v>7.3003400000000003</v>
      </c>
      <c r="R1150" s="15">
        <f>+ROUND(O1150/Q1150,4)</f>
        <v>1.1164000000000001</v>
      </c>
      <c r="S1150" s="14">
        <f>ROUND(R1150*L1150,2)</f>
        <v>1116.4000000000001</v>
      </c>
      <c r="T1150" s="15" t="s">
        <v>349</v>
      </c>
      <c r="U1150" t="s">
        <v>36</v>
      </c>
      <c r="W1150" s="49" t="e">
        <f t="shared" si="91"/>
        <v>#DIV/0!</v>
      </c>
    </row>
    <row r="1151" spans="1:23" x14ac:dyDescent="0.2">
      <c r="A1151" t="s">
        <v>2613</v>
      </c>
      <c r="B1151" s="24">
        <v>45733</v>
      </c>
      <c r="C1151" s="24">
        <v>45720</v>
      </c>
      <c r="D1151" t="s">
        <v>28</v>
      </c>
      <c r="E1151" t="s">
        <v>29</v>
      </c>
      <c r="F1151" s="23"/>
      <c r="G1151" t="s">
        <v>2936</v>
      </c>
      <c r="H1151" t="s">
        <v>3201</v>
      </c>
      <c r="I1151" t="s">
        <v>3408</v>
      </c>
      <c r="J1151" s="11" t="str">
        <f>+LEFT(U1151,4)</f>
        <v>BRKT</v>
      </c>
      <c r="K1151" t="s">
        <v>10</v>
      </c>
      <c r="L1151">
        <v>1030</v>
      </c>
      <c r="M1151" t="s">
        <v>1472</v>
      </c>
      <c r="N1151" t="s">
        <v>11</v>
      </c>
      <c r="O1151">
        <v>0.71870000000000001</v>
      </c>
      <c r="P1151" s="45">
        <f t="shared" si="90"/>
        <v>740.26</v>
      </c>
      <c r="Q1151" s="13">
        <f>IF(N1151="HKD",7.8,IF(N1151="CNY",7.30034,1))</f>
        <v>7.3003400000000003</v>
      </c>
      <c r="R1151" s="15">
        <f>+ROUND(O1151/Q1151,4)</f>
        <v>9.8400000000000001E-2</v>
      </c>
      <c r="S1151" s="14">
        <f>ROUND(R1151*L1151,2)</f>
        <v>101.35</v>
      </c>
      <c r="T1151" s="15" t="s">
        <v>349</v>
      </c>
      <c r="U1151" t="s">
        <v>442</v>
      </c>
      <c r="W1151" s="49" t="e">
        <f t="shared" si="91"/>
        <v>#DIV/0!</v>
      </c>
    </row>
    <row r="1152" spans="1:23" x14ac:dyDescent="0.2">
      <c r="A1152" t="s">
        <v>2616</v>
      </c>
      <c r="B1152" s="24">
        <v>45733</v>
      </c>
      <c r="C1152" s="24">
        <v>45720</v>
      </c>
      <c r="D1152" t="s">
        <v>235</v>
      </c>
      <c r="E1152" t="s">
        <v>236</v>
      </c>
      <c r="F1152" s="23"/>
      <c r="G1152" t="s">
        <v>2990</v>
      </c>
      <c r="H1152" t="s">
        <v>1348</v>
      </c>
      <c r="I1152" t="s">
        <v>1349</v>
      </c>
      <c r="J1152" s="11" t="str">
        <f>+LEFT(U1152,4)</f>
        <v>SCR-</v>
      </c>
      <c r="K1152" t="s">
        <v>10</v>
      </c>
      <c r="L1152">
        <v>2000</v>
      </c>
      <c r="M1152" t="s">
        <v>1472</v>
      </c>
      <c r="N1152" t="s">
        <v>11</v>
      </c>
      <c r="O1152">
        <v>0.67030000000000001</v>
      </c>
      <c r="P1152" s="45">
        <f t="shared" si="90"/>
        <v>1340.6</v>
      </c>
      <c r="Q1152" s="13">
        <f>IF(N1152="HKD",7.8,IF(N1152="CNY",7.30034,1))</f>
        <v>7.3003400000000003</v>
      </c>
      <c r="R1152" s="15">
        <f>+ROUND(O1152/Q1152,4)</f>
        <v>9.1800000000000007E-2</v>
      </c>
      <c r="S1152" s="14">
        <f>ROUND(R1152*L1152,2)</f>
        <v>183.6</v>
      </c>
      <c r="T1152" s="15" t="s">
        <v>349</v>
      </c>
      <c r="U1152" t="s">
        <v>166</v>
      </c>
      <c r="W1152" s="49" t="e">
        <f t="shared" si="91"/>
        <v>#DIV/0!</v>
      </c>
    </row>
    <row r="1153" spans="1:23" x14ac:dyDescent="0.2">
      <c r="A1153" t="s">
        <v>2618</v>
      </c>
      <c r="B1153" s="24">
        <v>45733</v>
      </c>
      <c r="C1153" s="24">
        <v>45721</v>
      </c>
      <c r="D1153" t="s">
        <v>169</v>
      </c>
      <c r="E1153" t="s">
        <v>170</v>
      </c>
      <c r="F1153" s="23"/>
      <c r="G1153" t="s">
        <v>2960</v>
      </c>
      <c r="H1153" t="s">
        <v>1330</v>
      </c>
      <c r="I1153" t="s">
        <v>1331</v>
      </c>
      <c r="J1153" s="11" t="str">
        <f>+LEFT(U1153,4)</f>
        <v>STKR</v>
      </c>
      <c r="K1153" t="s">
        <v>10</v>
      </c>
      <c r="L1153">
        <v>1010</v>
      </c>
      <c r="M1153" t="s">
        <v>1472</v>
      </c>
      <c r="N1153" t="s">
        <v>11</v>
      </c>
      <c r="O1153">
        <v>0.08</v>
      </c>
      <c r="P1153" s="45">
        <f t="shared" si="90"/>
        <v>80.8</v>
      </c>
      <c r="Q1153" s="13">
        <f>IF(N1153="HKD",7.8,IF(N1153="CNY",7.30034,1))</f>
        <v>7.3003400000000003</v>
      </c>
      <c r="R1153" s="15">
        <f>+ROUND(O1153/Q1153,4)</f>
        <v>1.0999999999999999E-2</v>
      </c>
      <c r="S1153" s="14">
        <f>ROUND(R1153*L1153,2)</f>
        <v>11.11</v>
      </c>
      <c r="T1153" s="15" t="s">
        <v>349</v>
      </c>
      <c r="U1153" t="s">
        <v>18</v>
      </c>
      <c r="W1153" s="49" t="e">
        <f t="shared" si="91"/>
        <v>#DIV/0!</v>
      </c>
    </row>
    <row r="1154" spans="1:23" x14ac:dyDescent="0.2">
      <c r="A1154" t="s">
        <v>2626</v>
      </c>
      <c r="B1154" s="24">
        <v>45733</v>
      </c>
      <c r="C1154" s="24">
        <v>45721</v>
      </c>
      <c r="D1154" t="s">
        <v>169</v>
      </c>
      <c r="E1154" t="s">
        <v>170</v>
      </c>
      <c r="F1154" s="23"/>
      <c r="G1154" t="s">
        <v>3018</v>
      </c>
      <c r="H1154" t="s">
        <v>3208</v>
      </c>
      <c r="I1154" t="s">
        <v>3415</v>
      </c>
      <c r="J1154" s="11" t="str">
        <f>+LEFT(U1154,4)</f>
        <v>PAP-</v>
      </c>
      <c r="K1154" t="s">
        <v>10</v>
      </c>
      <c r="L1154">
        <v>3000</v>
      </c>
      <c r="M1154" t="s">
        <v>1472</v>
      </c>
      <c r="N1154" t="s">
        <v>11</v>
      </c>
      <c r="O1154">
        <v>0.36</v>
      </c>
      <c r="P1154" s="45">
        <f t="shared" ref="P1154:P1217" si="92">ROUND(O1154*L1154,2)</f>
        <v>1080</v>
      </c>
      <c r="Q1154" s="13">
        <f>IF(N1154="HKD",7.8,IF(N1154="CNY",7.30034,1))</f>
        <v>7.3003400000000003</v>
      </c>
      <c r="R1154" s="15">
        <f>+ROUND(O1154/Q1154,4)</f>
        <v>4.9299999999999997E-2</v>
      </c>
      <c r="S1154" s="14">
        <f>ROUND(R1154*L1154,2)</f>
        <v>147.9</v>
      </c>
      <c r="T1154" s="15" t="s">
        <v>349</v>
      </c>
      <c r="U1154" t="s">
        <v>1094</v>
      </c>
      <c r="W1154" s="49" t="e">
        <f t="shared" ref="W1154:W1217" si="93">IF(N1154="CNY",O1154/V1154*L1154,1)</f>
        <v>#DIV/0!</v>
      </c>
    </row>
    <row r="1155" spans="1:23" x14ac:dyDescent="0.2">
      <c r="A1155" t="s">
        <v>2627</v>
      </c>
      <c r="B1155" s="24">
        <v>45733</v>
      </c>
      <c r="C1155" s="24">
        <v>45721</v>
      </c>
      <c r="D1155" t="s">
        <v>169</v>
      </c>
      <c r="E1155" t="s">
        <v>170</v>
      </c>
      <c r="F1155" s="23"/>
      <c r="G1155" t="s">
        <v>3018</v>
      </c>
      <c r="H1155" t="s">
        <v>3209</v>
      </c>
      <c r="I1155" t="s">
        <v>3416</v>
      </c>
      <c r="J1155" s="11" t="str">
        <f>+LEFT(U1155,4)</f>
        <v>PAP-</v>
      </c>
      <c r="K1155" t="s">
        <v>10</v>
      </c>
      <c r="L1155">
        <v>7000</v>
      </c>
      <c r="M1155" t="s">
        <v>1472</v>
      </c>
      <c r="N1155" t="s">
        <v>11</v>
      </c>
      <c r="O1155">
        <v>0.42</v>
      </c>
      <c r="P1155" s="45">
        <f t="shared" si="92"/>
        <v>2940</v>
      </c>
      <c r="Q1155" s="13">
        <f>IF(N1155="HKD",7.8,IF(N1155="CNY",7.30034,1))</f>
        <v>7.3003400000000003</v>
      </c>
      <c r="R1155" s="15">
        <f>+ROUND(O1155/Q1155,4)</f>
        <v>5.7500000000000002E-2</v>
      </c>
      <c r="S1155" s="14">
        <f>ROUND(R1155*L1155,2)</f>
        <v>402.5</v>
      </c>
      <c r="T1155" s="15" t="s">
        <v>349</v>
      </c>
      <c r="U1155" t="s">
        <v>1094</v>
      </c>
      <c r="W1155" s="49" t="e">
        <f t="shared" si="93"/>
        <v>#DIV/0!</v>
      </c>
    </row>
    <row r="1156" spans="1:23" x14ac:dyDescent="0.2">
      <c r="A1156" t="s">
        <v>2637</v>
      </c>
      <c r="B1156" s="24">
        <v>45733</v>
      </c>
      <c r="C1156" s="24">
        <v>45721</v>
      </c>
      <c r="D1156" t="s">
        <v>128</v>
      </c>
      <c r="E1156" t="s">
        <v>129</v>
      </c>
      <c r="F1156" s="23"/>
      <c r="G1156" t="s">
        <v>2910</v>
      </c>
      <c r="H1156" t="s">
        <v>3090</v>
      </c>
      <c r="I1156" t="s">
        <v>3306</v>
      </c>
      <c r="J1156" s="11" t="str">
        <f>+LEFT(U1156,4)</f>
        <v>RIV-</v>
      </c>
      <c r="K1156" t="s">
        <v>10</v>
      </c>
      <c r="L1156">
        <v>16500</v>
      </c>
      <c r="M1156" t="s">
        <v>1472</v>
      </c>
      <c r="N1156" t="s">
        <v>11</v>
      </c>
      <c r="O1156">
        <v>6.2199999999999998E-2</v>
      </c>
      <c r="P1156" s="45">
        <f t="shared" si="92"/>
        <v>1026.3</v>
      </c>
      <c r="Q1156" s="13">
        <f>IF(N1156="HKD",7.8,IF(N1156="CNY",7.30034,1))</f>
        <v>7.3003400000000003</v>
      </c>
      <c r="R1156" s="15">
        <f>+ROUND(O1156/Q1156,4)</f>
        <v>8.5000000000000006E-3</v>
      </c>
      <c r="S1156" s="14">
        <f>ROUND(R1156*L1156,2)</f>
        <v>140.25</v>
      </c>
      <c r="T1156" s="15" t="s">
        <v>349</v>
      </c>
      <c r="U1156" t="s">
        <v>132</v>
      </c>
      <c r="W1156" s="49" t="e">
        <f t="shared" si="93"/>
        <v>#DIV/0!</v>
      </c>
    </row>
    <row r="1157" spans="1:23" x14ac:dyDescent="0.2">
      <c r="A1157" t="s">
        <v>2657</v>
      </c>
      <c r="B1157" s="24">
        <v>45733</v>
      </c>
      <c r="C1157" s="24">
        <v>45723</v>
      </c>
      <c r="D1157" t="s">
        <v>806</v>
      </c>
      <c r="E1157" t="s">
        <v>807</v>
      </c>
      <c r="F1157" s="23"/>
      <c r="G1157" t="s">
        <v>3025</v>
      </c>
      <c r="H1157" t="s">
        <v>1585</v>
      </c>
      <c r="I1157" t="s">
        <v>1586</v>
      </c>
      <c r="J1157" s="11" t="str">
        <f>+LEFT(U1157,4)</f>
        <v>BAG-</v>
      </c>
      <c r="K1157" t="s">
        <v>10</v>
      </c>
      <c r="L1157">
        <v>4700</v>
      </c>
      <c r="M1157" t="s">
        <v>1472</v>
      </c>
      <c r="N1157" t="s">
        <v>11</v>
      </c>
      <c r="O1157">
        <v>0.09</v>
      </c>
      <c r="P1157" s="45">
        <f t="shared" si="92"/>
        <v>423</v>
      </c>
      <c r="Q1157" s="13">
        <f>IF(N1157="HKD",7.8,IF(N1157="CNY",7.30034,1))</f>
        <v>7.3003400000000003</v>
      </c>
      <c r="R1157" s="15">
        <f>+ROUND(O1157/Q1157,4)</f>
        <v>1.23E-2</v>
      </c>
      <c r="S1157" s="14">
        <f>ROUND(R1157*L1157,2)</f>
        <v>57.81</v>
      </c>
      <c r="T1157" s="15" t="s">
        <v>349</v>
      </c>
      <c r="U1157" t="s">
        <v>810</v>
      </c>
      <c r="W1157" s="49" t="e">
        <f t="shared" si="93"/>
        <v>#DIV/0!</v>
      </c>
    </row>
    <row r="1158" spans="1:23" x14ac:dyDescent="0.2">
      <c r="A1158" t="s">
        <v>2658</v>
      </c>
      <c r="B1158" s="24">
        <v>45733</v>
      </c>
      <c r="C1158" s="24">
        <v>45723</v>
      </c>
      <c r="D1158" t="s">
        <v>806</v>
      </c>
      <c r="E1158" t="s">
        <v>807</v>
      </c>
      <c r="F1158" s="23"/>
      <c r="G1158" t="s">
        <v>3025</v>
      </c>
      <c r="H1158" t="s">
        <v>1599</v>
      </c>
      <c r="I1158" t="s">
        <v>1600</v>
      </c>
      <c r="J1158" s="11" t="str">
        <f>+LEFT(U1158,4)</f>
        <v>BAG-</v>
      </c>
      <c r="K1158" t="s">
        <v>10</v>
      </c>
      <c r="L1158">
        <v>5000</v>
      </c>
      <c r="M1158" t="s">
        <v>1472</v>
      </c>
      <c r="N1158" t="s">
        <v>11</v>
      </c>
      <c r="O1158">
        <v>0.12</v>
      </c>
      <c r="P1158" s="45">
        <f t="shared" si="92"/>
        <v>600</v>
      </c>
      <c r="Q1158" s="13">
        <f>IF(N1158="HKD",7.8,IF(N1158="CNY",7.30034,1))</f>
        <v>7.3003400000000003</v>
      </c>
      <c r="R1158" s="15">
        <f>+ROUND(O1158/Q1158,4)</f>
        <v>1.6400000000000001E-2</v>
      </c>
      <c r="S1158" s="14">
        <f>ROUND(R1158*L1158,2)</f>
        <v>82</v>
      </c>
      <c r="T1158" s="15" t="s">
        <v>349</v>
      </c>
      <c r="U1158" t="s">
        <v>810</v>
      </c>
      <c r="W1158" s="49" t="e">
        <f t="shared" si="93"/>
        <v>#DIV/0!</v>
      </c>
    </row>
    <row r="1159" spans="1:23" x14ac:dyDescent="0.2">
      <c r="A1159" t="s">
        <v>2659</v>
      </c>
      <c r="B1159" s="24">
        <v>45733</v>
      </c>
      <c r="C1159" s="24">
        <v>45723</v>
      </c>
      <c r="D1159" t="s">
        <v>806</v>
      </c>
      <c r="E1159" t="s">
        <v>807</v>
      </c>
      <c r="F1159" s="23"/>
      <c r="G1159" t="s">
        <v>3025</v>
      </c>
      <c r="H1159" t="s">
        <v>1601</v>
      </c>
      <c r="I1159" t="s">
        <v>1602</v>
      </c>
      <c r="J1159" s="11" t="str">
        <f>+LEFT(U1159,4)</f>
        <v>BAG-</v>
      </c>
      <c r="K1159" t="s">
        <v>10</v>
      </c>
      <c r="L1159">
        <v>5000</v>
      </c>
      <c r="M1159" t="s">
        <v>1472</v>
      </c>
      <c r="N1159" t="s">
        <v>11</v>
      </c>
      <c r="O1159">
        <v>0.128</v>
      </c>
      <c r="P1159" s="45">
        <f t="shared" si="92"/>
        <v>640</v>
      </c>
      <c r="Q1159" s="13">
        <f>IF(N1159="HKD",7.8,IF(N1159="CNY",7.30034,1))</f>
        <v>7.3003400000000003</v>
      </c>
      <c r="R1159" s="15">
        <f>+ROUND(O1159/Q1159,4)</f>
        <v>1.7500000000000002E-2</v>
      </c>
      <c r="S1159" s="14">
        <f>ROUND(R1159*L1159,2)</f>
        <v>87.5</v>
      </c>
      <c r="T1159" s="15" t="s">
        <v>349</v>
      </c>
      <c r="U1159" t="s">
        <v>810</v>
      </c>
      <c r="W1159" s="49" t="e">
        <f t="shared" si="93"/>
        <v>#DIV/0!</v>
      </c>
    </row>
    <row r="1160" spans="1:23" x14ac:dyDescent="0.2">
      <c r="A1160" t="s">
        <v>2660</v>
      </c>
      <c r="B1160" s="24">
        <v>45733</v>
      </c>
      <c r="C1160" s="24">
        <v>45723</v>
      </c>
      <c r="D1160" t="s">
        <v>806</v>
      </c>
      <c r="E1160" t="s">
        <v>807</v>
      </c>
      <c r="F1160" s="23"/>
      <c r="G1160" t="s">
        <v>3025</v>
      </c>
      <c r="H1160" t="s">
        <v>1605</v>
      </c>
      <c r="I1160" t="s">
        <v>1606</v>
      </c>
      <c r="J1160" s="11" t="str">
        <f>+LEFT(U1160,4)</f>
        <v>BAG-</v>
      </c>
      <c r="K1160" t="s">
        <v>10</v>
      </c>
      <c r="L1160">
        <v>5000</v>
      </c>
      <c r="M1160" t="s">
        <v>1472</v>
      </c>
      <c r="N1160" t="s">
        <v>11</v>
      </c>
      <c r="O1160">
        <v>0.17</v>
      </c>
      <c r="P1160" s="45">
        <f t="shared" si="92"/>
        <v>850</v>
      </c>
      <c r="Q1160" s="13">
        <f>IF(N1160="HKD",7.8,IF(N1160="CNY",7.30034,1))</f>
        <v>7.3003400000000003</v>
      </c>
      <c r="R1160" s="15">
        <f>+ROUND(O1160/Q1160,4)</f>
        <v>2.3300000000000001E-2</v>
      </c>
      <c r="S1160" s="14">
        <f>ROUND(R1160*L1160,2)</f>
        <v>116.5</v>
      </c>
      <c r="T1160" s="15" t="s">
        <v>349</v>
      </c>
      <c r="U1160" t="s">
        <v>810</v>
      </c>
      <c r="W1160" s="49" t="e">
        <f t="shared" si="93"/>
        <v>#DIV/0!</v>
      </c>
    </row>
    <row r="1161" spans="1:23" x14ac:dyDescent="0.2">
      <c r="A1161" t="s">
        <v>2662</v>
      </c>
      <c r="B1161" s="24">
        <v>45733</v>
      </c>
      <c r="C1161" s="24">
        <v>45723</v>
      </c>
      <c r="D1161" t="s">
        <v>28</v>
      </c>
      <c r="E1161" t="s">
        <v>29</v>
      </c>
      <c r="F1161" s="23"/>
      <c r="G1161" t="s">
        <v>2936</v>
      </c>
      <c r="H1161" t="s">
        <v>3201</v>
      </c>
      <c r="I1161" t="s">
        <v>3408</v>
      </c>
      <c r="J1161" s="11" t="str">
        <f>+LEFT(U1161,4)</f>
        <v>BRKT</v>
      </c>
      <c r="K1161" t="s">
        <v>10</v>
      </c>
      <c r="L1161">
        <v>610</v>
      </c>
      <c r="M1161" t="s">
        <v>1472</v>
      </c>
      <c r="N1161" t="s">
        <v>11</v>
      </c>
      <c r="O1161">
        <v>0.71870000000000001</v>
      </c>
      <c r="P1161" s="45">
        <f t="shared" si="92"/>
        <v>438.41</v>
      </c>
      <c r="Q1161" s="13">
        <f>IF(N1161="HKD",7.8,IF(N1161="CNY",7.30034,1))</f>
        <v>7.3003400000000003</v>
      </c>
      <c r="R1161" s="15">
        <f>+ROUND(O1161/Q1161,4)</f>
        <v>9.8400000000000001E-2</v>
      </c>
      <c r="S1161" s="14">
        <f>ROUND(R1161*L1161,2)</f>
        <v>60.02</v>
      </c>
      <c r="T1161" s="15" t="s">
        <v>349</v>
      </c>
      <c r="U1161" t="s">
        <v>442</v>
      </c>
      <c r="W1161" s="49" t="e">
        <f t="shared" si="93"/>
        <v>#DIV/0!</v>
      </c>
    </row>
    <row r="1162" spans="1:23" x14ac:dyDescent="0.2">
      <c r="A1162" t="s">
        <v>2680</v>
      </c>
      <c r="B1162" s="24">
        <v>45733</v>
      </c>
      <c r="C1162" s="24">
        <v>45726</v>
      </c>
      <c r="D1162" t="s">
        <v>2832</v>
      </c>
      <c r="E1162" t="s">
        <v>2833</v>
      </c>
      <c r="F1162" s="23"/>
      <c r="G1162" t="s">
        <v>3029</v>
      </c>
      <c r="H1162" t="s">
        <v>3222</v>
      </c>
      <c r="I1162" t="s">
        <v>3429</v>
      </c>
      <c r="J1162" s="11" t="str">
        <f>+LEFT(U1162,4)</f>
        <v>EXM-</v>
      </c>
      <c r="K1162" t="s">
        <v>10</v>
      </c>
      <c r="L1162">
        <v>20</v>
      </c>
      <c r="M1162" t="s">
        <v>186</v>
      </c>
      <c r="N1162" t="s">
        <v>11</v>
      </c>
      <c r="O1162">
        <v>123.8938</v>
      </c>
      <c r="P1162" s="45">
        <f t="shared" si="92"/>
        <v>2477.88</v>
      </c>
      <c r="Q1162" s="13">
        <f>IF(N1162="HKD",7.8,IF(N1162="CNY",7.30034,1))</f>
        <v>7.3003400000000003</v>
      </c>
      <c r="R1162" s="15">
        <f>+ROUND(O1162/Q1162,4)</f>
        <v>16.971</v>
      </c>
      <c r="S1162" s="14">
        <f>ROUND(R1162*L1162,2)</f>
        <v>339.42</v>
      </c>
      <c r="T1162" s="15" t="s">
        <v>349</v>
      </c>
      <c r="U1162" t="s">
        <v>315</v>
      </c>
      <c r="W1162" s="49" t="e">
        <f t="shared" si="93"/>
        <v>#DIV/0!</v>
      </c>
    </row>
    <row r="1163" spans="1:23" x14ac:dyDescent="0.2">
      <c r="A1163" t="s">
        <v>2688</v>
      </c>
      <c r="B1163" s="24">
        <v>45733</v>
      </c>
      <c r="C1163" s="24">
        <v>45727</v>
      </c>
      <c r="D1163" t="s">
        <v>5</v>
      </c>
      <c r="E1163" t="s">
        <v>6</v>
      </c>
      <c r="F1163" s="23"/>
      <c r="G1163" t="s">
        <v>3031</v>
      </c>
      <c r="H1163" t="s">
        <v>403</v>
      </c>
      <c r="I1163" t="s">
        <v>404</v>
      </c>
      <c r="J1163" s="11" t="str">
        <f>+LEFT(U1163,4)</f>
        <v>BOX-</v>
      </c>
      <c r="K1163" t="s">
        <v>10</v>
      </c>
      <c r="L1163">
        <v>1010</v>
      </c>
      <c r="M1163" t="s">
        <v>1472</v>
      </c>
      <c r="N1163" t="s">
        <v>11</v>
      </c>
      <c r="O1163">
        <v>3.23</v>
      </c>
      <c r="P1163" s="45">
        <f t="shared" si="92"/>
        <v>3262.3</v>
      </c>
      <c r="Q1163" s="13">
        <f>IF(N1163="HKD",7.8,IF(N1163="CNY",7.30034,1))</f>
        <v>7.3003400000000003</v>
      </c>
      <c r="R1163" s="15">
        <f>+ROUND(O1163/Q1163,4)</f>
        <v>0.44240000000000002</v>
      </c>
      <c r="S1163" s="14">
        <f>ROUND(R1163*L1163,2)</f>
        <v>446.82</v>
      </c>
      <c r="T1163" s="15" t="s">
        <v>349</v>
      </c>
      <c r="U1163" t="s">
        <v>1</v>
      </c>
      <c r="W1163" s="49" t="e">
        <f t="shared" si="93"/>
        <v>#DIV/0!</v>
      </c>
    </row>
    <row r="1164" spans="1:23" x14ac:dyDescent="0.2">
      <c r="A1164" t="s">
        <v>2689</v>
      </c>
      <c r="B1164" s="24">
        <v>45733</v>
      </c>
      <c r="C1164" s="24">
        <v>45727</v>
      </c>
      <c r="D1164" t="s">
        <v>5</v>
      </c>
      <c r="E1164" t="s">
        <v>6</v>
      </c>
      <c r="F1164" s="23"/>
      <c r="G1164" t="s">
        <v>3031</v>
      </c>
      <c r="H1164" t="s">
        <v>394</v>
      </c>
      <c r="I1164" t="s">
        <v>395</v>
      </c>
      <c r="J1164" s="11" t="str">
        <f>+LEFT(U1164,4)</f>
        <v>BOX-</v>
      </c>
      <c r="K1164" t="s">
        <v>10</v>
      </c>
      <c r="L1164">
        <v>1010</v>
      </c>
      <c r="M1164" t="s">
        <v>1472</v>
      </c>
      <c r="N1164" t="s">
        <v>11</v>
      </c>
      <c r="O1164">
        <v>5.64</v>
      </c>
      <c r="P1164" s="45">
        <f t="shared" si="92"/>
        <v>5696.4</v>
      </c>
      <c r="Q1164" s="13">
        <f>IF(N1164="HKD",7.8,IF(N1164="CNY",7.30034,1))</f>
        <v>7.3003400000000003</v>
      </c>
      <c r="R1164" s="15">
        <f>+ROUND(O1164/Q1164,4)</f>
        <v>0.77259999999999995</v>
      </c>
      <c r="S1164" s="14">
        <f>ROUND(R1164*L1164,2)</f>
        <v>780.33</v>
      </c>
      <c r="T1164" s="15" t="s">
        <v>349</v>
      </c>
      <c r="U1164" t="s">
        <v>1</v>
      </c>
      <c r="W1164" s="49" t="e">
        <f t="shared" si="93"/>
        <v>#DIV/0!</v>
      </c>
    </row>
    <row r="1165" spans="1:23" x14ac:dyDescent="0.2">
      <c r="A1165" t="s">
        <v>2731</v>
      </c>
      <c r="B1165" s="24">
        <v>45733</v>
      </c>
      <c r="C1165" s="24">
        <v>45729</v>
      </c>
      <c r="D1165" t="s">
        <v>169</v>
      </c>
      <c r="E1165" t="s">
        <v>170</v>
      </c>
      <c r="F1165" s="23"/>
      <c r="G1165" t="s">
        <v>3041</v>
      </c>
      <c r="H1165" t="s">
        <v>3155</v>
      </c>
      <c r="I1165" t="s">
        <v>3365</v>
      </c>
      <c r="J1165" s="11" t="str">
        <f>+LEFT(U1165,4)</f>
        <v>STKR</v>
      </c>
      <c r="K1165" t="s">
        <v>10</v>
      </c>
      <c r="L1165">
        <v>30</v>
      </c>
      <c r="M1165" t="s">
        <v>1472</v>
      </c>
      <c r="N1165" t="s">
        <v>11</v>
      </c>
      <c r="O1165">
        <v>0.08</v>
      </c>
      <c r="P1165" s="45">
        <f t="shared" si="92"/>
        <v>2.4</v>
      </c>
      <c r="Q1165" s="13">
        <f>IF(N1165="HKD",7.8,IF(N1165="CNY",7.30034,1))</f>
        <v>7.3003400000000003</v>
      </c>
      <c r="R1165" s="15">
        <f>+ROUND(O1165/Q1165,4)</f>
        <v>1.0999999999999999E-2</v>
      </c>
      <c r="S1165" s="14">
        <f>ROUND(R1165*L1165,2)</f>
        <v>0.33</v>
      </c>
      <c r="T1165" s="15" t="s">
        <v>349</v>
      </c>
      <c r="U1165" t="s">
        <v>18</v>
      </c>
      <c r="W1165" s="49" t="e">
        <f t="shared" si="93"/>
        <v>#DIV/0!</v>
      </c>
    </row>
    <row r="1166" spans="1:23" x14ac:dyDescent="0.2">
      <c r="A1166" t="s">
        <v>2732</v>
      </c>
      <c r="B1166" s="24">
        <v>45733</v>
      </c>
      <c r="C1166" s="24">
        <v>45729</v>
      </c>
      <c r="D1166" t="s">
        <v>5</v>
      </c>
      <c r="E1166" t="s">
        <v>6</v>
      </c>
      <c r="F1166" s="23"/>
      <c r="G1166" t="s">
        <v>3042</v>
      </c>
      <c r="H1166" t="s">
        <v>3241</v>
      </c>
      <c r="I1166" t="s">
        <v>3448</v>
      </c>
      <c r="J1166" s="11" t="str">
        <f>+LEFT(U1166,4)</f>
        <v>SHTS</v>
      </c>
      <c r="K1166" t="s">
        <v>10</v>
      </c>
      <c r="L1166">
        <v>1010</v>
      </c>
      <c r="M1166" t="s">
        <v>1472</v>
      </c>
      <c r="N1166" t="s">
        <v>11</v>
      </c>
      <c r="O1166">
        <v>3.22</v>
      </c>
      <c r="P1166" s="45">
        <f t="shared" si="92"/>
        <v>3252.2</v>
      </c>
      <c r="Q1166" s="13">
        <f>IF(N1166="HKD",7.8,IF(N1166="CNY",7.30034,1))</f>
        <v>7.3003400000000003</v>
      </c>
      <c r="R1166" s="15">
        <f>+ROUND(O1166/Q1166,4)</f>
        <v>0.44109999999999999</v>
      </c>
      <c r="S1166" s="14">
        <f>ROUND(R1166*L1166,2)</f>
        <v>445.51</v>
      </c>
      <c r="T1166" s="15" t="s">
        <v>349</v>
      </c>
      <c r="U1166" t="s">
        <v>9</v>
      </c>
      <c r="W1166" s="49" t="e">
        <f t="shared" si="93"/>
        <v>#DIV/0!</v>
      </c>
    </row>
    <row r="1167" spans="1:23" x14ac:dyDescent="0.2">
      <c r="A1167" t="s">
        <v>2733</v>
      </c>
      <c r="B1167" s="24">
        <v>45733</v>
      </c>
      <c r="C1167" s="24">
        <v>45729</v>
      </c>
      <c r="D1167" t="s">
        <v>5</v>
      </c>
      <c r="E1167" t="s">
        <v>6</v>
      </c>
      <c r="F1167" s="23"/>
      <c r="G1167" t="s">
        <v>3042</v>
      </c>
      <c r="H1167" t="s">
        <v>496</v>
      </c>
      <c r="I1167" t="s">
        <v>497</v>
      </c>
      <c r="J1167" s="11" t="str">
        <f>+LEFT(U1167,4)</f>
        <v>SHTS</v>
      </c>
      <c r="K1167" t="s">
        <v>10</v>
      </c>
      <c r="L1167">
        <v>1015</v>
      </c>
      <c r="M1167" t="s">
        <v>1472</v>
      </c>
      <c r="N1167" t="s">
        <v>11</v>
      </c>
      <c r="O1167">
        <v>2.15</v>
      </c>
      <c r="P1167" s="45">
        <f t="shared" si="92"/>
        <v>2182.25</v>
      </c>
      <c r="Q1167" s="13">
        <f>IF(N1167="HKD",7.8,IF(N1167="CNY",7.30034,1))</f>
        <v>7.3003400000000003</v>
      </c>
      <c r="R1167" s="15">
        <f>+ROUND(O1167/Q1167,4)</f>
        <v>0.29449999999999998</v>
      </c>
      <c r="S1167" s="14">
        <f>ROUND(R1167*L1167,2)</f>
        <v>298.92</v>
      </c>
      <c r="T1167" s="15" t="s">
        <v>349</v>
      </c>
      <c r="U1167" t="s">
        <v>9</v>
      </c>
      <c r="W1167" s="49" t="e">
        <f t="shared" si="93"/>
        <v>#DIV/0!</v>
      </c>
    </row>
    <row r="1168" spans="1:23" x14ac:dyDescent="0.2">
      <c r="A1168" t="s">
        <v>2734</v>
      </c>
      <c r="B1168" s="24">
        <v>45733</v>
      </c>
      <c r="C1168" s="24">
        <v>45729</v>
      </c>
      <c r="D1168" t="s">
        <v>5</v>
      </c>
      <c r="E1168" t="s">
        <v>6</v>
      </c>
      <c r="F1168" s="23"/>
      <c r="G1168" t="s">
        <v>3042</v>
      </c>
      <c r="H1168" t="s">
        <v>489</v>
      </c>
      <c r="I1168" t="s">
        <v>490</v>
      </c>
      <c r="J1168" s="11" t="str">
        <f>+LEFT(U1168,4)</f>
        <v>SHTS</v>
      </c>
      <c r="K1168" t="s">
        <v>10</v>
      </c>
      <c r="L1168">
        <v>4020</v>
      </c>
      <c r="M1168" t="s">
        <v>1472</v>
      </c>
      <c r="N1168" t="s">
        <v>11</v>
      </c>
      <c r="O1168">
        <v>1.6</v>
      </c>
      <c r="P1168" s="45">
        <f t="shared" si="92"/>
        <v>6432</v>
      </c>
      <c r="Q1168" s="13">
        <f>IF(N1168="HKD",7.8,IF(N1168="CNY",7.30034,1))</f>
        <v>7.3003400000000003</v>
      </c>
      <c r="R1168" s="15">
        <f>+ROUND(O1168/Q1168,4)</f>
        <v>0.21920000000000001</v>
      </c>
      <c r="S1168" s="14">
        <f>ROUND(R1168*L1168,2)</f>
        <v>881.18</v>
      </c>
      <c r="T1168" s="15" t="s">
        <v>349</v>
      </c>
      <c r="U1168" t="s">
        <v>9</v>
      </c>
      <c r="W1168" s="49" t="e">
        <f t="shared" si="93"/>
        <v>#DIV/0!</v>
      </c>
    </row>
    <row r="1169" spans="1:23" x14ac:dyDescent="0.2">
      <c r="A1169" t="s">
        <v>2735</v>
      </c>
      <c r="B1169" s="24">
        <v>45733</v>
      </c>
      <c r="C1169" s="24">
        <v>45729</v>
      </c>
      <c r="D1169" t="s">
        <v>5</v>
      </c>
      <c r="E1169" t="s">
        <v>6</v>
      </c>
      <c r="F1169" s="23"/>
      <c r="G1169" t="s">
        <v>3042</v>
      </c>
      <c r="H1169" t="s">
        <v>489</v>
      </c>
      <c r="I1169" t="s">
        <v>490</v>
      </c>
      <c r="J1169" s="11" t="str">
        <f>+LEFT(U1169,4)</f>
        <v>SHTS</v>
      </c>
      <c r="K1169" t="s">
        <v>10</v>
      </c>
      <c r="L1169">
        <v>2010</v>
      </c>
      <c r="M1169" t="s">
        <v>1472</v>
      </c>
      <c r="N1169" t="s">
        <v>11</v>
      </c>
      <c r="O1169">
        <v>1.6</v>
      </c>
      <c r="P1169" s="45">
        <f t="shared" si="92"/>
        <v>3216</v>
      </c>
      <c r="Q1169" s="13">
        <f>IF(N1169="HKD",7.8,IF(N1169="CNY",7.30034,1))</f>
        <v>7.3003400000000003</v>
      </c>
      <c r="R1169" s="15">
        <f>+ROUND(O1169/Q1169,4)</f>
        <v>0.21920000000000001</v>
      </c>
      <c r="S1169" s="14">
        <f>ROUND(R1169*L1169,2)</f>
        <v>440.59</v>
      </c>
      <c r="T1169" s="15" t="s">
        <v>349</v>
      </c>
      <c r="U1169" t="s">
        <v>9</v>
      </c>
      <c r="W1169" s="49" t="e">
        <f t="shared" si="93"/>
        <v>#DIV/0!</v>
      </c>
    </row>
    <row r="1170" spans="1:23" x14ac:dyDescent="0.2">
      <c r="A1170" t="s">
        <v>2736</v>
      </c>
      <c r="B1170" s="24">
        <v>45733</v>
      </c>
      <c r="C1170" s="24">
        <v>45729</v>
      </c>
      <c r="D1170" t="s">
        <v>5</v>
      </c>
      <c r="E1170" t="s">
        <v>6</v>
      </c>
      <c r="F1170" s="23"/>
      <c r="G1170" t="s">
        <v>3043</v>
      </c>
      <c r="H1170" t="s">
        <v>1804</v>
      </c>
      <c r="I1170" t="s">
        <v>1805</v>
      </c>
      <c r="J1170" s="11" t="str">
        <f>+LEFT(U1170,4)</f>
        <v>BOX-</v>
      </c>
      <c r="K1170" t="s">
        <v>10</v>
      </c>
      <c r="L1170">
        <v>1010</v>
      </c>
      <c r="M1170" t="s">
        <v>1472</v>
      </c>
      <c r="N1170" t="s">
        <v>11</v>
      </c>
      <c r="O1170">
        <v>10.4</v>
      </c>
      <c r="P1170" s="45">
        <f t="shared" si="92"/>
        <v>10504</v>
      </c>
      <c r="Q1170" s="13">
        <f>IF(N1170="HKD",7.8,IF(N1170="CNY",7.30034,1))</f>
        <v>7.3003400000000003</v>
      </c>
      <c r="R1170" s="15">
        <f>+ROUND(O1170/Q1170,4)</f>
        <v>1.4246000000000001</v>
      </c>
      <c r="S1170" s="14">
        <f>ROUND(R1170*L1170,2)</f>
        <v>1438.85</v>
      </c>
      <c r="T1170" s="15" t="s">
        <v>349</v>
      </c>
      <c r="U1170" t="s">
        <v>1</v>
      </c>
      <c r="W1170" s="49" t="e">
        <f t="shared" si="93"/>
        <v>#DIV/0!</v>
      </c>
    </row>
    <row r="1171" spans="1:23" x14ac:dyDescent="0.2">
      <c r="A1171" t="s">
        <v>2737</v>
      </c>
      <c r="B1171" s="24">
        <v>45733</v>
      </c>
      <c r="C1171" s="24">
        <v>45729</v>
      </c>
      <c r="D1171" t="s">
        <v>5</v>
      </c>
      <c r="E1171" t="s">
        <v>6</v>
      </c>
      <c r="F1171" s="23"/>
      <c r="G1171" t="s">
        <v>3043</v>
      </c>
      <c r="H1171" t="s">
        <v>1804</v>
      </c>
      <c r="I1171" t="s">
        <v>1805</v>
      </c>
      <c r="J1171" s="11" t="str">
        <f>+LEFT(U1171,4)</f>
        <v>BOX-</v>
      </c>
      <c r="K1171" t="s">
        <v>10</v>
      </c>
      <c r="L1171">
        <v>1010</v>
      </c>
      <c r="M1171" t="s">
        <v>1472</v>
      </c>
      <c r="N1171" t="s">
        <v>11</v>
      </c>
      <c r="O1171">
        <v>10.4</v>
      </c>
      <c r="P1171" s="45">
        <f t="shared" si="92"/>
        <v>10504</v>
      </c>
      <c r="Q1171" s="13">
        <f>IF(N1171="HKD",7.8,IF(N1171="CNY",7.30034,1))</f>
        <v>7.3003400000000003</v>
      </c>
      <c r="R1171" s="15">
        <f>+ROUND(O1171/Q1171,4)</f>
        <v>1.4246000000000001</v>
      </c>
      <c r="S1171" s="14">
        <f>ROUND(R1171*L1171,2)</f>
        <v>1438.85</v>
      </c>
      <c r="T1171" s="15" t="s">
        <v>349</v>
      </c>
      <c r="U1171" t="s">
        <v>1</v>
      </c>
      <c r="W1171" s="49" t="e">
        <f t="shared" si="93"/>
        <v>#DIV/0!</v>
      </c>
    </row>
    <row r="1172" spans="1:23" x14ac:dyDescent="0.2">
      <c r="A1172" t="s">
        <v>2738</v>
      </c>
      <c r="B1172" s="24">
        <v>45733</v>
      </c>
      <c r="C1172" s="24">
        <v>45729</v>
      </c>
      <c r="D1172" t="s">
        <v>5</v>
      </c>
      <c r="E1172" t="s">
        <v>6</v>
      </c>
      <c r="F1172" s="23"/>
      <c r="G1172" t="s">
        <v>3043</v>
      </c>
      <c r="H1172" t="s">
        <v>3242</v>
      </c>
      <c r="I1172" t="s">
        <v>3449</v>
      </c>
      <c r="J1172" s="11" t="str">
        <f>+LEFT(U1172,4)</f>
        <v>BOX-</v>
      </c>
      <c r="K1172" t="s">
        <v>10</v>
      </c>
      <c r="L1172">
        <v>605</v>
      </c>
      <c r="M1172" t="s">
        <v>1472</v>
      </c>
      <c r="N1172" t="s">
        <v>11</v>
      </c>
      <c r="O1172">
        <v>10.32</v>
      </c>
      <c r="P1172" s="45">
        <f t="shared" si="92"/>
        <v>6243.6</v>
      </c>
      <c r="Q1172" s="13">
        <f>IF(N1172="HKD",7.8,IF(N1172="CNY",7.30034,1))</f>
        <v>7.3003400000000003</v>
      </c>
      <c r="R1172" s="15">
        <f>+ROUND(O1172/Q1172,4)</f>
        <v>1.4136</v>
      </c>
      <c r="S1172" s="14">
        <f>ROUND(R1172*L1172,2)</f>
        <v>855.23</v>
      </c>
      <c r="T1172" s="15" t="s">
        <v>349</v>
      </c>
      <c r="U1172" t="s">
        <v>1</v>
      </c>
      <c r="W1172" s="49" t="e">
        <f t="shared" si="93"/>
        <v>#DIV/0!</v>
      </c>
    </row>
    <row r="1173" spans="1:23" x14ac:dyDescent="0.2">
      <c r="A1173" t="s">
        <v>2739</v>
      </c>
      <c r="B1173" s="24">
        <v>45733</v>
      </c>
      <c r="C1173" s="24">
        <v>45729</v>
      </c>
      <c r="D1173" t="s">
        <v>5</v>
      </c>
      <c r="E1173" t="s">
        <v>6</v>
      </c>
      <c r="F1173" s="23"/>
      <c r="G1173" t="s">
        <v>3043</v>
      </c>
      <c r="H1173" t="s">
        <v>3243</v>
      </c>
      <c r="I1173" t="s">
        <v>3450</v>
      </c>
      <c r="J1173" s="11" t="str">
        <f>+LEFT(U1173,4)</f>
        <v>BOX-</v>
      </c>
      <c r="K1173" t="s">
        <v>10</v>
      </c>
      <c r="L1173">
        <v>505</v>
      </c>
      <c r="M1173" t="s">
        <v>1472</v>
      </c>
      <c r="N1173" t="s">
        <v>11</v>
      </c>
      <c r="O1173">
        <v>8.39</v>
      </c>
      <c r="P1173" s="45">
        <f t="shared" si="92"/>
        <v>4236.95</v>
      </c>
      <c r="Q1173" s="13">
        <f>IF(N1173="HKD",7.8,IF(N1173="CNY",7.30034,1))</f>
        <v>7.3003400000000003</v>
      </c>
      <c r="R1173" s="15">
        <f>+ROUND(O1173/Q1173,4)</f>
        <v>1.1493</v>
      </c>
      <c r="S1173" s="14">
        <f>ROUND(R1173*L1173,2)</f>
        <v>580.4</v>
      </c>
      <c r="T1173" s="15" t="s">
        <v>349</v>
      </c>
      <c r="U1173" t="s">
        <v>1</v>
      </c>
      <c r="W1173" s="49" t="e">
        <f t="shared" si="93"/>
        <v>#DIV/0!</v>
      </c>
    </row>
    <row r="1174" spans="1:23" x14ac:dyDescent="0.2">
      <c r="A1174" t="s">
        <v>2740</v>
      </c>
      <c r="B1174" s="24">
        <v>45733</v>
      </c>
      <c r="C1174" s="24">
        <v>45729</v>
      </c>
      <c r="D1174" t="s">
        <v>5</v>
      </c>
      <c r="E1174" t="s">
        <v>6</v>
      </c>
      <c r="F1174" s="23"/>
      <c r="G1174" t="s">
        <v>3043</v>
      </c>
      <c r="H1174" t="s">
        <v>3244</v>
      </c>
      <c r="I1174" t="s">
        <v>3451</v>
      </c>
      <c r="J1174" s="11" t="str">
        <f>+LEFT(U1174,4)</f>
        <v>BOX-</v>
      </c>
      <c r="K1174" t="s">
        <v>10</v>
      </c>
      <c r="L1174">
        <v>505</v>
      </c>
      <c r="M1174" t="s">
        <v>1472</v>
      </c>
      <c r="N1174" t="s">
        <v>11</v>
      </c>
      <c r="O1174">
        <v>10.73</v>
      </c>
      <c r="P1174" s="45">
        <f t="shared" si="92"/>
        <v>5418.65</v>
      </c>
      <c r="Q1174" s="13">
        <f>IF(N1174="HKD",7.8,IF(N1174="CNY",7.30034,1))</f>
        <v>7.3003400000000003</v>
      </c>
      <c r="R1174" s="15">
        <f>+ROUND(O1174/Q1174,4)</f>
        <v>1.4698</v>
      </c>
      <c r="S1174" s="14">
        <f>ROUND(R1174*L1174,2)</f>
        <v>742.25</v>
      </c>
      <c r="T1174" s="15" t="s">
        <v>349</v>
      </c>
      <c r="U1174" t="s">
        <v>1</v>
      </c>
      <c r="W1174" s="49" t="e">
        <f t="shared" si="93"/>
        <v>#DIV/0!</v>
      </c>
    </row>
    <row r="1175" spans="1:23" x14ac:dyDescent="0.2">
      <c r="A1175" t="s">
        <v>2741</v>
      </c>
      <c r="B1175" s="24">
        <v>45733</v>
      </c>
      <c r="C1175" s="24">
        <v>45729</v>
      </c>
      <c r="D1175" t="s">
        <v>5</v>
      </c>
      <c r="E1175" t="s">
        <v>6</v>
      </c>
      <c r="F1175" s="23"/>
      <c r="G1175" t="s">
        <v>3042</v>
      </c>
      <c r="H1175" t="s">
        <v>3245</v>
      </c>
      <c r="I1175" t="s">
        <v>3452</v>
      </c>
      <c r="J1175" s="11" t="str">
        <f>+LEFT(U1175,4)</f>
        <v>BOX-</v>
      </c>
      <c r="K1175" t="s">
        <v>10</v>
      </c>
      <c r="L1175">
        <v>505</v>
      </c>
      <c r="M1175" t="s">
        <v>1472</v>
      </c>
      <c r="N1175" t="s">
        <v>11</v>
      </c>
      <c r="O1175">
        <v>4.75</v>
      </c>
      <c r="P1175" s="45">
        <f t="shared" si="92"/>
        <v>2398.75</v>
      </c>
      <c r="Q1175" s="13">
        <f>IF(N1175="HKD",7.8,IF(N1175="CNY",7.30034,1))</f>
        <v>7.3003400000000003</v>
      </c>
      <c r="R1175" s="15">
        <f>+ROUND(O1175/Q1175,4)</f>
        <v>0.65069999999999995</v>
      </c>
      <c r="S1175" s="14">
        <f>ROUND(R1175*L1175,2)</f>
        <v>328.6</v>
      </c>
      <c r="T1175" s="15" t="s">
        <v>349</v>
      </c>
      <c r="U1175" t="s">
        <v>1</v>
      </c>
      <c r="W1175" s="49" t="e">
        <f t="shared" si="93"/>
        <v>#DIV/0!</v>
      </c>
    </row>
    <row r="1176" spans="1:23" x14ac:dyDescent="0.2">
      <c r="A1176" t="s">
        <v>2742</v>
      </c>
      <c r="B1176" s="24">
        <v>45733</v>
      </c>
      <c r="C1176" s="24">
        <v>45729</v>
      </c>
      <c r="D1176" t="s">
        <v>5</v>
      </c>
      <c r="E1176" t="s">
        <v>6</v>
      </c>
      <c r="F1176" s="23"/>
      <c r="G1176" t="s">
        <v>3042</v>
      </c>
      <c r="H1176" t="s">
        <v>3246</v>
      </c>
      <c r="I1176" t="s">
        <v>3453</v>
      </c>
      <c r="J1176" s="11" t="str">
        <f>+LEFT(U1176,4)</f>
        <v>SHTS</v>
      </c>
      <c r="K1176" t="s">
        <v>10</v>
      </c>
      <c r="L1176">
        <v>505</v>
      </c>
      <c r="M1176" t="s">
        <v>1472</v>
      </c>
      <c r="N1176" t="s">
        <v>11</v>
      </c>
      <c r="O1176">
        <v>4.95</v>
      </c>
      <c r="P1176" s="45">
        <f t="shared" si="92"/>
        <v>2499.75</v>
      </c>
      <c r="Q1176" s="13">
        <f>IF(N1176="HKD",7.8,IF(N1176="CNY",7.30034,1))</f>
        <v>7.3003400000000003</v>
      </c>
      <c r="R1176" s="15">
        <f>+ROUND(O1176/Q1176,4)</f>
        <v>0.67810000000000004</v>
      </c>
      <c r="S1176" s="14">
        <f>ROUND(R1176*L1176,2)</f>
        <v>342.44</v>
      </c>
      <c r="T1176" s="15" t="s">
        <v>349</v>
      </c>
      <c r="U1176" t="s">
        <v>9</v>
      </c>
      <c r="W1176" s="49" t="e">
        <f t="shared" si="93"/>
        <v>#DIV/0!</v>
      </c>
    </row>
    <row r="1177" spans="1:23" x14ac:dyDescent="0.2">
      <c r="A1177" t="s">
        <v>2743</v>
      </c>
      <c r="B1177" s="24">
        <v>45733</v>
      </c>
      <c r="C1177" s="24">
        <v>45729</v>
      </c>
      <c r="D1177" t="s">
        <v>5</v>
      </c>
      <c r="E1177" t="s">
        <v>6</v>
      </c>
      <c r="F1177" s="23"/>
      <c r="G1177" t="s">
        <v>3044</v>
      </c>
      <c r="H1177" t="s">
        <v>3247</v>
      </c>
      <c r="I1177" t="s">
        <v>3454</v>
      </c>
      <c r="J1177" s="11" t="str">
        <f>+LEFT(U1177,4)</f>
        <v>BOX-</v>
      </c>
      <c r="K1177" t="s">
        <v>10</v>
      </c>
      <c r="L1177">
        <v>505</v>
      </c>
      <c r="M1177" t="s">
        <v>1472</v>
      </c>
      <c r="N1177" t="s">
        <v>11</v>
      </c>
      <c r="O1177">
        <v>5.75</v>
      </c>
      <c r="P1177" s="45">
        <f t="shared" si="92"/>
        <v>2903.75</v>
      </c>
      <c r="Q1177" s="13">
        <f>IF(N1177="HKD",7.8,IF(N1177="CNY",7.30034,1))</f>
        <v>7.3003400000000003</v>
      </c>
      <c r="R1177" s="15">
        <f>+ROUND(O1177/Q1177,4)</f>
        <v>0.78759999999999997</v>
      </c>
      <c r="S1177" s="14">
        <f>ROUND(R1177*L1177,2)</f>
        <v>397.74</v>
      </c>
      <c r="T1177" s="15" t="s">
        <v>349</v>
      </c>
      <c r="U1177" t="s">
        <v>1</v>
      </c>
      <c r="W1177" s="49" t="e">
        <f t="shared" si="93"/>
        <v>#DIV/0!</v>
      </c>
    </row>
    <row r="1178" spans="1:23" x14ac:dyDescent="0.2">
      <c r="A1178" t="s">
        <v>2744</v>
      </c>
      <c r="B1178" s="24">
        <v>45733</v>
      </c>
      <c r="C1178" s="24">
        <v>45729</v>
      </c>
      <c r="D1178" t="s">
        <v>5</v>
      </c>
      <c r="E1178" t="s">
        <v>6</v>
      </c>
      <c r="F1178" s="23"/>
      <c r="G1178" t="s">
        <v>3044</v>
      </c>
      <c r="H1178" t="s">
        <v>380</v>
      </c>
      <c r="I1178" t="s">
        <v>381</v>
      </c>
      <c r="J1178" s="11" t="str">
        <f>+LEFT(U1178,4)</f>
        <v>BOX-</v>
      </c>
      <c r="K1178" t="s">
        <v>10</v>
      </c>
      <c r="L1178">
        <v>1210</v>
      </c>
      <c r="M1178" t="s">
        <v>1472</v>
      </c>
      <c r="N1178" t="s">
        <v>11</v>
      </c>
      <c r="O1178">
        <v>2.52</v>
      </c>
      <c r="P1178" s="45">
        <f t="shared" si="92"/>
        <v>3049.2</v>
      </c>
      <c r="Q1178" s="13">
        <f>IF(N1178="HKD",7.8,IF(N1178="CNY",7.30034,1))</f>
        <v>7.3003400000000003</v>
      </c>
      <c r="R1178" s="15">
        <f>+ROUND(O1178/Q1178,4)</f>
        <v>0.34520000000000001</v>
      </c>
      <c r="S1178" s="14">
        <f>ROUND(R1178*L1178,2)</f>
        <v>417.69</v>
      </c>
      <c r="T1178" s="15" t="s">
        <v>349</v>
      </c>
      <c r="U1178" t="s">
        <v>1</v>
      </c>
      <c r="W1178" s="49" t="e">
        <f t="shared" si="93"/>
        <v>#DIV/0!</v>
      </c>
    </row>
    <row r="1179" spans="1:23" x14ac:dyDescent="0.2">
      <c r="A1179" t="s">
        <v>2745</v>
      </c>
      <c r="B1179" s="24">
        <v>45733</v>
      </c>
      <c r="C1179" s="24">
        <v>45729</v>
      </c>
      <c r="D1179" t="s">
        <v>5</v>
      </c>
      <c r="E1179" t="s">
        <v>6</v>
      </c>
      <c r="F1179" s="23"/>
      <c r="G1179" t="s">
        <v>3044</v>
      </c>
      <c r="H1179" t="s">
        <v>380</v>
      </c>
      <c r="I1179" t="s">
        <v>381</v>
      </c>
      <c r="J1179" s="11" t="str">
        <f>+LEFT(U1179,4)</f>
        <v>BOX-</v>
      </c>
      <c r="K1179" t="s">
        <v>10</v>
      </c>
      <c r="L1179">
        <v>100</v>
      </c>
      <c r="M1179" t="s">
        <v>1472</v>
      </c>
      <c r="N1179" t="s">
        <v>11</v>
      </c>
      <c r="O1179">
        <v>2.52</v>
      </c>
      <c r="P1179" s="45">
        <f t="shared" si="92"/>
        <v>252</v>
      </c>
      <c r="Q1179" s="13">
        <f>IF(N1179="HKD",7.8,IF(N1179="CNY",7.30034,1))</f>
        <v>7.3003400000000003</v>
      </c>
      <c r="R1179" s="15">
        <f>+ROUND(O1179/Q1179,4)</f>
        <v>0.34520000000000001</v>
      </c>
      <c r="S1179" s="14">
        <f>ROUND(R1179*L1179,2)</f>
        <v>34.520000000000003</v>
      </c>
      <c r="T1179" s="15" t="s">
        <v>349</v>
      </c>
      <c r="U1179" t="s">
        <v>1</v>
      </c>
      <c r="W1179" s="49" t="e">
        <f t="shared" si="93"/>
        <v>#DIV/0!</v>
      </c>
    </row>
    <row r="1180" spans="1:23" x14ac:dyDescent="0.2">
      <c r="A1180" t="s">
        <v>2434</v>
      </c>
      <c r="B1180" s="24">
        <v>45734</v>
      </c>
      <c r="C1180" s="24">
        <v>45702</v>
      </c>
      <c r="D1180" t="s">
        <v>121</v>
      </c>
      <c r="E1180" t="s">
        <v>122</v>
      </c>
      <c r="F1180" s="23"/>
      <c r="G1180" t="s">
        <v>2935</v>
      </c>
      <c r="H1180" t="s">
        <v>3123</v>
      </c>
      <c r="I1180" t="s">
        <v>3333</v>
      </c>
      <c r="J1180" s="11" t="str">
        <f>+LEFT(U1180,4)</f>
        <v>LHDL</v>
      </c>
      <c r="K1180" t="s">
        <v>10</v>
      </c>
      <c r="L1180">
        <v>900</v>
      </c>
      <c r="M1180" t="s">
        <v>1472</v>
      </c>
      <c r="N1180" t="s">
        <v>11</v>
      </c>
      <c r="O1180">
        <v>2.9552</v>
      </c>
      <c r="P1180" s="45">
        <f t="shared" si="92"/>
        <v>2659.68</v>
      </c>
      <c r="Q1180" s="13">
        <f>IF(N1180="HKD",7.8,IF(N1180="CNY",7.30034,1))</f>
        <v>7.3003400000000003</v>
      </c>
      <c r="R1180" s="15">
        <f>+ROUND(O1180/Q1180,4)</f>
        <v>0.40479999999999999</v>
      </c>
      <c r="S1180" s="14">
        <f>ROUND(R1180*L1180,2)</f>
        <v>364.32</v>
      </c>
      <c r="T1180" s="15" t="s">
        <v>349</v>
      </c>
      <c r="U1180" t="s">
        <v>125</v>
      </c>
      <c r="W1180" s="49" t="e">
        <f t="shared" si="93"/>
        <v>#DIV/0!</v>
      </c>
    </row>
    <row r="1181" spans="1:23" x14ac:dyDescent="0.2">
      <c r="A1181" t="s">
        <v>2435</v>
      </c>
      <c r="B1181" s="24">
        <v>45734</v>
      </c>
      <c r="C1181" s="24">
        <v>45702</v>
      </c>
      <c r="D1181" t="s">
        <v>121</v>
      </c>
      <c r="E1181" t="s">
        <v>122</v>
      </c>
      <c r="F1181" s="23"/>
      <c r="G1181" t="s">
        <v>2935</v>
      </c>
      <c r="H1181" t="s">
        <v>3124</v>
      </c>
      <c r="I1181" t="s">
        <v>3334</v>
      </c>
      <c r="J1181" s="11" t="str">
        <f>+LEFT(U1181,4)</f>
        <v>LHDL</v>
      </c>
      <c r="K1181" t="s">
        <v>10</v>
      </c>
      <c r="L1181">
        <v>950</v>
      </c>
      <c r="M1181" t="s">
        <v>1472</v>
      </c>
      <c r="N1181" t="s">
        <v>11</v>
      </c>
      <c r="O1181">
        <v>2.9552</v>
      </c>
      <c r="P1181" s="45">
        <f t="shared" si="92"/>
        <v>2807.44</v>
      </c>
      <c r="Q1181" s="13">
        <f>IF(N1181="HKD",7.8,IF(N1181="CNY",7.30034,1))</f>
        <v>7.3003400000000003</v>
      </c>
      <c r="R1181" s="15">
        <f>+ROUND(O1181/Q1181,4)</f>
        <v>0.40479999999999999</v>
      </c>
      <c r="S1181" s="14">
        <f>ROUND(R1181*L1181,2)</f>
        <v>384.56</v>
      </c>
      <c r="T1181" s="15" t="s">
        <v>349</v>
      </c>
      <c r="U1181" t="s">
        <v>125</v>
      </c>
      <c r="W1181" s="49" t="e">
        <f t="shared" si="93"/>
        <v>#DIV/0!</v>
      </c>
    </row>
    <row r="1182" spans="1:23" x14ac:dyDescent="0.2">
      <c r="A1182" t="s">
        <v>2436</v>
      </c>
      <c r="B1182" s="24">
        <v>45734</v>
      </c>
      <c r="C1182" s="24">
        <v>45702</v>
      </c>
      <c r="D1182" t="s">
        <v>121</v>
      </c>
      <c r="E1182" t="s">
        <v>122</v>
      </c>
      <c r="F1182" s="23"/>
      <c r="G1182" t="s">
        <v>2935</v>
      </c>
      <c r="H1182" t="s">
        <v>3125</v>
      </c>
      <c r="I1182" t="s">
        <v>3335</v>
      </c>
      <c r="J1182" s="11" t="str">
        <f>+LEFT(U1182,4)</f>
        <v>LHDL</v>
      </c>
      <c r="K1182" t="s">
        <v>10</v>
      </c>
      <c r="L1182">
        <v>1950</v>
      </c>
      <c r="M1182" t="s">
        <v>1472</v>
      </c>
      <c r="N1182" t="s">
        <v>11</v>
      </c>
      <c r="O1182">
        <v>2.9552</v>
      </c>
      <c r="P1182" s="45">
        <f t="shared" si="92"/>
        <v>5762.64</v>
      </c>
      <c r="Q1182" s="13">
        <f>IF(N1182="HKD",7.8,IF(N1182="CNY",7.30034,1))</f>
        <v>7.3003400000000003</v>
      </c>
      <c r="R1182" s="15">
        <f>+ROUND(O1182/Q1182,4)</f>
        <v>0.40479999999999999</v>
      </c>
      <c r="S1182" s="14">
        <f>ROUND(R1182*L1182,2)</f>
        <v>789.36</v>
      </c>
      <c r="T1182" s="15" t="s">
        <v>349</v>
      </c>
      <c r="U1182" t="s">
        <v>125</v>
      </c>
      <c r="W1182" s="49" t="e">
        <f t="shared" si="93"/>
        <v>#DIV/0!</v>
      </c>
    </row>
    <row r="1183" spans="1:23" x14ac:dyDescent="0.2">
      <c r="A1183" t="s">
        <v>2457</v>
      </c>
      <c r="B1183" s="24">
        <v>45734</v>
      </c>
      <c r="C1183" s="24">
        <v>45706</v>
      </c>
      <c r="D1183" t="s">
        <v>545</v>
      </c>
      <c r="E1183" t="s">
        <v>546</v>
      </c>
      <c r="F1183" s="23"/>
      <c r="G1183" t="s">
        <v>2944</v>
      </c>
      <c r="H1183" t="s">
        <v>549</v>
      </c>
      <c r="I1183" t="s">
        <v>550</v>
      </c>
      <c r="J1183" s="11" t="str">
        <f>+LEFT(U1183,4)</f>
        <v>MISC</v>
      </c>
      <c r="K1183" t="s">
        <v>10</v>
      </c>
      <c r="L1183">
        <v>5000</v>
      </c>
      <c r="M1183" t="s">
        <v>1472</v>
      </c>
      <c r="N1183" t="s">
        <v>11</v>
      </c>
      <c r="O1183">
        <v>0.115</v>
      </c>
      <c r="P1183" s="45">
        <f t="shared" si="92"/>
        <v>575</v>
      </c>
      <c r="Q1183" s="13">
        <f>IF(N1183="HKD",7.8,IF(N1183="CNY",7.30034,1))</f>
        <v>7.3003400000000003</v>
      </c>
      <c r="R1183" s="15">
        <f>+ROUND(O1183/Q1183,4)</f>
        <v>1.5800000000000002E-2</v>
      </c>
      <c r="S1183" s="14">
        <f>ROUND(R1183*L1183,2)</f>
        <v>79</v>
      </c>
      <c r="T1183" s="15" t="s">
        <v>349</v>
      </c>
      <c r="U1183" t="s">
        <v>25</v>
      </c>
      <c r="W1183" s="49" t="e">
        <f t="shared" si="93"/>
        <v>#DIV/0!</v>
      </c>
    </row>
    <row r="1184" spans="1:23" x14ac:dyDescent="0.2">
      <c r="A1184" t="s">
        <v>2458</v>
      </c>
      <c r="B1184" s="24">
        <v>45734</v>
      </c>
      <c r="C1184" s="24">
        <v>45706</v>
      </c>
      <c r="D1184" t="s">
        <v>545</v>
      </c>
      <c r="E1184" t="s">
        <v>546</v>
      </c>
      <c r="F1184" s="23"/>
      <c r="G1184" t="s">
        <v>2944</v>
      </c>
      <c r="H1184" t="s">
        <v>563</v>
      </c>
      <c r="I1184" t="s">
        <v>564</v>
      </c>
      <c r="J1184" s="11" t="str">
        <f>+LEFT(U1184,4)</f>
        <v>WHR-</v>
      </c>
      <c r="K1184" t="s">
        <v>10</v>
      </c>
      <c r="L1184">
        <v>5000</v>
      </c>
      <c r="M1184" t="s">
        <v>1472</v>
      </c>
      <c r="N1184" t="s">
        <v>11</v>
      </c>
      <c r="O1184">
        <v>4.1000000000000002E-2</v>
      </c>
      <c r="P1184" s="45">
        <f t="shared" si="92"/>
        <v>205</v>
      </c>
      <c r="Q1184" s="13">
        <f>IF(N1184="HKD",7.8,IF(N1184="CNY",7.30034,1))</f>
        <v>7.3003400000000003</v>
      </c>
      <c r="R1184" s="15">
        <f>+ROUND(O1184/Q1184,4)</f>
        <v>5.5999999999999999E-3</v>
      </c>
      <c r="S1184" s="14">
        <f>ROUND(R1184*L1184,2)</f>
        <v>28</v>
      </c>
      <c r="T1184" s="15" t="s">
        <v>349</v>
      </c>
      <c r="U1184" t="s">
        <v>248</v>
      </c>
      <c r="W1184" s="49" t="e">
        <f t="shared" si="93"/>
        <v>#DIV/0!</v>
      </c>
    </row>
    <row r="1185" spans="1:23" x14ac:dyDescent="0.2">
      <c r="A1185" t="s">
        <v>2459</v>
      </c>
      <c r="B1185" s="24">
        <v>45734</v>
      </c>
      <c r="C1185" s="24">
        <v>45706</v>
      </c>
      <c r="D1185" t="s">
        <v>545</v>
      </c>
      <c r="E1185" t="s">
        <v>546</v>
      </c>
      <c r="F1185" s="23"/>
      <c r="G1185" t="s">
        <v>2944</v>
      </c>
      <c r="H1185" t="s">
        <v>549</v>
      </c>
      <c r="I1185" t="s">
        <v>550</v>
      </c>
      <c r="J1185" s="11" t="str">
        <f>+LEFT(U1185,4)</f>
        <v>MISC</v>
      </c>
      <c r="K1185" t="s">
        <v>10</v>
      </c>
      <c r="L1185">
        <v>6500</v>
      </c>
      <c r="M1185" t="s">
        <v>1472</v>
      </c>
      <c r="N1185" t="s">
        <v>11</v>
      </c>
      <c r="O1185">
        <v>0.115</v>
      </c>
      <c r="P1185" s="45">
        <f t="shared" si="92"/>
        <v>747.5</v>
      </c>
      <c r="Q1185" s="13">
        <f>IF(N1185="HKD",7.8,IF(N1185="CNY",7.30034,1))</f>
        <v>7.3003400000000003</v>
      </c>
      <c r="R1185" s="15">
        <f>+ROUND(O1185/Q1185,4)</f>
        <v>1.5800000000000002E-2</v>
      </c>
      <c r="S1185" s="14">
        <f>ROUND(R1185*L1185,2)</f>
        <v>102.7</v>
      </c>
      <c r="T1185" s="15" t="s">
        <v>349</v>
      </c>
      <c r="U1185" t="s">
        <v>25</v>
      </c>
      <c r="W1185" s="49" t="e">
        <f t="shared" si="93"/>
        <v>#DIV/0!</v>
      </c>
    </row>
    <row r="1186" spans="1:23" x14ac:dyDescent="0.2">
      <c r="A1186" t="s">
        <v>2460</v>
      </c>
      <c r="B1186" s="24">
        <v>45734</v>
      </c>
      <c r="C1186" s="24">
        <v>45706</v>
      </c>
      <c r="D1186" t="s">
        <v>545</v>
      </c>
      <c r="E1186" t="s">
        <v>546</v>
      </c>
      <c r="F1186" s="23"/>
      <c r="G1186" t="s">
        <v>2944</v>
      </c>
      <c r="H1186" t="s">
        <v>563</v>
      </c>
      <c r="I1186" t="s">
        <v>564</v>
      </c>
      <c r="J1186" s="11" t="str">
        <f>+LEFT(U1186,4)</f>
        <v>WHR-</v>
      </c>
      <c r="K1186" t="s">
        <v>10</v>
      </c>
      <c r="L1186">
        <v>6500</v>
      </c>
      <c r="M1186" t="s">
        <v>1472</v>
      </c>
      <c r="N1186" t="s">
        <v>11</v>
      </c>
      <c r="O1186">
        <v>4.1000000000000002E-2</v>
      </c>
      <c r="P1186" s="45">
        <f t="shared" si="92"/>
        <v>266.5</v>
      </c>
      <c r="Q1186" s="13">
        <f>IF(N1186="HKD",7.8,IF(N1186="CNY",7.30034,1))</f>
        <v>7.3003400000000003</v>
      </c>
      <c r="R1186" s="15">
        <f>+ROUND(O1186/Q1186,4)</f>
        <v>5.5999999999999999E-3</v>
      </c>
      <c r="S1186" s="14">
        <f>ROUND(R1186*L1186,2)</f>
        <v>36.4</v>
      </c>
      <c r="T1186" s="15" t="s">
        <v>349</v>
      </c>
      <c r="U1186" t="s">
        <v>248</v>
      </c>
      <c r="W1186" s="49" t="e">
        <f t="shared" si="93"/>
        <v>#DIV/0!</v>
      </c>
    </row>
    <row r="1187" spans="1:23" x14ac:dyDescent="0.2">
      <c r="A1187" t="s">
        <v>2536</v>
      </c>
      <c r="B1187" s="24">
        <v>45734</v>
      </c>
      <c r="C1187" s="24">
        <v>45714</v>
      </c>
      <c r="D1187" t="s">
        <v>94</v>
      </c>
      <c r="E1187" t="s">
        <v>95</v>
      </c>
      <c r="F1187" s="23"/>
      <c r="G1187" t="s">
        <v>2976</v>
      </c>
      <c r="H1187" t="s">
        <v>3165</v>
      </c>
      <c r="I1187" t="s">
        <v>3375</v>
      </c>
      <c r="J1187" s="11" t="str">
        <f>+LEFT(U1187,4)</f>
        <v>LID-</v>
      </c>
      <c r="K1187" t="s">
        <v>98</v>
      </c>
      <c r="L1187">
        <v>740</v>
      </c>
      <c r="M1187" t="s">
        <v>1472</v>
      </c>
      <c r="N1187" t="s">
        <v>11</v>
      </c>
      <c r="O1187">
        <v>4.37</v>
      </c>
      <c r="P1187" s="45">
        <f t="shared" si="92"/>
        <v>3233.8</v>
      </c>
      <c r="Q1187" s="13">
        <f>IF(N1187="HKD",7.8,IF(N1187="CNY",7.30034,1))</f>
        <v>7.3003400000000003</v>
      </c>
      <c r="R1187" s="15">
        <f>+ROUND(O1187/Q1187,4)</f>
        <v>0.59860000000000002</v>
      </c>
      <c r="S1187" s="14">
        <f>ROUND(R1187*L1187,2)</f>
        <v>442.96</v>
      </c>
      <c r="T1187" s="15" t="s">
        <v>349</v>
      </c>
      <c r="U1187" t="s">
        <v>368</v>
      </c>
      <c r="W1187" s="49" t="e">
        <f t="shared" si="93"/>
        <v>#DIV/0!</v>
      </c>
    </row>
    <row r="1188" spans="1:23" x14ac:dyDescent="0.2">
      <c r="A1188" t="s">
        <v>2564</v>
      </c>
      <c r="B1188" s="24">
        <v>45734</v>
      </c>
      <c r="C1188" s="24">
        <v>45716</v>
      </c>
      <c r="D1188" t="s">
        <v>545</v>
      </c>
      <c r="E1188" t="s">
        <v>546</v>
      </c>
      <c r="F1188" s="23"/>
      <c r="G1188" t="s">
        <v>2944</v>
      </c>
      <c r="H1188" t="s">
        <v>557</v>
      </c>
      <c r="I1188" t="s">
        <v>558</v>
      </c>
      <c r="J1188" s="11" t="str">
        <f>+LEFT(U1188,4)</f>
        <v>WHR-</v>
      </c>
      <c r="K1188" t="s">
        <v>10</v>
      </c>
      <c r="L1188">
        <v>1000</v>
      </c>
      <c r="M1188" t="s">
        <v>1472</v>
      </c>
      <c r="N1188" t="s">
        <v>11</v>
      </c>
      <c r="O1188">
        <v>3.9800000000000002E-2</v>
      </c>
      <c r="P1188" s="45">
        <f t="shared" si="92"/>
        <v>39.799999999999997</v>
      </c>
      <c r="Q1188" s="13">
        <f>IF(N1188="HKD",7.8,IF(N1188="CNY",7.30034,1))</f>
        <v>7.3003400000000003</v>
      </c>
      <c r="R1188" s="15">
        <f>+ROUND(O1188/Q1188,4)</f>
        <v>5.4999999999999997E-3</v>
      </c>
      <c r="S1188" s="14">
        <f>ROUND(R1188*L1188,2)</f>
        <v>5.5</v>
      </c>
      <c r="T1188" s="15" t="s">
        <v>349</v>
      </c>
      <c r="U1188" t="s">
        <v>248</v>
      </c>
      <c r="W1188" s="49" t="e">
        <f t="shared" si="93"/>
        <v>#DIV/0!</v>
      </c>
    </row>
    <row r="1189" spans="1:23" x14ac:dyDescent="0.2">
      <c r="A1189" t="s">
        <v>2610</v>
      </c>
      <c r="B1189" s="24">
        <v>45734</v>
      </c>
      <c r="C1189" s="24">
        <v>45720</v>
      </c>
      <c r="D1189" t="s">
        <v>311</v>
      </c>
      <c r="E1189" t="s">
        <v>312</v>
      </c>
      <c r="F1189" s="23"/>
      <c r="G1189" t="s">
        <v>3013</v>
      </c>
      <c r="H1189" t="s">
        <v>3199</v>
      </c>
      <c r="I1189" t="s">
        <v>3406</v>
      </c>
      <c r="J1189" s="11" t="str">
        <f>+LEFT(U1189,4)</f>
        <v>EXM-</v>
      </c>
      <c r="K1189" t="s">
        <v>10</v>
      </c>
      <c r="L1189">
        <v>25</v>
      </c>
      <c r="M1189" t="s">
        <v>186</v>
      </c>
      <c r="N1189" t="s">
        <v>11</v>
      </c>
      <c r="O1189">
        <v>88.495599999999996</v>
      </c>
      <c r="P1189" s="45">
        <f t="shared" si="92"/>
        <v>2212.39</v>
      </c>
      <c r="Q1189" s="13">
        <f>IF(N1189="HKD",7.8,IF(N1189="CNY",7.30034,1))</f>
        <v>7.3003400000000003</v>
      </c>
      <c r="R1189" s="15">
        <f>+ROUND(O1189/Q1189,4)</f>
        <v>12.1221</v>
      </c>
      <c r="S1189" s="14">
        <f>ROUND(R1189*L1189,2)</f>
        <v>303.05</v>
      </c>
      <c r="T1189" s="15" t="s">
        <v>349</v>
      </c>
      <c r="U1189" t="s">
        <v>315</v>
      </c>
      <c r="W1189" s="49" t="e">
        <f t="shared" si="93"/>
        <v>#DIV/0!</v>
      </c>
    </row>
    <row r="1190" spans="1:23" x14ac:dyDescent="0.2">
      <c r="A1190" t="s">
        <v>2661</v>
      </c>
      <c r="B1190" s="24">
        <v>45734</v>
      </c>
      <c r="C1190" s="24">
        <v>45723</v>
      </c>
      <c r="D1190" t="s">
        <v>121</v>
      </c>
      <c r="E1190" t="s">
        <v>122</v>
      </c>
      <c r="F1190" s="23"/>
      <c r="G1190" t="s">
        <v>2935</v>
      </c>
      <c r="H1190" t="s">
        <v>3213</v>
      </c>
      <c r="I1190" t="s">
        <v>3420</v>
      </c>
      <c r="J1190" s="11" t="str">
        <f>+LEFT(U1190,4)</f>
        <v>HDL-</v>
      </c>
      <c r="K1190" t="s">
        <v>10</v>
      </c>
      <c r="L1190">
        <v>1520</v>
      </c>
      <c r="M1190" t="s">
        <v>1472</v>
      </c>
      <c r="N1190" t="s">
        <v>11</v>
      </c>
      <c r="O1190">
        <v>2.9203999999999999</v>
      </c>
      <c r="P1190" s="45">
        <f t="shared" si="92"/>
        <v>4439.01</v>
      </c>
      <c r="Q1190" s="13">
        <f>IF(N1190="HKD",7.8,IF(N1190="CNY",7.30034,1))</f>
        <v>7.3003400000000003</v>
      </c>
      <c r="R1190" s="15">
        <f>+ROUND(O1190/Q1190,4)</f>
        <v>0.4</v>
      </c>
      <c r="S1190" s="14">
        <f>ROUND(R1190*L1190,2)</f>
        <v>608</v>
      </c>
      <c r="T1190" s="15" t="s">
        <v>349</v>
      </c>
      <c r="U1190" t="s">
        <v>228</v>
      </c>
      <c r="W1190" s="49" t="e">
        <f t="shared" si="93"/>
        <v>#DIV/0!</v>
      </c>
    </row>
    <row r="1191" spans="1:23" x14ac:dyDescent="0.2">
      <c r="A1191" t="s">
        <v>2695</v>
      </c>
      <c r="B1191" s="24">
        <v>45734</v>
      </c>
      <c r="C1191" s="24">
        <v>45728</v>
      </c>
      <c r="D1191" t="s">
        <v>2259</v>
      </c>
      <c r="E1191" t="s">
        <v>2260</v>
      </c>
      <c r="F1191" s="23"/>
      <c r="G1191" t="s">
        <v>3034</v>
      </c>
      <c r="H1191" t="s">
        <v>1810</v>
      </c>
      <c r="I1191" t="s">
        <v>1811</v>
      </c>
      <c r="J1191" s="11" t="str">
        <f>+LEFT(U1191,4)</f>
        <v>SSM-</v>
      </c>
      <c r="K1191" t="s">
        <v>10</v>
      </c>
      <c r="L1191">
        <v>33398</v>
      </c>
      <c r="M1191" t="s">
        <v>186</v>
      </c>
      <c r="N1191" t="s">
        <v>11</v>
      </c>
      <c r="O1191">
        <v>12.3009</v>
      </c>
      <c r="P1191" s="45">
        <f t="shared" si="92"/>
        <v>410825.46</v>
      </c>
      <c r="Q1191" s="13">
        <f>IF(N1191="HKD",7.8,IF(N1191="CNY",7.30034,1))</f>
        <v>7.3003400000000003</v>
      </c>
      <c r="R1191" s="15">
        <f>+ROUND(O1191/Q1191,4)</f>
        <v>1.6850000000000001</v>
      </c>
      <c r="S1191" s="14">
        <f>ROUND(R1191*L1191,2)</f>
        <v>56275.63</v>
      </c>
      <c r="T1191" s="15" t="s">
        <v>349</v>
      </c>
      <c r="U1191" t="s">
        <v>33</v>
      </c>
      <c r="W1191" s="49" t="e">
        <f t="shared" si="93"/>
        <v>#DIV/0!</v>
      </c>
    </row>
    <row r="1192" spans="1:23" x14ac:dyDescent="0.2">
      <c r="A1192" t="s">
        <v>2746</v>
      </c>
      <c r="B1192" s="24">
        <v>45734</v>
      </c>
      <c r="C1192" s="24">
        <v>45729</v>
      </c>
      <c r="D1192" t="s">
        <v>545</v>
      </c>
      <c r="E1192" t="s">
        <v>546</v>
      </c>
      <c r="F1192" s="23"/>
      <c r="G1192" t="s">
        <v>2944</v>
      </c>
      <c r="H1192" t="s">
        <v>563</v>
      </c>
      <c r="I1192" t="s">
        <v>564</v>
      </c>
      <c r="J1192" s="11" t="str">
        <f>+LEFT(U1192,4)</f>
        <v>WHR-</v>
      </c>
      <c r="K1192" t="s">
        <v>10</v>
      </c>
      <c r="L1192">
        <v>1150</v>
      </c>
      <c r="M1192" t="s">
        <v>1472</v>
      </c>
      <c r="N1192" t="s">
        <v>11</v>
      </c>
      <c r="O1192">
        <v>4.1000000000000002E-2</v>
      </c>
      <c r="P1192" s="45">
        <f t="shared" si="92"/>
        <v>47.15</v>
      </c>
      <c r="Q1192" s="13">
        <f>IF(N1192="HKD",7.8,IF(N1192="CNY",7.30034,1))</f>
        <v>7.3003400000000003</v>
      </c>
      <c r="R1192" s="15">
        <f>+ROUND(O1192/Q1192,4)</f>
        <v>5.5999999999999999E-3</v>
      </c>
      <c r="S1192" s="14">
        <f>ROUND(R1192*L1192,2)</f>
        <v>6.44</v>
      </c>
      <c r="T1192" s="15" t="s">
        <v>349</v>
      </c>
      <c r="U1192" t="s">
        <v>248</v>
      </c>
      <c r="W1192" s="49" t="e">
        <f t="shared" si="93"/>
        <v>#DIV/0!</v>
      </c>
    </row>
    <row r="1193" spans="1:23" x14ac:dyDescent="0.2">
      <c r="A1193" t="s">
        <v>2747</v>
      </c>
      <c r="B1193" s="24">
        <v>45734</v>
      </c>
      <c r="C1193" s="24">
        <v>45729</v>
      </c>
      <c r="D1193" t="s">
        <v>545</v>
      </c>
      <c r="E1193" t="s">
        <v>546</v>
      </c>
      <c r="F1193" s="23"/>
      <c r="G1193" t="s">
        <v>2944</v>
      </c>
      <c r="H1193" t="s">
        <v>549</v>
      </c>
      <c r="I1193" t="s">
        <v>550</v>
      </c>
      <c r="J1193" s="11" t="str">
        <f>+LEFT(U1193,4)</f>
        <v>MISC</v>
      </c>
      <c r="K1193" t="s">
        <v>10</v>
      </c>
      <c r="L1193">
        <v>1150</v>
      </c>
      <c r="M1193" t="s">
        <v>1472</v>
      </c>
      <c r="N1193" t="s">
        <v>11</v>
      </c>
      <c r="O1193">
        <v>0.115</v>
      </c>
      <c r="P1193" s="45">
        <f t="shared" si="92"/>
        <v>132.25</v>
      </c>
      <c r="Q1193" s="13">
        <f>IF(N1193="HKD",7.8,IF(N1193="CNY",7.30034,1))</f>
        <v>7.3003400000000003</v>
      </c>
      <c r="R1193" s="15">
        <f>+ROUND(O1193/Q1193,4)</f>
        <v>1.5800000000000002E-2</v>
      </c>
      <c r="S1193" s="14">
        <f>ROUND(R1193*L1193,2)</f>
        <v>18.170000000000002</v>
      </c>
      <c r="T1193" s="15" t="s">
        <v>349</v>
      </c>
      <c r="U1193" t="s">
        <v>25</v>
      </c>
      <c r="W1193" s="49" t="e">
        <f t="shared" si="93"/>
        <v>#DIV/0!</v>
      </c>
    </row>
    <row r="1194" spans="1:23" x14ac:dyDescent="0.2">
      <c r="A1194" t="s">
        <v>2788</v>
      </c>
      <c r="B1194" s="24">
        <v>45734</v>
      </c>
      <c r="C1194" s="24">
        <v>45734</v>
      </c>
      <c r="D1194" t="s">
        <v>545</v>
      </c>
      <c r="E1194" t="s">
        <v>546</v>
      </c>
      <c r="F1194" s="23"/>
      <c r="G1194" t="s">
        <v>2944</v>
      </c>
      <c r="H1194" t="s">
        <v>553</v>
      </c>
      <c r="I1194" t="s">
        <v>554</v>
      </c>
      <c r="J1194" s="11" t="str">
        <f>+LEFT(U1194,4)</f>
        <v>WHR-</v>
      </c>
      <c r="K1194" t="s">
        <v>10</v>
      </c>
      <c r="L1194">
        <v>4000</v>
      </c>
      <c r="M1194" t="s">
        <v>1472</v>
      </c>
      <c r="N1194" t="s">
        <v>11</v>
      </c>
      <c r="O1194">
        <v>8.5000000000000006E-2</v>
      </c>
      <c r="P1194" s="45">
        <f t="shared" si="92"/>
        <v>340</v>
      </c>
      <c r="Q1194" s="13">
        <f>IF(N1194="HKD",7.8,IF(N1194="CNY",7.30034,1))</f>
        <v>7.3003400000000003</v>
      </c>
      <c r="R1194" s="15">
        <f>+ROUND(O1194/Q1194,4)</f>
        <v>1.1599999999999999E-2</v>
      </c>
      <c r="S1194" s="14">
        <f>ROUND(R1194*L1194,2)</f>
        <v>46.4</v>
      </c>
      <c r="T1194" s="15" t="s">
        <v>349</v>
      </c>
      <c r="U1194" t="s">
        <v>248</v>
      </c>
      <c r="W1194" s="49" t="e">
        <f t="shared" si="93"/>
        <v>#DIV/0!</v>
      </c>
    </row>
    <row r="1195" spans="1:23" x14ac:dyDescent="0.2">
      <c r="A1195" t="s">
        <v>2351</v>
      </c>
      <c r="B1195" s="24">
        <v>45735</v>
      </c>
      <c r="C1195" s="24">
        <v>45680</v>
      </c>
      <c r="D1195" t="s">
        <v>696</v>
      </c>
      <c r="E1195" t="s">
        <v>697</v>
      </c>
      <c r="F1195" s="23"/>
      <c r="G1195" t="s">
        <v>2901</v>
      </c>
      <c r="H1195" t="s">
        <v>1537</v>
      </c>
      <c r="I1195" t="s">
        <v>1538</v>
      </c>
      <c r="J1195" s="11" t="str">
        <f>+LEFT(U1195,4)</f>
        <v>ANYD</v>
      </c>
      <c r="K1195" t="s">
        <v>10</v>
      </c>
      <c r="L1195">
        <v>1050</v>
      </c>
      <c r="M1195" t="s">
        <v>1472</v>
      </c>
      <c r="N1195" t="s">
        <v>11</v>
      </c>
      <c r="O1195">
        <v>3.85</v>
      </c>
      <c r="P1195" s="45">
        <f t="shared" si="92"/>
        <v>4042.5</v>
      </c>
      <c r="Q1195" s="13">
        <f>IF(N1195="HKD",7.8,IF(N1195="CNY",7.30034,1))</f>
        <v>7.3003400000000003</v>
      </c>
      <c r="R1195" s="15">
        <f>+ROUND(O1195/Q1195,4)</f>
        <v>0.52739999999999998</v>
      </c>
      <c r="S1195" s="14">
        <f>ROUND(R1195*L1195,2)</f>
        <v>553.77</v>
      </c>
      <c r="T1195" s="15" t="s">
        <v>349</v>
      </c>
      <c r="U1195" t="s">
        <v>36</v>
      </c>
      <c r="W1195" s="49" t="e">
        <f t="shared" si="93"/>
        <v>#DIV/0!</v>
      </c>
    </row>
    <row r="1196" spans="1:23" x14ac:dyDescent="0.2">
      <c r="A1196" t="s">
        <v>2352</v>
      </c>
      <c r="B1196" s="24">
        <v>45735</v>
      </c>
      <c r="C1196" s="24">
        <v>45680</v>
      </c>
      <c r="D1196" t="s">
        <v>696</v>
      </c>
      <c r="E1196" t="s">
        <v>697</v>
      </c>
      <c r="F1196" s="23"/>
      <c r="G1196" t="s">
        <v>2901</v>
      </c>
      <c r="H1196" t="s">
        <v>1541</v>
      </c>
      <c r="I1196" t="s">
        <v>1542</v>
      </c>
      <c r="J1196" s="11" t="str">
        <f>+LEFT(U1196,4)</f>
        <v>ANYD</v>
      </c>
      <c r="K1196" t="s">
        <v>10</v>
      </c>
      <c r="L1196">
        <v>1000</v>
      </c>
      <c r="M1196" t="s">
        <v>1472</v>
      </c>
      <c r="N1196" t="s">
        <v>11</v>
      </c>
      <c r="O1196">
        <v>4.29</v>
      </c>
      <c r="P1196" s="45">
        <f t="shared" si="92"/>
        <v>4290</v>
      </c>
      <c r="Q1196" s="13">
        <f>IF(N1196="HKD",7.8,IF(N1196="CNY",7.30034,1))</f>
        <v>7.3003400000000003</v>
      </c>
      <c r="R1196" s="15">
        <f>+ROUND(O1196/Q1196,4)</f>
        <v>0.58760000000000001</v>
      </c>
      <c r="S1196" s="14">
        <f>ROUND(R1196*L1196,2)</f>
        <v>587.6</v>
      </c>
      <c r="T1196" s="15" t="s">
        <v>349</v>
      </c>
      <c r="U1196" t="s">
        <v>36</v>
      </c>
      <c r="W1196" s="49" t="e">
        <f t="shared" si="93"/>
        <v>#DIV/0!</v>
      </c>
    </row>
    <row r="1197" spans="1:23" x14ac:dyDescent="0.2">
      <c r="A1197" t="s">
        <v>2353</v>
      </c>
      <c r="B1197" s="24">
        <v>45735</v>
      </c>
      <c r="C1197" s="24">
        <v>45680</v>
      </c>
      <c r="D1197" t="s">
        <v>696</v>
      </c>
      <c r="E1197" t="s">
        <v>697</v>
      </c>
      <c r="F1197" s="23"/>
      <c r="G1197" t="s">
        <v>2901</v>
      </c>
      <c r="H1197" t="s">
        <v>1543</v>
      </c>
      <c r="I1197" t="s">
        <v>1544</v>
      </c>
      <c r="J1197" s="11" t="str">
        <f>+LEFT(U1197,4)</f>
        <v>ANYD</v>
      </c>
      <c r="K1197" t="s">
        <v>10</v>
      </c>
      <c r="L1197">
        <v>1000</v>
      </c>
      <c r="M1197" t="s">
        <v>1472</v>
      </c>
      <c r="N1197" t="s">
        <v>11</v>
      </c>
      <c r="O1197">
        <v>4.53</v>
      </c>
      <c r="P1197" s="45">
        <f t="shared" si="92"/>
        <v>4530</v>
      </c>
      <c r="Q1197" s="13">
        <f>IF(N1197="HKD",7.8,IF(N1197="CNY",7.30034,1))</f>
        <v>7.3003400000000003</v>
      </c>
      <c r="R1197" s="15">
        <f>+ROUND(O1197/Q1197,4)</f>
        <v>0.62050000000000005</v>
      </c>
      <c r="S1197" s="14">
        <f>ROUND(R1197*L1197,2)</f>
        <v>620.5</v>
      </c>
      <c r="T1197" s="15" t="s">
        <v>349</v>
      </c>
      <c r="U1197" t="s">
        <v>36</v>
      </c>
      <c r="W1197" s="49" t="e">
        <f t="shared" si="93"/>
        <v>#DIV/0!</v>
      </c>
    </row>
    <row r="1198" spans="1:23" x14ac:dyDescent="0.2">
      <c r="A1198" t="s">
        <v>2354</v>
      </c>
      <c r="B1198" s="24">
        <v>45735</v>
      </c>
      <c r="C1198" s="24">
        <v>45680</v>
      </c>
      <c r="D1198" t="s">
        <v>696</v>
      </c>
      <c r="E1198" t="s">
        <v>697</v>
      </c>
      <c r="F1198" s="23"/>
      <c r="G1198" t="s">
        <v>2902</v>
      </c>
      <c r="H1198" t="s">
        <v>694</v>
      </c>
      <c r="I1198" t="s">
        <v>695</v>
      </c>
      <c r="J1198" s="11" t="str">
        <f>+LEFT(U1198,4)</f>
        <v>ANYD</v>
      </c>
      <c r="K1198" t="s">
        <v>10</v>
      </c>
      <c r="L1198">
        <v>1600</v>
      </c>
      <c r="M1198" t="s">
        <v>1472</v>
      </c>
      <c r="N1198" t="s">
        <v>11</v>
      </c>
      <c r="O1198">
        <v>5.49</v>
      </c>
      <c r="P1198" s="45">
        <f t="shared" si="92"/>
        <v>8784</v>
      </c>
      <c r="Q1198" s="13">
        <f>IF(N1198="HKD",7.8,IF(N1198="CNY",7.30034,1))</f>
        <v>7.3003400000000003</v>
      </c>
      <c r="R1198" s="15">
        <f>+ROUND(O1198/Q1198,4)</f>
        <v>0.752</v>
      </c>
      <c r="S1198" s="14">
        <f>ROUND(R1198*L1198,2)</f>
        <v>1203.2</v>
      </c>
      <c r="T1198" s="15" t="s">
        <v>349</v>
      </c>
      <c r="U1198" t="s">
        <v>36</v>
      </c>
      <c r="W1198" s="49" t="e">
        <f t="shared" si="93"/>
        <v>#DIV/0!</v>
      </c>
    </row>
    <row r="1199" spans="1:23" x14ac:dyDescent="0.2">
      <c r="A1199" t="s">
        <v>2355</v>
      </c>
      <c r="B1199" s="24">
        <v>45735</v>
      </c>
      <c r="C1199" s="24">
        <v>45680</v>
      </c>
      <c r="D1199" t="s">
        <v>696</v>
      </c>
      <c r="E1199" t="s">
        <v>697</v>
      </c>
      <c r="F1199" s="23"/>
      <c r="G1199" t="s">
        <v>2902</v>
      </c>
      <c r="H1199" t="s">
        <v>700</v>
      </c>
      <c r="I1199" t="s">
        <v>701</v>
      </c>
      <c r="J1199" s="11" t="str">
        <f>+LEFT(U1199,4)</f>
        <v>ANYD</v>
      </c>
      <c r="K1199" t="s">
        <v>10</v>
      </c>
      <c r="L1199">
        <v>1900</v>
      </c>
      <c r="M1199" t="s">
        <v>1472</v>
      </c>
      <c r="N1199" t="s">
        <v>11</v>
      </c>
      <c r="O1199">
        <v>6.01</v>
      </c>
      <c r="P1199" s="45">
        <f t="shared" si="92"/>
        <v>11419</v>
      </c>
      <c r="Q1199" s="13">
        <f>IF(N1199="HKD",7.8,IF(N1199="CNY",7.30034,1))</f>
        <v>7.3003400000000003</v>
      </c>
      <c r="R1199" s="15">
        <f>+ROUND(O1199/Q1199,4)</f>
        <v>0.82320000000000004</v>
      </c>
      <c r="S1199" s="14">
        <f>ROUND(R1199*L1199,2)</f>
        <v>1564.08</v>
      </c>
      <c r="T1199" s="15" t="s">
        <v>349</v>
      </c>
      <c r="U1199" t="s">
        <v>36</v>
      </c>
      <c r="W1199" s="49" t="e">
        <f t="shared" si="93"/>
        <v>#DIV/0!</v>
      </c>
    </row>
    <row r="1200" spans="1:23" x14ac:dyDescent="0.2">
      <c r="A1200" t="s">
        <v>2378</v>
      </c>
      <c r="B1200" s="24">
        <v>45735</v>
      </c>
      <c r="C1200" s="24">
        <v>45695</v>
      </c>
      <c r="D1200" t="s">
        <v>696</v>
      </c>
      <c r="E1200" t="s">
        <v>697</v>
      </c>
      <c r="F1200" s="23"/>
      <c r="G1200" t="s">
        <v>2902</v>
      </c>
      <c r="H1200" t="s">
        <v>700</v>
      </c>
      <c r="I1200" t="s">
        <v>701</v>
      </c>
      <c r="J1200" s="11" t="str">
        <f>+LEFT(U1200,4)</f>
        <v>ANYD</v>
      </c>
      <c r="K1200" t="s">
        <v>10</v>
      </c>
      <c r="L1200">
        <v>2100</v>
      </c>
      <c r="M1200" t="s">
        <v>1472</v>
      </c>
      <c r="N1200" t="s">
        <v>11</v>
      </c>
      <c r="O1200">
        <v>6.01</v>
      </c>
      <c r="P1200" s="45">
        <f t="shared" si="92"/>
        <v>12621</v>
      </c>
      <c r="Q1200" s="13">
        <f>IF(N1200="HKD",7.8,IF(N1200="CNY",7.30034,1))</f>
        <v>7.3003400000000003</v>
      </c>
      <c r="R1200" s="15">
        <f>+ROUND(O1200/Q1200,4)</f>
        <v>0.82320000000000004</v>
      </c>
      <c r="S1200" s="14">
        <f>ROUND(R1200*L1200,2)</f>
        <v>1728.72</v>
      </c>
      <c r="T1200" s="15" t="s">
        <v>349</v>
      </c>
      <c r="U1200" t="s">
        <v>36</v>
      </c>
      <c r="W1200" s="49" t="e">
        <f t="shared" si="93"/>
        <v>#DIV/0!</v>
      </c>
    </row>
    <row r="1201" spans="1:23" x14ac:dyDescent="0.2">
      <c r="A1201" t="s">
        <v>2379</v>
      </c>
      <c r="B1201" s="24">
        <v>45735</v>
      </c>
      <c r="C1201" s="24">
        <v>45695</v>
      </c>
      <c r="D1201" t="s">
        <v>696</v>
      </c>
      <c r="E1201" t="s">
        <v>697</v>
      </c>
      <c r="F1201" s="23"/>
      <c r="G1201" t="s">
        <v>2901</v>
      </c>
      <c r="H1201" t="s">
        <v>1537</v>
      </c>
      <c r="I1201" t="s">
        <v>1538</v>
      </c>
      <c r="J1201" s="11" t="str">
        <f>+LEFT(U1201,4)</f>
        <v>ANYD</v>
      </c>
      <c r="K1201" t="s">
        <v>10</v>
      </c>
      <c r="L1201">
        <v>1900</v>
      </c>
      <c r="M1201" t="s">
        <v>1472</v>
      </c>
      <c r="N1201" t="s">
        <v>11</v>
      </c>
      <c r="O1201">
        <v>3.85</v>
      </c>
      <c r="P1201" s="45">
        <f t="shared" si="92"/>
        <v>7315</v>
      </c>
      <c r="Q1201" s="13">
        <f>IF(N1201="HKD",7.8,IF(N1201="CNY",7.30034,1))</f>
        <v>7.3003400000000003</v>
      </c>
      <c r="R1201" s="15">
        <f>+ROUND(O1201/Q1201,4)</f>
        <v>0.52739999999999998</v>
      </c>
      <c r="S1201" s="14">
        <f>ROUND(R1201*L1201,2)</f>
        <v>1002.06</v>
      </c>
      <c r="T1201" s="15" t="s">
        <v>349</v>
      </c>
      <c r="U1201" t="s">
        <v>36</v>
      </c>
      <c r="W1201" s="49" t="e">
        <f t="shared" si="93"/>
        <v>#DIV/0!</v>
      </c>
    </row>
    <row r="1202" spans="1:23" x14ac:dyDescent="0.2">
      <c r="A1202" t="s">
        <v>2394</v>
      </c>
      <c r="B1202" s="24">
        <v>45735</v>
      </c>
      <c r="C1202" s="24">
        <v>45695</v>
      </c>
      <c r="D1202" t="s">
        <v>169</v>
      </c>
      <c r="E1202" t="s">
        <v>170</v>
      </c>
      <c r="F1202" s="23"/>
      <c r="G1202" t="s">
        <v>2920</v>
      </c>
      <c r="H1202" t="s">
        <v>3095</v>
      </c>
      <c r="I1202" t="s">
        <v>3310</v>
      </c>
      <c r="J1202" s="11" t="str">
        <f>+LEFT(U1202,4)</f>
        <v>U&amp;C-</v>
      </c>
      <c r="K1202" t="s">
        <v>10</v>
      </c>
      <c r="L1202">
        <v>1010</v>
      </c>
      <c r="M1202" t="s">
        <v>1472</v>
      </c>
      <c r="N1202" t="s">
        <v>11</v>
      </c>
      <c r="O1202">
        <v>1.1200000000000001</v>
      </c>
      <c r="P1202" s="45">
        <f t="shared" si="92"/>
        <v>1131.2</v>
      </c>
      <c r="Q1202" s="13">
        <f>IF(N1202="HKD",7.8,IF(N1202="CNY",7.30034,1))</f>
        <v>7.3003400000000003</v>
      </c>
      <c r="R1202" s="15">
        <f>+ROUND(O1202/Q1202,4)</f>
        <v>0.15340000000000001</v>
      </c>
      <c r="S1202" s="14">
        <f>ROUND(R1202*L1202,2)</f>
        <v>154.93</v>
      </c>
      <c r="T1202" s="15" t="s">
        <v>349</v>
      </c>
      <c r="U1202" t="s">
        <v>177</v>
      </c>
      <c r="W1202" s="49" t="e">
        <f t="shared" si="93"/>
        <v>#DIV/0!</v>
      </c>
    </row>
    <row r="1203" spans="1:23" x14ac:dyDescent="0.2">
      <c r="A1203" t="s">
        <v>2442</v>
      </c>
      <c r="B1203" s="24">
        <v>45735</v>
      </c>
      <c r="C1203" s="24">
        <v>45702</v>
      </c>
      <c r="D1203" t="s">
        <v>2819</v>
      </c>
      <c r="E1203" t="s">
        <v>2820</v>
      </c>
      <c r="F1203" s="23"/>
      <c r="G1203" t="s">
        <v>2939</v>
      </c>
      <c r="H1203" t="s">
        <v>3128</v>
      </c>
      <c r="I1203" t="s">
        <v>3338</v>
      </c>
      <c r="J1203" s="11" t="str">
        <f>+LEFT(U1203,4)</f>
        <v>HDL-</v>
      </c>
      <c r="K1203" t="s">
        <v>10</v>
      </c>
      <c r="L1203">
        <v>1000</v>
      </c>
      <c r="M1203" t="s">
        <v>1472</v>
      </c>
      <c r="N1203" t="s">
        <v>11</v>
      </c>
      <c r="O1203">
        <v>7.4500999999999999</v>
      </c>
      <c r="P1203" s="45">
        <f t="shared" si="92"/>
        <v>7450.1</v>
      </c>
      <c r="Q1203" s="13">
        <f>IF(N1203="HKD",7.8,IF(N1203="CNY",7.30034,1))</f>
        <v>7.3003400000000003</v>
      </c>
      <c r="R1203" s="15">
        <f>+ROUND(O1203/Q1203,4)</f>
        <v>1.0205</v>
      </c>
      <c r="S1203" s="14">
        <f>ROUND(R1203*L1203,2)</f>
        <v>1020.5</v>
      </c>
      <c r="T1203" s="15" t="s">
        <v>349</v>
      </c>
      <c r="U1203" t="s">
        <v>228</v>
      </c>
      <c r="W1203" s="49" t="e">
        <f t="shared" si="93"/>
        <v>#DIV/0!</v>
      </c>
    </row>
    <row r="1204" spans="1:23" x14ac:dyDescent="0.2">
      <c r="A1204" t="s">
        <v>2443</v>
      </c>
      <c r="B1204" s="24">
        <v>45735</v>
      </c>
      <c r="C1204" s="24">
        <v>45702</v>
      </c>
      <c r="D1204" t="s">
        <v>2819</v>
      </c>
      <c r="E1204" t="s">
        <v>2820</v>
      </c>
      <c r="F1204" s="23"/>
      <c r="G1204" t="s">
        <v>2939</v>
      </c>
      <c r="H1204" t="s">
        <v>3129</v>
      </c>
      <c r="I1204" t="s">
        <v>3339</v>
      </c>
      <c r="J1204" s="11" t="str">
        <f>+LEFT(U1204,4)</f>
        <v>HDL-</v>
      </c>
      <c r="K1204" t="s">
        <v>10</v>
      </c>
      <c r="L1204">
        <v>1000</v>
      </c>
      <c r="M1204" t="s">
        <v>1472</v>
      </c>
      <c r="N1204" t="s">
        <v>11</v>
      </c>
      <c r="O1204">
        <v>7.4500999999999999</v>
      </c>
      <c r="P1204" s="45">
        <f t="shared" si="92"/>
        <v>7450.1</v>
      </c>
      <c r="Q1204" s="13">
        <f>IF(N1204="HKD",7.8,IF(N1204="CNY",7.30034,1))</f>
        <v>7.3003400000000003</v>
      </c>
      <c r="R1204" s="15">
        <f>+ROUND(O1204/Q1204,4)</f>
        <v>1.0205</v>
      </c>
      <c r="S1204" s="14">
        <f>ROUND(R1204*L1204,2)</f>
        <v>1020.5</v>
      </c>
      <c r="T1204" s="15" t="s">
        <v>349</v>
      </c>
      <c r="U1204" t="s">
        <v>228</v>
      </c>
      <c r="W1204" s="49" t="e">
        <f t="shared" si="93"/>
        <v>#DIV/0!</v>
      </c>
    </row>
    <row r="1205" spans="1:23" x14ac:dyDescent="0.2">
      <c r="A1205" t="s">
        <v>2444</v>
      </c>
      <c r="B1205" s="24">
        <v>45735</v>
      </c>
      <c r="C1205" s="24">
        <v>45702</v>
      </c>
      <c r="D1205" t="s">
        <v>2819</v>
      </c>
      <c r="E1205" t="s">
        <v>2820</v>
      </c>
      <c r="F1205" s="23"/>
      <c r="G1205" t="s">
        <v>2939</v>
      </c>
      <c r="H1205" t="s">
        <v>3130</v>
      </c>
      <c r="I1205" t="s">
        <v>3340</v>
      </c>
      <c r="J1205" s="11" t="str">
        <f>+LEFT(U1205,4)</f>
        <v>HDL-</v>
      </c>
      <c r="K1205" t="s">
        <v>10</v>
      </c>
      <c r="L1205">
        <v>950</v>
      </c>
      <c r="M1205" t="s">
        <v>1472</v>
      </c>
      <c r="N1205" t="s">
        <v>11</v>
      </c>
      <c r="O1205">
        <v>8.5591000000000008</v>
      </c>
      <c r="P1205" s="45">
        <f t="shared" si="92"/>
        <v>8131.15</v>
      </c>
      <c r="Q1205" s="13">
        <f>IF(N1205="HKD",7.8,IF(N1205="CNY",7.30034,1))</f>
        <v>7.3003400000000003</v>
      </c>
      <c r="R1205" s="15">
        <f>+ROUND(O1205/Q1205,4)</f>
        <v>1.1724000000000001</v>
      </c>
      <c r="S1205" s="14">
        <f>ROUND(R1205*L1205,2)</f>
        <v>1113.78</v>
      </c>
      <c r="T1205" s="15" t="s">
        <v>349</v>
      </c>
      <c r="U1205" t="s">
        <v>228</v>
      </c>
      <c r="W1205" s="49" t="e">
        <f t="shared" si="93"/>
        <v>#DIV/0!</v>
      </c>
    </row>
    <row r="1206" spans="1:23" x14ac:dyDescent="0.2">
      <c r="A1206" t="s">
        <v>2445</v>
      </c>
      <c r="B1206" s="24">
        <v>45735</v>
      </c>
      <c r="C1206" s="24">
        <v>45702</v>
      </c>
      <c r="D1206" t="s">
        <v>2819</v>
      </c>
      <c r="E1206" t="s">
        <v>2820</v>
      </c>
      <c r="F1206" s="23"/>
      <c r="G1206" t="s">
        <v>2939</v>
      </c>
      <c r="H1206" t="s">
        <v>3131</v>
      </c>
      <c r="I1206" t="s">
        <v>3341</v>
      </c>
      <c r="J1206" s="11" t="str">
        <f>+LEFT(U1206,4)</f>
        <v>HDL-</v>
      </c>
      <c r="K1206" t="s">
        <v>10</v>
      </c>
      <c r="L1206">
        <v>950</v>
      </c>
      <c r="M1206" t="s">
        <v>1472</v>
      </c>
      <c r="N1206" t="s">
        <v>11</v>
      </c>
      <c r="O1206">
        <v>8.0311000000000003</v>
      </c>
      <c r="P1206" s="45">
        <f t="shared" si="92"/>
        <v>7629.55</v>
      </c>
      <c r="Q1206" s="13">
        <f>IF(N1206="HKD",7.8,IF(N1206="CNY",7.30034,1))</f>
        <v>7.3003400000000003</v>
      </c>
      <c r="R1206" s="15">
        <f>+ROUND(O1206/Q1206,4)</f>
        <v>1.1001000000000001</v>
      </c>
      <c r="S1206" s="14">
        <f>ROUND(R1206*L1206,2)</f>
        <v>1045.0999999999999</v>
      </c>
      <c r="T1206" s="15" t="s">
        <v>349</v>
      </c>
      <c r="U1206" t="s">
        <v>228</v>
      </c>
      <c r="W1206" s="49" t="e">
        <f t="shared" si="93"/>
        <v>#DIV/0!</v>
      </c>
    </row>
    <row r="1207" spans="1:23" x14ac:dyDescent="0.2">
      <c r="A1207" t="s">
        <v>2446</v>
      </c>
      <c r="B1207" s="24">
        <v>45735</v>
      </c>
      <c r="C1207" s="24">
        <v>45702</v>
      </c>
      <c r="D1207" t="s">
        <v>2819</v>
      </c>
      <c r="E1207" t="s">
        <v>2820</v>
      </c>
      <c r="F1207" s="23"/>
      <c r="G1207" t="s">
        <v>2939</v>
      </c>
      <c r="H1207" t="s">
        <v>3132</v>
      </c>
      <c r="I1207" t="s">
        <v>3342</v>
      </c>
      <c r="J1207" s="11" t="str">
        <f>+LEFT(U1207,4)</f>
        <v>HDL-</v>
      </c>
      <c r="K1207" t="s">
        <v>10</v>
      </c>
      <c r="L1207">
        <v>950</v>
      </c>
      <c r="M1207" t="s">
        <v>1472</v>
      </c>
      <c r="N1207" t="s">
        <v>11</v>
      </c>
      <c r="O1207">
        <v>8.5591000000000008</v>
      </c>
      <c r="P1207" s="45">
        <f t="shared" si="92"/>
        <v>8131.15</v>
      </c>
      <c r="Q1207" s="13">
        <f>IF(N1207="HKD",7.8,IF(N1207="CNY",7.30034,1))</f>
        <v>7.3003400000000003</v>
      </c>
      <c r="R1207" s="15">
        <f>+ROUND(O1207/Q1207,4)</f>
        <v>1.1724000000000001</v>
      </c>
      <c r="S1207" s="14">
        <f>ROUND(R1207*L1207,2)</f>
        <v>1113.78</v>
      </c>
      <c r="T1207" s="15" t="s">
        <v>349</v>
      </c>
      <c r="U1207" t="s">
        <v>228</v>
      </c>
      <c r="W1207" s="49" t="e">
        <f t="shared" si="93"/>
        <v>#DIV/0!</v>
      </c>
    </row>
    <row r="1208" spans="1:23" x14ac:dyDescent="0.2">
      <c r="A1208" t="s">
        <v>2447</v>
      </c>
      <c r="B1208" s="24">
        <v>45735</v>
      </c>
      <c r="C1208" s="24">
        <v>45702</v>
      </c>
      <c r="D1208" t="s">
        <v>2819</v>
      </c>
      <c r="E1208" t="s">
        <v>2820</v>
      </c>
      <c r="F1208" s="23"/>
      <c r="G1208" t="s">
        <v>2939</v>
      </c>
      <c r="H1208" t="s">
        <v>3133</v>
      </c>
      <c r="I1208" t="s">
        <v>3343</v>
      </c>
      <c r="J1208" s="11" t="str">
        <f>+LEFT(U1208,4)</f>
        <v>HDL-</v>
      </c>
      <c r="K1208" t="s">
        <v>10</v>
      </c>
      <c r="L1208">
        <v>1030</v>
      </c>
      <c r="M1208" t="s">
        <v>1472</v>
      </c>
      <c r="N1208" t="s">
        <v>11</v>
      </c>
      <c r="O1208">
        <v>7.4577999999999998</v>
      </c>
      <c r="P1208" s="45">
        <f t="shared" si="92"/>
        <v>7681.53</v>
      </c>
      <c r="Q1208" s="13">
        <f>IF(N1208="HKD",7.8,IF(N1208="CNY",7.30034,1))</f>
        <v>7.3003400000000003</v>
      </c>
      <c r="R1208" s="15">
        <f>+ROUND(O1208/Q1208,4)</f>
        <v>1.0216000000000001</v>
      </c>
      <c r="S1208" s="14">
        <f>ROUND(R1208*L1208,2)</f>
        <v>1052.25</v>
      </c>
      <c r="T1208" s="15" t="s">
        <v>349</v>
      </c>
      <c r="U1208" t="s">
        <v>228</v>
      </c>
      <c r="W1208" s="49" t="e">
        <f t="shared" si="93"/>
        <v>#DIV/0!</v>
      </c>
    </row>
    <row r="1209" spans="1:23" x14ac:dyDescent="0.2">
      <c r="A1209" t="s">
        <v>2448</v>
      </c>
      <c r="B1209" s="24">
        <v>45735</v>
      </c>
      <c r="C1209" s="24">
        <v>45702</v>
      </c>
      <c r="D1209" t="s">
        <v>2819</v>
      </c>
      <c r="E1209" t="s">
        <v>2820</v>
      </c>
      <c r="F1209" s="23"/>
      <c r="G1209" t="s">
        <v>2939</v>
      </c>
      <c r="H1209" t="s">
        <v>3134</v>
      </c>
      <c r="I1209" t="s">
        <v>3344</v>
      </c>
      <c r="J1209" s="11" t="str">
        <f>+LEFT(U1209,4)</f>
        <v>HDL-</v>
      </c>
      <c r="K1209" t="s">
        <v>10</v>
      </c>
      <c r="L1209">
        <v>1040</v>
      </c>
      <c r="M1209" t="s">
        <v>1472</v>
      </c>
      <c r="N1209" t="s">
        <v>11</v>
      </c>
      <c r="O1209">
        <v>8.0116999999999994</v>
      </c>
      <c r="P1209" s="45">
        <f t="shared" si="92"/>
        <v>8332.17</v>
      </c>
      <c r="Q1209" s="13">
        <f>IF(N1209="HKD",7.8,IF(N1209="CNY",7.30034,1))</f>
        <v>7.3003400000000003</v>
      </c>
      <c r="R1209" s="15">
        <f>+ROUND(O1209/Q1209,4)</f>
        <v>1.0973999999999999</v>
      </c>
      <c r="S1209" s="14">
        <f>ROUND(R1209*L1209,2)</f>
        <v>1141.3</v>
      </c>
      <c r="T1209" s="15" t="s">
        <v>349</v>
      </c>
      <c r="U1209" t="s">
        <v>228</v>
      </c>
      <c r="W1209" s="49" t="e">
        <f t="shared" si="93"/>
        <v>#DIV/0!</v>
      </c>
    </row>
    <row r="1210" spans="1:23" x14ac:dyDescent="0.2">
      <c r="A1210" t="s">
        <v>2528</v>
      </c>
      <c r="B1210" s="24">
        <v>45735</v>
      </c>
      <c r="C1210" s="24">
        <v>45713</v>
      </c>
      <c r="D1210" t="s">
        <v>696</v>
      </c>
      <c r="E1210" t="s">
        <v>697</v>
      </c>
      <c r="F1210" s="23"/>
      <c r="G1210" t="s">
        <v>2901</v>
      </c>
      <c r="H1210" t="s">
        <v>1541</v>
      </c>
      <c r="I1210" t="s">
        <v>1542</v>
      </c>
      <c r="J1210" s="11" t="str">
        <f>+LEFT(U1210,4)</f>
        <v>ANYD</v>
      </c>
      <c r="K1210" t="s">
        <v>10</v>
      </c>
      <c r="L1210">
        <v>1000</v>
      </c>
      <c r="M1210" t="s">
        <v>1472</v>
      </c>
      <c r="N1210" t="s">
        <v>11</v>
      </c>
      <c r="O1210">
        <v>4.29</v>
      </c>
      <c r="P1210" s="45">
        <f t="shared" si="92"/>
        <v>4290</v>
      </c>
      <c r="Q1210" s="13">
        <f>IF(N1210="HKD",7.8,IF(N1210="CNY",7.30034,1))</f>
        <v>7.3003400000000003</v>
      </c>
      <c r="R1210" s="15">
        <f>+ROUND(O1210/Q1210,4)</f>
        <v>0.58760000000000001</v>
      </c>
      <c r="S1210" s="14">
        <f>ROUND(R1210*L1210,2)</f>
        <v>587.6</v>
      </c>
      <c r="T1210" s="15" t="s">
        <v>349</v>
      </c>
      <c r="U1210" t="s">
        <v>36</v>
      </c>
      <c r="W1210" s="49" t="e">
        <f t="shared" si="93"/>
        <v>#DIV/0!</v>
      </c>
    </row>
    <row r="1211" spans="1:23" x14ac:dyDescent="0.2">
      <c r="A1211" t="s">
        <v>2529</v>
      </c>
      <c r="B1211" s="24">
        <v>45735</v>
      </c>
      <c r="C1211" s="24">
        <v>45713</v>
      </c>
      <c r="D1211" t="s">
        <v>696</v>
      </c>
      <c r="E1211" t="s">
        <v>697</v>
      </c>
      <c r="F1211" s="23"/>
      <c r="G1211" t="s">
        <v>2901</v>
      </c>
      <c r="H1211" t="s">
        <v>1543</v>
      </c>
      <c r="I1211" t="s">
        <v>1544</v>
      </c>
      <c r="J1211" s="11" t="str">
        <f>+LEFT(U1211,4)</f>
        <v>ANYD</v>
      </c>
      <c r="K1211" t="s">
        <v>10</v>
      </c>
      <c r="L1211">
        <v>1000</v>
      </c>
      <c r="M1211" t="s">
        <v>1472</v>
      </c>
      <c r="N1211" t="s">
        <v>11</v>
      </c>
      <c r="O1211">
        <v>4.53</v>
      </c>
      <c r="P1211" s="45">
        <f t="shared" si="92"/>
        <v>4530</v>
      </c>
      <c r="Q1211" s="13">
        <f>IF(N1211="HKD",7.8,IF(N1211="CNY",7.30034,1))</f>
        <v>7.3003400000000003</v>
      </c>
      <c r="R1211" s="15">
        <f>+ROUND(O1211/Q1211,4)</f>
        <v>0.62050000000000005</v>
      </c>
      <c r="S1211" s="14">
        <f>ROUND(R1211*L1211,2)</f>
        <v>620.5</v>
      </c>
      <c r="T1211" s="15" t="s">
        <v>349</v>
      </c>
      <c r="U1211" t="s">
        <v>36</v>
      </c>
      <c r="W1211" s="49" t="e">
        <f t="shared" si="93"/>
        <v>#DIV/0!</v>
      </c>
    </row>
    <row r="1212" spans="1:23" x14ac:dyDescent="0.2">
      <c r="A1212" t="s">
        <v>2536</v>
      </c>
      <c r="B1212" s="24">
        <v>45735</v>
      </c>
      <c r="C1212" s="24">
        <v>45714</v>
      </c>
      <c r="D1212" t="s">
        <v>94</v>
      </c>
      <c r="E1212" t="s">
        <v>95</v>
      </c>
      <c r="F1212" s="23"/>
      <c r="G1212" t="s">
        <v>2975</v>
      </c>
      <c r="H1212" t="s">
        <v>3165</v>
      </c>
      <c r="I1212" t="s">
        <v>3375</v>
      </c>
      <c r="J1212" s="11" t="str">
        <f>+LEFT(U1212,4)</f>
        <v>LID-</v>
      </c>
      <c r="K1212" t="s">
        <v>98</v>
      </c>
      <c r="L1212">
        <v>693</v>
      </c>
      <c r="M1212" t="s">
        <v>1472</v>
      </c>
      <c r="N1212" t="s">
        <v>11</v>
      </c>
      <c r="O1212">
        <v>4.37</v>
      </c>
      <c r="P1212" s="45">
        <f t="shared" si="92"/>
        <v>3028.41</v>
      </c>
      <c r="Q1212" s="13">
        <f>IF(N1212="HKD",7.8,IF(N1212="CNY",7.30034,1))</f>
        <v>7.3003400000000003</v>
      </c>
      <c r="R1212" s="15">
        <f>+ROUND(O1212/Q1212,4)</f>
        <v>0.59860000000000002</v>
      </c>
      <c r="S1212" s="14">
        <f>ROUND(R1212*L1212,2)</f>
        <v>414.83</v>
      </c>
      <c r="T1212" s="15" t="s">
        <v>349</v>
      </c>
      <c r="U1212" t="s">
        <v>368</v>
      </c>
      <c r="W1212" s="49" t="e">
        <f t="shared" si="93"/>
        <v>#DIV/0!</v>
      </c>
    </row>
    <row r="1213" spans="1:23" x14ac:dyDescent="0.2">
      <c r="A1213" t="s">
        <v>2560</v>
      </c>
      <c r="B1213" s="24">
        <v>45735</v>
      </c>
      <c r="C1213" s="24">
        <v>45716</v>
      </c>
      <c r="D1213" t="s">
        <v>696</v>
      </c>
      <c r="E1213" t="s">
        <v>697</v>
      </c>
      <c r="F1213" s="23"/>
      <c r="G1213" t="s">
        <v>2996</v>
      </c>
      <c r="H1213" t="s">
        <v>3175</v>
      </c>
      <c r="I1213" t="s">
        <v>3382</v>
      </c>
      <c r="J1213" s="11" t="str">
        <f>+LEFT(U1213,4)</f>
        <v>GLID</v>
      </c>
      <c r="K1213" t="s">
        <v>10</v>
      </c>
      <c r="L1213">
        <v>1010</v>
      </c>
      <c r="M1213" t="s">
        <v>1472</v>
      </c>
      <c r="N1213" t="s">
        <v>11</v>
      </c>
      <c r="O1213">
        <v>7.12</v>
      </c>
      <c r="P1213" s="45">
        <f t="shared" si="92"/>
        <v>7191.2</v>
      </c>
      <c r="Q1213" s="13">
        <f>IF(N1213="HKD",7.8,IF(N1213="CNY",7.30034,1))</f>
        <v>7.3003400000000003</v>
      </c>
      <c r="R1213" s="15">
        <f>+ROUND(O1213/Q1213,4)</f>
        <v>0.97529999999999994</v>
      </c>
      <c r="S1213" s="14">
        <f>ROUND(R1213*L1213,2)</f>
        <v>985.05</v>
      </c>
      <c r="T1213" s="15" t="s">
        <v>349</v>
      </c>
      <c r="U1213" t="s">
        <v>78</v>
      </c>
      <c r="W1213" s="49" t="e">
        <f t="shared" si="93"/>
        <v>#DIV/0!</v>
      </c>
    </row>
    <row r="1214" spans="1:23" x14ac:dyDescent="0.2">
      <c r="A1214" t="s">
        <v>2561</v>
      </c>
      <c r="B1214" s="24">
        <v>45735</v>
      </c>
      <c r="C1214" s="24">
        <v>45716</v>
      </c>
      <c r="D1214" t="s">
        <v>696</v>
      </c>
      <c r="E1214" t="s">
        <v>697</v>
      </c>
      <c r="F1214" s="23"/>
      <c r="G1214" t="s">
        <v>2996</v>
      </c>
      <c r="H1214" t="s">
        <v>3176</v>
      </c>
      <c r="I1214" t="s">
        <v>3383</v>
      </c>
      <c r="J1214" s="11" t="str">
        <f>+LEFT(U1214,4)</f>
        <v>GLID</v>
      </c>
      <c r="K1214" t="s">
        <v>10</v>
      </c>
      <c r="L1214">
        <v>1010</v>
      </c>
      <c r="M1214" t="s">
        <v>1472</v>
      </c>
      <c r="N1214" t="s">
        <v>11</v>
      </c>
      <c r="O1214">
        <v>8.6300000000000008</v>
      </c>
      <c r="P1214" s="45">
        <f t="shared" si="92"/>
        <v>8716.2999999999993</v>
      </c>
      <c r="Q1214" s="13">
        <f>IF(N1214="HKD",7.8,IF(N1214="CNY",7.30034,1))</f>
        <v>7.3003400000000003</v>
      </c>
      <c r="R1214" s="15">
        <f>+ROUND(O1214/Q1214,4)</f>
        <v>1.1820999999999999</v>
      </c>
      <c r="S1214" s="14">
        <f>ROUND(R1214*L1214,2)</f>
        <v>1193.92</v>
      </c>
      <c r="T1214" s="15" t="s">
        <v>349</v>
      </c>
      <c r="U1214" t="s">
        <v>78</v>
      </c>
      <c r="W1214" s="49" t="e">
        <f t="shared" si="93"/>
        <v>#DIV/0!</v>
      </c>
    </row>
    <row r="1215" spans="1:23" x14ac:dyDescent="0.2">
      <c r="A1215" t="s">
        <v>2778</v>
      </c>
      <c r="B1215" s="24">
        <v>45735</v>
      </c>
      <c r="C1215" s="24">
        <v>45730</v>
      </c>
      <c r="D1215" t="s">
        <v>696</v>
      </c>
      <c r="E1215" t="s">
        <v>697</v>
      </c>
      <c r="F1215" s="23"/>
      <c r="G1215" t="s">
        <v>2901</v>
      </c>
      <c r="H1215" t="s">
        <v>1537</v>
      </c>
      <c r="I1215" t="s">
        <v>1538</v>
      </c>
      <c r="J1215" s="11" t="str">
        <f>+LEFT(U1215,4)</f>
        <v>ANYD</v>
      </c>
      <c r="K1215" t="s">
        <v>10</v>
      </c>
      <c r="L1215">
        <v>1000</v>
      </c>
      <c r="M1215" t="s">
        <v>1472</v>
      </c>
      <c r="N1215" t="s">
        <v>11</v>
      </c>
      <c r="O1215">
        <v>3.85</v>
      </c>
      <c r="P1215" s="45">
        <f t="shared" si="92"/>
        <v>3850</v>
      </c>
      <c r="Q1215" s="13">
        <f>IF(N1215="HKD",7.8,IF(N1215="CNY",7.30034,1))</f>
        <v>7.3003400000000003</v>
      </c>
      <c r="R1215" s="15">
        <f>+ROUND(O1215/Q1215,4)</f>
        <v>0.52739999999999998</v>
      </c>
      <c r="S1215" s="14">
        <f>ROUND(R1215*L1215,2)</f>
        <v>527.4</v>
      </c>
      <c r="T1215" s="15" t="s">
        <v>349</v>
      </c>
      <c r="U1215" t="s">
        <v>36</v>
      </c>
      <c r="W1215" s="49" t="e">
        <f t="shared" si="93"/>
        <v>#DIV/0!</v>
      </c>
    </row>
    <row r="1216" spans="1:23" x14ac:dyDescent="0.2">
      <c r="A1216" t="s">
        <v>2347</v>
      </c>
      <c r="B1216" s="24">
        <v>45736</v>
      </c>
      <c r="C1216" s="24">
        <v>45677</v>
      </c>
      <c r="D1216" t="s">
        <v>5</v>
      </c>
      <c r="E1216" t="s">
        <v>6</v>
      </c>
      <c r="F1216" s="23"/>
      <c r="G1216" t="s">
        <v>2900</v>
      </c>
      <c r="H1216" t="s">
        <v>1804</v>
      </c>
      <c r="I1216" t="s">
        <v>1805</v>
      </c>
      <c r="J1216" s="11" t="str">
        <f>+LEFT(U1216,4)</f>
        <v>BOX-</v>
      </c>
      <c r="K1216" t="s">
        <v>10</v>
      </c>
      <c r="L1216">
        <v>1010</v>
      </c>
      <c r="M1216" t="s">
        <v>1472</v>
      </c>
      <c r="N1216" t="s">
        <v>11</v>
      </c>
      <c r="O1216">
        <v>8.2200000000000006</v>
      </c>
      <c r="P1216" s="45">
        <f t="shared" si="92"/>
        <v>8302.2000000000007</v>
      </c>
      <c r="Q1216" s="13">
        <f>IF(N1216="HKD",7.8,IF(N1216="CNY",7.30034,1))</f>
        <v>7.3003400000000003</v>
      </c>
      <c r="R1216" s="15">
        <f>+ROUND(O1216/Q1216,4)</f>
        <v>1.1259999999999999</v>
      </c>
      <c r="S1216" s="14">
        <f>ROUND(R1216*L1216,2)</f>
        <v>1137.26</v>
      </c>
      <c r="T1216" s="15" t="s">
        <v>349</v>
      </c>
      <c r="U1216" t="s">
        <v>1</v>
      </c>
      <c r="W1216" s="49" t="e">
        <f t="shared" si="93"/>
        <v>#DIV/0!</v>
      </c>
    </row>
    <row r="1217" spans="1:23" x14ac:dyDescent="0.2">
      <c r="A1217" t="s">
        <v>2433</v>
      </c>
      <c r="B1217" s="24">
        <v>45736</v>
      </c>
      <c r="C1217" s="24">
        <v>45702</v>
      </c>
      <c r="D1217" t="s">
        <v>295</v>
      </c>
      <c r="E1217" t="s">
        <v>296</v>
      </c>
      <c r="F1217" s="23"/>
      <c r="G1217" t="s">
        <v>2934</v>
      </c>
      <c r="H1217" t="s">
        <v>3122</v>
      </c>
      <c r="I1217" t="s">
        <v>3332</v>
      </c>
      <c r="J1217" s="11" t="str">
        <f>+LEFT(U1217,4)</f>
        <v>SHDL</v>
      </c>
      <c r="K1217" t="s">
        <v>10</v>
      </c>
      <c r="L1217">
        <v>8200</v>
      </c>
      <c r="M1217" t="s">
        <v>1472</v>
      </c>
      <c r="N1217" t="s">
        <v>11</v>
      </c>
      <c r="O1217">
        <v>1.7226999999999999</v>
      </c>
      <c r="P1217" s="45">
        <f t="shared" si="92"/>
        <v>14126.14</v>
      </c>
      <c r="Q1217" s="13">
        <f>IF(N1217="HKD",7.8,IF(N1217="CNY",7.30034,1))</f>
        <v>7.3003400000000003</v>
      </c>
      <c r="R1217" s="15">
        <f>+ROUND(O1217/Q1217,4)</f>
        <v>0.23599999999999999</v>
      </c>
      <c r="S1217" s="14">
        <f>ROUND(R1217*L1217,2)</f>
        <v>1935.2</v>
      </c>
      <c r="T1217" s="15" t="s">
        <v>349</v>
      </c>
      <c r="U1217" t="s">
        <v>722</v>
      </c>
      <c r="W1217" s="49" t="e">
        <f t="shared" si="93"/>
        <v>#DIV/0!</v>
      </c>
    </row>
    <row r="1218" spans="1:23" x14ac:dyDescent="0.2">
      <c r="A1218" t="s">
        <v>2536</v>
      </c>
      <c r="B1218" s="24">
        <v>45736</v>
      </c>
      <c r="C1218" s="24">
        <v>45714</v>
      </c>
      <c r="D1218" t="s">
        <v>94</v>
      </c>
      <c r="E1218" t="s">
        <v>95</v>
      </c>
      <c r="F1218" s="23"/>
      <c r="G1218" t="s">
        <v>2974</v>
      </c>
      <c r="H1218" t="s">
        <v>3165</v>
      </c>
      <c r="I1218" t="s">
        <v>3375</v>
      </c>
      <c r="J1218" s="11" t="str">
        <f>+LEFT(U1218,4)</f>
        <v>LID-</v>
      </c>
      <c r="K1218" t="s">
        <v>98</v>
      </c>
      <c r="L1218">
        <v>1272</v>
      </c>
      <c r="M1218" t="s">
        <v>1472</v>
      </c>
      <c r="N1218" t="s">
        <v>11</v>
      </c>
      <c r="O1218">
        <v>4.37</v>
      </c>
      <c r="P1218" s="45">
        <f t="shared" ref="P1218:P1281" si="94">ROUND(O1218*L1218,2)</f>
        <v>5558.64</v>
      </c>
      <c r="Q1218" s="13">
        <f>IF(N1218="HKD",7.8,IF(N1218="CNY",7.30034,1))</f>
        <v>7.3003400000000003</v>
      </c>
      <c r="R1218" s="15">
        <f>+ROUND(O1218/Q1218,4)</f>
        <v>0.59860000000000002</v>
      </c>
      <c r="S1218" s="14">
        <f>ROUND(R1218*L1218,2)</f>
        <v>761.42</v>
      </c>
      <c r="T1218" s="15" t="s">
        <v>349</v>
      </c>
      <c r="U1218" t="s">
        <v>368</v>
      </c>
      <c r="W1218" s="49" t="e">
        <f t="shared" ref="W1218:W1281" si="95">IF(N1218="CNY",O1218/V1218*L1218,1)</f>
        <v>#DIV/0!</v>
      </c>
    </row>
    <row r="1219" spans="1:23" x14ac:dyDescent="0.2">
      <c r="A1219" t="s">
        <v>2537</v>
      </c>
      <c r="B1219" s="24">
        <v>45736</v>
      </c>
      <c r="C1219" s="24">
        <v>45714</v>
      </c>
      <c r="D1219" t="s">
        <v>94</v>
      </c>
      <c r="E1219" t="s">
        <v>95</v>
      </c>
      <c r="F1219" s="23"/>
      <c r="G1219" t="s">
        <v>2974</v>
      </c>
      <c r="H1219" t="s">
        <v>3165</v>
      </c>
      <c r="I1219" t="s">
        <v>3375</v>
      </c>
      <c r="J1219" s="11" t="str">
        <f>+LEFT(U1219,4)</f>
        <v>LID-</v>
      </c>
      <c r="K1219" t="s">
        <v>98</v>
      </c>
      <c r="L1219">
        <v>111</v>
      </c>
      <c r="M1219" t="s">
        <v>1472</v>
      </c>
      <c r="N1219" t="s">
        <v>11</v>
      </c>
      <c r="O1219">
        <v>4.37</v>
      </c>
      <c r="P1219" s="45">
        <f t="shared" si="94"/>
        <v>485.07</v>
      </c>
      <c r="Q1219" s="13">
        <f>IF(N1219="HKD",7.8,IF(N1219="CNY",7.30034,1))</f>
        <v>7.3003400000000003</v>
      </c>
      <c r="R1219" s="15">
        <f>+ROUND(O1219/Q1219,4)</f>
        <v>0.59860000000000002</v>
      </c>
      <c r="S1219" s="14">
        <f>ROUND(R1219*L1219,2)</f>
        <v>66.44</v>
      </c>
      <c r="T1219" s="15" t="s">
        <v>349</v>
      </c>
      <c r="U1219" t="s">
        <v>368</v>
      </c>
      <c r="W1219" s="49" t="e">
        <f t="shared" si="95"/>
        <v>#DIV/0!</v>
      </c>
    </row>
    <row r="1220" spans="1:23" x14ac:dyDescent="0.2">
      <c r="A1220" t="s">
        <v>2539</v>
      </c>
      <c r="B1220" s="24">
        <v>45736</v>
      </c>
      <c r="C1220" s="24">
        <v>45714</v>
      </c>
      <c r="D1220" t="s">
        <v>830</v>
      </c>
      <c r="E1220" t="s">
        <v>831</v>
      </c>
      <c r="F1220" s="23"/>
      <c r="G1220" t="s">
        <v>2985</v>
      </c>
      <c r="H1220" t="s">
        <v>3166</v>
      </c>
      <c r="I1220" t="s">
        <v>3376</v>
      </c>
      <c r="J1220" s="11" t="str">
        <f>+LEFT(U1220,4)</f>
        <v>LID-</v>
      </c>
      <c r="K1220" t="s">
        <v>98</v>
      </c>
      <c r="L1220">
        <v>1920</v>
      </c>
      <c r="M1220" t="s">
        <v>1472</v>
      </c>
      <c r="N1220" t="s">
        <v>11</v>
      </c>
      <c r="O1220">
        <v>4.2</v>
      </c>
      <c r="P1220" s="45">
        <f t="shared" si="94"/>
        <v>8064</v>
      </c>
      <c r="Q1220" s="13">
        <f>IF(N1220="HKD",7.8,IF(N1220="CNY",7.30034,1))</f>
        <v>7.3003400000000003</v>
      </c>
      <c r="R1220" s="15">
        <f>+ROUND(O1220/Q1220,4)</f>
        <v>0.57530000000000003</v>
      </c>
      <c r="S1220" s="14">
        <f>ROUND(R1220*L1220,2)</f>
        <v>1104.58</v>
      </c>
      <c r="T1220" s="15" t="s">
        <v>349</v>
      </c>
      <c r="U1220" t="s">
        <v>368</v>
      </c>
      <c r="W1220" s="49" t="e">
        <f t="shared" si="95"/>
        <v>#DIV/0!</v>
      </c>
    </row>
    <row r="1221" spans="1:23" x14ac:dyDescent="0.2">
      <c r="A1221" t="s">
        <v>2550</v>
      </c>
      <c r="B1221" s="24">
        <v>45736</v>
      </c>
      <c r="C1221" s="24">
        <v>45716</v>
      </c>
      <c r="D1221" t="s">
        <v>149</v>
      </c>
      <c r="E1221" t="s">
        <v>150</v>
      </c>
      <c r="F1221" s="23"/>
      <c r="G1221" t="s">
        <v>2994</v>
      </c>
      <c r="H1221" t="s">
        <v>1688</v>
      </c>
      <c r="I1221" t="s">
        <v>1188</v>
      </c>
      <c r="J1221" s="11" t="str">
        <f>+LEFT(U1221,4)</f>
        <v>GLID</v>
      </c>
      <c r="K1221" t="s">
        <v>10</v>
      </c>
      <c r="L1221">
        <v>1020</v>
      </c>
      <c r="M1221" t="s">
        <v>1472</v>
      </c>
      <c r="N1221" t="s">
        <v>11</v>
      </c>
      <c r="O1221">
        <v>2.5366</v>
      </c>
      <c r="P1221" s="45">
        <f t="shared" si="94"/>
        <v>2587.33</v>
      </c>
      <c r="Q1221" s="13">
        <f>IF(N1221="HKD",7.8,IF(N1221="CNY",7.30034,1))</f>
        <v>7.3003400000000003</v>
      </c>
      <c r="R1221" s="15">
        <f>+ROUND(O1221/Q1221,4)</f>
        <v>0.34749999999999998</v>
      </c>
      <c r="S1221" s="14">
        <f>ROUND(R1221*L1221,2)</f>
        <v>354.45</v>
      </c>
      <c r="T1221" s="15" t="s">
        <v>349</v>
      </c>
      <c r="U1221" t="s">
        <v>78</v>
      </c>
      <c r="W1221" s="49" t="e">
        <f t="shared" si="95"/>
        <v>#DIV/0!</v>
      </c>
    </row>
    <row r="1222" spans="1:23" x14ac:dyDescent="0.2">
      <c r="A1222" t="s">
        <v>2553</v>
      </c>
      <c r="B1222" s="24">
        <v>45736</v>
      </c>
      <c r="C1222" s="24">
        <v>45716</v>
      </c>
      <c r="D1222" t="s">
        <v>149</v>
      </c>
      <c r="E1222" t="s">
        <v>150</v>
      </c>
      <c r="F1222" s="23"/>
      <c r="G1222" t="s">
        <v>2994</v>
      </c>
      <c r="H1222" t="s">
        <v>3171</v>
      </c>
      <c r="I1222" t="s">
        <v>1180</v>
      </c>
      <c r="J1222" s="11" t="str">
        <f>+LEFT(U1222,4)</f>
        <v>GLID</v>
      </c>
      <c r="K1222" t="s">
        <v>10</v>
      </c>
      <c r="L1222">
        <v>1030</v>
      </c>
      <c r="M1222" t="s">
        <v>1472</v>
      </c>
      <c r="N1222" t="s">
        <v>11</v>
      </c>
      <c r="O1222">
        <v>3.7364999999999999</v>
      </c>
      <c r="P1222" s="45">
        <f t="shared" si="94"/>
        <v>3848.6</v>
      </c>
      <c r="Q1222" s="13">
        <f>IF(N1222="HKD",7.8,IF(N1222="CNY",7.30034,1))</f>
        <v>7.3003400000000003</v>
      </c>
      <c r="R1222" s="15">
        <f>+ROUND(O1222/Q1222,4)</f>
        <v>0.51180000000000003</v>
      </c>
      <c r="S1222" s="14">
        <f>ROUND(R1222*L1222,2)</f>
        <v>527.15</v>
      </c>
      <c r="T1222" s="15" t="s">
        <v>349</v>
      </c>
      <c r="U1222" t="s">
        <v>78</v>
      </c>
      <c r="W1222" s="49" t="e">
        <f t="shared" si="95"/>
        <v>#DIV/0!</v>
      </c>
    </row>
    <row r="1223" spans="1:23" x14ac:dyDescent="0.2">
      <c r="A1223" t="s">
        <v>2557</v>
      </c>
      <c r="B1223" s="24">
        <v>45736</v>
      </c>
      <c r="C1223" s="24">
        <v>45716</v>
      </c>
      <c r="D1223" t="s">
        <v>149</v>
      </c>
      <c r="E1223" t="s">
        <v>150</v>
      </c>
      <c r="F1223" s="23"/>
      <c r="G1223" t="s">
        <v>2994</v>
      </c>
      <c r="H1223" t="s">
        <v>3174</v>
      </c>
      <c r="I1223" t="s">
        <v>3381</v>
      </c>
      <c r="J1223" s="11" t="str">
        <f>+LEFT(U1223,4)</f>
        <v>GLID</v>
      </c>
      <c r="K1223" t="s">
        <v>10</v>
      </c>
      <c r="L1223">
        <v>1030</v>
      </c>
      <c r="M1223" t="s">
        <v>1472</v>
      </c>
      <c r="N1223" t="s">
        <v>11</v>
      </c>
      <c r="O1223">
        <v>2.2637999999999998</v>
      </c>
      <c r="P1223" s="45">
        <f t="shared" si="94"/>
        <v>2331.71</v>
      </c>
      <c r="Q1223" s="13">
        <f>IF(N1223="HKD",7.8,IF(N1223="CNY",7.30034,1))</f>
        <v>7.3003400000000003</v>
      </c>
      <c r="R1223" s="15">
        <f>+ROUND(O1223/Q1223,4)</f>
        <v>0.31009999999999999</v>
      </c>
      <c r="S1223" s="14">
        <f>ROUND(R1223*L1223,2)</f>
        <v>319.39999999999998</v>
      </c>
      <c r="T1223" s="15" t="s">
        <v>349</v>
      </c>
      <c r="U1223" t="s">
        <v>78</v>
      </c>
      <c r="W1223" s="49" t="e">
        <f t="shared" si="95"/>
        <v>#DIV/0!</v>
      </c>
    </row>
    <row r="1224" spans="1:23" x14ac:dyDescent="0.2">
      <c r="A1224" t="s">
        <v>2558</v>
      </c>
      <c r="B1224" s="24">
        <v>45736</v>
      </c>
      <c r="C1224" s="24">
        <v>45716</v>
      </c>
      <c r="D1224" t="s">
        <v>149</v>
      </c>
      <c r="E1224" t="s">
        <v>150</v>
      </c>
      <c r="F1224" s="23"/>
      <c r="G1224" t="s">
        <v>2994</v>
      </c>
      <c r="H1224" t="s">
        <v>1187</v>
      </c>
      <c r="I1224" t="s">
        <v>1188</v>
      </c>
      <c r="J1224" s="11" t="str">
        <f>+LEFT(U1224,4)</f>
        <v>GLID</v>
      </c>
      <c r="K1224" t="s">
        <v>10</v>
      </c>
      <c r="L1224">
        <v>1000</v>
      </c>
      <c r="M1224" t="s">
        <v>1472</v>
      </c>
      <c r="N1224" t="s">
        <v>11</v>
      </c>
      <c r="O1224">
        <v>2.5366</v>
      </c>
      <c r="P1224" s="45">
        <f t="shared" si="94"/>
        <v>2536.6</v>
      </c>
      <c r="Q1224" s="13">
        <f>IF(N1224="HKD",7.8,IF(N1224="CNY",7.30034,1))</f>
        <v>7.3003400000000003</v>
      </c>
      <c r="R1224" s="15">
        <f>+ROUND(O1224/Q1224,4)</f>
        <v>0.34749999999999998</v>
      </c>
      <c r="S1224" s="14">
        <f>ROUND(R1224*L1224,2)</f>
        <v>347.5</v>
      </c>
      <c r="T1224" s="15" t="s">
        <v>349</v>
      </c>
      <c r="U1224" t="s">
        <v>78</v>
      </c>
      <c r="W1224" s="49" t="e">
        <f t="shared" si="95"/>
        <v>#DIV/0!</v>
      </c>
    </row>
    <row r="1225" spans="1:23" x14ac:dyDescent="0.2">
      <c r="A1225" t="s">
        <v>2559</v>
      </c>
      <c r="B1225" s="24">
        <v>45736</v>
      </c>
      <c r="C1225" s="24">
        <v>45716</v>
      </c>
      <c r="D1225" t="s">
        <v>149</v>
      </c>
      <c r="E1225" t="s">
        <v>150</v>
      </c>
      <c r="F1225" s="23"/>
      <c r="G1225" t="s">
        <v>2994</v>
      </c>
      <c r="H1225" t="s">
        <v>1179</v>
      </c>
      <c r="I1225" t="s">
        <v>1180</v>
      </c>
      <c r="J1225" s="11" t="str">
        <f>+LEFT(U1225,4)</f>
        <v>GLID</v>
      </c>
      <c r="K1225" t="s">
        <v>10</v>
      </c>
      <c r="L1225">
        <v>2020</v>
      </c>
      <c r="M1225" t="s">
        <v>1472</v>
      </c>
      <c r="N1225" t="s">
        <v>11</v>
      </c>
      <c r="O1225">
        <v>3.6753999999999998</v>
      </c>
      <c r="P1225" s="45">
        <f t="shared" si="94"/>
        <v>7424.31</v>
      </c>
      <c r="Q1225" s="13">
        <f>IF(N1225="HKD",7.8,IF(N1225="CNY",7.30034,1))</f>
        <v>7.3003400000000003</v>
      </c>
      <c r="R1225" s="15">
        <f>+ROUND(O1225/Q1225,4)</f>
        <v>0.50349999999999995</v>
      </c>
      <c r="S1225" s="14">
        <f>ROUND(R1225*L1225,2)</f>
        <v>1017.07</v>
      </c>
      <c r="T1225" s="15" t="s">
        <v>349</v>
      </c>
      <c r="U1225" t="s">
        <v>78</v>
      </c>
      <c r="W1225" s="49" t="e">
        <f t="shared" si="95"/>
        <v>#DIV/0!</v>
      </c>
    </row>
    <row r="1226" spans="1:23" x14ac:dyDescent="0.2">
      <c r="A1226" t="s">
        <v>2605</v>
      </c>
      <c r="B1226" s="24">
        <v>45736</v>
      </c>
      <c r="C1226" s="24">
        <v>45720</v>
      </c>
      <c r="D1226" t="s">
        <v>1006</v>
      </c>
      <c r="E1226" t="s">
        <v>1007</v>
      </c>
      <c r="F1226" s="23"/>
      <c r="G1226" t="s">
        <v>3012</v>
      </c>
      <c r="H1226" t="s">
        <v>3195</v>
      </c>
      <c r="I1226" t="s">
        <v>3402</v>
      </c>
      <c r="J1226" s="11" t="str">
        <f>+LEFT(U1226,4)</f>
        <v>ALM-</v>
      </c>
      <c r="K1226" t="s">
        <v>98</v>
      </c>
      <c r="L1226">
        <v>534</v>
      </c>
      <c r="M1226" t="s">
        <v>186</v>
      </c>
      <c r="N1226" t="s">
        <v>11</v>
      </c>
      <c r="O1226">
        <v>2.9203999999999999</v>
      </c>
      <c r="P1226" s="45">
        <f t="shared" si="94"/>
        <v>1559.49</v>
      </c>
      <c r="Q1226" s="13">
        <f>IF(N1226="HKD",7.8,IF(N1226="CNY",7.30034,1))</f>
        <v>7.3003400000000003</v>
      </c>
      <c r="R1226" s="15">
        <f>+ROUND(O1226/Q1226,4)</f>
        <v>0.4</v>
      </c>
      <c r="S1226" s="14">
        <f>ROUND(R1226*L1226,2)</f>
        <v>213.6</v>
      </c>
      <c r="T1226" s="15" t="s">
        <v>349</v>
      </c>
      <c r="U1226" t="s">
        <v>191</v>
      </c>
      <c r="W1226" s="49" t="e">
        <f t="shared" si="95"/>
        <v>#DIV/0!</v>
      </c>
    </row>
    <row r="1227" spans="1:23" x14ac:dyDescent="0.2">
      <c r="A1227" t="s">
        <v>2606</v>
      </c>
      <c r="B1227" s="24">
        <v>45736</v>
      </c>
      <c r="C1227" s="24">
        <v>45720</v>
      </c>
      <c r="D1227" t="s">
        <v>1006</v>
      </c>
      <c r="E1227" t="s">
        <v>1007</v>
      </c>
      <c r="F1227" s="23"/>
      <c r="G1227" t="s">
        <v>3012</v>
      </c>
      <c r="H1227" t="s">
        <v>3196</v>
      </c>
      <c r="I1227" t="s">
        <v>3403</v>
      </c>
      <c r="J1227" s="11" t="str">
        <f>+LEFT(U1227,4)</f>
        <v>ALM-</v>
      </c>
      <c r="K1227" t="s">
        <v>98</v>
      </c>
      <c r="L1227">
        <v>1072</v>
      </c>
      <c r="M1227" t="s">
        <v>186</v>
      </c>
      <c r="N1227" t="s">
        <v>11</v>
      </c>
      <c r="O1227">
        <v>2.9203999999999999</v>
      </c>
      <c r="P1227" s="45">
        <f t="shared" si="94"/>
        <v>3130.67</v>
      </c>
      <c r="Q1227" s="13">
        <f>IF(N1227="HKD",7.8,IF(N1227="CNY",7.30034,1))</f>
        <v>7.3003400000000003</v>
      </c>
      <c r="R1227" s="15">
        <f>+ROUND(O1227/Q1227,4)</f>
        <v>0.4</v>
      </c>
      <c r="S1227" s="14">
        <f>ROUND(R1227*L1227,2)</f>
        <v>428.8</v>
      </c>
      <c r="T1227" s="15" t="s">
        <v>349</v>
      </c>
      <c r="U1227" t="s">
        <v>191</v>
      </c>
      <c r="W1227" s="49" t="e">
        <f t="shared" si="95"/>
        <v>#DIV/0!</v>
      </c>
    </row>
    <row r="1228" spans="1:23" x14ac:dyDescent="0.2">
      <c r="A1228" t="s">
        <v>2607</v>
      </c>
      <c r="B1228" s="24">
        <v>45736</v>
      </c>
      <c r="C1228" s="24">
        <v>45720</v>
      </c>
      <c r="D1228" t="s">
        <v>1006</v>
      </c>
      <c r="E1228" t="s">
        <v>1007</v>
      </c>
      <c r="F1228" s="23"/>
      <c r="G1228" t="s">
        <v>3012</v>
      </c>
      <c r="H1228" t="s">
        <v>1004</v>
      </c>
      <c r="I1228" t="s">
        <v>1005</v>
      </c>
      <c r="J1228" s="11" t="str">
        <f>+LEFT(U1228,4)</f>
        <v>ALM-</v>
      </c>
      <c r="K1228" t="s">
        <v>98</v>
      </c>
      <c r="L1228">
        <v>572</v>
      </c>
      <c r="M1228" t="s">
        <v>186</v>
      </c>
      <c r="N1228" t="s">
        <v>11</v>
      </c>
      <c r="O1228">
        <v>2.9203999999999999</v>
      </c>
      <c r="P1228" s="45">
        <f t="shared" si="94"/>
        <v>1670.47</v>
      </c>
      <c r="Q1228" s="13">
        <f>IF(N1228="HKD",7.8,IF(N1228="CNY",7.30034,1))</f>
        <v>7.3003400000000003</v>
      </c>
      <c r="R1228" s="15">
        <f>+ROUND(O1228/Q1228,4)</f>
        <v>0.4</v>
      </c>
      <c r="S1228" s="14">
        <f>ROUND(R1228*L1228,2)</f>
        <v>228.8</v>
      </c>
      <c r="T1228" s="15" t="s">
        <v>349</v>
      </c>
      <c r="U1228" t="s">
        <v>191</v>
      </c>
      <c r="W1228" s="49" t="e">
        <f t="shared" si="95"/>
        <v>#DIV/0!</v>
      </c>
    </row>
    <row r="1229" spans="1:23" x14ac:dyDescent="0.2">
      <c r="A1229" t="s">
        <v>2608</v>
      </c>
      <c r="B1229" s="24">
        <v>45736</v>
      </c>
      <c r="C1229" s="24">
        <v>45720</v>
      </c>
      <c r="D1229" t="s">
        <v>1006</v>
      </c>
      <c r="E1229" t="s">
        <v>1007</v>
      </c>
      <c r="F1229" s="23"/>
      <c r="G1229" t="s">
        <v>3012</v>
      </c>
      <c r="H1229" t="s">
        <v>3197</v>
      </c>
      <c r="I1229" t="s">
        <v>3404</v>
      </c>
      <c r="J1229" s="11" t="str">
        <f>+LEFT(U1229,4)</f>
        <v>ALM-</v>
      </c>
      <c r="K1229" t="s">
        <v>98</v>
      </c>
      <c r="L1229">
        <v>1206</v>
      </c>
      <c r="M1229" t="s">
        <v>186</v>
      </c>
      <c r="N1229" t="s">
        <v>11</v>
      </c>
      <c r="O1229">
        <v>2.9203999999999999</v>
      </c>
      <c r="P1229" s="45">
        <f t="shared" si="94"/>
        <v>3522</v>
      </c>
      <c r="Q1229" s="13">
        <f>IF(N1229="HKD",7.8,IF(N1229="CNY",7.30034,1))</f>
        <v>7.3003400000000003</v>
      </c>
      <c r="R1229" s="15">
        <f>+ROUND(O1229/Q1229,4)</f>
        <v>0.4</v>
      </c>
      <c r="S1229" s="14">
        <f>ROUND(R1229*L1229,2)</f>
        <v>482.4</v>
      </c>
      <c r="T1229" s="15" t="s">
        <v>349</v>
      </c>
      <c r="U1229" t="s">
        <v>191</v>
      </c>
      <c r="W1229" s="49" t="e">
        <f t="shared" si="95"/>
        <v>#DIV/0!</v>
      </c>
    </row>
    <row r="1230" spans="1:23" x14ac:dyDescent="0.2">
      <c r="A1230" t="s">
        <v>2609</v>
      </c>
      <c r="B1230" s="24">
        <v>45736</v>
      </c>
      <c r="C1230" s="24">
        <v>45720</v>
      </c>
      <c r="D1230" t="s">
        <v>1006</v>
      </c>
      <c r="E1230" t="s">
        <v>1007</v>
      </c>
      <c r="F1230" s="23"/>
      <c r="G1230" t="s">
        <v>3012</v>
      </c>
      <c r="H1230" t="s">
        <v>3198</v>
      </c>
      <c r="I1230" t="s">
        <v>3405</v>
      </c>
      <c r="J1230" s="11" t="str">
        <f>+LEFT(U1230,4)</f>
        <v>ALM-</v>
      </c>
      <c r="K1230" t="s">
        <v>98</v>
      </c>
      <c r="L1230">
        <v>828</v>
      </c>
      <c r="M1230" t="s">
        <v>186</v>
      </c>
      <c r="N1230" t="s">
        <v>11</v>
      </c>
      <c r="O1230">
        <v>2.9203999999999999</v>
      </c>
      <c r="P1230" s="45">
        <f t="shared" si="94"/>
        <v>2418.09</v>
      </c>
      <c r="Q1230" s="13">
        <f>IF(N1230="HKD",7.8,IF(N1230="CNY",7.30034,1))</f>
        <v>7.3003400000000003</v>
      </c>
      <c r="R1230" s="15">
        <f>+ROUND(O1230/Q1230,4)</f>
        <v>0.4</v>
      </c>
      <c r="S1230" s="14">
        <f>ROUND(R1230*L1230,2)</f>
        <v>331.2</v>
      </c>
      <c r="T1230" s="15" t="s">
        <v>349</v>
      </c>
      <c r="U1230" t="s">
        <v>191</v>
      </c>
      <c r="W1230" s="49" t="e">
        <f t="shared" si="95"/>
        <v>#DIV/0!</v>
      </c>
    </row>
    <row r="1231" spans="1:23" x14ac:dyDescent="0.2">
      <c r="A1231" t="s">
        <v>2645</v>
      </c>
      <c r="B1231" s="24">
        <v>45736</v>
      </c>
      <c r="C1231" s="24">
        <v>45721</v>
      </c>
      <c r="D1231" t="s">
        <v>149</v>
      </c>
      <c r="E1231" t="s">
        <v>150</v>
      </c>
      <c r="F1231" s="23"/>
      <c r="G1231" t="s">
        <v>2994</v>
      </c>
      <c r="H1231" t="s">
        <v>3211</v>
      </c>
      <c r="I1231" t="s">
        <v>3418</v>
      </c>
      <c r="J1231" s="11" t="str">
        <f>+LEFT(U1231,4)</f>
        <v>GLID</v>
      </c>
      <c r="K1231" t="s">
        <v>10</v>
      </c>
      <c r="L1231">
        <v>1010</v>
      </c>
      <c r="M1231" t="s">
        <v>1472</v>
      </c>
      <c r="N1231" t="s">
        <v>11</v>
      </c>
      <c r="O1231">
        <v>5.1798000000000002</v>
      </c>
      <c r="P1231" s="45">
        <f t="shared" si="94"/>
        <v>5231.6000000000004</v>
      </c>
      <c r="Q1231" s="13">
        <f>IF(N1231="HKD",7.8,IF(N1231="CNY",7.30034,1))</f>
        <v>7.3003400000000003</v>
      </c>
      <c r="R1231" s="15">
        <f>+ROUND(O1231/Q1231,4)</f>
        <v>0.70950000000000002</v>
      </c>
      <c r="S1231" s="14">
        <f>ROUND(R1231*L1231,2)</f>
        <v>716.6</v>
      </c>
      <c r="T1231" s="15" t="s">
        <v>349</v>
      </c>
      <c r="U1231" t="s">
        <v>78</v>
      </c>
      <c r="W1231" s="49" t="e">
        <f t="shared" si="95"/>
        <v>#DIV/0!</v>
      </c>
    </row>
    <row r="1232" spans="1:23" x14ac:dyDescent="0.2">
      <c r="A1232" t="s">
        <v>2646</v>
      </c>
      <c r="B1232" s="24">
        <v>45736</v>
      </c>
      <c r="C1232" s="24">
        <v>45721</v>
      </c>
      <c r="D1232" t="s">
        <v>1006</v>
      </c>
      <c r="E1232" t="s">
        <v>1007</v>
      </c>
      <c r="F1232" s="23"/>
      <c r="G1232" t="s">
        <v>3012</v>
      </c>
      <c r="H1232" t="s">
        <v>1013</v>
      </c>
      <c r="I1232" t="s">
        <v>1014</v>
      </c>
      <c r="J1232" s="11" t="str">
        <f>+LEFT(U1232,4)</f>
        <v>ALM-</v>
      </c>
      <c r="K1232" t="s">
        <v>98</v>
      </c>
      <c r="L1232">
        <v>485</v>
      </c>
      <c r="M1232" t="s">
        <v>186</v>
      </c>
      <c r="N1232" t="s">
        <v>11</v>
      </c>
      <c r="O1232">
        <v>3.0973000000000002</v>
      </c>
      <c r="P1232" s="45">
        <f t="shared" si="94"/>
        <v>1502.19</v>
      </c>
      <c r="Q1232" s="13">
        <f>IF(N1232="HKD",7.8,IF(N1232="CNY",7.30034,1))</f>
        <v>7.3003400000000003</v>
      </c>
      <c r="R1232" s="15">
        <f>+ROUND(O1232/Q1232,4)</f>
        <v>0.42430000000000001</v>
      </c>
      <c r="S1232" s="14">
        <f>ROUND(R1232*L1232,2)</f>
        <v>205.79</v>
      </c>
      <c r="T1232" s="15" t="s">
        <v>349</v>
      </c>
      <c r="U1232" t="s">
        <v>191</v>
      </c>
      <c r="W1232" s="49" t="e">
        <f t="shared" si="95"/>
        <v>#DIV/0!</v>
      </c>
    </row>
    <row r="1233" spans="1:23" x14ac:dyDescent="0.2">
      <c r="A1233" t="s">
        <v>2652</v>
      </c>
      <c r="B1233" s="24">
        <v>45736</v>
      </c>
      <c r="C1233" s="24">
        <v>45722</v>
      </c>
      <c r="D1233" t="s">
        <v>2831</v>
      </c>
      <c r="E1233" t="s">
        <v>1007</v>
      </c>
      <c r="F1233" s="23"/>
      <c r="G1233" t="s">
        <v>3012</v>
      </c>
      <c r="H1233" t="s">
        <v>3198</v>
      </c>
      <c r="I1233" t="s">
        <v>3405</v>
      </c>
      <c r="J1233" s="11" t="str">
        <f>+LEFT(U1233,4)</f>
        <v>ALM-</v>
      </c>
      <c r="K1233" t="s">
        <v>98</v>
      </c>
      <c r="L1233">
        <v>576</v>
      </c>
      <c r="M1233" t="s">
        <v>186</v>
      </c>
      <c r="N1233" t="s">
        <v>11</v>
      </c>
      <c r="O1233">
        <v>2.9203999999999999</v>
      </c>
      <c r="P1233" s="45">
        <f t="shared" si="94"/>
        <v>1682.15</v>
      </c>
      <c r="Q1233" s="13">
        <f>IF(N1233="HKD",7.8,IF(N1233="CNY",7.30034,1))</f>
        <v>7.3003400000000003</v>
      </c>
      <c r="R1233" s="15">
        <f>+ROUND(O1233/Q1233,4)</f>
        <v>0.4</v>
      </c>
      <c r="S1233" s="14">
        <f>ROUND(R1233*L1233,2)</f>
        <v>230.4</v>
      </c>
      <c r="T1233" s="15" t="s">
        <v>349</v>
      </c>
      <c r="U1233" t="s">
        <v>191</v>
      </c>
      <c r="W1233" s="49" t="e">
        <f t="shared" si="95"/>
        <v>#DIV/0!</v>
      </c>
    </row>
    <row r="1234" spans="1:23" x14ac:dyDescent="0.2">
      <c r="A1234" t="s">
        <v>2675</v>
      </c>
      <c r="B1234" s="24">
        <v>45736</v>
      </c>
      <c r="C1234" s="24">
        <v>45726</v>
      </c>
      <c r="D1234" t="s">
        <v>1006</v>
      </c>
      <c r="E1234" t="s">
        <v>1007</v>
      </c>
      <c r="F1234" s="23"/>
      <c r="G1234" t="s">
        <v>3012</v>
      </c>
      <c r="H1234" t="s">
        <v>3219</v>
      </c>
      <c r="I1234" t="s">
        <v>3426</v>
      </c>
      <c r="J1234" s="11" t="str">
        <f>+LEFT(U1234,4)</f>
        <v>ALM-</v>
      </c>
      <c r="K1234" t="s">
        <v>98</v>
      </c>
      <c r="L1234">
        <v>556</v>
      </c>
      <c r="M1234" t="s">
        <v>186</v>
      </c>
      <c r="N1234" t="s">
        <v>11</v>
      </c>
      <c r="O1234">
        <v>2.9203999999999999</v>
      </c>
      <c r="P1234" s="45">
        <f t="shared" si="94"/>
        <v>1623.74</v>
      </c>
      <c r="Q1234" s="13">
        <f>IF(N1234="HKD",7.8,IF(N1234="CNY",7.30034,1))</f>
        <v>7.3003400000000003</v>
      </c>
      <c r="R1234" s="15">
        <f>+ROUND(O1234/Q1234,4)</f>
        <v>0.4</v>
      </c>
      <c r="S1234" s="14">
        <f>ROUND(R1234*L1234,2)</f>
        <v>222.4</v>
      </c>
      <c r="T1234" s="15" t="s">
        <v>349</v>
      </c>
      <c r="U1234" t="s">
        <v>191</v>
      </c>
      <c r="W1234" s="49" t="e">
        <f t="shared" si="95"/>
        <v>#DIV/0!</v>
      </c>
    </row>
    <row r="1235" spans="1:23" x14ac:dyDescent="0.2">
      <c r="A1235" t="s">
        <v>2677</v>
      </c>
      <c r="B1235" s="24">
        <v>45736</v>
      </c>
      <c r="C1235" s="24">
        <v>45726</v>
      </c>
      <c r="D1235" t="s">
        <v>1006</v>
      </c>
      <c r="E1235" t="s">
        <v>1007</v>
      </c>
      <c r="F1235" s="23"/>
      <c r="G1235" t="s">
        <v>3012</v>
      </c>
      <c r="H1235" t="s">
        <v>1016</v>
      </c>
      <c r="I1235" t="s">
        <v>1017</v>
      </c>
      <c r="J1235" s="11" t="str">
        <f>+LEFT(U1235,4)</f>
        <v>ALM-</v>
      </c>
      <c r="K1235" t="s">
        <v>98</v>
      </c>
      <c r="L1235">
        <v>786</v>
      </c>
      <c r="M1235" t="s">
        <v>186</v>
      </c>
      <c r="N1235" t="s">
        <v>11</v>
      </c>
      <c r="O1235">
        <v>3.0973000000000002</v>
      </c>
      <c r="P1235" s="45">
        <f t="shared" si="94"/>
        <v>2434.48</v>
      </c>
      <c r="Q1235" s="13">
        <f>IF(N1235="HKD",7.8,IF(N1235="CNY",7.30034,1))</f>
        <v>7.3003400000000003</v>
      </c>
      <c r="R1235" s="15">
        <f>+ROUND(O1235/Q1235,4)</f>
        <v>0.42430000000000001</v>
      </c>
      <c r="S1235" s="14">
        <f>ROUND(R1235*L1235,2)</f>
        <v>333.5</v>
      </c>
      <c r="T1235" s="15" t="s">
        <v>349</v>
      </c>
      <c r="U1235" t="s">
        <v>191</v>
      </c>
      <c r="W1235" s="49" t="e">
        <f t="shared" si="95"/>
        <v>#DIV/0!</v>
      </c>
    </row>
    <row r="1236" spans="1:23" x14ac:dyDescent="0.2">
      <c r="A1236" t="s">
        <v>2678</v>
      </c>
      <c r="B1236" s="24">
        <v>45736</v>
      </c>
      <c r="C1236" s="24">
        <v>45726</v>
      </c>
      <c r="D1236" t="s">
        <v>1006</v>
      </c>
      <c r="E1236" t="s">
        <v>1007</v>
      </c>
      <c r="F1236" s="23"/>
      <c r="G1236" t="s">
        <v>3012</v>
      </c>
      <c r="H1236" t="s">
        <v>1019</v>
      </c>
      <c r="I1236" t="s">
        <v>1020</v>
      </c>
      <c r="J1236" s="11" t="str">
        <f>+LEFT(U1236,4)</f>
        <v>ALM-</v>
      </c>
      <c r="K1236" t="s">
        <v>98</v>
      </c>
      <c r="L1236">
        <v>2040</v>
      </c>
      <c r="M1236" t="s">
        <v>186</v>
      </c>
      <c r="N1236" t="s">
        <v>11</v>
      </c>
      <c r="O1236">
        <v>2.9203999999999999</v>
      </c>
      <c r="P1236" s="45">
        <f t="shared" si="94"/>
        <v>5957.62</v>
      </c>
      <c r="Q1236" s="13">
        <f>IF(N1236="HKD",7.8,IF(N1236="CNY",7.30034,1))</f>
        <v>7.3003400000000003</v>
      </c>
      <c r="R1236" s="15">
        <f>+ROUND(O1236/Q1236,4)</f>
        <v>0.4</v>
      </c>
      <c r="S1236" s="14">
        <f>ROUND(R1236*L1236,2)</f>
        <v>816</v>
      </c>
      <c r="T1236" s="15" t="s">
        <v>349</v>
      </c>
      <c r="U1236" t="s">
        <v>191</v>
      </c>
      <c r="W1236" s="49" t="e">
        <f t="shared" si="95"/>
        <v>#DIV/0!</v>
      </c>
    </row>
    <row r="1237" spans="1:23" x14ac:dyDescent="0.2">
      <c r="A1237" t="s">
        <v>2790</v>
      </c>
      <c r="B1237" s="24">
        <v>45736</v>
      </c>
      <c r="C1237" s="24">
        <v>45735</v>
      </c>
      <c r="D1237" t="s">
        <v>5</v>
      </c>
      <c r="E1237" t="s">
        <v>6</v>
      </c>
      <c r="F1237" s="23"/>
      <c r="G1237" t="s">
        <v>2900</v>
      </c>
      <c r="H1237" t="s">
        <v>3262</v>
      </c>
      <c r="I1237" t="s">
        <v>3469</v>
      </c>
      <c r="J1237" s="11" t="str">
        <f>+LEFT(U1237,4)</f>
        <v>BOX-</v>
      </c>
      <c r="K1237" t="s">
        <v>10</v>
      </c>
      <c r="L1237">
        <v>1010</v>
      </c>
      <c r="M1237" t="s">
        <v>1472</v>
      </c>
      <c r="N1237" t="s">
        <v>11</v>
      </c>
      <c r="O1237">
        <v>4.43</v>
      </c>
      <c r="P1237" s="45">
        <f t="shared" si="94"/>
        <v>4474.3</v>
      </c>
      <c r="Q1237" s="13">
        <f>IF(N1237="HKD",7.8,IF(N1237="CNY",7.30034,1))</f>
        <v>7.3003400000000003</v>
      </c>
      <c r="R1237" s="15">
        <f>+ROUND(O1237/Q1237,4)</f>
        <v>0.60680000000000001</v>
      </c>
      <c r="S1237" s="14">
        <f>ROUND(R1237*L1237,2)</f>
        <v>612.87</v>
      </c>
      <c r="T1237" s="15" t="s">
        <v>349</v>
      </c>
      <c r="U1237" t="s">
        <v>1</v>
      </c>
      <c r="W1237" s="49" t="e">
        <f t="shared" si="95"/>
        <v>#DIV/0!</v>
      </c>
    </row>
    <row r="1238" spans="1:23" x14ac:dyDescent="0.2">
      <c r="A1238" t="s">
        <v>2791</v>
      </c>
      <c r="B1238" s="24">
        <v>45736</v>
      </c>
      <c r="C1238" s="24">
        <v>45735</v>
      </c>
      <c r="D1238" t="s">
        <v>5</v>
      </c>
      <c r="E1238" t="s">
        <v>6</v>
      </c>
      <c r="F1238" s="23"/>
      <c r="G1238" t="s">
        <v>3051</v>
      </c>
      <c r="H1238" t="s">
        <v>3263</v>
      </c>
      <c r="I1238" t="s">
        <v>3470</v>
      </c>
      <c r="J1238" s="11" t="str">
        <f>+LEFT(U1238,4)</f>
        <v>BOX-</v>
      </c>
      <c r="K1238" t="s">
        <v>10</v>
      </c>
      <c r="L1238">
        <v>505</v>
      </c>
      <c r="M1238" t="s">
        <v>1472</v>
      </c>
      <c r="N1238" t="s">
        <v>11</v>
      </c>
      <c r="O1238">
        <v>2.4500000000000002</v>
      </c>
      <c r="P1238" s="45">
        <f t="shared" si="94"/>
        <v>1237.25</v>
      </c>
      <c r="Q1238" s="13">
        <f>IF(N1238="HKD",7.8,IF(N1238="CNY",7.30034,1))</f>
        <v>7.3003400000000003</v>
      </c>
      <c r="R1238" s="15">
        <f>+ROUND(O1238/Q1238,4)</f>
        <v>0.33560000000000001</v>
      </c>
      <c r="S1238" s="14">
        <f>ROUND(R1238*L1238,2)</f>
        <v>169.48</v>
      </c>
      <c r="T1238" s="15" t="s">
        <v>349</v>
      </c>
      <c r="U1238" t="s">
        <v>1</v>
      </c>
      <c r="W1238" s="49" t="e">
        <f t="shared" si="95"/>
        <v>#DIV/0!</v>
      </c>
    </row>
    <row r="1239" spans="1:23" x14ac:dyDescent="0.2">
      <c r="A1239" t="s">
        <v>2792</v>
      </c>
      <c r="B1239" s="24">
        <v>45736</v>
      </c>
      <c r="C1239" s="24">
        <v>45735</v>
      </c>
      <c r="D1239" t="s">
        <v>5</v>
      </c>
      <c r="E1239" t="s">
        <v>6</v>
      </c>
      <c r="F1239" s="23"/>
      <c r="G1239" t="s">
        <v>3052</v>
      </c>
      <c r="H1239" t="s">
        <v>512</v>
      </c>
      <c r="I1239" t="s">
        <v>513</v>
      </c>
      <c r="J1239" s="11" t="str">
        <f>+LEFT(U1239,4)</f>
        <v>SHTS</v>
      </c>
      <c r="K1239" t="s">
        <v>10</v>
      </c>
      <c r="L1239">
        <v>1010</v>
      </c>
      <c r="M1239" t="s">
        <v>1472</v>
      </c>
      <c r="N1239" t="s">
        <v>11</v>
      </c>
      <c r="O1239">
        <v>2.56</v>
      </c>
      <c r="P1239" s="45">
        <f t="shared" si="94"/>
        <v>2585.6</v>
      </c>
      <c r="Q1239" s="13">
        <f>IF(N1239="HKD",7.8,IF(N1239="CNY",7.30034,1))</f>
        <v>7.3003400000000003</v>
      </c>
      <c r="R1239" s="15">
        <f>+ROUND(O1239/Q1239,4)</f>
        <v>0.35070000000000001</v>
      </c>
      <c r="S1239" s="14">
        <f>ROUND(R1239*L1239,2)</f>
        <v>354.21</v>
      </c>
      <c r="T1239" s="15" t="s">
        <v>349</v>
      </c>
      <c r="U1239" t="s">
        <v>9</v>
      </c>
      <c r="W1239" s="49" t="e">
        <f t="shared" si="95"/>
        <v>#DIV/0!</v>
      </c>
    </row>
    <row r="1240" spans="1:23" x14ac:dyDescent="0.2">
      <c r="A1240" t="s">
        <v>2793</v>
      </c>
      <c r="B1240" s="24">
        <v>45736</v>
      </c>
      <c r="C1240" s="24">
        <v>45735</v>
      </c>
      <c r="D1240" t="s">
        <v>5</v>
      </c>
      <c r="E1240" t="s">
        <v>6</v>
      </c>
      <c r="F1240" s="23"/>
      <c r="G1240" t="s">
        <v>3052</v>
      </c>
      <c r="H1240" t="s">
        <v>509</v>
      </c>
      <c r="I1240" t="s">
        <v>510</v>
      </c>
      <c r="J1240" s="11" t="str">
        <f>+LEFT(U1240,4)</f>
        <v>SHTS</v>
      </c>
      <c r="K1240" t="s">
        <v>10</v>
      </c>
      <c r="L1240">
        <v>1010</v>
      </c>
      <c r="M1240" t="s">
        <v>1472</v>
      </c>
      <c r="N1240" t="s">
        <v>11</v>
      </c>
      <c r="O1240">
        <v>2.46</v>
      </c>
      <c r="P1240" s="45">
        <f t="shared" si="94"/>
        <v>2484.6</v>
      </c>
      <c r="Q1240" s="13">
        <f>IF(N1240="HKD",7.8,IF(N1240="CNY",7.30034,1))</f>
        <v>7.3003400000000003</v>
      </c>
      <c r="R1240" s="15">
        <f>+ROUND(O1240/Q1240,4)</f>
        <v>0.33700000000000002</v>
      </c>
      <c r="S1240" s="14">
        <f>ROUND(R1240*L1240,2)</f>
        <v>340.37</v>
      </c>
      <c r="T1240" s="15" t="s">
        <v>349</v>
      </c>
      <c r="U1240" t="s">
        <v>9</v>
      </c>
      <c r="W1240" s="49" t="e">
        <f t="shared" si="95"/>
        <v>#DIV/0!</v>
      </c>
    </row>
    <row r="1241" spans="1:23" x14ac:dyDescent="0.2">
      <c r="A1241" t="s">
        <v>2794</v>
      </c>
      <c r="B1241" s="24">
        <v>45736</v>
      </c>
      <c r="C1241" s="24">
        <v>45735</v>
      </c>
      <c r="D1241" t="s">
        <v>5</v>
      </c>
      <c r="E1241" t="s">
        <v>6</v>
      </c>
      <c r="F1241" s="23"/>
      <c r="G1241" t="s">
        <v>3052</v>
      </c>
      <c r="H1241" t="s">
        <v>506</v>
      </c>
      <c r="I1241" t="s">
        <v>507</v>
      </c>
      <c r="J1241" s="11" t="str">
        <f>+LEFT(U1241,4)</f>
        <v>SHTS</v>
      </c>
      <c r="K1241" t="s">
        <v>10</v>
      </c>
      <c r="L1241">
        <v>1010</v>
      </c>
      <c r="M1241" t="s">
        <v>1472</v>
      </c>
      <c r="N1241" t="s">
        <v>11</v>
      </c>
      <c r="O1241">
        <v>2.86</v>
      </c>
      <c r="P1241" s="45">
        <f t="shared" si="94"/>
        <v>2888.6</v>
      </c>
      <c r="Q1241" s="13">
        <f>IF(N1241="HKD",7.8,IF(N1241="CNY",7.30034,1))</f>
        <v>7.3003400000000003</v>
      </c>
      <c r="R1241" s="15">
        <f>+ROUND(O1241/Q1241,4)</f>
        <v>0.39179999999999998</v>
      </c>
      <c r="S1241" s="14">
        <f>ROUND(R1241*L1241,2)</f>
        <v>395.72</v>
      </c>
      <c r="T1241" s="15" t="s">
        <v>349</v>
      </c>
      <c r="U1241" t="s">
        <v>9</v>
      </c>
      <c r="W1241" s="49" t="e">
        <f t="shared" si="95"/>
        <v>#DIV/0!</v>
      </c>
    </row>
    <row r="1242" spans="1:23" x14ac:dyDescent="0.2">
      <c r="A1242" t="s">
        <v>2795</v>
      </c>
      <c r="B1242" s="24">
        <v>45736</v>
      </c>
      <c r="C1242" s="24">
        <v>45735</v>
      </c>
      <c r="D1242" t="s">
        <v>5</v>
      </c>
      <c r="E1242" t="s">
        <v>6</v>
      </c>
      <c r="F1242" s="23"/>
      <c r="G1242" t="s">
        <v>3052</v>
      </c>
      <c r="H1242" t="s">
        <v>503</v>
      </c>
      <c r="I1242" t="s">
        <v>504</v>
      </c>
      <c r="J1242" s="11" t="str">
        <f>+LEFT(U1242,4)</f>
        <v>SHTS</v>
      </c>
      <c r="K1242" t="s">
        <v>10</v>
      </c>
      <c r="L1242">
        <v>1010</v>
      </c>
      <c r="M1242" t="s">
        <v>1472</v>
      </c>
      <c r="N1242" t="s">
        <v>11</v>
      </c>
      <c r="O1242">
        <v>2.84</v>
      </c>
      <c r="P1242" s="45">
        <f t="shared" si="94"/>
        <v>2868.4</v>
      </c>
      <c r="Q1242" s="13">
        <f>IF(N1242="HKD",7.8,IF(N1242="CNY",7.30034,1))</f>
        <v>7.3003400000000003</v>
      </c>
      <c r="R1242" s="15">
        <f>+ROUND(O1242/Q1242,4)</f>
        <v>0.38900000000000001</v>
      </c>
      <c r="S1242" s="14">
        <f>ROUND(R1242*L1242,2)</f>
        <v>392.89</v>
      </c>
      <c r="T1242" s="15" t="s">
        <v>349</v>
      </c>
      <c r="U1242" t="s">
        <v>9</v>
      </c>
      <c r="W1242" s="49" t="e">
        <f t="shared" si="95"/>
        <v>#DIV/0!</v>
      </c>
    </row>
    <row r="1243" spans="1:23" x14ac:dyDescent="0.2">
      <c r="A1243" t="s">
        <v>2796</v>
      </c>
      <c r="B1243" s="24">
        <v>45736</v>
      </c>
      <c r="C1243" s="24">
        <v>45735</v>
      </c>
      <c r="D1243" t="s">
        <v>5</v>
      </c>
      <c r="E1243" t="s">
        <v>6</v>
      </c>
      <c r="F1243" s="23"/>
      <c r="G1243" t="s">
        <v>3052</v>
      </c>
      <c r="H1243" t="s">
        <v>1660</v>
      </c>
      <c r="I1243" t="s">
        <v>1661</v>
      </c>
      <c r="J1243" s="11" t="str">
        <f>+LEFT(U1243,4)</f>
        <v>SHTS</v>
      </c>
      <c r="K1243" t="s">
        <v>10</v>
      </c>
      <c r="L1243">
        <v>2010</v>
      </c>
      <c r="M1243" t="s">
        <v>1472</v>
      </c>
      <c r="N1243" t="s">
        <v>11</v>
      </c>
      <c r="O1243">
        <v>2.0099999999999998</v>
      </c>
      <c r="P1243" s="45">
        <f t="shared" si="94"/>
        <v>4040.1</v>
      </c>
      <c r="Q1243" s="13">
        <f>IF(N1243="HKD",7.8,IF(N1243="CNY",7.30034,1))</f>
        <v>7.3003400000000003</v>
      </c>
      <c r="R1243" s="15">
        <f>+ROUND(O1243/Q1243,4)</f>
        <v>0.27529999999999999</v>
      </c>
      <c r="S1243" s="14">
        <f>ROUND(R1243*L1243,2)</f>
        <v>553.35</v>
      </c>
      <c r="T1243" s="15" t="s">
        <v>349</v>
      </c>
      <c r="U1243" t="s">
        <v>9</v>
      </c>
      <c r="W1243" s="49" t="e">
        <f t="shared" si="95"/>
        <v>#DIV/0!</v>
      </c>
    </row>
    <row r="1244" spans="1:23" x14ac:dyDescent="0.2">
      <c r="A1244" t="s">
        <v>2797</v>
      </c>
      <c r="B1244" s="24">
        <v>45736</v>
      </c>
      <c r="C1244" s="24">
        <v>45735</v>
      </c>
      <c r="D1244" t="s">
        <v>5</v>
      </c>
      <c r="E1244" t="s">
        <v>6</v>
      </c>
      <c r="F1244" s="23"/>
      <c r="G1244" t="s">
        <v>2900</v>
      </c>
      <c r="H1244" t="s">
        <v>3264</v>
      </c>
      <c r="I1244" t="s">
        <v>3471</v>
      </c>
      <c r="J1244" s="11" t="str">
        <f>+LEFT(U1244,4)</f>
        <v>BOX-</v>
      </c>
      <c r="K1244" t="s">
        <v>10</v>
      </c>
      <c r="L1244">
        <v>1010</v>
      </c>
      <c r="M1244" t="s">
        <v>1472</v>
      </c>
      <c r="N1244" t="s">
        <v>11</v>
      </c>
      <c r="O1244">
        <v>8.08</v>
      </c>
      <c r="P1244" s="45">
        <f t="shared" si="94"/>
        <v>8160.8</v>
      </c>
      <c r="Q1244" s="13">
        <f>IF(N1244="HKD",7.8,IF(N1244="CNY",7.30034,1))</f>
        <v>7.3003400000000003</v>
      </c>
      <c r="R1244" s="15">
        <f>+ROUND(O1244/Q1244,4)</f>
        <v>1.1068</v>
      </c>
      <c r="S1244" s="14">
        <f>ROUND(R1244*L1244,2)</f>
        <v>1117.8699999999999</v>
      </c>
      <c r="T1244" s="15" t="s">
        <v>349</v>
      </c>
      <c r="U1244" t="s">
        <v>1</v>
      </c>
      <c r="W1244" s="49" t="e">
        <f t="shared" si="95"/>
        <v>#DIV/0!</v>
      </c>
    </row>
    <row r="1245" spans="1:23" x14ac:dyDescent="0.2">
      <c r="A1245" t="s">
        <v>2798</v>
      </c>
      <c r="B1245" s="24">
        <v>45736</v>
      </c>
      <c r="C1245" s="24">
        <v>45735</v>
      </c>
      <c r="D1245" t="s">
        <v>5</v>
      </c>
      <c r="E1245" t="s">
        <v>6</v>
      </c>
      <c r="F1245" s="23"/>
      <c r="G1245" t="s">
        <v>3052</v>
      </c>
      <c r="H1245" t="s">
        <v>3265</v>
      </c>
      <c r="I1245" t="s">
        <v>3472</v>
      </c>
      <c r="J1245" s="11" t="str">
        <f>+LEFT(U1245,4)</f>
        <v>SHTS</v>
      </c>
      <c r="K1245" t="s">
        <v>10</v>
      </c>
      <c r="L1245">
        <v>1010</v>
      </c>
      <c r="M1245" t="s">
        <v>1472</v>
      </c>
      <c r="N1245" t="s">
        <v>11</v>
      </c>
      <c r="O1245">
        <v>3.02</v>
      </c>
      <c r="P1245" s="45">
        <f t="shared" si="94"/>
        <v>3050.2</v>
      </c>
      <c r="Q1245" s="13">
        <f>IF(N1245="HKD",7.8,IF(N1245="CNY",7.30034,1))</f>
        <v>7.3003400000000003</v>
      </c>
      <c r="R1245" s="15">
        <f>+ROUND(O1245/Q1245,4)</f>
        <v>0.41370000000000001</v>
      </c>
      <c r="S1245" s="14">
        <f>ROUND(R1245*L1245,2)</f>
        <v>417.84</v>
      </c>
      <c r="T1245" s="15" t="s">
        <v>349</v>
      </c>
      <c r="U1245" t="s">
        <v>9</v>
      </c>
      <c r="W1245" s="49" t="e">
        <f t="shared" si="95"/>
        <v>#DIV/0!</v>
      </c>
    </row>
    <row r="1246" spans="1:23" x14ac:dyDescent="0.2">
      <c r="A1246" t="s">
        <v>2799</v>
      </c>
      <c r="B1246" s="24">
        <v>45736</v>
      </c>
      <c r="C1246" s="24">
        <v>45735</v>
      </c>
      <c r="D1246" t="s">
        <v>5</v>
      </c>
      <c r="E1246" t="s">
        <v>6</v>
      </c>
      <c r="F1246" s="23"/>
      <c r="G1246" t="s">
        <v>2900</v>
      </c>
      <c r="H1246" t="s">
        <v>3266</v>
      </c>
      <c r="I1246" t="s">
        <v>3473</v>
      </c>
      <c r="J1246" s="11" t="str">
        <f>+LEFT(U1246,4)</f>
        <v>BOX-</v>
      </c>
      <c r="K1246" t="s">
        <v>10</v>
      </c>
      <c r="L1246">
        <v>1010</v>
      </c>
      <c r="M1246" t="s">
        <v>1472</v>
      </c>
      <c r="N1246" t="s">
        <v>11</v>
      </c>
      <c r="O1246">
        <v>6.35</v>
      </c>
      <c r="P1246" s="45">
        <f t="shared" si="94"/>
        <v>6413.5</v>
      </c>
      <c r="Q1246" s="13">
        <f>IF(N1246="HKD",7.8,IF(N1246="CNY",7.30034,1))</f>
        <v>7.3003400000000003</v>
      </c>
      <c r="R1246" s="15">
        <f>+ROUND(O1246/Q1246,4)</f>
        <v>0.86980000000000002</v>
      </c>
      <c r="S1246" s="14">
        <f>ROUND(R1246*L1246,2)</f>
        <v>878.5</v>
      </c>
      <c r="T1246" s="15" t="s">
        <v>349</v>
      </c>
      <c r="U1246" t="s">
        <v>1</v>
      </c>
      <c r="W1246" s="49" t="e">
        <f t="shared" si="95"/>
        <v>#DIV/0!</v>
      </c>
    </row>
    <row r="1247" spans="1:23" x14ac:dyDescent="0.2">
      <c r="A1247" t="s">
        <v>2805</v>
      </c>
      <c r="B1247" s="24">
        <v>45736</v>
      </c>
      <c r="C1247" s="24">
        <v>45735</v>
      </c>
      <c r="D1247" t="s">
        <v>149</v>
      </c>
      <c r="E1247" t="s">
        <v>150</v>
      </c>
      <c r="F1247" s="23"/>
      <c r="G1247" t="s">
        <v>2994</v>
      </c>
      <c r="H1247" t="s">
        <v>157</v>
      </c>
      <c r="I1247" t="s">
        <v>158</v>
      </c>
      <c r="J1247" s="11" t="str">
        <f>+LEFT(U1247,4)</f>
        <v>GLID</v>
      </c>
      <c r="K1247" t="s">
        <v>10</v>
      </c>
      <c r="L1247">
        <v>220</v>
      </c>
      <c r="M1247" t="s">
        <v>1472</v>
      </c>
      <c r="N1247" t="s">
        <v>11</v>
      </c>
      <c r="O1247">
        <v>3.3437000000000001</v>
      </c>
      <c r="P1247" s="45">
        <f t="shared" si="94"/>
        <v>735.61</v>
      </c>
      <c r="Q1247" s="13">
        <f>IF(N1247="HKD",7.8,IF(N1247="CNY",7.30034,1))</f>
        <v>7.3003400000000003</v>
      </c>
      <c r="R1247" s="15">
        <f>+ROUND(O1247/Q1247,4)</f>
        <v>0.45800000000000002</v>
      </c>
      <c r="S1247" s="14">
        <f>ROUND(R1247*L1247,2)</f>
        <v>100.76</v>
      </c>
      <c r="T1247" s="15" t="s">
        <v>349</v>
      </c>
      <c r="U1247" t="s">
        <v>78</v>
      </c>
      <c r="W1247" s="49" t="e">
        <f t="shared" si="95"/>
        <v>#DIV/0!</v>
      </c>
    </row>
    <row r="1248" spans="1:23" x14ac:dyDescent="0.2">
      <c r="A1248" t="s">
        <v>2303</v>
      </c>
      <c r="B1248" s="24">
        <v>45737</v>
      </c>
      <c r="C1248" s="24">
        <v>45660</v>
      </c>
      <c r="D1248" t="s">
        <v>569</v>
      </c>
      <c r="E1248" t="s">
        <v>570</v>
      </c>
      <c r="F1248" s="23"/>
      <c r="G1248" t="s">
        <v>2871</v>
      </c>
      <c r="H1248" t="s">
        <v>1555</v>
      </c>
      <c r="I1248" t="s">
        <v>3284</v>
      </c>
      <c r="J1248" s="11" t="str">
        <f>+LEFT(U1248,4)</f>
        <v>ANYD</v>
      </c>
      <c r="K1248" t="s">
        <v>10</v>
      </c>
      <c r="L1248">
        <v>1000</v>
      </c>
      <c r="M1248" t="s">
        <v>1472</v>
      </c>
      <c r="N1248" t="s">
        <v>11</v>
      </c>
      <c r="O1248">
        <v>4.2</v>
      </c>
      <c r="P1248" s="45">
        <f t="shared" si="94"/>
        <v>4200</v>
      </c>
      <c r="Q1248" s="13">
        <f>IF(N1248="HKD",7.8,IF(N1248="CNY",7.30034,1))</f>
        <v>7.3003400000000003</v>
      </c>
      <c r="R1248" s="15">
        <f>+ROUND(O1248/Q1248,4)</f>
        <v>0.57530000000000003</v>
      </c>
      <c r="S1248" s="14">
        <f>ROUND(R1248*L1248,2)</f>
        <v>575.29999999999995</v>
      </c>
      <c r="T1248" s="15" t="s">
        <v>349</v>
      </c>
      <c r="U1248" t="s">
        <v>36</v>
      </c>
      <c r="W1248" s="49" t="e">
        <f t="shared" si="95"/>
        <v>#DIV/0!</v>
      </c>
    </row>
    <row r="1249" spans="1:23" x14ac:dyDescent="0.2">
      <c r="A1249" t="s">
        <v>2374</v>
      </c>
      <c r="B1249" s="24">
        <v>45737</v>
      </c>
      <c r="C1249" s="24">
        <v>45695</v>
      </c>
      <c r="D1249" t="s">
        <v>128</v>
      </c>
      <c r="E1249" t="s">
        <v>129</v>
      </c>
      <c r="F1249" s="23"/>
      <c r="G1249" t="s">
        <v>2909</v>
      </c>
      <c r="H1249" t="s">
        <v>443</v>
      </c>
      <c r="I1249" t="s">
        <v>444</v>
      </c>
      <c r="J1249" s="11" t="str">
        <f>+LEFT(U1249,4)</f>
        <v>FG--</v>
      </c>
      <c r="K1249" t="s">
        <v>10</v>
      </c>
      <c r="L1249">
        <v>1000</v>
      </c>
      <c r="M1249" t="s">
        <v>1472</v>
      </c>
      <c r="N1249" t="s">
        <v>11</v>
      </c>
      <c r="O1249">
        <v>1.0021</v>
      </c>
      <c r="P1249" s="45">
        <f t="shared" si="94"/>
        <v>1002.1</v>
      </c>
      <c r="Q1249" s="13">
        <f>IF(N1249="HKD",7.8,IF(N1249="CNY",7.30034,1))</f>
        <v>7.3003400000000003</v>
      </c>
      <c r="R1249" s="15">
        <f>+ROUND(O1249/Q1249,4)</f>
        <v>0.13730000000000001</v>
      </c>
      <c r="S1249" s="14">
        <f>ROUND(R1249*L1249,2)</f>
        <v>137.30000000000001</v>
      </c>
      <c r="T1249" s="15" t="s">
        <v>349</v>
      </c>
      <c r="U1249" t="s">
        <v>64</v>
      </c>
      <c r="W1249" s="49" t="e">
        <f t="shared" si="95"/>
        <v>#DIV/0!</v>
      </c>
    </row>
    <row r="1250" spans="1:23" x14ac:dyDescent="0.2">
      <c r="A1250" t="s">
        <v>2384</v>
      </c>
      <c r="B1250" s="24">
        <v>45737</v>
      </c>
      <c r="C1250" s="24">
        <v>45695</v>
      </c>
      <c r="D1250" t="s">
        <v>569</v>
      </c>
      <c r="E1250" t="s">
        <v>570</v>
      </c>
      <c r="F1250" s="23"/>
      <c r="G1250" t="s">
        <v>2871</v>
      </c>
      <c r="H1250" t="s">
        <v>1764</v>
      </c>
      <c r="I1250" t="s">
        <v>1765</v>
      </c>
      <c r="J1250" s="11" t="str">
        <f>+LEFT(U1250,4)</f>
        <v>MISC</v>
      </c>
      <c r="K1250" t="s">
        <v>10</v>
      </c>
      <c r="L1250">
        <v>1700</v>
      </c>
      <c r="M1250" t="s">
        <v>1472</v>
      </c>
      <c r="N1250" t="s">
        <v>11</v>
      </c>
      <c r="O1250">
        <v>4.6900000000000004</v>
      </c>
      <c r="P1250" s="45">
        <f t="shared" si="94"/>
        <v>7973</v>
      </c>
      <c r="Q1250" s="13">
        <f>IF(N1250="HKD",7.8,IF(N1250="CNY",7.30034,1))</f>
        <v>7.3003400000000003</v>
      </c>
      <c r="R1250" s="15">
        <f>+ROUND(O1250/Q1250,4)</f>
        <v>0.64239999999999997</v>
      </c>
      <c r="S1250" s="14">
        <f>ROUND(R1250*L1250,2)</f>
        <v>1092.08</v>
      </c>
      <c r="T1250" s="15" t="s">
        <v>349</v>
      </c>
      <c r="U1250" t="s">
        <v>25</v>
      </c>
      <c r="W1250" s="49" t="e">
        <f t="shared" si="95"/>
        <v>#DIV/0!</v>
      </c>
    </row>
    <row r="1251" spans="1:23" x14ac:dyDescent="0.2">
      <c r="A1251" t="s">
        <v>2385</v>
      </c>
      <c r="B1251" s="24">
        <v>45737</v>
      </c>
      <c r="C1251" s="24">
        <v>45695</v>
      </c>
      <c r="D1251" t="s">
        <v>569</v>
      </c>
      <c r="E1251" t="s">
        <v>570</v>
      </c>
      <c r="F1251" s="23"/>
      <c r="G1251" t="s">
        <v>2871</v>
      </c>
      <c r="H1251" t="s">
        <v>1780</v>
      </c>
      <c r="I1251" t="s">
        <v>1781</v>
      </c>
      <c r="J1251" s="11" t="str">
        <f>+LEFT(U1251,4)</f>
        <v>MISC</v>
      </c>
      <c r="K1251" t="s">
        <v>10</v>
      </c>
      <c r="L1251">
        <v>1100</v>
      </c>
      <c r="M1251" t="s">
        <v>1472</v>
      </c>
      <c r="N1251" t="s">
        <v>11</v>
      </c>
      <c r="O1251">
        <v>6.02</v>
      </c>
      <c r="P1251" s="45">
        <f t="shared" si="94"/>
        <v>6622</v>
      </c>
      <c r="Q1251" s="13">
        <f>IF(N1251="HKD",7.8,IF(N1251="CNY",7.30034,1))</f>
        <v>7.3003400000000003</v>
      </c>
      <c r="R1251" s="15">
        <f>+ROUND(O1251/Q1251,4)</f>
        <v>0.8246</v>
      </c>
      <c r="S1251" s="14">
        <f>ROUND(R1251*L1251,2)</f>
        <v>907.06</v>
      </c>
      <c r="T1251" s="15" t="s">
        <v>349</v>
      </c>
      <c r="U1251" t="s">
        <v>25</v>
      </c>
      <c r="W1251" s="49" t="e">
        <f t="shared" si="95"/>
        <v>#DIV/0!</v>
      </c>
    </row>
    <row r="1252" spans="1:23" x14ac:dyDescent="0.2">
      <c r="A1252" t="s">
        <v>2402</v>
      </c>
      <c r="B1252" s="24">
        <v>45737</v>
      </c>
      <c r="C1252" s="24">
        <v>45698</v>
      </c>
      <c r="D1252" t="s">
        <v>925</v>
      </c>
      <c r="E1252" t="s">
        <v>926</v>
      </c>
      <c r="F1252" s="23"/>
      <c r="G1252" t="s">
        <v>2925</v>
      </c>
      <c r="H1252" t="s">
        <v>3100</v>
      </c>
      <c r="I1252" t="s">
        <v>3315</v>
      </c>
      <c r="J1252" s="11" t="str">
        <f>+LEFT(U1252,4)</f>
        <v>KNOB</v>
      </c>
      <c r="K1252" t="s">
        <v>10</v>
      </c>
      <c r="L1252">
        <v>200</v>
      </c>
      <c r="M1252" t="s">
        <v>1472</v>
      </c>
      <c r="N1252" t="s">
        <v>11</v>
      </c>
      <c r="O1252">
        <v>5.7881999999999998</v>
      </c>
      <c r="P1252" s="45">
        <f t="shared" si="94"/>
        <v>1157.6400000000001</v>
      </c>
      <c r="Q1252" s="13">
        <f>IF(N1252="HKD",7.8,IF(N1252="CNY",7.30034,1))</f>
        <v>7.3003400000000003</v>
      </c>
      <c r="R1252" s="15">
        <f>+ROUND(O1252/Q1252,4)</f>
        <v>0.79290000000000005</v>
      </c>
      <c r="S1252" s="14">
        <f>ROUND(R1252*L1252,2)</f>
        <v>158.58000000000001</v>
      </c>
      <c r="T1252" s="15" t="s">
        <v>349</v>
      </c>
      <c r="U1252" t="s">
        <v>32</v>
      </c>
      <c r="W1252" s="49" t="e">
        <f t="shared" si="95"/>
        <v>#DIV/0!</v>
      </c>
    </row>
    <row r="1253" spans="1:23" x14ac:dyDescent="0.2">
      <c r="A1253" t="s">
        <v>2412</v>
      </c>
      <c r="B1253" s="24">
        <v>45737</v>
      </c>
      <c r="C1253" s="24">
        <v>45702</v>
      </c>
      <c r="D1253" t="s">
        <v>372</v>
      </c>
      <c r="E1253" t="s">
        <v>373</v>
      </c>
      <c r="F1253" s="23"/>
      <c r="G1253" t="s">
        <v>2927</v>
      </c>
      <c r="H1253" t="s">
        <v>3103</v>
      </c>
      <c r="I1253" t="s">
        <v>3318</v>
      </c>
      <c r="J1253" s="11" t="str">
        <f>+LEFT(U1253,4)</f>
        <v>SHDL</v>
      </c>
      <c r="K1253" t="s">
        <v>98</v>
      </c>
      <c r="L1253">
        <v>1940</v>
      </c>
      <c r="M1253" t="s">
        <v>1472</v>
      </c>
      <c r="N1253" t="s">
        <v>11</v>
      </c>
      <c r="O1253">
        <v>0.92230000000000001</v>
      </c>
      <c r="P1253" s="45">
        <f t="shared" si="94"/>
        <v>1789.26</v>
      </c>
      <c r="Q1253" s="13">
        <f>IF(N1253="HKD",7.8,IF(N1253="CNY",7.30034,1))</f>
        <v>7.3003400000000003</v>
      </c>
      <c r="R1253" s="15">
        <f>+ROUND(O1253/Q1253,4)</f>
        <v>0.1263</v>
      </c>
      <c r="S1253" s="14">
        <f>ROUND(R1253*L1253,2)</f>
        <v>245.02</v>
      </c>
      <c r="T1253" s="15" t="s">
        <v>349</v>
      </c>
      <c r="U1253" t="s">
        <v>722</v>
      </c>
      <c r="W1253" s="49" t="e">
        <f t="shared" si="95"/>
        <v>#DIV/0!</v>
      </c>
    </row>
    <row r="1254" spans="1:23" x14ac:dyDescent="0.2">
      <c r="A1254" t="s">
        <v>2530</v>
      </c>
      <c r="B1254" s="24">
        <v>45737</v>
      </c>
      <c r="C1254" s="24">
        <v>45713</v>
      </c>
      <c r="D1254" t="s">
        <v>569</v>
      </c>
      <c r="E1254" t="s">
        <v>570</v>
      </c>
      <c r="F1254" s="23"/>
      <c r="G1254" t="s">
        <v>2871</v>
      </c>
      <c r="H1254" t="s">
        <v>1513</v>
      </c>
      <c r="I1254" t="s">
        <v>1514</v>
      </c>
      <c r="J1254" s="11" t="str">
        <f>+LEFT(U1254,4)</f>
        <v>ANYD</v>
      </c>
      <c r="K1254" t="s">
        <v>10</v>
      </c>
      <c r="L1254">
        <v>1000</v>
      </c>
      <c r="M1254" t="s">
        <v>1472</v>
      </c>
      <c r="N1254" t="s">
        <v>11</v>
      </c>
      <c r="O1254">
        <v>3.5</v>
      </c>
      <c r="P1254" s="45">
        <f t="shared" si="94"/>
        <v>3500</v>
      </c>
      <c r="Q1254" s="13">
        <f>IF(N1254="HKD",7.8,IF(N1254="CNY",7.30034,1))</f>
        <v>7.3003400000000003</v>
      </c>
      <c r="R1254" s="15">
        <f>+ROUND(O1254/Q1254,4)</f>
        <v>0.47939999999999999</v>
      </c>
      <c r="S1254" s="14">
        <f>ROUND(R1254*L1254,2)</f>
        <v>479.4</v>
      </c>
      <c r="T1254" s="15" t="s">
        <v>349</v>
      </c>
      <c r="U1254" t="s">
        <v>36</v>
      </c>
      <c r="W1254" s="49" t="e">
        <f t="shared" si="95"/>
        <v>#DIV/0!</v>
      </c>
    </row>
    <row r="1255" spans="1:23" x14ac:dyDescent="0.2">
      <c r="A1255" t="s">
        <v>2532</v>
      </c>
      <c r="B1255" s="24">
        <v>45737</v>
      </c>
      <c r="C1255" s="24">
        <v>45714</v>
      </c>
      <c r="D1255" t="s">
        <v>94</v>
      </c>
      <c r="E1255" t="s">
        <v>95</v>
      </c>
      <c r="F1255" s="23"/>
      <c r="G1255" t="s">
        <v>2966</v>
      </c>
      <c r="H1255" t="s">
        <v>3163</v>
      </c>
      <c r="I1255" t="s">
        <v>3373</v>
      </c>
      <c r="J1255" s="11" t="str">
        <f>+LEFT(U1255,4)</f>
        <v>LID-</v>
      </c>
      <c r="K1255" t="s">
        <v>98</v>
      </c>
      <c r="L1255">
        <v>856</v>
      </c>
      <c r="M1255" t="s">
        <v>1472</v>
      </c>
      <c r="N1255" t="s">
        <v>11</v>
      </c>
      <c r="O1255">
        <v>3.95</v>
      </c>
      <c r="P1255" s="45">
        <f t="shared" si="94"/>
        <v>3381.2</v>
      </c>
      <c r="Q1255" s="13">
        <f>IF(N1255="HKD",7.8,IF(N1255="CNY",7.30034,1))</f>
        <v>7.3003400000000003</v>
      </c>
      <c r="R1255" s="15">
        <f>+ROUND(O1255/Q1255,4)</f>
        <v>0.54110000000000003</v>
      </c>
      <c r="S1255" s="14">
        <f>ROUND(R1255*L1255,2)</f>
        <v>463.18</v>
      </c>
      <c r="T1255" s="15" t="s">
        <v>349</v>
      </c>
      <c r="U1255" t="s">
        <v>368</v>
      </c>
      <c r="W1255" s="49" t="e">
        <f t="shared" si="95"/>
        <v>#DIV/0!</v>
      </c>
    </row>
    <row r="1256" spans="1:23" x14ac:dyDescent="0.2">
      <c r="A1256" t="s">
        <v>2532</v>
      </c>
      <c r="B1256" s="24">
        <v>45737</v>
      </c>
      <c r="C1256" s="24">
        <v>45714</v>
      </c>
      <c r="D1256" t="s">
        <v>94</v>
      </c>
      <c r="E1256" t="s">
        <v>95</v>
      </c>
      <c r="F1256" s="23"/>
      <c r="G1256" t="s">
        <v>2967</v>
      </c>
      <c r="H1256" t="s">
        <v>3163</v>
      </c>
      <c r="I1256" t="s">
        <v>3373</v>
      </c>
      <c r="J1256" s="11" t="str">
        <f>+LEFT(U1256,4)</f>
        <v>LID-</v>
      </c>
      <c r="K1256" t="s">
        <v>98</v>
      </c>
      <c r="L1256">
        <v>900</v>
      </c>
      <c r="M1256" t="s">
        <v>1472</v>
      </c>
      <c r="N1256" t="s">
        <v>11</v>
      </c>
      <c r="O1256">
        <v>3.95</v>
      </c>
      <c r="P1256" s="45">
        <f t="shared" si="94"/>
        <v>3555</v>
      </c>
      <c r="Q1256" s="13">
        <f>IF(N1256="HKD",7.8,IF(N1256="CNY",7.30034,1))</f>
        <v>7.3003400000000003</v>
      </c>
      <c r="R1256" s="15">
        <f>+ROUND(O1256/Q1256,4)</f>
        <v>0.54110000000000003</v>
      </c>
      <c r="S1256" s="14">
        <f>ROUND(R1256*L1256,2)</f>
        <v>486.99</v>
      </c>
      <c r="T1256" s="15" t="s">
        <v>349</v>
      </c>
      <c r="U1256" t="s">
        <v>368</v>
      </c>
      <c r="W1256" s="49" t="e">
        <f t="shared" si="95"/>
        <v>#DIV/0!</v>
      </c>
    </row>
    <row r="1257" spans="1:23" x14ac:dyDescent="0.2">
      <c r="A1257" t="s">
        <v>2576</v>
      </c>
      <c r="B1257" s="24">
        <v>45737</v>
      </c>
      <c r="C1257" s="24">
        <v>45716</v>
      </c>
      <c r="D1257" t="s">
        <v>128</v>
      </c>
      <c r="E1257" t="s">
        <v>129</v>
      </c>
      <c r="F1257" s="23"/>
      <c r="G1257" t="s">
        <v>2909</v>
      </c>
      <c r="H1257" t="s">
        <v>3182</v>
      </c>
      <c r="I1257" t="s">
        <v>3389</v>
      </c>
      <c r="J1257" s="11" t="str">
        <f>+LEFT(U1257,4)</f>
        <v>RIV-</v>
      </c>
      <c r="K1257" t="s">
        <v>10</v>
      </c>
      <c r="L1257">
        <v>1000</v>
      </c>
      <c r="M1257" t="s">
        <v>1472</v>
      </c>
      <c r="N1257" t="s">
        <v>11</v>
      </c>
      <c r="O1257">
        <v>9.1499999999999998E-2</v>
      </c>
      <c r="P1257" s="45">
        <f t="shared" si="94"/>
        <v>91.5</v>
      </c>
      <c r="Q1257" s="13">
        <f>IF(N1257="HKD",7.8,IF(N1257="CNY",7.30034,1))</f>
        <v>7.3003400000000003</v>
      </c>
      <c r="R1257" s="15">
        <f>+ROUND(O1257/Q1257,4)</f>
        <v>1.2500000000000001E-2</v>
      </c>
      <c r="S1257" s="14">
        <f>ROUND(R1257*L1257,2)</f>
        <v>12.5</v>
      </c>
      <c r="T1257" s="15" t="s">
        <v>349</v>
      </c>
      <c r="U1257" t="s">
        <v>132</v>
      </c>
      <c r="W1257" s="49" t="e">
        <f t="shared" si="95"/>
        <v>#DIV/0!</v>
      </c>
    </row>
    <row r="1258" spans="1:23" x14ac:dyDescent="0.2">
      <c r="A1258" t="s">
        <v>2577</v>
      </c>
      <c r="B1258" s="24">
        <v>45737</v>
      </c>
      <c r="C1258" s="24">
        <v>45716</v>
      </c>
      <c r="D1258" t="s">
        <v>128</v>
      </c>
      <c r="E1258" t="s">
        <v>129</v>
      </c>
      <c r="F1258" s="23"/>
      <c r="G1258" t="s">
        <v>2909</v>
      </c>
      <c r="H1258" t="s">
        <v>950</v>
      </c>
      <c r="I1258" t="s">
        <v>951</v>
      </c>
      <c r="J1258" s="11" t="str">
        <f>+LEFT(U1258,4)</f>
        <v>RIV-</v>
      </c>
      <c r="K1258" t="s">
        <v>10</v>
      </c>
      <c r="L1258">
        <v>9000</v>
      </c>
      <c r="M1258" t="s">
        <v>1472</v>
      </c>
      <c r="N1258" t="s">
        <v>11</v>
      </c>
      <c r="O1258">
        <v>0.1016</v>
      </c>
      <c r="P1258" s="45">
        <f t="shared" si="94"/>
        <v>914.4</v>
      </c>
      <c r="Q1258" s="13">
        <f>IF(N1258="HKD",7.8,IF(N1258="CNY",7.30034,1))</f>
        <v>7.3003400000000003</v>
      </c>
      <c r="R1258" s="15">
        <f>+ROUND(O1258/Q1258,4)</f>
        <v>1.3899999999999999E-2</v>
      </c>
      <c r="S1258" s="14">
        <f>ROUND(R1258*L1258,2)</f>
        <v>125.1</v>
      </c>
      <c r="T1258" s="15" t="s">
        <v>349</v>
      </c>
      <c r="U1258" t="s">
        <v>132</v>
      </c>
      <c r="W1258" s="49" t="e">
        <f t="shared" si="95"/>
        <v>#DIV/0!</v>
      </c>
    </row>
    <row r="1259" spans="1:23" x14ac:dyDescent="0.2">
      <c r="A1259" t="s">
        <v>2665</v>
      </c>
      <c r="B1259" s="24">
        <v>45737</v>
      </c>
      <c r="C1259" s="24">
        <v>45723</v>
      </c>
      <c r="D1259" t="s">
        <v>569</v>
      </c>
      <c r="E1259" t="s">
        <v>570</v>
      </c>
      <c r="F1259" s="23"/>
      <c r="G1259" t="s">
        <v>2871</v>
      </c>
      <c r="H1259" t="s">
        <v>1521</v>
      </c>
      <c r="I1259" t="s">
        <v>1522</v>
      </c>
      <c r="J1259" s="11" t="str">
        <f>+LEFT(U1259,4)</f>
        <v>ANYD</v>
      </c>
      <c r="K1259" t="s">
        <v>10</v>
      </c>
      <c r="L1259">
        <v>2050</v>
      </c>
      <c r="M1259" t="s">
        <v>1472</v>
      </c>
      <c r="N1259" t="s">
        <v>11</v>
      </c>
      <c r="O1259">
        <v>3.0379999999999998</v>
      </c>
      <c r="P1259" s="45">
        <f t="shared" si="94"/>
        <v>6227.9</v>
      </c>
      <c r="Q1259" s="13">
        <f>IF(N1259="HKD",7.8,IF(N1259="CNY",7.30034,1))</f>
        <v>7.3003400000000003</v>
      </c>
      <c r="R1259" s="15">
        <f>+ROUND(O1259/Q1259,4)</f>
        <v>0.41610000000000003</v>
      </c>
      <c r="S1259" s="14">
        <f>ROUND(R1259*L1259,2)</f>
        <v>853.01</v>
      </c>
      <c r="T1259" s="15" t="s">
        <v>349</v>
      </c>
      <c r="U1259" t="s">
        <v>36</v>
      </c>
      <c r="W1259" s="49" t="e">
        <f t="shared" si="95"/>
        <v>#DIV/0!</v>
      </c>
    </row>
    <row r="1260" spans="1:23" x14ac:dyDescent="0.2">
      <c r="A1260" t="s">
        <v>2729</v>
      </c>
      <c r="B1260" s="24">
        <v>45737</v>
      </c>
      <c r="C1260" s="24">
        <v>45728</v>
      </c>
      <c r="D1260" t="s">
        <v>569</v>
      </c>
      <c r="E1260" t="s">
        <v>570</v>
      </c>
      <c r="F1260" s="23"/>
      <c r="G1260" t="s">
        <v>2871</v>
      </c>
      <c r="H1260" t="s">
        <v>1412</v>
      </c>
      <c r="I1260" t="s">
        <v>1413</v>
      </c>
      <c r="J1260" s="11" t="str">
        <f>+LEFT(U1260,4)</f>
        <v>WHR-</v>
      </c>
      <c r="K1260" t="s">
        <v>10</v>
      </c>
      <c r="L1260">
        <v>4000</v>
      </c>
      <c r="M1260" t="s">
        <v>1472</v>
      </c>
      <c r="N1260" t="s">
        <v>11</v>
      </c>
      <c r="O1260">
        <v>0.1176</v>
      </c>
      <c r="P1260" s="45">
        <f t="shared" si="94"/>
        <v>470.4</v>
      </c>
      <c r="Q1260" s="13">
        <f>IF(N1260="HKD",7.8,IF(N1260="CNY",7.30034,1))</f>
        <v>7.3003400000000003</v>
      </c>
      <c r="R1260" s="15">
        <f>+ROUND(O1260/Q1260,4)</f>
        <v>1.61E-2</v>
      </c>
      <c r="S1260" s="14">
        <f>ROUND(R1260*L1260,2)</f>
        <v>64.400000000000006</v>
      </c>
      <c r="T1260" s="15" t="s">
        <v>349</v>
      </c>
      <c r="U1260" t="s">
        <v>248</v>
      </c>
      <c r="W1260" s="49" t="e">
        <f t="shared" si="95"/>
        <v>#DIV/0!</v>
      </c>
    </row>
    <row r="1261" spans="1:23" x14ac:dyDescent="0.2">
      <c r="A1261" t="s">
        <v>2760</v>
      </c>
      <c r="B1261" s="24">
        <v>45737</v>
      </c>
      <c r="C1261" s="24">
        <v>45730</v>
      </c>
      <c r="D1261" t="s">
        <v>268</v>
      </c>
      <c r="E1261" t="s">
        <v>269</v>
      </c>
      <c r="F1261" s="23"/>
      <c r="G1261" t="s">
        <v>3047</v>
      </c>
      <c r="H1261" t="s">
        <v>3249</v>
      </c>
      <c r="I1261" t="s">
        <v>3456</v>
      </c>
      <c r="J1261" s="11" t="str">
        <f>+LEFT(U1261,4)</f>
        <v>MISC</v>
      </c>
      <c r="K1261" t="s">
        <v>10</v>
      </c>
      <c r="L1261">
        <v>180</v>
      </c>
      <c r="M1261" t="s">
        <v>136</v>
      </c>
      <c r="N1261" t="s">
        <v>11</v>
      </c>
      <c r="O1261">
        <v>2.15</v>
      </c>
      <c r="P1261" s="45">
        <f t="shared" si="94"/>
        <v>387</v>
      </c>
      <c r="Q1261" s="13">
        <f>IF(N1261="HKD",7.8,IF(N1261="CNY",7.30034,1))</f>
        <v>7.3003400000000003</v>
      </c>
      <c r="R1261" s="15">
        <f>+ROUND(O1261/Q1261,4)</f>
        <v>0.29449999999999998</v>
      </c>
      <c r="S1261" s="14">
        <f>ROUND(R1261*L1261,2)</f>
        <v>53.01</v>
      </c>
      <c r="T1261" s="15" t="s">
        <v>349</v>
      </c>
      <c r="U1261" t="s">
        <v>25</v>
      </c>
      <c r="W1261" s="49" t="e">
        <f t="shared" si="95"/>
        <v>#DIV/0!</v>
      </c>
    </row>
    <row r="1262" spans="1:23" x14ac:dyDescent="0.2">
      <c r="A1262" t="s">
        <v>2806</v>
      </c>
      <c r="B1262" s="24">
        <v>45737</v>
      </c>
      <c r="C1262" s="24">
        <v>45736</v>
      </c>
      <c r="D1262" t="s">
        <v>149</v>
      </c>
      <c r="E1262" t="s">
        <v>150</v>
      </c>
      <c r="F1262" s="23"/>
      <c r="G1262" t="s">
        <v>3053</v>
      </c>
      <c r="H1262" t="s">
        <v>157</v>
      </c>
      <c r="I1262" t="s">
        <v>158</v>
      </c>
      <c r="J1262" s="11" t="str">
        <f>+LEFT(U1262,4)</f>
        <v>GLID</v>
      </c>
      <c r="K1262" t="s">
        <v>10</v>
      </c>
      <c r="L1262">
        <v>1300</v>
      </c>
      <c r="M1262" t="s">
        <v>1472</v>
      </c>
      <c r="N1262" t="s">
        <v>11</v>
      </c>
      <c r="O1262">
        <v>3.3437000000000001</v>
      </c>
      <c r="P1262" s="45">
        <f t="shared" si="94"/>
        <v>4346.8100000000004</v>
      </c>
      <c r="Q1262" s="13">
        <f>IF(N1262="HKD",7.8,IF(N1262="CNY",7.30034,1))</f>
        <v>7.3003400000000003</v>
      </c>
      <c r="R1262" s="15">
        <f>+ROUND(O1262/Q1262,4)</f>
        <v>0.45800000000000002</v>
      </c>
      <c r="S1262" s="14">
        <f>ROUND(R1262*L1262,2)</f>
        <v>595.4</v>
      </c>
      <c r="T1262" s="15" t="s">
        <v>349</v>
      </c>
      <c r="U1262" t="s">
        <v>78</v>
      </c>
      <c r="W1262" s="49" t="e">
        <f t="shared" si="95"/>
        <v>#DIV/0!</v>
      </c>
    </row>
    <row r="1263" spans="1:23" x14ac:dyDescent="0.2">
      <c r="A1263" t="s">
        <v>2807</v>
      </c>
      <c r="B1263" s="24">
        <v>45737</v>
      </c>
      <c r="C1263" s="24">
        <v>45737</v>
      </c>
      <c r="D1263" t="s">
        <v>128</v>
      </c>
      <c r="E1263" t="s">
        <v>129</v>
      </c>
      <c r="F1263" s="23"/>
      <c r="G1263" t="s">
        <v>2909</v>
      </c>
      <c r="H1263" t="s">
        <v>1762</v>
      </c>
      <c r="I1263" t="s">
        <v>1763</v>
      </c>
      <c r="J1263" s="11" t="str">
        <f>+LEFT(U1263,4)</f>
        <v>HDL-</v>
      </c>
      <c r="K1263" t="s">
        <v>10</v>
      </c>
      <c r="L1263">
        <v>200</v>
      </c>
      <c r="M1263" t="s">
        <v>1472</v>
      </c>
      <c r="N1263" t="s">
        <v>11</v>
      </c>
      <c r="O1263">
        <v>4.5491999999999999</v>
      </c>
      <c r="P1263" s="45">
        <f t="shared" si="94"/>
        <v>909.84</v>
      </c>
      <c r="Q1263" s="13">
        <f>IF(N1263="HKD",7.8,IF(N1263="CNY",7.30034,1))</f>
        <v>7.3003400000000003</v>
      </c>
      <c r="R1263" s="15">
        <f>+ROUND(O1263/Q1263,4)</f>
        <v>0.62309999999999999</v>
      </c>
      <c r="S1263" s="14">
        <f>ROUND(R1263*L1263,2)</f>
        <v>124.62</v>
      </c>
      <c r="T1263" s="15" t="s">
        <v>349</v>
      </c>
      <c r="U1263" t="s">
        <v>228</v>
      </c>
      <c r="W1263" s="49" t="e">
        <f t="shared" si="95"/>
        <v>#DIV/0!</v>
      </c>
    </row>
    <row r="1264" spans="1:23" x14ac:dyDescent="0.2">
      <c r="A1264" t="s">
        <v>2282</v>
      </c>
      <c r="B1264" s="24">
        <v>45740</v>
      </c>
      <c r="C1264" s="24">
        <v>45576</v>
      </c>
      <c r="D1264" t="s">
        <v>94</v>
      </c>
      <c r="E1264" t="s">
        <v>95</v>
      </c>
      <c r="F1264" s="23"/>
      <c r="G1264" t="s">
        <v>2849</v>
      </c>
      <c r="H1264" t="s">
        <v>3063</v>
      </c>
      <c r="I1264" t="s">
        <v>3279</v>
      </c>
      <c r="J1264" s="11" t="str">
        <f>+LEFT(U1264,4)</f>
        <v>LID-</v>
      </c>
      <c r="K1264" t="s">
        <v>98</v>
      </c>
      <c r="L1264">
        <v>1010</v>
      </c>
      <c r="M1264" t="s">
        <v>1472</v>
      </c>
      <c r="N1264" t="s">
        <v>11</v>
      </c>
      <c r="O1264">
        <v>3.7</v>
      </c>
      <c r="P1264" s="45">
        <f t="shared" si="94"/>
        <v>3737</v>
      </c>
      <c r="Q1264" s="13">
        <f>IF(N1264="HKD",7.8,IF(N1264="CNY",7.30034,1))</f>
        <v>7.3003400000000003</v>
      </c>
      <c r="R1264" s="15">
        <f>+ROUND(O1264/Q1264,4)</f>
        <v>0.50680000000000003</v>
      </c>
      <c r="S1264" s="14">
        <f>ROUND(R1264*L1264,2)</f>
        <v>511.87</v>
      </c>
      <c r="T1264" s="15" t="s">
        <v>349</v>
      </c>
      <c r="U1264" t="s">
        <v>368</v>
      </c>
      <c r="W1264" s="49" t="e">
        <f t="shared" si="95"/>
        <v>#DIV/0!</v>
      </c>
    </row>
    <row r="1265" spans="1:23" x14ac:dyDescent="0.2">
      <c r="A1265" t="s">
        <v>2286</v>
      </c>
      <c r="B1265" s="24">
        <v>45740</v>
      </c>
      <c r="C1265" s="24">
        <v>45611</v>
      </c>
      <c r="D1265" t="s">
        <v>94</v>
      </c>
      <c r="E1265" t="s">
        <v>95</v>
      </c>
      <c r="F1265" s="23"/>
      <c r="G1265" t="s">
        <v>2849</v>
      </c>
      <c r="H1265" t="s">
        <v>3063</v>
      </c>
      <c r="I1265" t="s">
        <v>3279</v>
      </c>
      <c r="J1265" s="11" t="str">
        <f>+LEFT(U1265,4)</f>
        <v>LID-</v>
      </c>
      <c r="K1265" t="s">
        <v>98</v>
      </c>
      <c r="L1265">
        <v>510</v>
      </c>
      <c r="M1265" t="s">
        <v>1472</v>
      </c>
      <c r="N1265" t="s">
        <v>11</v>
      </c>
      <c r="O1265">
        <v>3.7</v>
      </c>
      <c r="P1265" s="45">
        <f t="shared" si="94"/>
        <v>1887</v>
      </c>
      <c r="Q1265" s="13">
        <f>IF(N1265="HKD",7.8,IF(N1265="CNY",7.30034,1))</f>
        <v>7.3003400000000003</v>
      </c>
      <c r="R1265" s="15">
        <f>+ROUND(O1265/Q1265,4)</f>
        <v>0.50680000000000003</v>
      </c>
      <c r="S1265" s="14">
        <f>ROUND(R1265*L1265,2)</f>
        <v>258.47000000000003</v>
      </c>
      <c r="T1265" s="15" t="s">
        <v>349</v>
      </c>
      <c r="U1265" t="s">
        <v>368</v>
      </c>
      <c r="W1265" s="49" t="e">
        <f t="shared" si="95"/>
        <v>#DIV/0!</v>
      </c>
    </row>
    <row r="1266" spans="1:23" x14ac:dyDescent="0.2">
      <c r="A1266" t="s">
        <v>2369</v>
      </c>
      <c r="B1266" s="24">
        <v>45740</v>
      </c>
      <c r="C1266" s="24">
        <v>45695</v>
      </c>
      <c r="D1266" t="s">
        <v>162</v>
      </c>
      <c r="E1266" t="s">
        <v>163</v>
      </c>
      <c r="F1266" s="23"/>
      <c r="G1266" t="s">
        <v>2907</v>
      </c>
      <c r="H1266" t="s">
        <v>592</v>
      </c>
      <c r="I1266" t="s">
        <v>593</v>
      </c>
      <c r="J1266" s="11" t="str">
        <f>+LEFT(U1266,4)</f>
        <v>SCR-</v>
      </c>
      <c r="K1266" t="s">
        <v>10</v>
      </c>
      <c r="L1266">
        <v>3000</v>
      </c>
      <c r="M1266" t="s">
        <v>1472</v>
      </c>
      <c r="N1266" t="s">
        <v>11</v>
      </c>
      <c r="O1266">
        <v>7.0000000000000007E-2</v>
      </c>
      <c r="P1266" s="45">
        <f t="shared" si="94"/>
        <v>210</v>
      </c>
      <c r="Q1266" s="13">
        <f>IF(N1266="HKD",7.8,IF(N1266="CNY",7.30034,1))</f>
        <v>7.3003400000000003</v>
      </c>
      <c r="R1266" s="15">
        <f>+ROUND(O1266/Q1266,4)</f>
        <v>9.5999999999999992E-3</v>
      </c>
      <c r="S1266" s="14">
        <f>ROUND(R1266*L1266,2)</f>
        <v>28.8</v>
      </c>
      <c r="T1266" s="15" t="s">
        <v>349</v>
      </c>
      <c r="U1266" t="s">
        <v>166</v>
      </c>
      <c r="W1266" s="49" t="e">
        <f t="shared" si="95"/>
        <v>#DIV/0!</v>
      </c>
    </row>
    <row r="1267" spans="1:23" x14ac:dyDescent="0.2">
      <c r="A1267" t="s">
        <v>2376</v>
      </c>
      <c r="B1267" s="24">
        <v>45740</v>
      </c>
      <c r="C1267" s="24">
        <v>45695</v>
      </c>
      <c r="D1267" t="s">
        <v>143</v>
      </c>
      <c r="E1267" t="s">
        <v>144</v>
      </c>
      <c r="F1267" s="23"/>
      <c r="G1267" t="s">
        <v>2912</v>
      </c>
      <c r="H1267" t="s">
        <v>3091</v>
      </c>
      <c r="I1267" t="s">
        <v>3307</v>
      </c>
      <c r="J1267" s="11" t="str">
        <f>+LEFT(U1267,4)</f>
        <v>LHDL</v>
      </c>
      <c r="K1267" t="s">
        <v>10</v>
      </c>
      <c r="L1267">
        <v>1000</v>
      </c>
      <c r="M1267" t="s">
        <v>1472</v>
      </c>
      <c r="N1267" t="s">
        <v>11</v>
      </c>
      <c r="O1267">
        <v>5.5971000000000002</v>
      </c>
      <c r="P1267" s="45">
        <f t="shared" si="94"/>
        <v>5597.1</v>
      </c>
      <c r="Q1267" s="13">
        <f>IF(N1267="HKD",7.8,IF(N1267="CNY",7.30034,1))</f>
        <v>7.3003400000000003</v>
      </c>
      <c r="R1267" s="15">
        <f>+ROUND(O1267/Q1267,4)</f>
        <v>0.76670000000000005</v>
      </c>
      <c r="S1267" s="14">
        <f>ROUND(R1267*L1267,2)</f>
        <v>766.7</v>
      </c>
      <c r="T1267" s="15" t="s">
        <v>349</v>
      </c>
      <c r="U1267" t="s">
        <v>125</v>
      </c>
      <c r="W1267" s="49" t="e">
        <f t="shared" si="95"/>
        <v>#DIV/0!</v>
      </c>
    </row>
    <row r="1268" spans="1:23" x14ac:dyDescent="0.2">
      <c r="A1268" t="s">
        <v>2466</v>
      </c>
      <c r="B1268" s="24">
        <v>45740</v>
      </c>
      <c r="C1268" s="24">
        <v>45706</v>
      </c>
      <c r="D1268" t="s">
        <v>162</v>
      </c>
      <c r="E1268" t="s">
        <v>163</v>
      </c>
      <c r="F1268" s="23"/>
      <c r="G1268" t="s">
        <v>2907</v>
      </c>
      <c r="H1268" t="s">
        <v>587</v>
      </c>
      <c r="I1268" t="s">
        <v>588</v>
      </c>
      <c r="J1268" s="11" t="str">
        <f>+LEFT(U1268,4)</f>
        <v>SCR-</v>
      </c>
      <c r="K1268" t="s">
        <v>10</v>
      </c>
      <c r="L1268">
        <v>5000</v>
      </c>
      <c r="M1268" t="s">
        <v>1472</v>
      </c>
      <c r="N1268" t="s">
        <v>11</v>
      </c>
      <c r="O1268">
        <v>0.153</v>
      </c>
      <c r="P1268" s="45">
        <f t="shared" si="94"/>
        <v>765</v>
      </c>
      <c r="Q1268" s="13">
        <f>IF(N1268="HKD",7.8,IF(N1268="CNY",7.30034,1))</f>
        <v>7.3003400000000003</v>
      </c>
      <c r="R1268" s="15">
        <f>+ROUND(O1268/Q1268,4)</f>
        <v>2.1000000000000001E-2</v>
      </c>
      <c r="S1268" s="14">
        <f>ROUND(R1268*L1268,2)</f>
        <v>105</v>
      </c>
      <c r="T1268" s="15" t="s">
        <v>349</v>
      </c>
      <c r="U1268" t="s">
        <v>166</v>
      </c>
      <c r="W1268" s="49" t="e">
        <f t="shared" si="95"/>
        <v>#DIV/0!</v>
      </c>
    </row>
    <row r="1269" spans="1:23" x14ac:dyDescent="0.2">
      <c r="A1269" t="s">
        <v>2492</v>
      </c>
      <c r="B1269" s="24">
        <v>45740</v>
      </c>
      <c r="C1269" s="24">
        <v>45713</v>
      </c>
      <c r="D1269" t="s">
        <v>2257</v>
      </c>
      <c r="E1269" t="s">
        <v>2258</v>
      </c>
      <c r="F1269" s="23"/>
      <c r="G1269" t="s">
        <v>2955</v>
      </c>
      <c r="H1269" t="s">
        <v>1798</v>
      </c>
      <c r="I1269" t="s">
        <v>1799</v>
      </c>
      <c r="J1269" s="11" t="str">
        <f>+LEFT(U1269,4)</f>
        <v>HDL-</v>
      </c>
      <c r="K1269" t="s">
        <v>10</v>
      </c>
      <c r="L1269">
        <v>3500</v>
      </c>
      <c r="M1269" t="s">
        <v>1472</v>
      </c>
      <c r="N1269" t="s">
        <v>11</v>
      </c>
      <c r="O1269">
        <v>7.4931000000000001</v>
      </c>
      <c r="P1269" s="45">
        <f t="shared" si="94"/>
        <v>26225.85</v>
      </c>
      <c r="Q1269" s="13">
        <f>IF(N1269="HKD",7.8,IF(N1269="CNY",7.30034,1))</f>
        <v>7.3003400000000003</v>
      </c>
      <c r="R1269" s="15">
        <f>+ROUND(O1269/Q1269,4)</f>
        <v>1.0264</v>
      </c>
      <c r="S1269" s="14">
        <f>ROUND(R1269*L1269,2)</f>
        <v>3592.4</v>
      </c>
      <c r="T1269" s="15" t="s">
        <v>349</v>
      </c>
      <c r="U1269" t="s">
        <v>228</v>
      </c>
      <c r="W1269" s="49" t="e">
        <f t="shared" si="95"/>
        <v>#DIV/0!</v>
      </c>
    </row>
    <row r="1270" spans="1:23" x14ac:dyDescent="0.2">
      <c r="A1270" t="s">
        <v>2497</v>
      </c>
      <c r="B1270" s="24">
        <v>45740</v>
      </c>
      <c r="C1270" s="24">
        <v>45713</v>
      </c>
      <c r="D1270" t="s">
        <v>2257</v>
      </c>
      <c r="E1270" t="s">
        <v>2258</v>
      </c>
      <c r="F1270" s="23"/>
      <c r="G1270" t="s">
        <v>2955</v>
      </c>
      <c r="H1270" t="s">
        <v>1800</v>
      </c>
      <c r="I1270" t="s">
        <v>1801</v>
      </c>
      <c r="J1270" s="11" t="str">
        <f>+LEFT(U1270,4)</f>
        <v>HDL-</v>
      </c>
      <c r="K1270" t="s">
        <v>10</v>
      </c>
      <c r="L1270">
        <v>2600</v>
      </c>
      <c r="M1270" t="s">
        <v>1472</v>
      </c>
      <c r="N1270" t="s">
        <v>11</v>
      </c>
      <c r="O1270">
        <v>7.4931000000000001</v>
      </c>
      <c r="P1270" s="45">
        <f t="shared" si="94"/>
        <v>19482.060000000001</v>
      </c>
      <c r="Q1270" s="13">
        <f>IF(N1270="HKD",7.8,IF(N1270="CNY",7.30034,1))</f>
        <v>7.3003400000000003</v>
      </c>
      <c r="R1270" s="15">
        <f>+ROUND(O1270/Q1270,4)</f>
        <v>1.0264</v>
      </c>
      <c r="S1270" s="14">
        <f>ROUND(R1270*L1270,2)</f>
        <v>2668.64</v>
      </c>
      <c r="T1270" s="15" t="s">
        <v>349</v>
      </c>
      <c r="U1270" t="s">
        <v>228</v>
      </c>
      <c r="W1270" s="49" t="e">
        <f t="shared" si="95"/>
        <v>#DIV/0!</v>
      </c>
    </row>
    <row r="1271" spans="1:23" x14ac:dyDescent="0.2">
      <c r="A1271" t="s">
        <v>2498</v>
      </c>
      <c r="B1271" s="24">
        <v>45740</v>
      </c>
      <c r="C1271" s="24">
        <v>45713</v>
      </c>
      <c r="D1271" t="s">
        <v>2257</v>
      </c>
      <c r="E1271" t="s">
        <v>2258</v>
      </c>
      <c r="F1271" s="23"/>
      <c r="G1271" t="s">
        <v>2955</v>
      </c>
      <c r="H1271" t="s">
        <v>1800</v>
      </c>
      <c r="I1271" t="s">
        <v>1801</v>
      </c>
      <c r="J1271" s="11" t="str">
        <f>+LEFT(U1271,4)</f>
        <v>HDL-</v>
      </c>
      <c r="K1271" t="s">
        <v>10</v>
      </c>
      <c r="L1271">
        <v>3020</v>
      </c>
      <c r="M1271" t="s">
        <v>1472</v>
      </c>
      <c r="N1271" t="s">
        <v>11</v>
      </c>
      <c r="O1271">
        <v>7.4931000000000001</v>
      </c>
      <c r="P1271" s="45">
        <f t="shared" si="94"/>
        <v>22629.16</v>
      </c>
      <c r="Q1271" s="13">
        <f>IF(N1271="HKD",7.8,IF(N1271="CNY",7.30034,1))</f>
        <v>7.3003400000000003</v>
      </c>
      <c r="R1271" s="15">
        <f>+ROUND(O1271/Q1271,4)</f>
        <v>1.0264</v>
      </c>
      <c r="S1271" s="14">
        <f>ROUND(R1271*L1271,2)</f>
        <v>3099.73</v>
      </c>
      <c r="T1271" s="15" t="s">
        <v>349</v>
      </c>
      <c r="U1271" t="s">
        <v>228</v>
      </c>
      <c r="W1271" s="49" t="e">
        <f t="shared" si="95"/>
        <v>#DIV/0!</v>
      </c>
    </row>
    <row r="1272" spans="1:23" x14ac:dyDescent="0.2">
      <c r="A1272" t="s">
        <v>2504</v>
      </c>
      <c r="B1272" s="24">
        <v>45740</v>
      </c>
      <c r="C1272" s="24">
        <v>45713</v>
      </c>
      <c r="D1272" t="s">
        <v>2257</v>
      </c>
      <c r="E1272" t="s">
        <v>2258</v>
      </c>
      <c r="F1272" s="23"/>
      <c r="G1272" t="s">
        <v>2955</v>
      </c>
      <c r="H1272" t="s">
        <v>3152</v>
      </c>
      <c r="I1272" t="s">
        <v>3362</v>
      </c>
      <c r="J1272" s="11" t="str">
        <f>+LEFT(U1272,4)</f>
        <v>HDL-</v>
      </c>
      <c r="K1272" t="s">
        <v>10</v>
      </c>
      <c r="L1272">
        <v>3100</v>
      </c>
      <c r="M1272" t="s">
        <v>1472</v>
      </c>
      <c r="N1272" t="s">
        <v>11</v>
      </c>
      <c r="O1272">
        <v>7.4931000000000001</v>
      </c>
      <c r="P1272" s="45">
        <f t="shared" si="94"/>
        <v>23228.61</v>
      </c>
      <c r="Q1272" s="13">
        <f>IF(N1272="HKD",7.8,IF(N1272="CNY",7.30034,1))</f>
        <v>7.3003400000000003</v>
      </c>
      <c r="R1272" s="15">
        <f>+ROUND(O1272/Q1272,4)</f>
        <v>1.0264</v>
      </c>
      <c r="S1272" s="14">
        <f>ROUND(R1272*L1272,2)</f>
        <v>3181.84</v>
      </c>
      <c r="T1272" s="15" t="s">
        <v>349</v>
      </c>
      <c r="U1272" t="s">
        <v>228</v>
      </c>
      <c r="W1272" s="49" t="e">
        <f t="shared" si="95"/>
        <v>#DIV/0!</v>
      </c>
    </row>
    <row r="1273" spans="1:23" x14ac:dyDescent="0.2">
      <c r="A1273" t="s">
        <v>2532</v>
      </c>
      <c r="B1273" s="24">
        <v>45740</v>
      </c>
      <c r="C1273" s="24">
        <v>45714</v>
      </c>
      <c r="D1273" t="s">
        <v>94</v>
      </c>
      <c r="E1273" t="s">
        <v>95</v>
      </c>
      <c r="F1273" s="23"/>
      <c r="G1273" t="s">
        <v>2965</v>
      </c>
      <c r="H1273" t="s">
        <v>3163</v>
      </c>
      <c r="I1273" t="s">
        <v>3373</v>
      </c>
      <c r="J1273" s="11" t="str">
        <f>+LEFT(U1273,4)</f>
        <v>LID-</v>
      </c>
      <c r="K1273" t="s">
        <v>98</v>
      </c>
      <c r="L1273">
        <v>1764</v>
      </c>
      <c r="M1273" t="s">
        <v>1472</v>
      </c>
      <c r="N1273" t="s">
        <v>11</v>
      </c>
      <c r="O1273">
        <v>3.95</v>
      </c>
      <c r="P1273" s="45">
        <f t="shared" si="94"/>
        <v>6967.8</v>
      </c>
      <c r="Q1273" s="13">
        <f>IF(N1273="HKD",7.8,IF(N1273="CNY",7.30034,1))</f>
        <v>7.3003400000000003</v>
      </c>
      <c r="R1273" s="15">
        <f>+ROUND(O1273/Q1273,4)</f>
        <v>0.54110000000000003</v>
      </c>
      <c r="S1273" s="14">
        <f>ROUND(R1273*L1273,2)</f>
        <v>954.5</v>
      </c>
      <c r="T1273" s="15" t="s">
        <v>349</v>
      </c>
      <c r="U1273" t="s">
        <v>368</v>
      </c>
      <c r="W1273" s="49" t="e">
        <f t="shared" si="95"/>
        <v>#DIV/0!</v>
      </c>
    </row>
    <row r="1274" spans="1:23" x14ac:dyDescent="0.2">
      <c r="A1274" t="s">
        <v>2539</v>
      </c>
      <c r="B1274" s="24">
        <v>45740</v>
      </c>
      <c r="C1274" s="24">
        <v>45714</v>
      </c>
      <c r="D1274" t="s">
        <v>830</v>
      </c>
      <c r="E1274" t="s">
        <v>831</v>
      </c>
      <c r="F1274" s="23"/>
      <c r="G1274" t="s">
        <v>2984</v>
      </c>
      <c r="H1274" t="s">
        <v>3166</v>
      </c>
      <c r="I1274" t="s">
        <v>3376</v>
      </c>
      <c r="J1274" s="11" t="str">
        <f>+LEFT(U1274,4)</f>
        <v>LID-</v>
      </c>
      <c r="K1274" t="s">
        <v>98</v>
      </c>
      <c r="L1274">
        <v>400</v>
      </c>
      <c r="M1274" t="s">
        <v>1472</v>
      </c>
      <c r="N1274" t="s">
        <v>11</v>
      </c>
      <c r="O1274">
        <v>4.2</v>
      </c>
      <c r="P1274" s="45">
        <f t="shared" si="94"/>
        <v>1680</v>
      </c>
      <c r="Q1274" s="13">
        <f>IF(N1274="HKD",7.8,IF(N1274="CNY",7.30034,1))</f>
        <v>7.3003400000000003</v>
      </c>
      <c r="R1274" s="15">
        <f>+ROUND(O1274/Q1274,4)</f>
        <v>0.57530000000000003</v>
      </c>
      <c r="S1274" s="14">
        <f>ROUND(R1274*L1274,2)</f>
        <v>230.12</v>
      </c>
      <c r="T1274" s="15" t="s">
        <v>349</v>
      </c>
      <c r="U1274" t="s">
        <v>368</v>
      </c>
      <c r="W1274" s="49" t="e">
        <f t="shared" si="95"/>
        <v>#DIV/0!</v>
      </c>
    </row>
    <row r="1275" spans="1:23" x14ac:dyDescent="0.2">
      <c r="A1275" t="s">
        <v>2539</v>
      </c>
      <c r="B1275" s="24">
        <v>45740</v>
      </c>
      <c r="C1275" s="24">
        <v>45714</v>
      </c>
      <c r="D1275" t="s">
        <v>830</v>
      </c>
      <c r="E1275" t="s">
        <v>831</v>
      </c>
      <c r="F1275" s="23"/>
      <c r="G1275" t="s">
        <v>2984</v>
      </c>
      <c r="H1275" t="s">
        <v>3166</v>
      </c>
      <c r="I1275" t="s">
        <v>3376</v>
      </c>
      <c r="J1275" s="11" t="str">
        <f>+LEFT(U1275,4)</f>
        <v>LID-</v>
      </c>
      <c r="K1275" t="s">
        <v>98</v>
      </c>
      <c r="L1275">
        <v>2880</v>
      </c>
      <c r="M1275" t="s">
        <v>1472</v>
      </c>
      <c r="N1275" t="s">
        <v>11</v>
      </c>
      <c r="O1275">
        <v>4.2</v>
      </c>
      <c r="P1275" s="45">
        <f t="shared" si="94"/>
        <v>12096</v>
      </c>
      <c r="Q1275" s="13">
        <f>IF(N1275="HKD",7.8,IF(N1275="CNY",7.30034,1))</f>
        <v>7.3003400000000003</v>
      </c>
      <c r="R1275" s="15">
        <f>+ROUND(O1275/Q1275,4)</f>
        <v>0.57530000000000003</v>
      </c>
      <c r="S1275" s="14">
        <f>ROUND(R1275*L1275,2)</f>
        <v>1656.86</v>
      </c>
      <c r="T1275" s="15" t="s">
        <v>349</v>
      </c>
      <c r="U1275" t="s">
        <v>368</v>
      </c>
      <c r="W1275" s="49" t="e">
        <f t="shared" si="95"/>
        <v>#DIV/0!</v>
      </c>
    </row>
    <row r="1276" spans="1:23" x14ac:dyDescent="0.2">
      <c r="A1276" t="s">
        <v>2569</v>
      </c>
      <c r="B1276" s="24">
        <v>45740</v>
      </c>
      <c r="C1276" s="24">
        <v>45716</v>
      </c>
      <c r="D1276" t="s">
        <v>162</v>
      </c>
      <c r="E1276" t="s">
        <v>163</v>
      </c>
      <c r="F1276" s="23"/>
      <c r="G1276" t="s">
        <v>3000</v>
      </c>
      <c r="H1276" t="s">
        <v>573</v>
      </c>
      <c r="I1276" t="s">
        <v>574</v>
      </c>
      <c r="J1276" s="11" t="str">
        <f>+LEFT(U1276,4)</f>
        <v>SCR-</v>
      </c>
      <c r="K1276" t="s">
        <v>10</v>
      </c>
      <c r="L1276">
        <v>5000</v>
      </c>
      <c r="M1276" t="s">
        <v>1472</v>
      </c>
      <c r="N1276" t="s">
        <v>11</v>
      </c>
      <c r="O1276">
        <v>0.11700000000000001</v>
      </c>
      <c r="P1276" s="45">
        <f t="shared" si="94"/>
        <v>585</v>
      </c>
      <c r="Q1276" s="13">
        <f>IF(N1276="HKD",7.8,IF(N1276="CNY",7.30034,1))</f>
        <v>7.3003400000000003</v>
      </c>
      <c r="R1276" s="15">
        <f>+ROUND(O1276/Q1276,4)</f>
        <v>1.6E-2</v>
      </c>
      <c r="S1276" s="14">
        <f>ROUND(R1276*L1276,2)</f>
        <v>80</v>
      </c>
      <c r="T1276" s="15" t="s">
        <v>349</v>
      </c>
      <c r="U1276" t="s">
        <v>166</v>
      </c>
      <c r="W1276" s="49" t="e">
        <f t="shared" si="95"/>
        <v>#DIV/0!</v>
      </c>
    </row>
    <row r="1277" spans="1:23" x14ac:dyDescent="0.2">
      <c r="A1277" t="s">
        <v>2570</v>
      </c>
      <c r="B1277" s="24">
        <v>45740</v>
      </c>
      <c r="C1277" s="24">
        <v>45716</v>
      </c>
      <c r="D1277" t="s">
        <v>162</v>
      </c>
      <c r="E1277" t="s">
        <v>163</v>
      </c>
      <c r="F1277" s="23"/>
      <c r="G1277" t="s">
        <v>2907</v>
      </c>
      <c r="H1277" t="s">
        <v>606</v>
      </c>
      <c r="I1277" t="s">
        <v>607</v>
      </c>
      <c r="J1277" s="11" t="str">
        <f>+LEFT(U1277,4)</f>
        <v>SCR-</v>
      </c>
      <c r="K1277" t="s">
        <v>10</v>
      </c>
      <c r="L1277">
        <v>3000</v>
      </c>
      <c r="M1277" t="s">
        <v>1472</v>
      </c>
      <c r="N1277" t="s">
        <v>11</v>
      </c>
      <c r="O1277">
        <v>6.9000000000000006E-2</v>
      </c>
      <c r="P1277" s="45">
        <f t="shared" si="94"/>
        <v>207</v>
      </c>
      <c r="Q1277" s="13">
        <f>IF(N1277="HKD",7.8,IF(N1277="CNY",7.30034,1))</f>
        <v>7.3003400000000003</v>
      </c>
      <c r="R1277" s="15">
        <f>+ROUND(O1277/Q1277,4)</f>
        <v>9.4999999999999998E-3</v>
      </c>
      <c r="S1277" s="14">
        <f>ROUND(R1277*L1277,2)</f>
        <v>28.5</v>
      </c>
      <c r="T1277" s="15" t="s">
        <v>349</v>
      </c>
      <c r="U1277" t="s">
        <v>166</v>
      </c>
      <c r="W1277" s="49" t="e">
        <f t="shared" si="95"/>
        <v>#DIV/0!</v>
      </c>
    </row>
    <row r="1278" spans="1:23" x14ac:dyDescent="0.2">
      <c r="A1278" t="s">
        <v>2571</v>
      </c>
      <c r="B1278" s="24">
        <v>45740</v>
      </c>
      <c r="C1278" s="24">
        <v>45716</v>
      </c>
      <c r="D1278" t="s">
        <v>162</v>
      </c>
      <c r="E1278" t="s">
        <v>163</v>
      </c>
      <c r="F1278" s="23"/>
      <c r="G1278" t="s">
        <v>2907</v>
      </c>
      <c r="H1278" t="s">
        <v>160</v>
      </c>
      <c r="I1278" t="s">
        <v>161</v>
      </c>
      <c r="J1278" s="11" t="str">
        <f>+LEFT(U1278,4)</f>
        <v>SCR-</v>
      </c>
      <c r="K1278" t="s">
        <v>10</v>
      </c>
      <c r="L1278">
        <v>15000</v>
      </c>
      <c r="M1278" t="s">
        <v>1472</v>
      </c>
      <c r="N1278" t="s">
        <v>11</v>
      </c>
      <c r="O1278">
        <v>0.14199999999999999</v>
      </c>
      <c r="P1278" s="45">
        <f t="shared" si="94"/>
        <v>2130</v>
      </c>
      <c r="Q1278" s="13">
        <f>IF(N1278="HKD",7.8,IF(N1278="CNY",7.30034,1))</f>
        <v>7.3003400000000003</v>
      </c>
      <c r="R1278" s="15">
        <f>+ROUND(O1278/Q1278,4)</f>
        <v>1.95E-2</v>
      </c>
      <c r="S1278" s="14">
        <f>ROUND(R1278*L1278,2)</f>
        <v>292.5</v>
      </c>
      <c r="T1278" s="15" t="s">
        <v>349</v>
      </c>
      <c r="U1278" t="s">
        <v>166</v>
      </c>
      <c r="W1278" s="49" t="e">
        <f t="shared" si="95"/>
        <v>#DIV/0!</v>
      </c>
    </row>
    <row r="1279" spans="1:23" x14ac:dyDescent="0.2">
      <c r="A1279" t="s">
        <v>2572</v>
      </c>
      <c r="B1279" s="24">
        <v>45740</v>
      </c>
      <c r="C1279" s="24">
        <v>45716</v>
      </c>
      <c r="D1279" t="s">
        <v>162</v>
      </c>
      <c r="E1279" t="s">
        <v>163</v>
      </c>
      <c r="F1279" s="23"/>
      <c r="G1279" t="s">
        <v>2907</v>
      </c>
      <c r="H1279" t="s">
        <v>599</v>
      </c>
      <c r="I1279" t="s">
        <v>600</v>
      </c>
      <c r="J1279" s="11" t="str">
        <f>+LEFT(U1279,4)</f>
        <v>SCR-</v>
      </c>
      <c r="K1279" t="s">
        <v>10</v>
      </c>
      <c r="L1279">
        <v>11000</v>
      </c>
      <c r="M1279" t="s">
        <v>1472</v>
      </c>
      <c r="N1279" t="s">
        <v>11</v>
      </c>
      <c r="O1279">
        <v>4.2000000000000003E-2</v>
      </c>
      <c r="P1279" s="45">
        <f t="shared" si="94"/>
        <v>462</v>
      </c>
      <c r="Q1279" s="13">
        <f>IF(N1279="HKD",7.8,IF(N1279="CNY",7.30034,1))</f>
        <v>7.3003400000000003</v>
      </c>
      <c r="R1279" s="15">
        <f>+ROUND(O1279/Q1279,4)</f>
        <v>5.7999999999999996E-3</v>
      </c>
      <c r="S1279" s="14">
        <f>ROUND(R1279*L1279,2)</f>
        <v>63.8</v>
      </c>
      <c r="T1279" s="15" t="s">
        <v>349</v>
      </c>
      <c r="U1279" t="s">
        <v>166</v>
      </c>
      <c r="W1279" s="49" t="e">
        <f t="shared" si="95"/>
        <v>#DIV/0!</v>
      </c>
    </row>
    <row r="1280" spans="1:23" x14ac:dyDescent="0.2">
      <c r="A1280" t="s">
        <v>2573</v>
      </c>
      <c r="B1280" s="24">
        <v>45740</v>
      </c>
      <c r="C1280" s="24">
        <v>45716</v>
      </c>
      <c r="D1280" t="s">
        <v>162</v>
      </c>
      <c r="E1280" t="s">
        <v>163</v>
      </c>
      <c r="F1280" s="23"/>
      <c r="G1280" t="s">
        <v>2907</v>
      </c>
      <c r="H1280" t="s">
        <v>578</v>
      </c>
      <c r="I1280" t="s">
        <v>579</v>
      </c>
      <c r="J1280" s="11" t="str">
        <f>+LEFT(U1280,4)</f>
        <v>SCR-</v>
      </c>
      <c r="K1280" t="s">
        <v>10</v>
      </c>
      <c r="L1280">
        <v>4000</v>
      </c>
      <c r="M1280" t="s">
        <v>1472</v>
      </c>
      <c r="N1280" t="s">
        <v>11</v>
      </c>
      <c r="O1280">
        <v>9.8000000000000004E-2</v>
      </c>
      <c r="P1280" s="45">
        <f t="shared" si="94"/>
        <v>392</v>
      </c>
      <c r="Q1280" s="13">
        <f>IF(N1280="HKD",7.8,IF(N1280="CNY",7.30034,1))</f>
        <v>7.3003400000000003</v>
      </c>
      <c r="R1280" s="15">
        <f>+ROUND(O1280/Q1280,4)</f>
        <v>1.34E-2</v>
      </c>
      <c r="S1280" s="14">
        <f>ROUND(R1280*L1280,2)</f>
        <v>53.6</v>
      </c>
      <c r="T1280" s="15" t="s">
        <v>349</v>
      </c>
      <c r="U1280" t="s">
        <v>166</v>
      </c>
      <c r="W1280" s="49" t="e">
        <f t="shared" si="95"/>
        <v>#DIV/0!</v>
      </c>
    </row>
    <row r="1281" spans="1:23" x14ac:dyDescent="0.2">
      <c r="A1281" t="s">
        <v>2585</v>
      </c>
      <c r="B1281" s="24">
        <v>45740</v>
      </c>
      <c r="C1281" s="24">
        <v>45716</v>
      </c>
      <c r="D1281" t="s">
        <v>187</v>
      </c>
      <c r="E1281" t="s">
        <v>188</v>
      </c>
      <c r="F1281" s="23"/>
      <c r="G1281" t="s">
        <v>3006</v>
      </c>
      <c r="H1281" t="s">
        <v>3188</v>
      </c>
      <c r="I1281" t="s">
        <v>3395</v>
      </c>
      <c r="J1281" s="11" t="str">
        <f>+LEFT(U1281,4)</f>
        <v>ALM-</v>
      </c>
      <c r="K1281" t="s">
        <v>98</v>
      </c>
      <c r="L1281">
        <v>200</v>
      </c>
      <c r="M1281" t="s">
        <v>186</v>
      </c>
      <c r="N1281" t="s">
        <v>11</v>
      </c>
      <c r="O1281">
        <v>3.1415999999999999</v>
      </c>
      <c r="P1281" s="45">
        <f t="shared" si="94"/>
        <v>628.32000000000005</v>
      </c>
      <c r="Q1281" s="13">
        <f>IF(N1281="HKD",7.8,IF(N1281="CNY",7.30034,1))</f>
        <v>7.3003400000000003</v>
      </c>
      <c r="R1281" s="15">
        <f>+ROUND(O1281/Q1281,4)</f>
        <v>0.43030000000000002</v>
      </c>
      <c r="S1281" s="14">
        <f>ROUND(R1281*L1281,2)</f>
        <v>86.06</v>
      </c>
      <c r="T1281" s="15" t="s">
        <v>349</v>
      </c>
      <c r="U1281" t="s">
        <v>191</v>
      </c>
      <c r="W1281" s="49" t="e">
        <f t="shared" si="95"/>
        <v>#DIV/0!</v>
      </c>
    </row>
    <row r="1282" spans="1:23" x14ac:dyDescent="0.2">
      <c r="A1282" t="s">
        <v>2586</v>
      </c>
      <c r="B1282" s="24">
        <v>45740</v>
      </c>
      <c r="C1282" s="24">
        <v>45716</v>
      </c>
      <c r="D1282" t="s">
        <v>187</v>
      </c>
      <c r="E1282" t="s">
        <v>188</v>
      </c>
      <c r="F1282" s="23"/>
      <c r="G1282" t="s">
        <v>3006</v>
      </c>
      <c r="H1282" t="s">
        <v>3189</v>
      </c>
      <c r="I1282" t="s">
        <v>3396</v>
      </c>
      <c r="J1282" s="11" t="str">
        <f>+LEFT(U1282,4)</f>
        <v>ALM-</v>
      </c>
      <c r="K1282" t="s">
        <v>98</v>
      </c>
      <c r="L1282">
        <v>50</v>
      </c>
      <c r="M1282" t="s">
        <v>186</v>
      </c>
      <c r="N1282" t="s">
        <v>11</v>
      </c>
      <c r="O1282">
        <v>3.1415999999999999</v>
      </c>
      <c r="P1282" s="45">
        <f t="shared" ref="P1282:P1345" si="96">ROUND(O1282*L1282,2)</f>
        <v>157.08000000000001</v>
      </c>
      <c r="Q1282" s="13">
        <f>IF(N1282="HKD",7.8,IF(N1282="CNY",7.30034,1))</f>
        <v>7.3003400000000003</v>
      </c>
      <c r="R1282" s="15">
        <f>+ROUND(O1282/Q1282,4)</f>
        <v>0.43030000000000002</v>
      </c>
      <c r="S1282" s="14">
        <f>ROUND(R1282*L1282,2)</f>
        <v>21.52</v>
      </c>
      <c r="T1282" s="15" t="s">
        <v>349</v>
      </c>
      <c r="U1282" t="s">
        <v>191</v>
      </c>
      <c r="W1282" s="49" t="e">
        <f t="shared" ref="W1282:W1345" si="97">IF(N1282="CNY",O1282/V1282*L1282,1)</f>
        <v>#DIV/0!</v>
      </c>
    </row>
    <row r="1283" spans="1:23" x14ac:dyDescent="0.2">
      <c r="A1283" t="s">
        <v>2587</v>
      </c>
      <c r="B1283" s="24">
        <v>45740</v>
      </c>
      <c r="C1283" s="24">
        <v>45716</v>
      </c>
      <c r="D1283" t="s">
        <v>187</v>
      </c>
      <c r="E1283" t="s">
        <v>188</v>
      </c>
      <c r="F1283" s="23"/>
      <c r="G1283" t="s">
        <v>3006</v>
      </c>
      <c r="H1283" t="s">
        <v>1217</v>
      </c>
      <c r="I1283" t="s">
        <v>1218</v>
      </c>
      <c r="J1283" s="11" t="str">
        <f>+LEFT(U1283,4)</f>
        <v>ALM-</v>
      </c>
      <c r="K1283" t="s">
        <v>98</v>
      </c>
      <c r="L1283">
        <v>225</v>
      </c>
      <c r="M1283" t="s">
        <v>186</v>
      </c>
      <c r="N1283" t="s">
        <v>11</v>
      </c>
      <c r="O1283">
        <v>3.1415999999999999</v>
      </c>
      <c r="P1283" s="45">
        <f t="shared" si="96"/>
        <v>706.86</v>
      </c>
      <c r="Q1283" s="13">
        <f>IF(N1283="HKD",7.8,IF(N1283="CNY",7.30034,1))</f>
        <v>7.3003400000000003</v>
      </c>
      <c r="R1283" s="15">
        <f>+ROUND(O1283/Q1283,4)</f>
        <v>0.43030000000000002</v>
      </c>
      <c r="S1283" s="14">
        <f>ROUND(R1283*L1283,2)</f>
        <v>96.82</v>
      </c>
      <c r="T1283" s="15" t="s">
        <v>349</v>
      </c>
      <c r="U1283" t="s">
        <v>191</v>
      </c>
      <c r="W1283" s="49" t="e">
        <f t="shared" si="97"/>
        <v>#DIV/0!</v>
      </c>
    </row>
    <row r="1284" spans="1:23" x14ac:dyDescent="0.2">
      <c r="A1284" t="s">
        <v>2588</v>
      </c>
      <c r="B1284" s="24">
        <v>45740</v>
      </c>
      <c r="C1284" s="24">
        <v>45716</v>
      </c>
      <c r="D1284" t="s">
        <v>187</v>
      </c>
      <c r="E1284" t="s">
        <v>188</v>
      </c>
      <c r="F1284" s="23"/>
      <c r="G1284" t="s">
        <v>3006</v>
      </c>
      <c r="H1284" t="s">
        <v>3190</v>
      </c>
      <c r="I1284" t="s">
        <v>3397</v>
      </c>
      <c r="J1284" s="11" t="str">
        <f>+LEFT(U1284,4)</f>
        <v>ALM-</v>
      </c>
      <c r="K1284" t="s">
        <v>98</v>
      </c>
      <c r="L1284">
        <v>140</v>
      </c>
      <c r="M1284" t="s">
        <v>186</v>
      </c>
      <c r="N1284" t="s">
        <v>11</v>
      </c>
      <c r="O1284">
        <v>3.6282999999999999</v>
      </c>
      <c r="P1284" s="45">
        <f t="shared" si="96"/>
        <v>507.96</v>
      </c>
      <c r="Q1284" s="13">
        <f>IF(N1284="HKD",7.8,IF(N1284="CNY",7.30034,1))</f>
        <v>7.3003400000000003</v>
      </c>
      <c r="R1284" s="15">
        <f>+ROUND(O1284/Q1284,4)</f>
        <v>0.497</v>
      </c>
      <c r="S1284" s="14">
        <f>ROUND(R1284*L1284,2)</f>
        <v>69.58</v>
      </c>
      <c r="T1284" s="15" t="s">
        <v>349</v>
      </c>
      <c r="U1284" t="s">
        <v>191</v>
      </c>
      <c r="W1284" s="49" t="e">
        <f t="shared" si="97"/>
        <v>#DIV/0!</v>
      </c>
    </row>
    <row r="1285" spans="1:23" x14ac:dyDescent="0.2">
      <c r="A1285" t="s">
        <v>2589</v>
      </c>
      <c r="B1285" s="24">
        <v>45740</v>
      </c>
      <c r="C1285" s="24">
        <v>45716</v>
      </c>
      <c r="D1285" t="s">
        <v>187</v>
      </c>
      <c r="E1285" t="s">
        <v>188</v>
      </c>
      <c r="F1285" s="23"/>
      <c r="G1285" t="s">
        <v>3006</v>
      </c>
      <c r="H1285" t="s">
        <v>211</v>
      </c>
      <c r="I1285" t="s">
        <v>212</v>
      </c>
      <c r="J1285" s="11" t="str">
        <f>+LEFT(U1285,4)</f>
        <v>ALM-</v>
      </c>
      <c r="K1285" t="s">
        <v>98</v>
      </c>
      <c r="L1285">
        <v>50</v>
      </c>
      <c r="M1285" t="s">
        <v>186</v>
      </c>
      <c r="N1285" t="s">
        <v>11</v>
      </c>
      <c r="O1285">
        <v>3.1415999999999999</v>
      </c>
      <c r="P1285" s="45">
        <f t="shared" si="96"/>
        <v>157.08000000000001</v>
      </c>
      <c r="Q1285" s="13">
        <f>IF(N1285="HKD",7.8,IF(N1285="CNY",7.30034,1))</f>
        <v>7.3003400000000003</v>
      </c>
      <c r="R1285" s="15">
        <f>+ROUND(O1285/Q1285,4)</f>
        <v>0.43030000000000002</v>
      </c>
      <c r="S1285" s="14">
        <f>ROUND(R1285*L1285,2)</f>
        <v>21.52</v>
      </c>
      <c r="T1285" s="15" t="s">
        <v>349</v>
      </c>
      <c r="U1285" t="s">
        <v>191</v>
      </c>
      <c r="W1285" s="49" t="e">
        <f t="shared" si="97"/>
        <v>#DIV/0!</v>
      </c>
    </row>
    <row r="1286" spans="1:23" x14ac:dyDescent="0.2">
      <c r="A1286" t="s">
        <v>2590</v>
      </c>
      <c r="B1286" s="24">
        <v>45740</v>
      </c>
      <c r="C1286" s="24">
        <v>45716</v>
      </c>
      <c r="D1286" t="s">
        <v>187</v>
      </c>
      <c r="E1286" t="s">
        <v>188</v>
      </c>
      <c r="F1286" s="23"/>
      <c r="G1286" t="s">
        <v>3006</v>
      </c>
      <c r="H1286" t="s">
        <v>205</v>
      </c>
      <c r="I1286" t="s">
        <v>206</v>
      </c>
      <c r="J1286" s="11" t="str">
        <f>+LEFT(U1286,4)</f>
        <v>ALM-</v>
      </c>
      <c r="K1286" t="s">
        <v>98</v>
      </c>
      <c r="L1286">
        <v>200</v>
      </c>
      <c r="M1286" t="s">
        <v>186</v>
      </c>
      <c r="N1286" t="s">
        <v>11</v>
      </c>
      <c r="O1286">
        <v>3.1415999999999999</v>
      </c>
      <c r="P1286" s="45">
        <f t="shared" si="96"/>
        <v>628.32000000000005</v>
      </c>
      <c r="Q1286" s="13">
        <f>IF(N1286="HKD",7.8,IF(N1286="CNY",7.30034,1))</f>
        <v>7.3003400000000003</v>
      </c>
      <c r="R1286" s="15">
        <f>+ROUND(O1286/Q1286,4)</f>
        <v>0.43030000000000002</v>
      </c>
      <c r="S1286" s="14">
        <f>ROUND(R1286*L1286,2)</f>
        <v>86.06</v>
      </c>
      <c r="T1286" s="15" t="s">
        <v>349</v>
      </c>
      <c r="U1286" t="s">
        <v>191</v>
      </c>
      <c r="W1286" s="49" t="e">
        <f t="shared" si="97"/>
        <v>#DIV/0!</v>
      </c>
    </row>
    <row r="1287" spans="1:23" x14ac:dyDescent="0.2">
      <c r="A1287" t="s">
        <v>2591</v>
      </c>
      <c r="B1287" s="24">
        <v>45740</v>
      </c>
      <c r="C1287" s="24">
        <v>45716</v>
      </c>
      <c r="D1287" t="s">
        <v>187</v>
      </c>
      <c r="E1287" t="s">
        <v>188</v>
      </c>
      <c r="F1287" s="23"/>
      <c r="G1287" t="s">
        <v>3006</v>
      </c>
      <c r="H1287" t="s">
        <v>3191</v>
      </c>
      <c r="I1287" t="s">
        <v>3398</v>
      </c>
      <c r="J1287" s="11" t="str">
        <f>+LEFT(U1287,4)</f>
        <v>ALM-</v>
      </c>
      <c r="K1287" t="s">
        <v>98</v>
      </c>
      <c r="L1287">
        <v>410</v>
      </c>
      <c r="M1287" t="s">
        <v>186</v>
      </c>
      <c r="N1287" t="s">
        <v>11</v>
      </c>
      <c r="O1287">
        <v>3.1415999999999999</v>
      </c>
      <c r="P1287" s="45">
        <f t="shared" si="96"/>
        <v>1288.06</v>
      </c>
      <c r="Q1287" s="13">
        <f>IF(N1287="HKD",7.8,IF(N1287="CNY",7.30034,1))</f>
        <v>7.3003400000000003</v>
      </c>
      <c r="R1287" s="15">
        <f>+ROUND(O1287/Q1287,4)</f>
        <v>0.43030000000000002</v>
      </c>
      <c r="S1287" s="14">
        <f>ROUND(R1287*L1287,2)</f>
        <v>176.42</v>
      </c>
      <c r="T1287" s="15" t="s">
        <v>349</v>
      </c>
      <c r="U1287" t="s">
        <v>191</v>
      </c>
      <c r="W1287" s="49" t="e">
        <f t="shared" si="97"/>
        <v>#DIV/0!</v>
      </c>
    </row>
    <row r="1288" spans="1:23" x14ac:dyDescent="0.2">
      <c r="A1288" t="s">
        <v>2592</v>
      </c>
      <c r="B1288" s="24">
        <v>45740</v>
      </c>
      <c r="C1288" s="24">
        <v>45716</v>
      </c>
      <c r="D1288" t="s">
        <v>187</v>
      </c>
      <c r="E1288" t="s">
        <v>188</v>
      </c>
      <c r="F1288" s="23"/>
      <c r="G1288" t="s">
        <v>3006</v>
      </c>
      <c r="H1288" t="s">
        <v>1226</v>
      </c>
      <c r="I1288" t="s">
        <v>1227</v>
      </c>
      <c r="J1288" s="11" t="str">
        <f>+LEFT(U1288,4)</f>
        <v>ALM-</v>
      </c>
      <c r="K1288" t="s">
        <v>98</v>
      </c>
      <c r="L1288">
        <v>120</v>
      </c>
      <c r="M1288" t="s">
        <v>186</v>
      </c>
      <c r="N1288" t="s">
        <v>11</v>
      </c>
      <c r="O1288">
        <v>3.6282999999999999</v>
      </c>
      <c r="P1288" s="45">
        <f t="shared" si="96"/>
        <v>435.4</v>
      </c>
      <c r="Q1288" s="13">
        <f>IF(N1288="HKD",7.8,IF(N1288="CNY",7.30034,1))</f>
        <v>7.3003400000000003</v>
      </c>
      <c r="R1288" s="15">
        <f>+ROUND(O1288/Q1288,4)</f>
        <v>0.497</v>
      </c>
      <c r="S1288" s="14">
        <f>ROUND(R1288*L1288,2)</f>
        <v>59.64</v>
      </c>
      <c r="T1288" s="15" t="s">
        <v>349</v>
      </c>
      <c r="U1288" t="s">
        <v>191</v>
      </c>
      <c r="W1288" s="49" t="e">
        <f t="shared" si="97"/>
        <v>#DIV/0!</v>
      </c>
    </row>
    <row r="1289" spans="1:23" x14ac:dyDescent="0.2">
      <c r="A1289" t="s">
        <v>2623</v>
      </c>
      <c r="B1289" s="24">
        <v>45740</v>
      </c>
      <c r="C1289" s="24">
        <v>45721</v>
      </c>
      <c r="D1289" t="s">
        <v>169</v>
      </c>
      <c r="E1289" t="s">
        <v>170</v>
      </c>
      <c r="F1289" s="23"/>
      <c r="G1289" t="s">
        <v>3016</v>
      </c>
      <c r="H1289" t="s">
        <v>3206</v>
      </c>
      <c r="I1289" t="s">
        <v>3413</v>
      </c>
      <c r="J1289" s="11" t="str">
        <f>+LEFT(U1289,4)</f>
        <v>STKR</v>
      </c>
      <c r="K1289" t="s">
        <v>10</v>
      </c>
      <c r="L1289">
        <v>1010</v>
      </c>
      <c r="M1289" t="s">
        <v>1472</v>
      </c>
      <c r="N1289" t="s">
        <v>11</v>
      </c>
      <c r="O1289">
        <v>7.0000000000000007E-2</v>
      </c>
      <c r="P1289" s="45">
        <f t="shared" si="96"/>
        <v>70.7</v>
      </c>
      <c r="Q1289" s="13">
        <f>IF(N1289="HKD",7.8,IF(N1289="CNY",7.30034,1))</f>
        <v>7.3003400000000003</v>
      </c>
      <c r="R1289" s="15">
        <f>+ROUND(O1289/Q1289,4)</f>
        <v>9.5999999999999992E-3</v>
      </c>
      <c r="S1289" s="14">
        <f>ROUND(R1289*L1289,2)</f>
        <v>9.6999999999999993</v>
      </c>
      <c r="T1289" s="15" t="s">
        <v>349</v>
      </c>
      <c r="U1289" t="s">
        <v>18</v>
      </c>
      <c r="W1289" s="49" t="e">
        <f t="shared" si="97"/>
        <v>#DIV/0!</v>
      </c>
    </row>
    <row r="1290" spans="1:23" x14ac:dyDescent="0.2">
      <c r="A1290" t="s">
        <v>2624</v>
      </c>
      <c r="B1290" s="24">
        <v>45740</v>
      </c>
      <c r="C1290" s="24">
        <v>45721</v>
      </c>
      <c r="D1290" t="s">
        <v>169</v>
      </c>
      <c r="E1290" t="s">
        <v>170</v>
      </c>
      <c r="F1290" s="23"/>
      <c r="G1290" t="s">
        <v>3016</v>
      </c>
      <c r="H1290" t="s">
        <v>3207</v>
      </c>
      <c r="I1290" t="s">
        <v>3414</v>
      </c>
      <c r="J1290" s="11" t="str">
        <f>+LEFT(U1290,4)</f>
        <v>STKR</v>
      </c>
      <c r="K1290" t="s">
        <v>10</v>
      </c>
      <c r="L1290">
        <v>1010</v>
      </c>
      <c r="M1290" t="s">
        <v>1472</v>
      </c>
      <c r="N1290" t="s">
        <v>11</v>
      </c>
      <c r="O1290">
        <v>7.0000000000000007E-2</v>
      </c>
      <c r="P1290" s="45">
        <f t="shared" si="96"/>
        <v>70.7</v>
      </c>
      <c r="Q1290" s="13">
        <f>IF(N1290="HKD",7.8,IF(N1290="CNY",7.30034,1))</f>
        <v>7.3003400000000003</v>
      </c>
      <c r="R1290" s="15">
        <f>+ROUND(O1290/Q1290,4)</f>
        <v>9.5999999999999992E-3</v>
      </c>
      <c r="S1290" s="14">
        <f>ROUND(R1290*L1290,2)</f>
        <v>9.6999999999999993</v>
      </c>
      <c r="T1290" s="15" t="s">
        <v>349</v>
      </c>
      <c r="U1290" t="s">
        <v>18</v>
      </c>
      <c r="W1290" s="49" t="e">
        <f t="shared" si="97"/>
        <v>#DIV/0!</v>
      </c>
    </row>
    <row r="1291" spans="1:23" x14ac:dyDescent="0.2">
      <c r="A1291" t="s">
        <v>2625</v>
      </c>
      <c r="B1291" s="24">
        <v>45740</v>
      </c>
      <c r="C1291" s="24">
        <v>45721</v>
      </c>
      <c r="D1291" t="s">
        <v>169</v>
      </c>
      <c r="E1291" t="s">
        <v>170</v>
      </c>
      <c r="F1291" s="23"/>
      <c r="G1291" t="s">
        <v>3017</v>
      </c>
      <c r="H1291" t="s">
        <v>1101</v>
      </c>
      <c r="I1291" t="s">
        <v>1102</v>
      </c>
      <c r="J1291" s="11" t="str">
        <f>+LEFT(U1291,4)</f>
        <v>PAP-</v>
      </c>
      <c r="K1291" t="s">
        <v>10</v>
      </c>
      <c r="L1291">
        <v>8500</v>
      </c>
      <c r="M1291" t="s">
        <v>1472</v>
      </c>
      <c r="N1291" t="s">
        <v>11</v>
      </c>
      <c r="O1291">
        <v>0.1</v>
      </c>
      <c r="P1291" s="45">
        <f t="shared" si="96"/>
        <v>850</v>
      </c>
      <c r="Q1291" s="13">
        <f>IF(N1291="HKD",7.8,IF(N1291="CNY",7.30034,1))</f>
        <v>7.3003400000000003</v>
      </c>
      <c r="R1291" s="15">
        <f>+ROUND(O1291/Q1291,4)</f>
        <v>1.37E-2</v>
      </c>
      <c r="S1291" s="14">
        <f>ROUND(R1291*L1291,2)</f>
        <v>116.45</v>
      </c>
      <c r="T1291" s="15" t="s">
        <v>349</v>
      </c>
      <c r="U1291" t="s">
        <v>1094</v>
      </c>
      <c r="W1291" s="49" t="e">
        <f t="shared" si="97"/>
        <v>#DIV/0!</v>
      </c>
    </row>
    <row r="1292" spans="1:23" x14ac:dyDescent="0.2">
      <c r="A1292" t="s">
        <v>2634</v>
      </c>
      <c r="B1292" s="24">
        <v>45740</v>
      </c>
      <c r="C1292" s="24">
        <v>45721</v>
      </c>
      <c r="D1292" t="s">
        <v>162</v>
      </c>
      <c r="E1292" t="s">
        <v>163</v>
      </c>
      <c r="F1292" s="23"/>
      <c r="G1292" t="s">
        <v>2907</v>
      </c>
      <c r="H1292" t="s">
        <v>3210</v>
      </c>
      <c r="I1292" t="s">
        <v>3417</v>
      </c>
      <c r="J1292" s="11" t="str">
        <f>+LEFT(U1292,4)</f>
        <v>SCR-</v>
      </c>
      <c r="K1292" t="s">
        <v>10</v>
      </c>
      <c r="L1292">
        <v>1030</v>
      </c>
      <c r="M1292" t="s">
        <v>1472</v>
      </c>
      <c r="N1292" t="s">
        <v>11</v>
      </c>
      <c r="O1292">
        <v>0.16500000000000001</v>
      </c>
      <c r="P1292" s="45">
        <f t="shared" si="96"/>
        <v>169.95</v>
      </c>
      <c r="Q1292" s="13">
        <f>IF(N1292="HKD",7.8,IF(N1292="CNY",7.30034,1))</f>
        <v>7.3003400000000003</v>
      </c>
      <c r="R1292" s="15">
        <f>+ROUND(O1292/Q1292,4)</f>
        <v>2.2599999999999999E-2</v>
      </c>
      <c r="S1292" s="14">
        <f>ROUND(R1292*L1292,2)</f>
        <v>23.28</v>
      </c>
      <c r="T1292" s="15" t="s">
        <v>349</v>
      </c>
      <c r="U1292" t="s">
        <v>166</v>
      </c>
      <c r="W1292" s="49" t="e">
        <f t="shared" si="97"/>
        <v>#DIV/0!</v>
      </c>
    </row>
    <row r="1293" spans="1:23" x14ac:dyDescent="0.2">
      <c r="A1293" t="s">
        <v>2653</v>
      </c>
      <c r="B1293" s="24">
        <v>45740</v>
      </c>
      <c r="C1293" s="24">
        <v>45722</v>
      </c>
      <c r="D1293" t="s">
        <v>187</v>
      </c>
      <c r="E1293" t="s">
        <v>188</v>
      </c>
      <c r="F1293" s="23"/>
      <c r="G1293" t="s">
        <v>3006</v>
      </c>
      <c r="H1293" t="s">
        <v>1223</v>
      </c>
      <c r="I1293" t="s">
        <v>1224</v>
      </c>
      <c r="J1293" s="11" t="str">
        <f>+LEFT(U1293,4)</f>
        <v>ALM-</v>
      </c>
      <c r="K1293" t="s">
        <v>98</v>
      </c>
      <c r="L1293">
        <v>50</v>
      </c>
      <c r="M1293" t="s">
        <v>186</v>
      </c>
      <c r="N1293" t="s">
        <v>11</v>
      </c>
      <c r="O1293">
        <v>3.6282999999999999</v>
      </c>
      <c r="P1293" s="45">
        <f t="shared" si="96"/>
        <v>181.42</v>
      </c>
      <c r="Q1293" s="13">
        <f>IF(N1293="HKD",7.8,IF(N1293="CNY",7.30034,1))</f>
        <v>7.3003400000000003</v>
      </c>
      <c r="R1293" s="15">
        <f>+ROUND(O1293/Q1293,4)</f>
        <v>0.497</v>
      </c>
      <c r="S1293" s="14">
        <f>ROUND(R1293*L1293,2)</f>
        <v>24.85</v>
      </c>
      <c r="T1293" s="15" t="s">
        <v>349</v>
      </c>
      <c r="U1293" t="s">
        <v>191</v>
      </c>
      <c r="W1293" s="49" t="e">
        <f t="shared" si="97"/>
        <v>#DIV/0!</v>
      </c>
    </row>
    <row r="1294" spans="1:23" x14ac:dyDescent="0.2">
      <c r="A1294" t="s">
        <v>2654</v>
      </c>
      <c r="B1294" s="24">
        <v>45740</v>
      </c>
      <c r="C1294" s="24">
        <v>45722</v>
      </c>
      <c r="D1294" t="s">
        <v>187</v>
      </c>
      <c r="E1294" t="s">
        <v>188</v>
      </c>
      <c r="F1294" s="23"/>
      <c r="G1294" t="s">
        <v>3006</v>
      </c>
      <c r="H1294" t="s">
        <v>211</v>
      </c>
      <c r="I1294" t="s">
        <v>212</v>
      </c>
      <c r="J1294" s="11" t="str">
        <f>+LEFT(U1294,4)</f>
        <v>ALM-</v>
      </c>
      <c r="K1294" t="s">
        <v>98</v>
      </c>
      <c r="L1294">
        <v>100</v>
      </c>
      <c r="M1294" t="s">
        <v>186</v>
      </c>
      <c r="N1294" t="s">
        <v>11</v>
      </c>
      <c r="O1294">
        <v>3.1415999999999999</v>
      </c>
      <c r="P1294" s="45">
        <f t="shared" si="96"/>
        <v>314.16000000000003</v>
      </c>
      <c r="Q1294" s="13">
        <f>IF(N1294="HKD",7.8,IF(N1294="CNY",7.30034,1))</f>
        <v>7.3003400000000003</v>
      </c>
      <c r="R1294" s="15">
        <f>+ROUND(O1294/Q1294,4)</f>
        <v>0.43030000000000002</v>
      </c>
      <c r="S1294" s="14">
        <f>ROUND(R1294*L1294,2)</f>
        <v>43.03</v>
      </c>
      <c r="T1294" s="15" t="s">
        <v>349</v>
      </c>
      <c r="U1294" t="s">
        <v>191</v>
      </c>
      <c r="W1294" s="49" t="e">
        <f t="shared" si="97"/>
        <v>#DIV/0!</v>
      </c>
    </row>
    <row r="1295" spans="1:23" x14ac:dyDescent="0.2">
      <c r="A1295" t="s">
        <v>2655</v>
      </c>
      <c r="B1295" s="24">
        <v>45740</v>
      </c>
      <c r="C1295" s="24">
        <v>45722</v>
      </c>
      <c r="D1295" t="s">
        <v>187</v>
      </c>
      <c r="E1295" t="s">
        <v>188</v>
      </c>
      <c r="F1295" s="23"/>
      <c r="G1295" t="s">
        <v>3006</v>
      </c>
      <c r="H1295" t="s">
        <v>202</v>
      </c>
      <c r="I1295" t="s">
        <v>203</v>
      </c>
      <c r="J1295" s="11" t="str">
        <f>+LEFT(U1295,4)</f>
        <v>ALM-</v>
      </c>
      <c r="K1295" t="s">
        <v>98</v>
      </c>
      <c r="L1295">
        <v>50</v>
      </c>
      <c r="M1295" t="s">
        <v>186</v>
      </c>
      <c r="N1295" t="s">
        <v>11</v>
      </c>
      <c r="O1295">
        <v>3.1415999999999999</v>
      </c>
      <c r="P1295" s="45">
        <f t="shared" si="96"/>
        <v>157.08000000000001</v>
      </c>
      <c r="Q1295" s="13">
        <f>IF(N1295="HKD",7.8,IF(N1295="CNY",7.30034,1))</f>
        <v>7.3003400000000003</v>
      </c>
      <c r="R1295" s="15">
        <f>+ROUND(O1295/Q1295,4)</f>
        <v>0.43030000000000002</v>
      </c>
      <c r="S1295" s="14">
        <f>ROUND(R1295*L1295,2)</f>
        <v>21.52</v>
      </c>
      <c r="T1295" s="15" t="s">
        <v>349</v>
      </c>
      <c r="U1295" t="s">
        <v>191</v>
      </c>
      <c r="W1295" s="49" t="e">
        <f t="shared" si="97"/>
        <v>#DIV/0!</v>
      </c>
    </row>
    <row r="1296" spans="1:23" x14ac:dyDescent="0.2">
      <c r="A1296" t="s">
        <v>2656</v>
      </c>
      <c r="B1296" s="24">
        <v>45740</v>
      </c>
      <c r="C1296" s="24">
        <v>45723</v>
      </c>
      <c r="D1296" t="s">
        <v>806</v>
      </c>
      <c r="E1296" t="s">
        <v>807</v>
      </c>
      <c r="F1296" s="23"/>
      <c r="G1296" t="s">
        <v>3024</v>
      </c>
      <c r="H1296" t="s">
        <v>3212</v>
      </c>
      <c r="I1296" t="s">
        <v>3419</v>
      </c>
      <c r="J1296" s="11" t="str">
        <f>+LEFT(U1296,4)</f>
        <v>SWF-</v>
      </c>
      <c r="K1296" t="s">
        <v>10</v>
      </c>
      <c r="L1296">
        <v>98.7</v>
      </c>
      <c r="M1296" t="s">
        <v>186</v>
      </c>
      <c r="N1296" t="s">
        <v>11</v>
      </c>
      <c r="O1296">
        <v>16</v>
      </c>
      <c r="P1296" s="45">
        <f t="shared" si="96"/>
        <v>1579.2</v>
      </c>
      <c r="Q1296" s="13">
        <f>IF(N1296="HKD",7.8,IF(N1296="CNY",7.30034,1))</f>
        <v>7.3003400000000003</v>
      </c>
      <c r="R1296" s="15">
        <f>+ROUND(O1296/Q1296,4)</f>
        <v>2.1917</v>
      </c>
      <c r="S1296" s="14">
        <f>ROUND(R1296*L1296,2)</f>
        <v>216.32</v>
      </c>
      <c r="T1296" s="15" t="s">
        <v>349</v>
      </c>
      <c r="U1296" t="s">
        <v>3483</v>
      </c>
      <c r="W1296" s="49" t="e">
        <f t="shared" si="97"/>
        <v>#DIV/0!</v>
      </c>
    </row>
    <row r="1297" spans="1:23" x14ac:dyDescent="0.2">
      <c r="A1297" t="s">
        <v>2681</v>
      </c>
      <c r="B1297" s="24">
        <v>45740</v>
      </c>
      <c r="C1297" s="24">
        <v>45726</v>
      </c>
      <c r="D1297" t="s">
        <v>187</v>
      </c>
      <c r="E1297" t="s">
        <v>188</v>
      </c>
      <c r="F1297" s="23"/>
      <c r="G1297" t="s">
        <v>3006</v>
      </c>
      <c r="H1297" t="s">
        <v>3223</v>
      </c>
      <c r="I1297" t="s">
        <v>3430</v>
      </c>
      <c r="J1297" s="11" t="str">
        <f>+LEFT(U1297,4)</f>
        <v>ALM-</v>
      </c>
      <c r="K1297" t="s">
        <v>98</v>
      </c>
      <c r="L1297">
        <v>100</v>
      </c>
      <c r="M1297" t="s">
        <v>186</v>
      </c>
      <c r="N1297" t="s">
        <v>11</v>
      </c>
      <c r="O1297">
        <v>3.6282999999999999</v>
      </c>
      <c r="P1297" s="45">
        <f t="shared" si="96"/>
        <v>362.83</v>
      </c>
      <c r="Q1297" s="13">
        <f>IF(N1297="HKD",7.8,IF(N1297="CNY",7.30034,1))</f>
        <v>7.3003400000000003</v>
      </c>
      <c r="R1297" s="15">
        <f>+ROUND(O1297/Q1297,4)</f>
        <v>0.497</v>
      </c>
      <c r="S1297" s="14">
        <f>ROUND(R1297*L1297,2)</f>
        <v>49.7</v>
      </c>
      <c r="T1297" s="15" t="s">
        <v>349</v>
      </c>
      <c r="U1297" t="s">
        <v>191</v>
      </c>
      <c r="W1297" s="49" t="e">
        <f t="shared" si="97"/>
        <v>#DIV/0!</v>
      </c>
    </row>
    <row r="1298" spans="1:23" x14ac:dyDescent="0.2">
      <c r="A1298" t="s">
        <v>2682</v>
      </c>
      <c r="B1298" s="24">
        <v>45740</v>
      </c>
      <c r="C1298" s="24">
        <v>45726</v>
      </c>
      <c r="D1298" t="s">
        <v>187</v>
      </c>
      <c r="E1298" t="s">
        <v>188</v>
      </c>
      <c r="F1298" s="23"/>
      <c r="G1298" t="s">
        <v>3006</v>
      </c>
      <c r="H1298" t="s">
        <v>1210</v>
      </c>
      <c r="I1298" t="s">
        <v>1211</v>
      </c>
      <c r="J1298" s="11" t="str">
        <f>+LEFT(U1298,4)</f>
        <v>ALM-</v>
      </c>
      <c r="K1298" t="s">
        <v>98</v>
      </c>
      <c r="L1298">
        <v>450</v>
      </c>
      <c r="M1298" t="s">
        <v>186</v>
      </c>
      <c r="N1298" t="s">
        <v>11</v>
      </c>
      <c r="O1298">
        <v>3.1415999999999999</v>
      </c>
      <c r="P1298" s="45">
        <f t="shared" si="96"/>
        <v>1413.72</v>
      </c>
      <c r="Q1298" s="13">
        <f>IF(N1298="HKD",7.8,IF(N1298="CNY",7.30034,1))</f>
        <v>7.3003400000000003</v>
      </c>
      <c r="R1298" s="15">
        <f>+ROUND(O1298/Q1298,4)</f>
        <v>0.43030000000000002</v>
      </c>
      <c r="S1298" s="14">
        <f>ROUND(R1298*L1298,2)</f>
        <v>193.64</v>
      </c>
      <c r="T1298" s="15" t="s">
        <v>349</v>
      </c>
      <c r="U1298" t="s">
        <v>191</v>
      </c>
      <c r="W1298" s="49" t="e">
        <f t="shared" si="97"/>
        <v>#DIV/0!</v>
      </c>
    </row>
    <row r="1299" spans="1:23" x14ac:dyDescent="0.2">
      <c r="A1299" t="s">
        <v>2683</v>
      </c>
      <c r="B1299" s="24">
        <v>45740</v>
      </c>
      <c r="C1299" s="24">
        <v>45726</v>
      </c>
      <c r="D1299" t="s">
        <v>187</v>
      </c>
      <c r="E1299" t="s">
        <v>188</v>
      </c>
      <c r="F1299" s="23"/>
      <c r="G1299" t="s">
        <v>3006</v>
      </c>
      <c r="H1299" t="s">
        <v>1217</v>
      </c>
      <c r="I1299" t="s">
        <v>1218</v>
      </c>
      <c r="J1299" s="11" t="str">
        <f>+LEFT(U1299,4)</f>
        <v>ALM-</v>
      </c>
      <c r="K1299" t="s">
        <v>98</v>
      </c>
      <c r="L1299">
        <v>100</v>
      </c>
      <c r="M1299" t="s">
        <v>186</v>
      </c>
      <c r="N1299" t="s">
        <v>11</v>
      </c>
      <c r="O1299">
        <v>3.1415999999999999</v>
      </c>
      <c r="P1299" s="45">
        <f t="shared" si="96"/>
        <v>314.16000000000003</v>
      </c>
      <c r="Q1299" s="13">
        <f>IF(N1299="HKD",7.8,IF(N1299="CNY",7.30034,1))</f>
        <v>7.3003400000000003</v>
      </c>
      <c r="R1299" s="15">
        <f>+ROUND(O1299/Q1299,4)</f>
        <v>0.43030000000000002</v>
      </c>
      <c r="S1299" s="14">
        <f>ROUND(R1299*L1299,2)</f>
        <v>43.03</v>
      </c>
      <c r="T1299" s="15" t="s">
        <v>349</v>
      </c>
      <c r="U1299" t="s">
        <v>191</v>
      </c>
      <c r="W1299" s="49" t="e">
        <f t="shared" si="97"/>
        <v>#DIV/0!</v>
      </c>
    </row>
    <row r="1300" spans="1:23" x14ac:dyDescent="0.2">
      <c r="A1300" t="s">
        <v>2684</v>
      </c>
      <c r="B1300" s="24">
        <v>45740</v>
      </c>
      <c r="C1300" s="24">
        <v>45726</v>
      </c>
      <c r="D1300" t="s">
        <v>187</v>
      </c>
      <c r="E1300" t="s">
        <v>188</v>
      </c>
      <c r="F1300" s="23"/>
      <c r="G1300" t="s">
        <v>3006</v>
      </c>
      <c r="H1300" t="s">
        <v>196</v>
      </c>
      <c r="I1300" t="s">
        <v>197</v>
      </c>
      <c r="J1300" s="11" t="str">
        <f>+LEFT(U1300,4)</f>
        <v>ALM-</v>
      </c>
      <c r="K1300" t="s">
        <v>98</v>
      </c>
      <c r="L1300">
        <v>50</v>
      </c>
      <c r="M1300" t="s">
        <v>186</v>
      </c>
      <c r="N1300" t="s">
        <v>11</v>
      </c>
      <c r="O1300">
        <v>3.1415999999999999</v>
      </c>
      <c r="P1300" s="45">
        <f t="shared" si="96"/>
        <v>157.08000000000001</v>
      </c>
      <c r="Q1300" s="13">
        <f>IF(N1300="HKD",7.8,IF(N1300="CNY",7.30034,1))</f>
        <v>7.3003400000000003</v>
      </c>
      <c r="R1300" s="15">
        <f>+ROUND(O1300/Q1300,4)</f>
        <v>0.43030000000000002</v>
      </c>
      <c r="S1300" s="14">
        <f>ROUND(R1300*L1300,2)</f>
        <v>21.52</v>
      </c>
      <c r="T1300" s="15" t="s">
        <v>349</v>
      </c>
      <c r="U1300" t="s">
        <v>191</v>
      </c>
      <c r="W1300" s="49" t="e">
        <f t="shared" si="97"/>
        <v>#DIV/0!</v>
      </c>
    </row>
    <row r="1301" spans="1:23" x14ac:dyDescent="0.2">
      <c r="A1301" t="s">
        <v>2690</v>
      </c>
      <c r="B1301" s="24">
        <v>45740</v>
      </c>
      <c r="C1301" s="24">
        <v>45727</v>
      </c>
      <c r="D1301" t="s">
        <v>187</v>
      </c>
      <c r="E1301" t="s">
        <v>188</v>
      </c>
      <c r="F1301" s="23"/>
      <c r="G1301" t="s">
        <v>3006</v>
      </c>
      <c r="H1301" t="s">
        <v>3226</v>
      </c>
      <c r="I1301" t="s">
        <v>3433</v>
      </c>
      <c r="J1301" s="11" t="str">
        <f>+LEFT(U1301,4)</f>
        <v>ALM-</v>
      </c>
      <c r="K1301" t="s">
        <v>98</v>
      </c>
      <c r="L1301">
        <v>50</v>
      </c>
      <c r="M1301" t="s">
        <v>186</v>
      </c>
      <c r="N1301" t="s">
        <v>11</v>
      </c>
      <c r="O1301">
        <v>3.1415999999999999</v>
      </c>
      <c r="P1301" s="45">
        <f t="shared" si="96"/>
        <v>157.08000000000001</v>
      </c>
      <c r="Q1301" s="13">
        <f>IF(N1301="HKD",7.8,IF(N1301="CNY",7.30034,1))</f>
        <v>7.3003400000000003</v>
      </c>
      <c r="R1301" s="15">
        <f>+ROUND(O1301/Q1301,4)</f>
        <v>0.43030000000000002</v>
      </c>
      <c r="S1301" s="14">
        <f>ROUND(R1301*L1301,2)</f>
        <v>21.52</v>
      </c>
      <c r="T1301" s="15" t="s">
        <v>349</v>
      </c>
      <c r="U1301" t="s">
        <v>191</v>
      </c>
      <c r="W1301" s="49" t="e">
        <f t="shared" si="97"/>
        <v>#DIV/0!</v>
      </c>
    </row>
    <row r="1302" spans="1:23" x14ac:dyDescent="0.2">
      <c r="A1302" t="s">
        <v>2699</v>
      </c>
      <c r="B1302" s="24">
        <v>45740</v>
      </c>
      <c r="C1302" s="24">
        <v>45728</v>
      </c>
      <c r="D1302" t="s">
        <v>169</v>
      </c>
      <c r="E1302" t="s">
        <v>170</v>
      </c>
      <c r="F1302" s="23"/>
      <c r="G1302" t="s">
        <v>3016</v>
      </c>
      <c r="H1302" t="s">
        <v>619</v>
      </c>
      <c r="I1302" t="s">
        <v>620</v>
      </c>
      <c r="J1302" s="11" t="str">
        <f>+LEFT(U1302,4)</f>
        <v>STKR</v>
      </c>
      <c r="K1302" t="s">
        <v>10</v>
      </c>
      <c r="L1302">
        <v>3020</v>
      </c>
      <c r="M1302" t="s">
        <v>1472</v>
      </c>
      <c r="N1302" t="s">
        <v>11</v>
      </c>
      <c r="O1302">
        <v>0.03</v>
      </c>
      <c r="P1302" s="45">
        <f t="shared" si="96"/>
        <v>90.6</v>
      </c>
      <c r="Q1302" s="13">
        <f>IF(N1302="HKD",7.8,IF(N1302="CNY",7.30034,1))</f>
        <v>7.3003400000000003</v>
      </c>
      <c r="R1302" s="15">
        <f>+ROUND(O1302/Q1302,4)</f>
        <v>4.1000000000000003E-3</v>
      </c>
      <c r="S1302" s="14">
        <f>ROUND(R1302*L1302,2)</f>
        <v>12.38</v>
      </c>
      <c r="T1302" s="15" t="s">
        <v>349</v>
      </c>
      <c r="U1302" t="s">
        <v>18</v>
      </c>
      <c r="W1302" s="49" t="e">
        <f t="shared" si="97"/>
        <v>#DIV/0!</v>
      </c>
    </row>
    <row r="1303" spans="1:23" x14ac:dyDescent="0.2">
      <c r="A1303" t="s">
        <v>2700</v>
      </c>
      <c r="B1303" s="24">
        <v>45740</v>
      </c>
      <c r="C1303" s="24">
        <v>45728</v>
      </c>
      <c r="D1303" t="s">
        <v>169</v>
      </c>
      <c r="E1303" t="s">
        <v>170</v>
      </c>
      <c r="F1303" s="23"/>
      <c r="G1303" t="s">
        <v>3016</v>
      </c>
      <c r="H1303" t="s">
        <v>615</v>
      </c>
      <c r="I1303" t="s">
        <v>616</v>
      </c>
      <c r="J1303" s="11" t="str">
        <f>+LEFT(U1303,4)</f>
        <v>STKR</v>
      </c>
      <c r="K1303" t="s">
        <v>10</v>
      </c>
      <c r="L1303">
        <v>3020</v>
      </c>
      <c r="M1303" t="s">
        <v>1472</v>
      </c>
      <c r="N1303" t="s">
        <v>11</v>
      </c>
      <c r="O1303">
        <v>0.03</v>
      </c>
      <c r="P1303" s="45">
        <f t="shared" si="96"/>
        <v>90.6</v>
      </c>
      <c r="Q1303" s="13">
        <f>IF(N1303="HKD",7.8,IF(N1303="CNY",7.30034,1))</f>
        <v>7.3003400000000003</v>
      </c>
      <c r="R1303" s="15">
        <f>+ROUND(O1303/Q1303,4)</f>
        <v>4.1000000000000003E-3</v>
      </c>
      <c r="S1303" s="14">
        <f>ROUND(R1303*L1303,2)</f>
        <v>12.38</v>
      </c>
      <c r="T1303" s="15" t="s">
        <v>349</v>
      </c>
      <c r="U1303" t="s">
        <v>18</v>
      </c>
      <c r="W1303" s="49" t="e">
        <f t="shared" si="97"/>
        <v>#DIV/0!</v>
      </c>
    </row>
    <row r="1304" spans="1:23" x14ac:dyDescent="0.2">
      <c r="A1304" t="s">
        <v>2701</v>
      </c>
      <c r="B1304" s="24">
        <v>45740</v>
      </c>
      <c r="C1304" s="24">
        <v>45728</v>
      </c>
      <c r="D1304" t="s">
        <v>169</v>
      </c>
      <c r="E1304" t="s">
        <v>170</v>
      </c>
      <c r="F1304" s="23"/>
      <c r="G1304" t="s">
        <v>3035</v>
      </c>
      <c r="H1304" t="s">
        <v>3228</v>
      </c>
      <c r="I1304" t="s">
        <v>3435</v>
      </c>
      <c r="J1304" s="11" t="str">
        <f>+LEFT(U1304,4)</f>
        <v>U&amp;C-</v>
      </c>
      <c r="K1304" t="s">
        <v>10</v>
      </c>
      <c r="L1304">
        <v>2020</v>
      </c>
      <c r="M1304" t="s">
        <v>1472</v>
      </c>
      <c r="N1304" t="s">
        <v>11</v>
      </c>
      <c r="O1304">
        <v>1.45</v>
      </c>
      <c r="P1304" s="45">
        <f t="shared" si="96"/>
        <v>2929</v>
      </c>
      <c r="Q1304" s="13">
        <f>IF(N1304="HKD",7.8,IF(N1304="CNY",7.30034,1))</f>
        <v>7.3003400000000003</v>
      </c>
      <c r="R1304" s="15">
        <f>+ROUND(O1304/Q1304,4)</f>
        <v>0.1986</v>
      </c>
      <c r="S1304" s="14">
        <f>ROUND(R1304*L1304,2)</f>
        <v>401.17</v>
      </c>
      <c r="T1304" s="15" t="s">
        <v>349</v>
      </c>
      <c r="U1304" t="s">
        <v>177</v>
      </c>
      <c r="W1304" s="49" t="e">
        <f t="shared" si="97"/>
        <v>#DIV/0!</v>
      </c>
    </row>
    <row r="1305" spans="1:23" x14ac:dyDescent="0.2">
      <c r="A1305" t="s">
        <v>2702</v>
      </c>
      <c r="B1305" s="24">
        <v>45740</v>
      </c>
      <c r="C1305" s="24">
        <v>45728</v>
      </c>
      <c r="D1305" t="s">
        <v>169</v>
      </c>
      <c r="E1305" t="s">
        <v>170</v>
      </c>
      <c r="F1305" s="23"/>
      <c r="G1305" t="s">
        <v>3035</v>
      </c>
      <c r="H1305" t="s">
        <v>3229</v>
      </c>
      <c r="I1305" t="s">
        <v>3436</v>
      </c>
      <c r="J1305" s="11" t="str">
        <f>+LEFT(U1305,4)</f>
        <v>U&amp;C-</v>
      </c>
      <c r="K1305" t="s">
        <v>10</v>
      </c>
      <c r="L1305">
        <v>2020</v>
      </c>
      <c r="M1305" t="s">
        <v>1472</v>
      </c>
      <c r="N1305" t="s">
        <v>11</v>
      </c>
      <c r="O1305">
        <v>1.81</v>
      </c>
      <c r="P1305" s="45">
        <f t="shared" si="96"/>
        <v>3656.2</v>
      </c>
      <c r="Q1305" s="13">
        <f>IF(N1305="HKD",7.8,IF(N1305="CNY",7.30034,1))</f>
        <v>7.3003400000000003</v>
      </c>
      <c r="R1305" s="15">
        <f>+ROUND(O1305/Q1305,4)</f>
        <v>0.24790000000000001</v>
      </c>
      <c r="S1305" s="14">
        <f>ROUND(R1305*L1305,2)</f>
        <v>500.76</v>
      </c>
      <c r="T1305" s="15" t="s">
        <v>349</v>
      </c>
      <c r="U1305" t="s">
        <v>177</v>
      </c>
      <c r="W1305" s="49" t="e">
        <f t="shared" si="97"/>
        <v>#DIV/0!</v>
      </c>
    </row>
    <row r="1306" spans="1:23" x14ac:dyDescent="0.2">
      <c r="A1306" t="s">
        <v>2703</v>
      </c>
      <c r="B1306" s="24">
        <v>45740</v>
      </c>
      <c r="C1306" s="24">
        <v>45728</v>
      </c>
      <c r="D1306" t="s">
        <v>169</v>
      </c>
      <c r="E1306" t="s">
        <v>170</v>
      </c>
      <c r="F1306" s="23"/>
      <c r="G1306" t="s">
        <v>3036</v>
      </c>
      <c r="H1306" t="s">
        <v>3230</v>
      </c>
      <c r="I1306" t="s">
        <v>3437</v>
      </c>
      <c r="J1306" s="11" t="str">
        <f>+LEFT(U1306,4)</f>
        <v>STKR</v>
      </c>
      <c r="K1306" t="s">
        <v>10</v>
      </c>
      <c r="L1306">
        <v>1010</v>
      </c>
      <c r="M1306" t="s">
        <v>1472</v>
      </c>
      <c r="N1306" t="s">
        <v>11</v>
      </c>
      <c r="O1306">
        <v>4.2000000000000003E-2</v>
      </c>
      <c r="P1306" s="45">
        <f t="shared" si="96"/>
        <v>42.42</v>
      </c>
      <c r="Q1306" s="13">
        <f>IF(N1306="HKD",7.8,IF(N1306="CNY",7.30034,1))</f>
        <v>7.3003400000000003</v>
      </c>
      <c r="R1306" s="15">
        <f>+ROUND(O1306/Q1306,4)</f>
        <v>5.7999999999999996E-3</v>
      </c>
      <c r="S1306" s="14">
        <f>ROUND(R1306*L1306,2)</f>
        <v>5.86</v>
      </c>
      <c r="T1306" s="15" t="s">
        <v>349</v>
      </c>
      <c r="U1306" t="s">
        <v>18</v>
      </c>
      <c r="W1306" s="49" t="e">
        <f t="shared" si="97"/>
        <v>#DIV/0!</v>
      </c>
    </row>
    <row r="1307" spans="1:23" x14ac:dyDescent="0.2">
      <c r="A1307" t="s">
        <v>2704</v>
      </c>
      <c r="B1307" s="24">
        <v>45740</v>
      </c>
      <c r="C1307" s="24">
        <v>45728</v>
      </c>
      <c r="D1307" t="s">
        <v>169</v>
      </c>
      <c r="E1307" t="s">
        <v>170</v>
      </c>
      <c r="F1307" s="23"/>
      <c r="G1307" t="s">
        <v>3036</v>
      </c>
      <c r="H1307" t="s">
        <v>3231</v>
      </c>
      <c r="I1307" t="s">
        <v>3438</v>
      </c>
      <c r="J1307" s="11" t="str">
        <f>+LEFT(U1307,4)</f>
        <v>STKR</v>
      </c>
      <c r="K1307" t="s">
        <v>10</v>
      </c>
      <c r="L1307">
        <v>1010</v>
      </c>
      <c r="M1307" t="s">
        <v>1472</v>
      </c>
      <c r="N1307" t="s">
        <v>11</v>
      </c>
      <c r="O1307">
        <v>4.2000000000000003E-2</v>
      </c>
      <c r="P1307" s="45">
        <f t="shared" si="96"/>
        <v>42.42</v>
      </c>
      <c r="Q1307" s="13">
        <f>IF(N1307="HKD",7.8,IF(N1307="CNY",7.30034,1))</f>
        <v>7.3003400000000003</v>
      </c>
      <c r="R1307" s="15">
        <f>+ROUND(O1307/Q1307,4)</f>
        <v>5.7999999999999996E-3</v>
      </c>
      <c r="S1307" s="14">
        <f>ROUND(R1307*L1307,2)</f>
        <v>5.86</v>
      </c>
      <c r="T1307" s="15" t="s">
        <v>349</v>
      </c>
      <c r="U1307" t="s">
        <v>18</v>
      </c>
      <c r="W1307" s="49" t="e">
        <f t="shared" si="97"/>
        <v>#DIV/0!</v>
      </c>
    </row>
    <row r="1308" spans="1:23" x14ac:dyDescent="0.2">
      <c r="A1308" t="s">
        <v>2705</v>
      </c>
      <c r="B1308" s="24">
        <v>45740</v>
      </c>
      <c r="C1308" s="24">
        <v>45728</v>
      </c>
      <c r="D1308" t="s">
        <v>169</v>
      </c>
      <c r="E1308" t="s">
        <v>170</v>
      </c>
      <c r="F1308" s="23"/>
      <c r="G1308" t="s">
        <v>3036</v>
      </c>
      <c r="H1308" t="s">
        <v>3232</v>
      </c>
      <c r="I1308" t="s">
        <v>3439</v>
      </c>
      <c r="J1308" s="11" t="str">
        <f>+LEFT(U1308,4)</f>
        <v>STKR</v>
      </c>
      <c r="K1308" t="s">
        <v>10</v>
      </c>
      <c r="L1308">
        <v>1010</v>
      </c>
      <c r="M1308" t="s">
        <v>1472</v>
      </c>
      <c r="N1308" t="s">
        <v>11</v>
      </c>
      <c r="O1308">
        <v>4.2000000000000003E-2</v>
      </c>
      <c r="P1308" s="45">
        <f t="shared" si="96"/>
        <v>42.42</v>
      </c>
      <c r="Q1308" s="13">
        <f>IF(N1308="HKD",7.8,IF(N1308="CNY",7.30034,1))</f>
        <v>7.3003400000000003</v>
      </c>
      <c r="R1308" s="15">
        <f>+ROUND(O1308/Q1308,4)</f>
        <v>5.7999999999999996E-3</v>
      </c>
      <c r="S1308" s="14">
        <f>ROUND(R1308*L1308,2)</f>
        <v>5.86</v>
      </c>
      <c r="T1308" s="15" t="s">
        <v>349</v>
      </c>
      <c r="U1308" t="s">
        <v>18</v>
      </c>
      <c r="W1308" s="49" t="e">
        <f t="shared" si="97"/>
        <v>#DIV/0!</v>
      </c>
    </row>
    <row r="1309" spans="1:23" x14ac:dyDescent="0.2">
      <c r="A1309" t="s">
        <v>2706</v>
      </c>
      <c r="B1309" s="24">
        <v>45740</v>
      </c>
      <c r="C1309" s="24">
        <v>45728</v>
      </c>
      <c r="D1309" t="s">
        <v>169</v>
      </c>
      <c r="E1309" t="s">
        <v>170</v>
      </c>
      <c r="F1309" s="23"/>
      <c r="G1309" t="s">
        <v>3036</v>
      </c>
      <c r="H1309" t="s">
        <v>3233</v>
      </c>
      <c r="I1309" t="s">
        <v>3440</v>
      </c>
      <c r="J1309" s="11" t="str">
        <f>+LEFT(U1309,4)</f>
        <v>STKR</v>
      </c>
      <c r="K1309" t="s">
        <v>10</v>
      </c>
      <c r="L1309">
        <v>1010</v>
      </c>
      <c r="M1309" t="s">
        <v>1472</v>
      </c>
      <c r="N1309" t="s">
        <v>11</v>
      </c>
      <c r="O1309">
        <v>4.2000000000000003E-2</v>
      </c>
      <c r="P1309" s="45">
        <f t="shared" si="96"/>
        <v>42.42</v>
      </c>
      <c r="Q1309" s="13">
        <f>IF(N1309="HKD",7.8,IF(N1309="CNY",7.30034,1))</f>
        <v>7.3003400000000003</v>
      </c>
      <c r="R1309" s="15">
        <f>+ROUND(O1309/Q1309,4)</f>
        <v>5.7999999999999996E-3</v>
      </c>
      <c r="S1309" s="14">
        <f>ROUND(R1309*L1309,2)</f>
        <v>5.86</v>
      </c>
      <c r="T1309" s="15" t="s">
        <v>349</v>
      </c>
      <c r="U1309" t="s">
        <v>18</v>
      </c>
      <c r="W1309" s="49" t="e">
        <f t="shared" si="97"/>
        <v>#DIV/0!</v>
      </c>
    </row>
    <row r="1310" spans="1:23" x14ac:dyDescent="0.2">
      <c r="A1310" t="s">
        <v>2707</v>
      </c>
      <c r="B1310" s="24">
        <v>45740</v>
      </c>
      <c r="C1310" s="24">
        <v>45728</v>
      </c>
      <c r="D1310" t="s">
        <v>169</v>
      </c>
      <c r="E1310" t="s">
        <v>170</v>
      </c>
      <c r="F1310" s="23"/>
      <c r="G1310" t="s">
        <v>3036</v>
      </c>
      <c r="H1310" t="s">
        <v>3234</v>
      </c>
      <c r="I1310" t="s">
        <v>3441</v>
      </c>
      <c r="J1310" s="11" t="str">
        <f>+LEFT(U1310,4)</f>
        <v>STKR</v>
      </c>
      <c r="K1310" t="s">
        <v>10</v>
      </c>
      <c r="L1310">
        <v>1010</v>
      </c>
      <c r="M1310" t="s">
        <v>1472</v>
      </c>
      <c r="N1310" t="s">
        <v>11</v>
      </c>
      <c r="O1310">
        <v>4.2000000000000003E-2</v>
      </c>
      <c r="P1310" s="45">
        <f t="shared" si="96"/>
        <v>42.42</v>
      </c>
      <c r="Q1310" s="13">
        <f>IF(N1310="HKD",7.8,IF(N1310="CNY",7.30034,1))</f>
        <v>7.3003400000000003</v>
      </c>
      <c r="R1310" s="15">
        <f>+ROUND(O1310/Q1310,4)</f>
        <v>5.7999999999999996E-3</v>
      </c>
      <c r="S1310" s="14">
        <f>ROUND(R1310*L1310,2)</f>
        <v>5.86</v>
      </c>
      <c r="T1310" s="15" t="s">
        <v>349</v>
      </c>
      <c r="U1310" t="s">
        <v>18</v>
      </c>
      <c r="W1310" s="49" t="e">
        <f t="shared" si="97"/>
        <v>#DIV/0!</v>
      </c>
    </row>
    <row r="1311" spans="1:23" x14ac:dyDescent="0.2">
      <c r="A1311" t="s">
        <v>2708</v>
      </c>
      <c r="B1311" s="24">
        <v>45740</v>
      </c>
      <c r="C1311" s="24">
        <v>45728</v>
      </c>
      <c r="D1311" t="s">
        <v>169</v>
      </c>
      <c r="E1311" t="s">
        <v>170</v>
      </c>
      <c r="F1311" s="23"/>
      <c r="G1311" t="s">
        <v>3036</v>
      </c>
      <c r="H1311" t="s">
        <v>3235</v>
      </c>
      <c r="I1311" t="s">
        <v>3442</v>
      </c>
      <c r="J1311" s="11" t="str">
        <f>+LEFT(U1311,4)</f>
        <v>STKR</v>
      </c>
      <c r="K1311" t="s">
        <v>10</v>
      </c>
      <c r="L1311">
        <v>510</v>
      </c>
      <c r="M1311" t="s">
        <v>1472</v>
      </c>
      <c r="N1311" t="s">
        <v>11</v>
      </c>
      <c r="O1311">
        <v>4.2000000000000003E-2</v>
      </c>
      <c r="P1311" s="45">
        <f t="shared" si="96"/>
        <v>21.42</v>
      </c>
      <c r="Q1311" s="13">
        <f>IF(N1311="HKD",7.8,IF(N1311="CNY",7.30034,1))</f>
        <v>7.3003400000000003</v>
      </c>
      <c r="R1311" s="15">
        <f>+ROUND(O1311/Q1311,4)</f>
        <v>5.7999999999999996E-3</v>
      </c>
      <c r="S1311" s="14">
        <f>ROUND(R1311*L1311,2)</f>
        <v>2.96</v>
      </c>
      <c r="T1311" s="15" t="s">
        <v>349</v>
      </c>
      <c r="U1311" t="s">
        <v>18</v>
      </c>
      <c r="W1311" s="49" t="e">
        <f t="shared" si="97"/>
        <v>#DIV/0!</v>
      </c>
    </row>
    <row r="1312" spans="1:23" x14ac:dyDescent="0.2">
      <c r="A1312" t="s">
        <v>2709</v>
      </c>
      <c r="B1312" s="24">
        <v>45740</v>
      </c>
      <c r="C1312" s="24">
        <v>45728</v>
      </c>
      <c r="D1312" t="s">
        <v>169</v>
      </c>
      <c r="E1312" t="s">
        <v>170</v>
      </c>
      <c r="F1312" s="23"/>
      <c r="G1312" t="s">
        <v>3016</v>
      </c>
      <c r="H1312" t="s">
        <v>1561</v>
      </c>
      <c r="I1312" t="s">
        <v>1562</v>
      </c>
      <c r="J1312" s="11" t="str">
        <f>+LEFT(U1312,4)</f>
        <v>STKR</v>
      </c>
      <c r="K1312" t="s">
        <v>10</v>
      </c>
      <c r="L1312">
        <v>4000</v>
      </c>
      <c r="M1312" t="s">
        <v>1472</v>
      </c>
      <c r="N1312" t="s">
        <v>11</v>
      </c>
      <c r="O1312">
        <v>3.5000000000000003E-2</v>
      </c>
      <c r="P1312" s="45">
        <f t="shared" si="96"/>
        <v>140</v>
      </c>
      <c r="Q1312" s="13">
        <f>IF(N1312="HKD",7.8,IF(N1312="CNY",7.30034,1))</f>
        <v>7.3003400000000003</v>
      </c>
      <c r="R1312" s="15">
        <f>+ROUND(O1312/Q1312,4)</f>
        <v>4.7999999999999996E-3</v>
      </c>
      <c r="S1312" s="14">
        <f>ROUND(R1312*L1312,2)</f>
        <v>19.2</v>
      </c>
      <c r="T1312" s="15" t="s">
        <v>349</v>
      </c>
      <c r="U1312" t="s">
        <v>18</v>
      </c>
      <c r="W1312" s="49" t="e">
        <f t="shared" si="97"/>
        <v>#DIV/0!</v>
      </c>
    </row>
    <row r="1313" spans="1:23" x14ac:dyDescent="0.2">
      <c r="A1313" t="s">
        <v>2710</v>
      </c>
      <c r="B1313" s="24">
        <v>45740</v>
      </c>
      <c r="C1313" s="24">
        <v>45728</v>
      </c>
      <c r="D1313" t="s">
        <v>169</v>
      </c>
      <c r="E1313" t="s">
        <v>170</v>
      </c>
      <c r="F1313" s="23"/>
      <c r="G1313" t="s">
        <v>3016</v>
      </c>
      <c r="H1313" t="s">
        <v>1133</v>
      </c>
      <c r="I1313" t="s">
        <v>1134</v>
      </c>
      <c r="J1313" s="11" t="str">
        <f>+LEFT(U1313,4)</f>
        <v>STKR</v>
      </c>
      <c r="K1313" t="s">
        <v>10</v>
      </c>
      <c r="L1313">
        <v>6500</v>
      </c>
      <c r="M1313" t="s">
        <v>1472</v>
      </c>
      <c r="N1313" t="s">
        <v>11</v>
      </c>
      <c r="O1313">
        <v>2.5899999999999999E-2</v>
      </c>
      <c r="P1313" s="45">
        <f t="shared" si="96"/>
        <v>168.35</v>
      </c>
      <c r="Q1313" s="13">
        <f>IF(N1313="HKD",7.8,IF(N1313="CNY",7.30034,1))</f>
        <v>7.3003400000000003</v>
      </c>
      <c r="R1313" s="15">
        <f>+ROUND(O1313/Q1313,4)</f>
        <v>3.5000000000000001E-3</v>
      </c>
      <c r="S1313" s="14">
        <f>ROUND(R1313*L1313,2)</f>
        <v>22.75</v>
      </c>
      <c r="T1313" s="15" t="s">
        <v>349</v>
      </c>
      <c r="U1313" t="s">
        <v>18</v>
      </c>
      <c r="W1313" s="49" t="e">
        <f t="shared" si="97"/>
        <v>#DIV/0!</v>
      </c>
    </row>
    <row r="1314" spans="1:23" x14ac:dyDescent="0.2">
      <c r="A1314" t="s">
        <v>2711</v>
      </c>
      <c r="B1314" s="24">
        <v>45740</v>
      </c>
      <c r="C1314" s="24">
        <v>45728</v>
      </c>
      <c r="D1314" t="s">
        <v>169</v>
      </c>
      <c r="E1314" t="s">
        <v>170</v>
      </c>
      <c r="F1314" s="23"/>
      <c r="G1314" t="s">
        <v>3016</v>
      </c>
      <c r="H1314" t="s">
        <v>3236</v>
      </c>
      <c r="I1314" t="s">
        <v>3443</v>
      </c>
      <c r="J1314" s="11" t="str">
        <f>+LEFT(U1314,4)</f>
        <v>STKR</v>
      </c>
      <c r="K1314" t="s">
        <v>10</v>
      </c>
      <c r="L1314">
        <v>200</v>
      </c>
      <c r="M1314" t="s">
        <v>1472</v>
      </c>
      <c r="N1314" t="s">
        <v>11</v>
      </c>
      <c r="O1314">
        <v>4.2000000000000003E-2</v>
      </c>
      <c r="P1314" s="45">
        <f t="shared" si="96"/>
        <v>8.4</v>
      </c>
      <c r="Q1314" s="13">
        <f>IF(N1314="HKD",7.8,IF(N1314="CNY",7.30034,1))</f>
        <v>7.3003400000000003</v>
      </c>
      <c r="R1314" s="15">
        <f>+ROUND(O1314/Q1314,4)</f>
        <v>5.7999999999999996E-3</v>
      </c>
      <c r="S1314" s="14">
        <f>ROUND(R1314*L1314,2)</f>
        <v>1.1599999999999999</v>
      </c>
      <c r="T1314" s="15" t="s">
        <v>349</v>
      </c>
      <c r="U1314" t="s">
        <v>18</v>
      </c>
      <c r="W1314" s="49" t="e">
        <f t="shared" si="97"/>
        <v>#DIV/0!</v>
      </c>
    </row>
    <row r="1315" spans="1:23" x14ac:dyDescent="0.2">
      <c r="A1315" t="s">
        <v>2712</v>
      </c>
      <c r="B1315" s="24">
        <v>45740</v>
      </c>
      <c r="C1315" s="24">
        <v>45728</v>
      </c>
      <c r="D1315" t="s">
        <v>169</v>
      </c>
      <c r="E1315" t="s">
        <v>170</v>
      </c>
      <c r="F1315" s="23"/>
      <c r="G1315" t="s">
        <v>3016</v>
      </c>
      <c r="H1315" t="s">
        <v>3236</v>
      </c>
      <c r="I1315" t="s">
        <v>3443</v>
      </c>
      <c r="J1315" s="11" t="str">
        <f>+LEFT(U1315,4)</f>
        <v>STKR</v>
      </c>
      <c r="K1315" t="s">
        <v>10</v>
      </c>
      <c r="L1315">
        <v>2020</v>
      </c>
      <c r="M1315" t="s">
        <v>1472</v>
      </c>
      <c r="N1315" t="s">
        <v>11</v>
      </c>
      <c r="O1315">
        <v>4.2000000000000003E-2</v>
      </c>
      <c r="P1315" s="45">
        <f t="shared" si="96"/>
        <v>84.84</v>
      </c>
      <c r="Q1315" s="13">
        <f>IF(N1315="HKD",7.8,IF(N1315="CNY",7.30034,1))</f>
        <v>7.3003400000000003</v>
      </c>
      <c r="R1315" s="15">
        <f>+ROUND(O1315/Q1315,4)</f>
        <v>5.7999999999999996E-3</v>
      </c>
      <c r="S1315" s="14">
        <f>ROUND(R1315*L1315,2)</f>
        <v>11.72</v>
      </c>
      <c r="T1315" s="15" t="s">
        <v>349</v>
      </c>
      <c r="U1315" t="s">
        <v>18</v>
      </c>
      <c r="W1315" s="49" t="e">
        <f t="shared" si="97"/>
        <v>#DIV/0!</v>
      </c>
    </row>
    <row r="1316" spans="1:23" x14ac:dyDescent="0.2">
      <c r="A1316" t="s">
        <v>2713</v>
      </c>
      <c r="B1316" s="24">
        <v>45740</v>
      </c>
      <c r="C1316" s="24">
        <v>45728</v>
      </c>
      <c r="D1316" t="s">
        <v>806</v>
      </c>
      <c r="E1316" t="s">
        <v>807</v>
      </c>
      <c r="F1316" s="23"/>
      <c r="G1316" t="s">
        <v>3037</v>
      </c>
      <c r="H1316" t="s">
        <v>1607</v>
      </c>
      <c r="I1316" t="s">
        <v>1608</v>
      </c>
      <c r="J1316" s="11" t="str">
        <f>+LEFT(U1316,4)</f>
        <v>BAG-</v>
      </c>
      <c r="K1316" t="s">
        <v>10</v>
      </c>
      <c r="L1316">
        <v>30000</v>
      </c>
      <c r="M1316" t="s">
        <v>1472</v>
      </c>
      <c r="N1316" t="s">
        <v>11</v>
      </c>
      <c r="O1316">
        <v>0.17299999999999999</v>
      </c>
      <c r="P1316" s="45">
        <f t="shared" si="96"/>
        <v>5190</v>
      </c>
      <c r="Q1316" s="13">
        <f>IF(N1316="HKD",7.8,IF(N1316="CNY",7.30034,1))</f>
        <v>7.3003400000000003</v>
      </c>
      <c r="R1316" s="15">
        <f>+ROUND(O1316/Q1316,4)</f>
        <v>2.3699999999999999E-2</v>
      </c>
      <c r="S1316" s="14">
        <f>ROUND(R1316*L1316,2)</f>
        <v>711</v>
      </c>
      <c r="T1316" s="15" t="s">
        <v>349</v>
      </c>
      <c r="U1316" t="s">
        <v>810</v>
      </c>
      <c r="W1316" s="49" t="e">
        <f t="shared" si="97"/>
        <v>#DIV/0!</v>
      </c>
    </row>
    <row r="1317" spans="1:23" x14ac:dyDescent="0.2">
      <c r="A1317" t="s">
        <v>2721</v>
      </c>
      <c r="B1317" s="24">
        <v>45740</v>
      </c>
      <c r="C1317" s="24">
        <v>45728</v>
      </c>
      <c r="D1317" t="s">
        <v>101</v>
      </c>
      <c r="E1317" t="s">
        <v>102</v>
      </c>
      <c r="F1317" s="23"/>
      <c r="G1317" t="s">
        <v>3039</v>
      </c>
      <c r="H1317" t="s">
        <v>3239</v>
      </c>
      <c r="I1317" t="s">
        <v>3446</v>
      </c>
      <c r="J1317" s="11" t="str">
        <f>+LEFT(U1317,4)</f>
        <v>STKR</v>
      </c>
      <c r="K1317" t="s">
        <v>10</v>
      </c>
      <c r="L1317">
        <v>1010</v>
      </c>
      <c r="M1317" t="s">
        <v>1472</v>
      </c>
      <c r="N1317" t="s">
        <v>11</v>
      </c>
      <c r="O1317">
        <v>0.11</v>
      </c>
      <c r="P1317" s="45">
        <f t="shared" si="96"/>
        <v>111.1</v>
      </c>
      <c r="Q1317" s="13">
        <f>IF(N1317="HKD",7.8,IF(N1317="CNY",7.30034,1))</f>
        <v>7.3003400000000003</v>
      </c>
      <c r="R1317" s="15">
        <f>+ROUND(O1317/Q1317,4)</f>
        <v>1.5100000000000001E-2</v>
      </c>
      <c r="S1317" s="14">
        <f>ROUND(R1317*L1317,2)</f>
        <v>15.25</v>
      </c>
      <c r="T1317" s="15" t="s">
        <v>349</v>
      </c>
      <c r="U1317" t="s">
        <v>18</v>
      </c>
      <c r="W1317" s="49" t="e">
        <f t="shared" si="97"/>
        <v>#DIV/0!</v>
      </c>
    </row>
    <row r="1318" spans="1:23" x14ac:dyDescent="0.2">
      <c r="A1318" t="s">
        <v>2722</v>
      </c>
      <c r="B1318" s="24">
        <v>45740</v>
      </c>
      <c r="C1318" s="24">
        <v>45728</v>
      </c>
      <c r="D1318" t="s">
        <v>101</v>
      </c>
      <c r="E1318" t="s">
        <v>102</v>
      </c>
      <c r="F1318" s="23"/>
      <c r="G1318" t="s">
        <v>3039</v>
      </c>
      <c r="H1318" t="s">
        <v>111</v>
      </c>
      <c r="I1318" t="s">
        <v>112</v>
      </c>
      <c r="J1318" s="11" t="str">
        <f>+LEFT(U1318,4)</f>
        <v>STKR</v>
      </c>
      <c r="K1318" t="s">
        <v>10</v>
      </c>
      <c r="L1318">
        <v>2270</v>
      </c>
      <c r="M1318" t="s">
        <v>1472</v>
      </c>
      <c r="N1318" t="s">
        <v>11</v>
      </c>
      <c r="O1318">
        <v>0.05</v>
      </c>
      <c r="P1318" s="45">
        <f t="shared" si="96"/>
        <v>113.5</v>
      </c>
      <c r="Q1318" s="13">
        <f>IF(N1318="HKD",7.8,IF(N1318="CNY",7.30034,1))</f>
        <v>7.3003400000000003</v>
      </c>
      <c r="R1318" s="15">
        <f>+ROUND(O1318/Q1318,4)</f>
        <v>6.7999999999999996E-3</v>
      </c>
      <c r="S1318" s="14">
        <f>ROUND(R1318*L1318,2)</f>
        <v>15.44</v>
      </c>
      <c r="T1318" s="15" t="s">
        <v>349</v>
      </c>
      <c r="U1318" t="s">
        <v>18</v>
      </c>
      <c r="W1318" s="49" t="e">
        <f t="shared" si="97"/>
        <v>#DIV/0!</v>
      </c>
    </row>
    <row r="1319" spans="1:23" x14ac:dyDescent="0.2">
      <c r="A1319" t="s">
        <v>2723</v>
      </c>
      <c r="B1319" s="24">
        <v>45740</v>
      </c>
      <c r="C1319" s="24">
        <v>45728</v>
      </c>
      <c r="D1319" t="s">
        <v>101</v>
      </c>
      <c r="E1319" t="s">
        <v>102</v>
      </c>
      <c r="F1319" s="23"/>
      <c r="G1319" t="s">
        <v>3039</v>
      </c>
      <c r="H1319" t="s">
        <v>108</v>
      </c>
      <c r="I1319" t="s">
        <v>109</v>
      </c>
      <c r="J1319" s="11" t="str">
        <f>+LEFT(U1319,4)</f>
        <v>STKR</v>
      </c>
      <c r="K1319" t="s">
        <v>10</v>
      </c>
      <c r="L1319">
        <v>2270</v>
      </c>
      <c r="M1319" t="s">
        <v>1472</v>
      </c>
      <c r="N1319" t="s">
        <v>11</v>
      </c>
      <c r="O1319">
        <v>0.05</v>
      </c>
      <c r="P1319" s="45">
        <f t="shared" si="96"/>
        <v>113.5</v>
      </c>
      <c r="Q1319" s="13">
        <f>IF(N1319="HKD",7.8,IF(N1319="CNY",7.30034,1))</f>
        <v>7.3003400000000003</v>
      </c>
      <c r="R1319" s="15">
        <f>+ROUND(O1319/Q1319,4)</f>
        <v>6.7999999999999996E-3</v>
      </c>
      <c r="S1319" s="14">
        <f>ROUND(R1319*L1319,2)</f>
        <v>15.44</v>
      </c>
      <c r="T1319" s="15" t="s">
        <v>349</v>
      </c>
      <c r="U1319" t="s">
        <v>18</v>
      </c>
      <c r="W1319" s="49" t="e">
        <f t="shared" si="97"/>
        <v>#DIV/0!</v>
      </c>
    </row>
    <row r="1320" spans="1:23" x14ac:dyDescent="0.2">
      <c r="A1320" t="s">
        <v>2724</v>
      </c>
      <c r="B1320" s="24">
        <v>45740</v>
      </c>
      <c r="C1320" s="24">
        <v>45728</v>
      </c>
      <c r="D1320" t="s">
        <v>101</v>
      </c>
      <c r="E1320" t="s">
        <v>102</v>
      </c>
      <c r="F1320" s="23"/>
      <c r="G1320" t="s">
        <v>3039</v>
      </c>
      <c r="H1320" t="s">
        <v>3240</v>
      </c>
      <c r="I1320" t="s">
        <v>3447</v>
      </c>
      <c r="J1320" s="11" t="str">
        <f>+LEFT(U1320,4)</f>
        <v>STKR</v>
      </c>
      <c r="K1320" t="s">
        <v>10</v>
      </c>
      <c r="L1320">
        <v>1010</v>
      </c>
      <c r="M1320" t="s">
        <v>1472</v>
      </c>
      <c r="N1320" t="s">
        <v>11</v>
      </c>
      <c r="O1320">
        <v>0.11</v>
      </c>
      <c r="P1320" s="45">
        <f t="shared" si="96"/>
        <v>111.1</v>
      </c>
      <c r="Q1320" s="13">
        <f>IF(N1320="HKD",7.8,IF(N1320="CNY",7.30034,1))</f>
        <v>7.3003400000000003</v>
      </c>
      <c r="R1320" s="15">
        <f>+ROUND(O1320/Q1320,4)</f>
        <v>1.5100000000000001E-2</v>
      </c>
      <c r="S1320" s="14">
        <f>ROUND(R1320*L1320,2)</f>
        <v>15.25</v>
      </c>
      <c r="T1320" s="15" t="s">
        <v>349</v>
      </c>
      <c r="U1320" t="s">
        <v>18</v>
      </c>
      <c r="W1320" s="49" t="e">
        <f t="shared" si="97"/>
        <v>#DIV/0!</v>
      </c>
    </row>
    <row r="1321" spans="1:23" x14ac:dyDescent="0.2">
      <c r="A1321" t="s">
        <v>2748</v>
      </c>
      <c r="B1321" s="24">
        <v>45740</v>
      </c>
      <c r="C1321" s="24">
        <v>45729</v>
      </c>
      <c r="D1321" t="s">
        <v>806</v>
      </c>
      <c r="E1321" t="s">
        <v>807</v>
      </c>
      <c r="F1321" s="23"/>
      <c r="G1321" t="s">
        <v>3037</v>
      </c>
      <c r="H1321" t="s">
        <v>3215</v>
      </c>
      <c r="I1321" t="s">
        <v>3422</v>
      </c>
      <c r="J1321" s="11" t="str">
        <f>+LEFT(U1321,4)</f>
        <v>BAG-</v>
      </c>
      <c r="K1321" t="s">
        <v>10</v>
      </c>
      <c r="L1321">
        <v>2820</v>
      </c>
      <c r="M1321" t="s">
        <v>1472</v>
      </c>
      <c r="N1321" t="s">
        <v>11</v>
      </c>
      <c r="O1321">
        <v>0.1</v>
      </c>
      <c r="P1321" s="45">
        <f t="shared" si="96"/>
        <v>282</v>
      </c>
      <c r="Q1321" s="13">
        <f>IF(N1321="HKD",7.8,IF(N1321="CNY",7.30034,1))</f>
        <v>7.3003400000000003</v>
      </c>
      <c r="R1321" s="15">
        <f>+ROUND(O1321/Q1321,4)</f>
        <v>1.37E-2</v>
      </c>
      <c r="S1321" s="14">
        <f>ROUND(R1321*L1321,2)</f>
        <v>38.630000000000003</v>
      </c>
      <c r="T1321" s="15" t="s">
        <v>349</v>
      </c>
      <c r="U1321" t="s">
        <v>810</v>
      </c>
      <c r="W1321" s="49" t="e">
        <f t="shared" si="97"/>
        <v>#DIV/0!</v>
      </c>
    </row>
    <row r="1322" spans="1:23" x14ac:dyDescent="0.2">
      <c r="A1322" t="s">
        <v>2749</v>
      </c>
      <c r="B1322" s="24">
        <v>45740</v>
      </c>
      <c r="C1322" s="24">
        <v>45729</v>
      </c>
      <c r="D1322" t="s">
        <v>806</v>
      </c>
      <c r="E1322" t="s">
        <v>807</v>
      </c>
      <c r="F1322" s="23"/>
      <c r="G1322" t="s">
        <v>3037</v>
      </c>
      <c r="H1322" t="s">
        <v>3216</v>
      </c>
      <c r="I1322" t="s">
        <v>3423</v>
      </c>
      <c r="J1322" s="11" t="str">
        <f>+LEFT(U1322,4)</f>
        <v>BAG-</v>
      </c>
      <c r="K1322" t="s">
        <v>10</v>
      </c>
      <c r="L1322">
        <v>15000</v>
      </c>
      <c r="M1322" t="s">
        <v>1472</v>
      </c>
      <c r="N1322" t="s">
        <v>11</v>
      </c>
      <c r="O1322">
        <v>0.13</v>
      </c>
      <c r="P1322" s="45">
        <f t="shared" si="96"/>
        <v>1950</v>
      </c>
      <c r="Q1322" s="13">
        <f>IF(N1322="HKD",7.8,IF(N1322="CNY",7.30034,1))</f>
        <v>7.3003400000000003</v>
      </c>
      <c r="R1322" s="15">
        <f>+ROUND(O1322/Q1322,4)</f>
        <v>1.78E-2</v>
      </c>
      <c r="S1322" s="14">
        <f>ROUND(R1322*L1322,2)</f>
        <v>267</v>
      </c>
      <c r="T1322" s="15" t="s">
        <v>349</v>
      </c>
      <c r="U1322" t="s">
        <v>810</v>
      </c>
      <c r="W1322" s="49" t="e">
        <f t="shared" si="97"/>
        <v>#DIV/0!</v>
      </c>
    </row>
    <row r="1323" spans="1:23" x14ac:dyDescent="0.2">
      <c r="A1323" t="s">
        <v>2750</v>
      </c>
      <c r="B1323" s="24">
        <v>45740</v>
      </c>
      <c r="C1323" s="24">
        <v>45729</v>
      </c>
      <c r="D1323" t="s">
        <v>806</v>
      </c>
      <c r="E1323" t="s">
        <v>807</v>
      </c>
      <c r="F1323" s="23"/>
      <c r="G1323" t="s">
        <v>3037</v>
      </c>
      <c r="H1323" t="s">
        <v>3217</v>
      </c>
      <c r="I1323" t="s">
        <v>3424</v>
      </c>
      <c r="J1323" s="11" t="str">
        <f>+LEFT(U1323,4)</f>
        <v>BAG-</v>
      </c>
      <c r="K1323" t="s">
        <v>10</v>
      </c>
      <c r="L1323">
        <v>7200</v>
      </c>
      <c r="M1323" t="s">
        <v>1472</v>
      </c>
      <c r="N1323" t="s">
        <v>11</v>
      </c>
      <c r="O1323">
        <v>0.14000000000000001</v>
      </c>
      <c r="P1323" s="45">
        <f t="shared" si="96"/>
        <v>1008</v>
      </c>
      <c r="Q1323" s="13">
        <f>IF(N1323="HKD",7.8,IF(N1323="CNY",7.30034,1))</f>
        <v>7.3003400000000003</v>
      </c>
      <c r="R1323" s="15">
        <f>+ROUND(O1323/Q1323,4)</f>
        <v>1.9199999999999998E-2</v>
      </c>
      <c r="S1323" s="14">
        <f>ROUND(R1323*L1323,2)</f>
        <v>138.24</v>
      </c>
      <c r="T1323" s="15" t="s">
        <v>349</v>
      </c>
      <c r="U1323" t="s">
        <v>810</v>
      </c>
      <c r="W1323" s="49" t="e">
        <f t="shared" si="97"/>
        <v>#DIV/0!</v>
      </c>
    </row>
    <row r="1324" spans="1:23" x14ac:dyDescent="0.2">
      <c r="A1324" t="s">
        <v>2751</v>
      </c>
      <c r="B1324" s="24">
        <v>45740</v>
      </c>
      <c r="C1324" s="24">
        <v>45729</v>
      </c>
      <c r="D1324" t="s">
        <v>806</v>
      </c>
      <c r="E1324" t="s">
        <v>807</v>
      </c>
      <c r="F1324" s="23"/>
      <c r="G1324" t="s">
        <v>3037</v>
      </c>
      <c r="H1324" t="s">
        <v>3248</v>
      </c>
      <c r="I1324" t="s">
        <v>3455</v>
      </c>
      <c r="J1324" s="11" t="str">
        <f>+LEFT(U1324,4)</f>
        <v>BAG-</v>
      </c>
      <c r="K1324" t="s">
        <v>10</v>
      </c>
      <c r="L1324">
        <v>3000</v>
      </c>
      <c r="M1324" t="s">
        <v>1472</v>
      </c>
      <c r="N1324" t="s">
        <v>11</v>
      </c>
      <c r="O1324">
        <v>0.185</v>
      </c>
      <c r="P1324" s="45">
        <f t="shared" si="96"/>
        <v>555</v>
      </c>
      <c r="Q1324" s="13">
        <f>IF(N1324="HKD",7.8,IF(N1324="CNY",7.30034,1))</f>
        <v>7.3003400000000003</v>
      </c>
      <c r="R1324" s="15">
        <f>+ROUND(O1324/Q1324,4)</f>
        <v>2.53E-2</v>
      </c>
      <c r="S1324" s="14">
        <f>ROUND(R1324*L1324,2)</f>
        <v>75.900000000000006</v>
      </c>
      <c r="T1324" s="15" t="s">
        <v>349</v>
      </c>
      <c r="U1324" t="s">
        <v>810</v>
      </c>
      <c r="W1324" s="49" t="e">
        <f t="shared" si="97"/>
        <v>#DIV/0!</v>
      </c>
    </row>
    <row r="1325" spans="1:23" x14ac:dyDescent="0.2">
      <c r="A1325" t="s">
        <v>2753</v>
      </c>
      <c r="B1325" s="24">
        <v>45740</v>
      </c>
      <c r="C1325" s="24">
        <v>45729</v>
      </c>
      <c r="D1325" t="s">
        <v>162</v>
      </c>
      <c r="E1325" t="s">
        <v>163</v>
      </c>
      <c r="F1325" s="23"/>
      <c r="G1325" t="s">
        <v>3000</v>
      </c>
      <c r="H1325" t="s">
        <v>573</v>
      </c>
      <c r="I1325" t="s">
        <v>574</v>
      </c>
      <c r="J1325" s="11" t="str">
        <f>+LEFT(U1325,4)</f>
        <v>SCR-</v>
      </c>
      <c r="K1325" t="s">
        <v>10</v>
      </c>
      <c r="L1325">
        <v>930</v>
      </c>
      <c r="M1325" t="s">
        <v>1472</v>
      </c>
      <c r="N1325" t="s">
        <v>11</v>
      </c>
      <c r="O1325">
        <v>0.11700000000000001</v>
      </c>
      <c r="P1325" s="45">
        <f t="shared" si="96"/>
        <v>108.81</v>
      </c>
      <c r="Q1325" s="13">
        <f>IF(N1325="HKD",7.8,IF(N1325="CNY",7.30034,1))</f>
        <v>7.3003400000000003</v>
      </c>
      <c r="R1325" s="15">
        <f>+ROUND(O1325/Q1325,4)</f>
        <v>1.6E-2</v>
      </c>
      <c r="S1325" s="14">
        <f>ROUND(R1325*L1325,2)</f>
        <v>14.88</v>
      </c>
      <c r="T1325" s="15" t="s">
        <v>349</v>
      </c>
      <c r="U1325" t="s">
        <v>166</v>
      </c>
      <c r="W1325" s="49" t="e">
        <f t="shared" si="97"/>
        <v>#DIV/0!</v>
      </c>
    </row>
    <row r="1326" spans="1:23" x14ac:dyDescent="0.2">
      <c r="A1326" t="s">
        <v>2765</v>
      </c>
      <c r="B1326" s="24">
        <v>45740</v>
      </c>
      <c r="C1326" s="24">
        <v>45730</v>
      </c>
      <c r="D1326" t="s">
        <v>806</v>
      </c>
      <c r="E1326" t="s">
        <v>807</v>
      </c>
      <c r="F1326" s="23"/>
      <c r="G1326" t="s">
        <v>3037</v>
      </c>
      <c r="H1326" t="s">
        <v>3253</v>
      </c>
      <c r="I1326" t="s">
        <v>3460</v>
      </c>
      <c r="J1326" s="11" t="str">
        <f>+LEFT(U1326,4)</f>
        <v>BAG-</v>
      </c>
      <c r="K1326" t="s">
        <v>10</v>
      </c>
      <c r="L1326">
        <v>7000</v>
      </c>
      <c r="M1326" t="s">
        <v>1472</v>
      </c>
      <c r="N1326" t="s">
        <v>11</v>
      </c>
      <c r="O1326">
        <v>0.13</v>
      </c>
      <c r="P1326" s="45">
        <f t="shared" si="96"/>
        <v>910</v>
      </c>
      <c r="Q1326" s="13">
        <f>IF(N1326="HKD",7.8,IF(N1326="CNY",7.30034,1))</f>
        <v>7.3003400000000003</v>
      </c>
      <c r="R1326" s="15">
        <f>+ROUND(O1326/Q1326,4)</f>
        <v>1.78E-2</v>
      </c>
      <c r="S1326" s="14">
        <f>ROUND(R1326*L1326,2)</f>
        <v>124.6</v>
      </c>
      <c r="T1326" s="15" t="s">
        <v>349</v>
      </c>
      <c r="U1326" t="s">
        <v>810</v>
      </c>
      <c r="W1326" s="49" t="e">
        <f t="shared" si="97"/>
        <v>#DIV/0!</v>
      </c>
    </row>
    <row r="1327" spans="1:23" x14ac:dyDescent="0.2">
      <c r="A1327" t="s">
        <v>2766</v>
      </c>
      <c r="B1327" s="24">
        <v>45740</v>
      </c>
      <c r="C1327" s="24">
        <v>45730</v>
      </c>
      <c r="D1327" t="s">
        <v>806</v>
      </c>
      <c r="E1327" t="s">
        <v>807</v>
      </c>
      <c r="F1327" s="23"/>
      <c r="G1327" t="s">
        <v>3037</v>
      </c>
      <c r="H1327" t="s">
        <v>817</v>
      </c>
      <c r="I1327" t="s">
        <v>818</v>
      </c>
      <c r="J1327" s="11" t="str">
        <f>+LEFT(U1327,4)</f>
        <v>BAG-</v>
      </c>
      <c r="K1327" t="s">
        <v>10</v>
      </c>
      <c r="L1327">
        <v>3000</v>
      </c>
      <c r="M1327" t="s">
        <v>1472</v>
      </c>
      <c r="N1327" t="s">
        <v>11</v>
      </c>
      <c r="O1327">
        <v>8.5000000000000006E-2</v>
      </c>
      <c r="P1327" s="45">
        <f t="shared" si="96"/>
        <v>255</v>
      </c>
      <c r="Q1327" s="13">
        <f>IF(N1327="HKD",7.8,IF(N1327="CNY",7.30034,1))</f>
        <v>7.3003400000000003</v>
      </c>
      <c r="R1327" s="15">
        <f>+ROUND(O1327/Q1327,4)</f>
        <v>1.1599999999999999E-2</v>
      </c>
      <c r="S1327" s="14">
        <f>ROUND(R1327*L1327,2)</f>
        <v>34.799999999999997</v>
      </c>
      <c r="T1327" s="15" t="s">
        <v>349</v>
      </c>
      <c r="U1327" t="s">
        <v>810</v>
      </c>
      <c r="W1327" s="49" t="e">
        <f t="shared" si="97"/>
        <v>#DIV/0!</v>
      </c>
    </row>
    <row r="1328" spans="1:23" x14ac:dyDescent="0.2">
      <c r="A1328" t="s">
        <v>2767</v>
      </c>
      <c r="B1328" s="24">
        <v>45740</v>
      </c>
      <c r="C1328" s="24">
        <v>45730</v>
      </c>
      <c r="D1328" t="s">
        <v>806</v>
      </c>
      <c r="E1328" t="s">
        <v>807</v>
      </c>
      <c r="F1328" s="23"/>
      <c r="G1328" t="s">
        <v>3024</v>
      </c>
      <c r="H1328" t="s">
        <v>3254</v>
      </c>
      <c r="I1328" t="s">
        <v>3461</v>
      </c>
      <c r="J1328" s="11" t="str">
        <f>+LEFT(U1328,4)</f>
        <v>SWF-</v>
      </c>
      <c r="K1328" t="s">
        <v>10</v>
      </c>
      <c r="L1328">
        <v>100</v>
      </c>
      <c r="M1328" t="s">
        <v>186</v>
      </c>
      <c r="N1328" t="s">
        <v>11</v>
      </c>
      <c r="O1328">
        <v>17.2</v>
      </c>
      <c r="P1328" s="45">
        <f t="shared" si="96"/>
        <v>1720</v>
      </c>
      <c r="Q1328" s="13">
        <f>IF(N1328="HKD",7.8,IF(N1328="CNY",7.30034,1))</f>
        <v>7.3003400000000003</v>
      </c>
      <c r="R1328" s="15">
        <f>+ROUND(O1328/Q1328,4)</f>
        <v>2.3561000000000001</v>
      </c>
      <c r="S1328" s="14">
        <f>ROUND(R1328*L1328,2)</f>
        <v>235.61</v>
      </c>
      <c r="T1328" s="15" t="s">
        <v>349</v>
      </c>
      <c r="U1328" t="s">
        <v>3483</v>
      </c>
      <c r="W1328" s="49" t="e">
        <f t="shared" si="97"/>
        <v>#DIV/0!</v>
      </c>
    </row>
    <row r="1329" spans="1:23" x14ac:dyDescent="0.2">
      <c r="A1329" t="s">
        <v>2768</v>
      </c>
      <c r="B1329" s="24">
        <v>45740</v>
      </c>
      <c r="C1329" s="24">
        <v>45730</v>
      </c>
      <c r="D1329" t="s">
        <v>806</v>
      </c>
      <c r="E1329" t="s">
        <v>807</v>
      </c>
      <c r="F1329" s="23"/>
      <c r="G1329" t="s">
        <v>3024</v>
      </c>
      <c r="H1329" t="s">
        <v>3255</v>
      </c>
      <c r="I1329" t="s">
        <v>3462</v>
      </c>
      <c r="J1329" s="11" t="str">
        <f>+LEFT(U1329,4)</f>
        <v>SWF-</v>
      </c>
      <c r="K1329" t="s">
        <v>10</v>
      </c>
      <c r="L1329">
        <v>100</v>
      </c>
      <c r="M1329" t="s">
        <v>186</v>
      </c>
      <c r="N1329" t="s">
        <v>11</v>
      </c>
      <c r="O1329">
        <v>17.2</v>
      </c>
      <c r="P1329" s="45">
        <f t="shared" si="96"/>
        <v>1720</v>
      </c>
      <c r="Q1329" s="13">
        <f>IF(N1329="HKD",7.8,IF(N1329="CNY",7.30034,1))</f>
        <v>7.3003400000000003</v>
      </c>
      <c r="R1329" s="15">
        <f>+ROUND(O1329/Q1329,4)</f>
        <v>2.3561000000000001</v>
      </c>
      <c r="S1329" s="14">
        <f>ROUND(R1329*L1329,2)</f>
        <v>235.61</v>
      </c>
      <c r="T1329" s="15" t="s">
        <v>349</v>
      </c>
      <c r="U1329" t="s">
        <v>3483</v>
      </c>
      <c r="W1329" s="49" t="e">
        <f t="shared" si="97"/>
        <v>#DIV/0!</v>
      </c>
    </row>
    <row r="1330" spans="1:23" x14ac:dyDescent="0.2">
      <c r="A1330" t="s">
        <v>2769</v>
      </c>
      <c r="B1330" s="24">
        <v>45740</v>
      </c>
      <c r="C1330" s="24">
        <v>45730</v>
      </c>
      <c r="D1330" t="s">
        <v>806</v>
      </c>
      <c r="E1330" t="s">
        <v>807</v>
      </c>
      <c r="F1330" s="23"/>
      <c r="G1330" t="s">
        <v>3024</v>
      </c>
      <c r="H1330" t="s">
        <v>3087</v>
      </c>
      <c r="I1330" t="s">
        <v>3303</v>
      </c>
      <c r="J1330" s="11" t="str">
        <f>+LEFT(U1330,4)</f>
        <v>SWF-</v>
      </c>
      <c r="K1330" t="s">
        <v>10</v>
      </c>
      <c r="L1330">
        <v>100</v>
      </c>
      <c r="M1330" t="s">
        <v>186</v>
      </c>
      <c r="N1330" t="s">
        <v>11</v>
      </c>
      <c r="O1330">
        <v>16</v>
      </c>
      <c r="P1330" s="45">
        <f t="shared" si="96"/>
        <v>1600</v>
      </c>
      <c r="Q1330" s="13">
        <f>IF(N1330="HKD",7.8,IF(N1330="CNY",7.30034,1))</f>
        <v>7.3003400000000003</v>
      </c>
      <c r="R1330" s="15">
        <f>+ROUND(O1330/Q1330,4)</f>
        <v>2.1917</v>
      </c>
      <c r="S1330" s="14">
        <f>ROUND(R1330*L1330,2)</f>
        <v>219.17</v>
      </c>
      <c r="T1330" s="15" t="s">
        <v>349</v>
      </c>
      <c r="U1330" t="s">
        <v>3483</v>
      </c>
      <c r="W1330" s="49" t="e">
        <f t="shared" si="97"/>
        <v>#DIV/0!</v>
      </c>
    </row>
    <row r="1331" spans="1:23" x14ac:dyDescent="0.2">
      <c r="A1331" t="s">
        <v>2772</v>
      </c>
      <c r="B1331" s="24">
        <v>45740</v>
      </c>
      <c r="C1331" s="24">
        <v>45730</v>
      </c>
      <c r="D1331" t="s">
        <v>187</v>
      </c>
      <c r="E1331" t="s">
        <v>188</v>
      </c>
      <c r="F1331" s="23"/>
      <c r="G1331" t="s">
        <v>3006</v>
      </c>
      <c r="H1331" t="s">
        <v>208</v>
      </c>
      <c r="I1331" t="s">
        <v>209</v>
      </c>
      <c r="J1331" s="11" t="str">
        <f>+LEFT(U1331,4)</f>
        <v>ALM-</v>
      </c>
      <c r="K1331" t="s">
        <v>98</v>
      </c>
      <c r="L1331">
        <v>300</v>
      </c>
      <c r="M1331" t="s">
        <v>186</v>
      </c>
      <c r="N1331" t="s">
        <v>11</v>
      </c>
      <c r="O1331">
        <v>3.1415999999999999</v>
      </c>
      <c r="P1331" s="45">
        <f t="shared" si="96"/>
        <v>942.48</v>
      </c>
      <c r="Q1331" s="13">
        <f>IF(N1331="HKD",7.8,IF(N1331="CNY",7.30034,1))</f>
        <v>7.3003400000000003</v>
      </c>
      <c r="R1331" s="15">
        <f>+ROUND(O1331/Q1331,4)</f>
        <v>0.43030000000000002</v>
      </c>
      <c r="S1331" s="14">
        <f>ROUND(R1331*L1331,2)</f>
        <v>129.09</v>
      </c>
      <c r="T1331" s="15" t="s">
        <v>349</v>
      </c>
      <c r="U1331" t="s">
        <v>191</v>
      </c>
      <c r="W1331" s="49" t="e">
        <f t="shared" si="97"/>
        <v>#DIV/0!</v>
      </c>
    </row>
    <row r="1332" spans="1:23" x14ac:dyDescent="0.2">
      <c r="A1332" t="s">
        <v>2773</v>
      </c>
      <c r="B1332" s="24">
        <v>45740</v>
      </c>
      <c r="C1332" s="24">
        <v>45730</v>
      </c>
      <c r="D1332" t="s">
        <v>187</v>
      </c>
      <c r="E1332" t="s">
        <v>188</v>
      </c>
      <c r="F1332" s="23"/>
      <c r="G1332" t="s">
        <v>3006</v>
      </c>
      <c r="H1332" t="s">
        <v>1715</v>
      </c>
      <c r="I1332" t="s">
        <v>1716</v>
      </c>
      <c r="J1332" s="11" t="str">
        <f>+LEFT(U1332,4)</f>
        <v>ALM-</v>
      </c>
      <c r="K1332" t="s">
        <v>98</v>
      </c>
      <c r="L1332">
        <v>110</v>
      </c>
      <c r="M1332" t="s">
        <v>186</v>
      </c>
      <c r="N1332" t="s">
        <v>11</v>
      </c>
      <c r="O1332">
        <v>3.1415999999999999</v>
      </c>
      <c r="P1332" s="45">
        <f t="shared" si="96"/>
        <v>345.58</v>
      </c>
      <c r="Q1332" s="13">
        <f>IF(N1332="HKD",7.8,IF(N1332="CNY",7.30034,1))</f>
        <v>7.3003400000000003</v>
      </c>
      <c r="R1332" s="15">
        <f>+ROUND(O1332/Q1332,4)</f>
        <v>0.43030000000000002</v>
      </c>
      <c r="S1332" s="14">
        <f>ROUND(R1332*L1332,2)</f>
        <v>47.33</v>
      </c>
      <c r="T1332" s="15" t="s">
        <v>349</v>
      </c>
      <c r="U1332" t="s">
        <v>191</v>
      </c>
      <c r="W1332" s="49" t="e">
        <f t="shared" si="97"/>
        <v>#DIV/0!</v>
      </c>
    </row>
    <row r="1333" spans="1:23" x14ac:dyDescent="0.2">
      <c r="A1333" t="s">
        <v>2774</v>
      </c>
      <c r="B1333" s="24">
        <v>45740</v>
      </c>
      <c r="C1333" s="24">
        <v>45730</v>
      </c>
      <c r="D1333" t="s">
        <v>187</v>
      </c>
      <c r="E1333" t="s">
        <v>188</v>
      </c>
      <c r="F1333" s="23"/>
      <c r="G1333" t="s">
        <v>3006</v>
      </c>
      <c r="H1333" t="s">
        <v>202</v>
      </c>
      <c r="I1333" t="s">
        <v>203</v>
      </c>
      <c r="J1333" s="11" t="str">
        <f>+LEFT(U1333,4)</f>
        <v>ALM-</v>
      </c>
      <c r="K1333" t="s">
        <v>98</v>
      </c>
      <c r="L1333">
        <v>300</v>
      </c>
      <c r="M1333" t="s">
        <v>186</v>
      </c>
      <c r="N1333" t="s">
        <v>11</v>
      </c>
      <c r="O1333">
        <v>3.1415999999999999</v>
      </c>
      <c r="P1333" s="45">
        <f t="shared" si="96"/>
        <v>942.48</v>
      </c>
      <c r="Q1333" s="13">
        <f>IF(N1333="HKD",7.8,IF(N1333="CNY",7.30034,1))</f>
        <v>7.3003400000000003</v>
      </c>
      <c r="R1333" s="15">
        <f>+ROUND(O1333/Q1333,4)</f>
        <v>0.43030000000000002</v>
      </c>
      <c r="S1333" s="14">
        <f>ROUND(R1333*L1333,2)</f>
        <v>129.09</v>
      </c>
      <c r="T1333" s="15" t="s">
        <v>349</v>
      </c>
      <c r="U1333" t="s">
        <v>191</v>
      </c>
      <c r="W1333" s="49" t="e">
        <f t="shared" si="97"/>
        <v>#DIV/0!</v>
      </c>
    </row>
    <row r="1334" spans="1:23" x14ac:dyDescent="0.2">
      <c r="A1334" t="s">
        <v>2775</v>
      </c>
      <c r="B1334" s="24">
        <v>45740</v>
      </c>
      <c r="C1334" s="24">
        <v>45730</v>
      </c>
      <c r="D1334" t="s">
        <v>187</v>
      </c>
      <c r="E1334" t="s">
        <v>188</v>
      </c>
      <c r="F1334" s="23"/>
      <c r="G1334" t="s">
        <v>3006</v>
      </c>
      <c r="H1334" t="s">
        <v>199</v>
      </c>
      <c r="I1334" t="s">
        <v>200</v>
      </c>
      <c r="J1334" s="11" t="str">
        <f>+LEFT(U1334,4)</f>
        <v>ALM-</v>
      </c>
      <c r="K1334" t="s">
        <v>98</v>
      </c>
      <c r="L1334">
        <v>50</v>
      </c>
      <c r="M1334" t="s">
        <v>186</v>
      </c>
      <c r="N1334" t="s">
        <v>11</v>
      </c>
      <c r="O1334">
        <v>3.1415999999999999</v>
      </c>
      <c r="P1334" s="45">
        <f t="shared" si="96"/>
        <v>157.08000000000001</v>
      </c>
      <c r="Q1334" s="13">
        <f>IF(N1334="HKD",7.8,IF(N1334="CNY",7.30034,1))</f>
        <v>7.3003400000000003</v>
      </c>
      <c r="R1334" s="15">
        <f>+ROUND(O1334/Q1334,4)</f>
        <v>0.43030000000000002</v>
      </c>
      <c r="S1334" s="14">
        <f>ROUND(R1334*L1334,2)</f>
        <v>21.52</v>
      </c>
      <c r="T1334" s="15" t="s">
        <v>349</v>
      </c>
      <c r="U1334" t="s">
        <v>191</v>
      </c>
      <c r="W1334" s="49" t="e">
        <f t="shared" si="97"/>
        <v>#DIV/0!</v>
      </c>
    </row>
    <row r="1335" spans="1:23" x14ac:dyDescent="0.2">
      <c r="A1335" t="s">
        <v>2776</v>
      </c>
      <c r="B1335" s="24">
        <v>45740</v>
      </c>
      <c r="C1335" s="24">
        <v>45730</v>
      </c>
      <c r="D1335" t="s">
        <v>169</v>
      </c>
      <c r="E1335" t="s">
        <v>170</v>
      </c>
      <c r="F1335" s="23"/>
      <c r="G1335" t="s">
        <v>3016</v>
      </c>
      <c r="H1335" t="s">
        <v>3157</v>
      </c>
      <c r="I1335" t="s">
        <v>3367</v>
      </c>
      <c r="J1335" s="11" t="str">
        <f>+LEFT(U1335,4)</f>
        <v>STKR</v>
      </c>
      <c r="K1335" t="s">
        <v>10</v>
      </c>
      <c r="L1335">
        <v>2020</v>
      </c>
      <c r="M1335" t="s">
        <v>1472</v>
      </c>
      <c r="N1335" t="s">
        <v>11</v>
      </c>
      <c r="O1335">
        <v>3.5000000000000003E-2</v>
      </c>
      <c r="P1335" s="45">
        <f t="shared" si="96"/>
        <v>70.7</v>
      </c>
      <c r="Q1335" s="13">
        <f>IF(N1335="HKD",7.8,IF(N1335="CNY",7.30034,1))</f>
        <v>7.3003400000000003</v>
      </c>
      <c r="R1335" s="15">
        <f>+ROUND(O1335/Q1335,4)</f>
        <v>4.7999999999999996E-3</v>
      </c>
      <c r="S1335" s="14">
        <f>ROUND(R1335*L1335,2)</f>
        <v>9.6999999999999993</v>
      </c>
      <c r="T1335" s="15" t="s">
        <v>349</v>
      </c>
      <c r="U1335" t="s">
        <v>18</v>
      </c>
      <c r="W1335" s="49" t="e">
        <f t="shared" si="97"/>
        <v>#DIV/0!</v>
      </c>
    </row>
    <row r="1336" spans="1:23" x14ac:dyDescent="0.2">
      <c r="A1336" t="s">
        <v>2777</v>
      </c>
      <c r="B1336" s="24">
        <v>45740</v>
      </c>
      <c r="C1336" s="24">
        <v>45730</v>
      </c>
      <c r="D1336" t="s">
        <v>169</v>
      </c>
      <c r="E1336" t="s">
        <v>170</v>
      </c>
      <c r="F1336" s="23"/>
      <c r="G1336" t="s">
        <v>3017</v>
      </c>
      <c r="H1336" t="s">
        <v>3256</v>
      </c>
      <c r="I1336" t="s">
        <v>3463</v>
      </c>
      <c r="J1336" s="11" t="str">
        <f>+LEFT(U1336,4)</f>
        <v>PAP-</v>
      </c>
      <c r="K1336" t="s">
        <v>10</v>
      </c>
      <c r="L1336">
        <v>18000</v>
      </c>
      <c r="M1336" t="s">
        <v>1472</v>
      </c>
      <c r="N1336" t="s">
        <v>11</v>
      </c>
      <c r="O1336">
        <v>0.14000000000000001</v>
      </c>
      <c r="P1336" s="45">
        <f t="shared" si="96"/>
        <v>2520</v>
      </c>
      <c r="Q1336" s="13">
        <f>IF(N1336="HKD",7.8,IF(N1336="CNY",7.30034,1))</f>
        <v>7.3003400000000003</v>
      </c>
      <c r="R1336" s="15">
        <f>+ROUND(O1336/Q1336,4)</f>
        <v>1.9199999999999998E-2</v>
      </c>
      <c r="S1336" s="14">
        <f>ROUND(R1336*L1336,2)</f>
        <v>345.6</v>
      </c>
      <c r="T1336" s="15" t="s">
        <v>349</v>
      </c>
      <c r="U1336" t="s">
        <v>1094</v>
      </c>
      <c r="W1336" s="49" t="e">
        <f t="shared" si="97"/>
        <v>#DIV/0!</v>
      </c>
    </row>
    <row r="1337" spans="1:23" x14ac:dyDescent="0.2">
      <c r="A1337" t="s">
        <v>2789</v>
      </c>
      <c r="B1337" s="24">
        <v>45740</v>
      </c>
      <c r="C1337" s="24">
        <v>45734</v>
      </c>
      <c r="D1337" t="s">
        <v>121</v>
      </c>
      <c r="E1337" t="s">
        <v>122</v>
      </c>
      <c r="F1337" s="23"/>
      <c r="G1337" t="s">
        <v>3050</v>
      </c>
      <c r="H1337" t="s">
        <v>3261</v>
      </c>
      <c r="I1337" t="s">
        <v>3468</v>
      </c>
      <c r="J1337" s="11" t="str">
        <f>+LEFT(U1337,4)</f>
        <v>HDL-</v>
      </c>
      <c r="K1337" t="s">
        <v>10</v>
      </c>
      <c r="L1337">
        <v>150</v>
      </c>
      <c r="M1337" t="s">
        <v>1472</v>
      </c>
      <c r="N1337" t="s">
        <v>11</v>
      </c>
      <c r="O1337">
        <v>5.1675000000000004</v>
      </c>
      <c r="P1337" s="45">
        <f t="shared" si="96"/>
        <v>775.13</v>
      </c>
      <c r="Q1337" s="13">
        <f>IF(N1337="HKD",7.8,IF(N1337="CNY",7.30034,1))</f>
        <v>7.3003400000000003</v>
      </c>
      <c r="R1337" s="15">
        <f>+ROUND(O1337/Q1337,4)</f>
        <v>0.70779999999999998</v>
      </c>
      <c r="S1337" s="14">
        <f>ROUND(R1337*L1337,2)</f>
        <v>106.17</v>
      </c>
      <c r="T1337" s="15" t="s">
        <v>349</v>
      </c>
      <c r="U1337" t="s">
        <v>228</v>
      </c>
      <c r="W1337" s="49" t="e">
        <f t="shared" si="97"/>
        <v>#DIV/0!</v>
      </c>
    </row>
    <row r="1338" spans="1:23" x14ac:dyDescent="0.2">
      <c r="A1338" t="s">
        <v>2800</v>
      </c>
      <c r="B1338" s="24">
        <v>45740</v>
      </c>
      <c r="C1338" s="24">
        <v>45735</v>
      </c>
      <c r="D1338" t="s">
        <v>101</v>
      </c>
      <c r="E1338" t="s">
        <v>102</v>
      </c>
      <c r="F1338" s="23"/>
      <c r="G1338" t="s">
        <v>3039</v>
      </c>
      <c r="H1338" t="s">
        <v>1245</v>
      </c>
      <c r="I1338" t="s">
        <v>1246</v>
      </c>
      <c r="J1338" s="11" t="str">
        <f>+LEFT(U1338,4)</f>
        <v>STKR</v>
      </c>
      <c r="K1338" t="s">
        <v>10</v>
      </c>
      <c r="L1338">
        <v>510</v>
      </c>
      <c r="M1338" t="s">
        <v>1472</v>
      </c>
      <c r="N1338" t="s">
        <v>11</v>
      </c>
      <c r="O1338">
        <v>0.05</v>
      </c>
      <c r="P1338" s="45">
        <f t="shared" si="96"/>
        <v>25.5</v>
      </c>
      <c r="Q1338" s="13">
        <f>IF(N1338="HKD",7.8,IF(N1338="CNY",7.30034,1))</f>
        <v>7.3003400000000003</v>
      </c>
      <c r="R1338" s="15">
        <f>+ROUND(O1338/Q1338,4)</f>
        <v>6.7999999999999996E-3</v>
      </c>
      <c r="S1338" s="14">
        <f>ROUND(R1338*L1338,2)</f>
        <v>3.47</v>
      </c>
      <c r="T1338" s="15" t="s">
        <v>349</v>
      </c>
      <c r="U1338" t="s">
        <v>18</v>
      </c>
      <c r="W1338" s="49" t="e">
        <f t="shared" si="97"/>
        <v>#DIV/0!</v>
      </c>
    </row>
    <row r="1339" spans="1:23" x14ac:dyDescent="0.2">
      <c r="A1339" t="s">
        <v>2801</v>
      </c>
      <c r="B1339" s="24">
        <v>45740</v>
      </c>
      <c r="C1339" s="24">
        <v>45735</v>
      </c>
      <c r="D1339" t="s">
        <v>101</v>
      </c>
      <c r="E1339" t="s">
        <v>102</v>
      </c>
      <c r="F1339" s="23"/>
      <c r="G1339" t="s">
        <v>3039</v>
      </c>
      <c r="H1339" t="s">
        <v>3267</v>
      </c>
      <c r="I1339" t="s">
        <v>3474</v>
      </c>
      <c r="J1339" s="11" t="str">
        <f>+LEFT(U1339,4)</f>
        <v>STKR</v>
      </c>
      <c r="K1339" t="s">
        <v>10</v>
      </c>
      <c r="L1339">
        <v>102</v>
      </c>
      <c r="M1339" t="s">
        <v>1472</v>
      </c>
      <c r="N1339" t="s">
        <v>11</v>
      </c>
      <c r="O1339">
        <v>0.217</v>
      </c>
      <c r="P1339" s="45">
        <f t="shared" si="96"/>
        <v>22.13</v>
      </c>
      <c r="Q1339" s="13">
        <f>IF(N1339="HKD",7.8,IF(N1339="CNY",7.30034,1))</f>
        <v>7.3003400000000003</v>
      </c>
      <c r="R1339" s="15">
        <f>+ROUND(O1339/Q1339,4)</f>
        <v>2.9700000000000001E-2</v>
      </c>
      <c r="S1339" s="14">
        <f>ROUND(R1339*L1339,2)</f>
        <v>3.03</v>
      </c>
      <c r="T1339" s="15" t="s">
        <v>349</v>
      </c>
      <c r="U1339" t="s">
        <v>18</v>
      </c>
      <c r="W1339" s="49" t="e">
        <f t="shared" si="97"/>
        <v>#DIV/0!</v>
      </c>
    </row>
    <row r="1340" spans="1:23" x14ac:dyDescent="0.2">
      <c r="A1340" t="s">
        <v>2802</v>
      </c>
      <c r="B1340" s="24">
        <v>45740</v>
      </c>
      <c r="C1340" s="24">
        <v>45735</v>
      </c>
      <c r="D1340" t="s">
        <v>101</v>
      </c>
      <c r="E1340" t="s">
        <v>102</v>
      </c>
      <c r="F1340" s="23"/>
      <c r="G1340" t="s">
        <v>3039</v>
      </c>
      <c r="H1340" t="s">
        <v>1265</v>
      </c>
      <c r="I1340" t="s">
        <v>1266</v>
      </c>
      <c r="J1340" s="11" t="str">
        <f>+LEFT(U1340,4)</f>
        <v>STKR</v>
      </c>
      <c r="K1340" t="s">
        <v>10</v>
      </c>
      <c r="L1340">
        <v>1210</v>
      </c>
      <c r="M1340" t="s">
        <v>1472</v>
      </c>
      <c r="N1340" t="s">
        <v>11</v>
      </c>
      <c r="O1340">
        <v>0.06</v>
      </c>
      <c r="P1340" s="45">
        <f t="shared" si="96"/>
        <v>72.599999999999994</v>
      </c>
      <c r="Q1340" s="13">
        <f>IF(N1340="HKD",7.8,IF(N1340="CNY",7.30034,1))</f>
        <v>7.3003400000000003</v>
      </c>
      <c r="R1340" s="15">
        <f>+ROUND(O1340/Q1340,4)</f>
        <v>8.2000000000000007E-3</v>
      </c>
      <c r="S1340" s="14">
        <f>ROUND(R1340*L1340,2)</f>
        <v>9.92</v>
      </c>
      <c r="T1340" s="15" t="s">
        <v>349</v>
      </c>
      <c r="U1340" t="s">
        <v>18</v>
      </c>
      <c r="W1340" s="49" t="e">
        <f t="shared" si="97"/>
        <v>#DIV/0!</v>
      </c>
    </row>
    <row r="1341" spans="1:23" x14ac:dyDescent="0.2">
      <c r="A1341" t="s">
        <v>2321</v>
      </c>
      <c r="B1341" s="24">
        <v>45741</v>
      </c>
      <c r="C1341" s="24">
        <v>45664</v>
      </c>
      <c r="D1341" t="s">
        <v>94</v>
      </c>
      <c r="E1341" t="s">
        <v>95</v>
      </c>
      <c r="F1341" s="23"/>
      <c r="G1341" t="s">
        <v>2879</v>
      </c>
      <c r="H1341" t="s">
        <v>3081</v>
      </c>
      <c r="I1341" t="s">
        <v>3297</v>
      </c>
      <c r="J1341" s="11" t="str">
        <f>+LEFT(U1341,4)</f>
        <v>LID-</v>
      </c>
      <c r="K1341" t="s">
        <v>369</v>
      </c>
      <c r="L1341">
        <v>426</v>
      </c>
      <c r="M1341" t="s">
        <v>1472</v>
      </c>
      <c r="N1341" t="s">
        <v>11</v>
      </c>
      <c r="O1341">
        <v>8.9</v>
      </c>
      <c r="P1341" s="45">
        <f t="shared" si="96"/>
        <v>3791.4</v>
      </c>
      <c r="Q1341" s="13">
        <f>IF(N1341="HKD",7.8,IF(N1341="CNY",7.30034,1))</f>
        <v>7.3003400000000003</v>
      </c>
      <c r="R1341" s="15">
        <f>+ROUND(O1341/Q1341,4)</f>
        <v>1.2191000000000001</v>
      </c>
      <c r="S1341" s="14">
        <f>ROUND(R1341*L1341,2)</f>
        <v>519.34</v>
      </c>
      <c r="T1341" s="15" t="s">
        <v>349</v>
      </c>
      <c r="U1341" t="s">
        <v>368</v>
      </c>
      <c r="W1341" s="49" t="e">
        <f t="shared" si="97"/>
        <v>#DIV/0!</v>
      </c>
    </row>
    <row r="1342" spans="1:23" x14ac:dyDescent="0.2">
      <c r="A1342" t="s">
        <v>2420</v>
      </c>
      <c r="B1342" s="24">
        <v>45741</v>
      </c>
      <c r="C1342" s="24">
        <v>45702</v>
      </c>
      <c r="D1342" t="s">
        <v>709</v>
      </c>
      <c r="E1342" t="s">
        <v>710</v>
      </c>
      <c r="F1342" s="23"/>
      <c r="G1342" t="s">
        <v>2930</v>
      </c>
      <c r="H1342" t="s">
        <v>3111</v>
      </c>
      <c r="I1342" t="s">
        <v>3326</v>
      </c>
      <c r="J1342" s="11" t="str">
        <f>+LEFT(U1342,4)</f>
        <v>SHDL</v>
      </c>
      <c r="K1342" t="s">
        <v>10</v>
      </c>
      <c r="L1342">
        <v>2060</v>
      </c>
      <c r="M1342" t="s">
        <v>1472</v>
      </c>
      <c r="N1342" t="s">
        <v>11</v>
      </c>
      <c r="O1342">
        <v>3.5226999999999999</v>
      </c>
      <c r="P1342" s="45">
        <f t="shared" si="96"/>
        <v>7256.76</v>
      </c>
      <c r="Q1342" s="13">
        <f>IF(N1342="HKD",7.8,IF(N1342="CNY",7.30034,1))</f>
        <v>7.3003400000000003</v>
      </c>
      <c r="R1342" s="15">
        <f>+ROUND(O1342/Q1342,4)</f>
        <v>0.48249999999999998</v>
      </c>
      <c r="S1342" s="14">
        <f>ROUND(R1342*L1342,2)</f>
        <v>993.95</v>
      </c>
      <c r="T1342" s="15" t="s">
        <v>349</v>
      </c>
      <c r="U1342" t="s">
        <v>722</v>
      </c>
      <c r="W1342" s="49" t="e">
        <f t="shared" si="97"/>
        <v>#DIV/0!</v>
      </c>
    </row>
    <row r="1343" spans="1:23" x14ac:dyDescent="0.2">
      <c r="A1343" t="s">
        <v>2421</v>
      </c>
      <c r="B1343" s="24">
        <v>45741</v>
      </c>
      <c r="C1343" s="24">
        <v>45702</v>
      </c>
      <c r="D1343" t="s">
        <v>709</v>
      </c>
      <c r="E1343" t="s">
        <v>710</v>
      </c>
      <c r="F1343" s="23"/>
      <c r="G1343" t="s">
        <v>2930</v>
      </c>
      <c r="H1343" t="s">
        <v>3112</v>
      </c>
      <c r="I1343" t="s">
        <v>3327</v>
      </c>
      <c r="J1343" s="11" t="str">
        <f>+LEFT(U1343,4)</f>
        <v>SHDL</v>
      </c>
      <c r="K1343" t="s">
        <v>10</v>
      </c>
      <c r="L1343">
        <v>2040</v>
      </c>
      <c r="M1343" t="s">
        <v>1472</v>
      </c>
      <c r="N1343" t="s">
        <v>11</v>
      </c>
      <c r="O1343">
        <v>2.6659999999999999</v>
      </c>
      <c r="P1343" s="45">
        <f t="shared" si="96"/>
        <v>5438.64</v>
      </c>
      <c r="Q1343" s="13">
        <f>IF(N1343="HKD",7.8,IF(N1343="CNY",7.30034,1))</f>
        <v>7.3003400000000003</v>
      </c>
      <c r="R1343" s="15">
        <f>+ROUND(O1343/Q1343,4)</f>
        <v>0.36520000000000002</v>
      </c>
      <c r="S1343" s="14">
        <f>ROUND(R1343*L1343,2)</f>
        <v>745.01</v>
      </c>
      <c r="T1343" s="15" t="s">
        <v>349</v>
      </c>
      <c r="U1343" t="s">
        <v>722</v>
      </c>
      <c r="W1343" s="49" t="e">
        <f t="shared" si="97"/>
        <v>#DIV/0!</v>
      </c>
    </row>
    <row r="1344" spans="1:23" x14ac:dyDescent="0.2">
      <c r="A1344" t="s">
        <v>2422</v>
      </c>
      <c r="B1344" s="24">
        <v>45741</v>
      </c>
      <c r="C1344" s="24">
        <v>45702</v>
      </c>
      <c r="D1344" t="s">
        <v>709</v>
      </c>
      <c r="E1344" t="s">
        <v>710</v>
      </c>
      <c r="F1344" s="23"/>
      <c r="G1344" t="s">
        <v>2930</v>
      </c>
      <c r="H1344" t="s">
        <v>729</v>
      </c>
      <c r="I1344" t="s">
        <v>730</v>
      </c>
      <c r="J1344" s="11" t="str">
        <f>+LEFT(U1344,4)</f>
        <v>HDL-</v>
      </c>
      <c r="K1344" t="s">
        <v>10</v>
      </c>
      <c r="L1344">
        <v>5020</v>
      </c>
      <c r="M1344" t="s">
        <v>1472</v>
      </c>
      <c r="N1344" t="s">
        <v>11</v>
      </c>
      <c r="O1344">
        <v>1.5156000000000001</v>
      </c>
      <c r="P1344" s="45">
        <f t="shared" si="96"/>
        <v>7608.31</v>
      </c>
      <c r="Q1344" s="13">
        <f>IF(N1344="HKD",7.8,IF(N1344="CNY",7.30034,1))</f>
        <v>7.3003400000000003</v>
      </c>
      <c r="R1344" s="15">
        <f>+ROUND(O1344/Q1344,4)</f>
        <v>0.20760000000000001</v>
      </c>
      <c r="S1344" s="14">
        <f>ROUND(R1344*L1344,2)</f>
        <v>1042.1500000000001</v>
      </c>
      <c r="T1344" s="15" t="s">
        <v>349</v>
      </c>
      <c r="U1344" t="s">
        <v>228</v>
      </c>
      <c r="W1344" s="49" t="e">
        <f t="shared" si="97"/>
        <v>#DIV/0!</v>
      </c>
    </row>
    <row r="1345" spans="1:23" x14ac:dyDescent="0.2">
      <c r="A1345" t="s">
        <v>2423</v>
      </c>
      <c r="B1345" s="24">
        <v>45741</v>
      </c>
      <c r="C1345" s="24">
        <v>45702</v>
      </c>
      <c r="D1345" t="s">
        <v>709</v>
      </c>
      <c r="E1345" t="s">
        <v>710</v>
      </c>
      <c r="F1345" s="23"/>
      <c r="G1345" t="s">
        <v>2930</v>
      </c>
      <c r="H1345" t="s">
        <v>726</v>
      </c>
      <c r="I1345" t="s">
        <v>727</v>
      </c>
      <c r="J1345" s="11" t="str">
        <f>+LEFT(U1345,4)</f>
        <v>KNOB</v>
      </c>
      <c r="K1345" t="s">
        <v>10</v>
      </c>
      <c r="L1345">
        <v>1120</v>
      </c>
      <c r="M1345" t="s">
        <v>1472</v>
      </c>
      <c r="N1345" t="s">
        <v>11</v>
      </c>
      <c r="O1345">
        <v>0.54969999999999997</v>
      </c>
      <c r="P1345" s="45">
        <f t="shared" si="96"/>
        <v>615.66</v>
      </c>
      <c r="Q1345" s="13">
        <f>IF(N1345="HKD",7.8,IF(N1345="CNY",7.30034,1))</f>
        <v>7.3003400000000003</v>
      </c>
      <c r="R1345" s="15">
        <f>+ROUND(O1345/Q1345,4)</f>
        <v>7.5300000000000006E-2</v>
      </c>
      <c r="S1345" s="14">
        <f>ROUND(R1345*L1345,2)</f>
        <v>84.34</v>
      </c>
      <c r="T1345" s="15" t="s">
        <v>349</v>
      </c>
      <c r="U1345" t="s">
        <v>32</v>
      </c>
      <c r="W1345" s="49" t="e">
        <f t="shared" si="97"/>
        <v>#DIV/0!</v>
      </c>
    </row>
    <row r="1346" spans="1:23" x14ac:dyDescent="0.2">
      <c r="A1346" t="s">
        <v>2424</v>
      </c>
      <c r="B1346" s="24">
        <v>45741</v>
      </c>
      <c r="C1346" s="24">
        <v>45702</v>
      </c>
      <c r="D1346" t="s">
        <v>709</v>
      </c>
      <c r="E1346" t="s">
        <v>710</v>
      </c>
      <c r="F1346" s="23"/>
      <c r="G1346" t="s">
        <v>2930</v>
      </c>
      <c r="H1346" t="s">
        <v>3113</v>
      </c>
      <c r="I1346" t="s">
        <v>727</v>
      </c>
      <c r="J1346" s="11" t="str">
        <f>+LEFT(U1346,4)</f>
        <v>KNOB</v>
      </c>
      <c r="K1346" t="s">
        <v>10</v>
      </c>
      <c r="L1346">
        <v>1000</v>
      </c>
      <c r="M1346" t="s">
        <v>1472</v>
      </c>
      <c r="N1346" t="s">
        <v>11</v>
      </c>
      <c r="O1346">
        <v>2.0691000000000002</v>
      </c>
      <c r="P1346" s="45">
        <f t="shared" ref="P1346:P1409" si="98">ROUND(O1346*L1346,2)</f>
        <v>2069.1</v>
      </c>
      <c r="Q1346" s="13">
        <f>IF(N1346="HKD",7.8,IF(N1346="CNY",7.30034,1))</f>
        <v>7.3003400000000003</v>
      </c>
      <c r="R1346" s="15">
        <f>+ROUND(O1346/Q1346,4)</f>
        <v>0.28339999999999999</v>
      </c>
      <c r="S1346" s="14">
        <f>ROUND(R1346*L1346,2)</f>
        <v>283.39999999999998</v>
      </c>
      <c r="T1346" s="15" t="s">
        <v>349</v>
      </c>
      <c r="U1346" t="s">
        <v>32</v>
      </c>
      <c r="W1346" s="49" t="e">
        <f t="shared" ref="W1346:W1409" si="99">IF(N1346="CNY",O1346/V1346*L1346,1)</f>
        <v>#DIV/0!</v>
      </c>
    </row>
    <row r="1347" spans="1:23" x14ac:dyDescent="0.2">
      <c r="A1347" t="s">
        <v>2425</v>
      </c>
      <c r="B1347" s="24">
        <v>45741</v>
      </c>
      <c r="C1347" s="24">
        <v>45702</v>
      </c>
      <c r="D1347" t="s">
        <v>709</v>
      </c>
      <c r="E1347" t="s">
        <v>710</v>
      </c>
      <c r="F1347" s="23"/>
      <c r="G1347" t="s">
        <v>2930</v>
      </c>
      <c r="H1347" t="s">
        <v>3114</v>
      </c>
      <c r="I1347" t="s">
        <v>3328</v>
      </c>
      <c r="J1347" s="11" t="str">
        <f>+LEFT(U1347,4)</f>
        <v>HDL-</v>
      </c>
      <c r="K1347" t="s">
        <v>10</v>
      </c>
      <c r="L1347">
        <v>1020</v>
      </c>
      <c r="M1347" t="s">
        <v>1472</v>
      </c>
      <c r="N1347" t="s">
        <v>11</v>
      </c>
      <c r="O1347">
        <v>2.3549000000000002</v>
      </c>
      <c r="P1347" s="45">
        <f t="shared" si="98"/>
        <v>2402</v>
      </c>
      <c r="Q1347" s="13">
        <f>IF(N1347="HKD",7.8,IF(N1347="CNY",7.30034,1))</f>
        <v>7.3003400000000003</v>
      </c>
      <c r="R1347" s="15">
        <f>+ROUND(O1347/Q1347,4)</f>
        <v>0.3226</v>
      </c>
      <c r="S1347" s="14">
        <f>ROUND(R1347*L1347,2)</f>
        <v>329.05</v>
      </c>
      <c r="T1347" s="15" t="s">
        <v>349</v>
      </c>
      <c r="U1347" t="s">
        <v>228</v>
      </c>
      <c r="W1347" s="49" t="e">
        <f t="shared" si="99"/>
        <v>#DIV/0!</v>
      </c>
    </row>
    <row r="1348" spans="1:23" x14ac:dyDescent="0.2">
      <c r="A1348" t="s">
        <v>2440</v>
      </c>
      <c r="B1348" s="24">
        <v>45741</v>
      </c>
      <c r="C1348" s="24">
        <v>45702</v>
      </c>
      <c r="D1348" t="s">
        <v>28</v>
      </c>
      <c r="E1348" t="s">
        <v>29</v>
      </c>
      <c r="F1348" s="23"/>
      <c r="G1348" t="s">
        <v>2937</v>
      </c>
      <c r="H1348" t="s">
        <v>1167</v>
      </c>
      <c r="I1348" t="s">
        <v>1168</v>
      </c>
      <c r="J1348" s="11" t="str">
        <f>+LEFT(U1348,4)</f>
        <v>FG--</v>
      </c>
      <c r="K1348" t="s">
        <v>10</v>
      </c>
      <c r="L1348">
        <v>2050</v>
      </c>
      <c r="M1348" t="s">
        <v>1472</v>
      </c>
      <c r="N1348" t="s">
        <v>11</v>
      </c>
      <c r="O1348">
        <v>1.2692000000000001</v>
      </c>
      <c r="P1348" s="45">
        <f t="shared" si="98"/>
        <v>2601.86</v>
      </c>
      <c r="Q1348" s="13">
        <f>IF(N1348="HKD",7.8,IF(N1348="CNY",7.30034,1))</f>
        <v>7.3003400000000003</v>
      </c>
      <c r="R1348" s="15">
        <f>+ROUND(O1348/Q1348,4)</f>
        <v>0.1739</v>
      </c>
      <c r="S1348" s="14">
        <f>ROUND(R1348*L1348,2)</f>
        <v>356.5</v>
      </c>
      <c r="T1348" s="15" t="s">
        <v>349</v>
      </c>
      <c r="U1348" t="s">
        <v>64</v>
      </c>
      <c r="W1348" s="49" t="e">
        <f t="shared" si="99"/>
        <v>#DIV/0!</v>
      </c>
    </row>
    <row r="1349" spans="1:23" x14ac:dyDescent="0.2">
      <c r="A1349" t="s">
        <v>2441</v>
      </c>
      <c r="B1349" s="24">
        <v>45741</v>
      </c>
      <c r="C1349" s="24">
        <v>45702</v>
      </c>
      <c r="D1349" t="s">
        <v>128</v>
      </c>
      <c r="E1349" t="s">
        <v>129</v>
      </c>
      <c r="F1349" s="23"/>
      <c r="G1349" t="s">
        <v>2938</v>
      </c>
      <c r="H1349" t="s">
        <v>443</v>
      </c>
      <c r="I1349" t="s">
        <v>444</v>
      </c>
      <c r="J1349" s="11" t="str">
        <f>+LEFT(U1349,4)</f>
        <v>FG--</v>
      </c>
      <c r="K1349" t="s">
        <v>10</v>
      </c>
      <c r="L1349">
        <v>6000</v>
      </c>
      <c r="M1349" t="s">
        <v>1472</v>
      </c>
      <c r="N1349" t="s">
        <v>11</v>
      </c>
      <c r="O1349">
        <v>1.0021</v>
      </c>
      <c r="P1349" s="45">
        <f t="shared" si="98"/>
        <v>6012.6</v>
      </c>
      <c r="Q1349" s="13">
        <f>IF(N1349="HKD",7.8,IF(N1349="CNY",7.30034,1))</f>
        <v>7.3003400000000003</v>
      </c>
      <c r="R1349" s="15">
        <f>+ROUND(O1349/Q1349,4)</f>
        <v>0.13730000000000001</v>
      </c>
      <c r="S1349" s="14">
        <f>ROUND(R1349*L1349,2)</f>
        <v>823.8</v>
      </c>
      <c r="T1349" s="15" t="s">
        <v>349</v>
      </c>
      <c r="U1349" t="s">
        <v>64</v>
      </c>
      <c r="W1349" s="49" t="e">
        <f t="shared" si="99"/>
        <v>#DIV/0!</v>
      </c>
    </row>
    <row r="1350" spans="1:23" x14ac:dyDescent="0.2">
      <c r="A1350" t="s">
        <v>2533</v>
      </c>
      <c r="B1350" s="24">
        <v>45741</v>
      </c>
      <c r="C1350" s="24">
        <v>45714</v>
      </c>
      <c r="D1350" t="s">
        <v>94</v>
      </c>
      <c r="E1350" t="s">
        <v>95</v>
      </c>
      <c r="F1350" s="23"/>
      <c r="G1350" t="s">
        <v>2968</v>
      </c>
      <c r="H1350" t="s">
        <v>3164</v>
      </c>
      <c r="I1350" t="s">
        <v>3374</v>
      </c>
      <c r="J1350" s="11" t="str">
        <f>+LEFT(U1350,4)</f>
        <v>LID-</v>
      </c>
      <c r="K1350" t="s">
        <v>98</v>
      </c>
      <c r="L1350">
        <v>560</v>
      </c>
      <c r="M1350" t="s">
        <v>1472</v>
      </c>
      <c r="N1350" t="s">
        <v>11</v>
      </c>
      <c r="O1350">
        <v>4.26</v>
      </c>
      <c r="P1350" s="45">
        <f t="shared" si="98"/>
        <v>2385.6</v>
      </c>
      <c r="Q1350" s="13">
        <f>IF(N1350="HKD",7.8,IF(N1350="CNY",7.30034,1))</f>
        <v>7.3003400000000003</v>
      </c>
      <c r="R1350" s="15">
        <f>+ROUND(O1350/Q1350,4)</f>
        <v>0.58350000000000002</v>
      </c>
      <c r="S1350" s="14">
        <f>ROUND(R1350*L1350,2)</f>
        <v>326.76</v>
      </c>
      <c r="T1350" s="15" t="s">
        <v>349</v>
      </c>
      <c r="U1350" t="s">
        <v>368</v>
      </c>
      <c r="W1350" s="49" t="e">
        <f t="shared" si="99"/>
        <v>#DIV/0!</v>
      </c>
    </row>
    <row r="1351" spans="1:23" x14ac:dyDescent="0.2">
      <c r="A1351" t="s">
        <v>2534</v>
      </c>
      <c r="B1351" s="24">
        <v>45741</v>
      </c>
      <c r="C1351" s="24">
        <v>45714</v>
      </c>
      <c r="D1351" t="s">
        <v>94</v>
      </c>
      <c r="E1351" t="s">
        <v>95</v>
      </c>
      <c r="F1351" s="23"/>
      <c r="G1351" t="s">
        <v>2968</v>
      </c>
      <c r="H1351" t="s">
        <v>3164</v>
      </c>
      <c r="I1351" t="s">
        <v>3374</v>
      </c>
      <c r="J1351" s="11" t="str">
        <f>+LEFT(U1351,4)</f>
        <v>LID-</v>
      </c>
      <c r="K1351" t="s">
        <v>98</v>
      </c>
      <c r="L1351">
        <v>850</v>
      </c>
      <c r="M1351" t="s">
        <v>1472</v>
      </c>
      <c r="N1351" t="s">
        <v>11</v>
      </c>
      <c r="O1351">
        <v>4.26</v>
      </c>
      <c r="P1351" s="45">
        <f t="shared" si="98"/>
        <v>3621</v>
      </c>
      <c r="Q1351" s="13">
        <f>IF(N1351="HKD",7.8,IF(N1351="CNY",7.30034,1))</f>
        <v>7.3003400000000003</v>
      </c>
      <c r="R1351" s="15">
        <f>+ROUND(O1351/Q1351,4)</f>
        <v>0.58350000000000002</v>
      </c>
      <c r="S1351" s="14">
        <f>ROUND(R1351*L1351,2)</f>
        <v>495.98</v>
      </c>
      <c r="T1351" s="15" t="s">
        <v>349</v>
      </c>
      <c r="U1351" t="s">
        <v>368</v>
      </c>
      <c r="W1351" s="49" t="e">
        <f t="shared" si="99"/>
        <v>#DIV/0!</v>
      </c>
    </row>
    <row r="1352" spans="1:23" x14ac:dyDescent="0.2">
      <c r="A1352" t="s">
        <v>2540</v>
      </c>
      <c r="B1352" s="24">
        <v>45741</v>
      </c>
      <c r="C1352" s="24">
        <v>45714</v>
      </c>
      <c r="D1352" t="s">
        <v>830</v>
      </c>
      <c r="E1352" t="s">
        <v>831</v>
      </c>
      <c r="F1352" s="23"/>
      <c r="G1352" t="s">
        <v>2988</v>
      </c>
      <c r="H1352" t="s">
        <v>3166</v>
      </c>
      <c r="I1352" t="s">
        <v>3376</v>
      </c>
      <c r="J1352" s="11" t="str">
        <f>+LEFT(U1352,4)</f>
        <v>LID-</v>
      </c>
      <c r="K1352" t="s">
        <v>98</v>
      </c>
      <c r="L1352">
        <v>1920</v>
      </c>
      <c r="M1352" t="s">
        <v>1472</v>
      </c>
      <c r="N1352" t="s">
        <v>11</v>
      </c>
      <c r="O1352">
        <v>4.2</v>
      </c>
      <c r="P1352" s="45">
        <f t="shared" si="98"/>
        <v>8064</v>
      </c>
      <c r="Q1352" s="13">
        <f>IF(N1352="HKD",7.8,IF(N1352="CNY",7.30034,1))</f>
        <v>7.3003400000000003</v>
      </c>
      <c r="R1352" s="15">
        <f>+ROUND(O1352/Q1352,4)</f>
        <v>0.57530000000000003</v>
      </c>
      <c r="S1352" s="14">
        <f>ROUND(R1352*L1352,2)</f>
        <v>1104.58</v>
      </c>
      <c r="T1352" s="15" t="s">
        <v>349</v>
      </c>
      <c r="U1352" t="s">
        <v>368</v>
      </c>
      <c r="W1352" s="49" t="e">
        <f t="shared" si="99"/>
        <v>#DIV/0!</v>
      </c>
    </row>
    <row r="1353" spans="1:23" x14ac:dyDescent="0.2">
      <c r="A1353" t="s">
        <v>2562</v>
      </c>
      <c r="B1353" s="24">
        <v>45741</v>
      </c>
      <c r="C1353" s="24">
        <v>45716</v>
      </c>
      <c r="D1353" t="s">
        <v>143</v>
      </c>
      <c r="E1353" t="s">
        <v>144</v>
      </c>
      <c r="F1353" s="23"/>
      <c r="G1353" t="s">
        <v>2997</v>
      </c>
      <c r="H1353" t="s">
        <v>245</v>
      </c>
      <c r="I1353" t="s">
        <v>246</v>
      </c>
      <c r="J1353" s="11" t="str">
        <f>+LEFT(U1353,4)</f>
        <v>WHR-</v>
      </c>
      <c r="K1353" t="s">
        <v>10</v>
      </c>
      <c r="L1353">
        <v>17000</v>
      </c>
      <c r="M1353" t="s">
        <v>1472</v>
      </c>
      <c r="N1353" t="s">
        <v>11</v>
      </c>
      <c r="O1353">
        <v>0.1096</v>
      </c>
      <c r="P1353" s="45">
        <f t="shared" si="98"/>
        <v>1863.2</v>
      </c>
      <c r="Q1353" s="13">
        <f>IF(N1353="HKD",7.8,IF(N1353="CNY",7.30034,1))</f>
        <v>7.3003400000000003</v>
      </c>
      <c r="R1353" s="15">
        <f>+ROUND(O1353/Q1353,4)</f>
        <v>1.4999999999999999E-2</v>
      </c>
      <c r="S1353" s="14">
        <f>ROUND(R1353*L1353,2)</f>
        <v>255</v>
      </c>
      <c r="T1353" s="15" t="s">
        <v>349</v>
      </c>
      <c r="U1353" t="s">
        <v>248</v>
      </c>
      <c r="W1353" s="49" t="e">
        <f t="shared" si="99"/>
        <v>#DIV/0!</v>
      </c>
    </row>
    <row r="1354" spans="1:23" x14ac:dyDescent="0.2">
      <c r="A1354" t="s">
        <v>2575</v>
      </c>
      <c r="B1354" s="24">
        <v>45741</v>
      </c>
      <c r="C1354" s="24">
        <v>45716</v>
      </c>
      <c r="D1354" t="s">
        <v>28</v>
      </c>
      <c r="E1354" t="s">
        <v>29</v>
      </c>
      <c r="F1354" s="23"/>
      <c r="G1354" t="s">
        <v>3001</v>
      </c>
      <c r="H1354" t="s">
        <v>1175</v>
      </c>
      <c r="I1354" t="s">
        <v>1176</v>
      </c>
      <c r="J1354" s="11" t="str">
        <f>+LEFT(U1354,4)</f>
        <v>MISC</v>
      </c>
      <c r="K1354" t="s">
        <v>10</v>
      </c>
      <c r="L1354">
        <v>1700</v>
      </c>
      <c r="M1354" t="s">
        <v>1472</v>
      </c>
      <c r="N1354" t="s">
        <v>11</v>
      </c>
      <c r="O1354">
        <v>0.18720000000000001</v>
      </c>
      <c r="P1354" s="45">
        <f t="shared" si="98"/>
        <v>318.24</v>
      </c>
      <c r="Q1354" s="13">
        <f>IF(N1354="HKD",7.8,IF(N1354="CNY",7.30034,1))</f>
        <v>7.3003400000000003</v>
      </c>
      <c r="R1354" s="15">
        <f>+ROUND(O1354/Q1354,4)</f>
        <v>2.5600000000000001E-2</v>
      </c>
      <c r="S1354" s="14">
        <f>ROUND(R1354*L1354,2)</f>
        <v>43.52</v>
      </c>
      <c r="T1354" s="15" t="s">
        <v>349</v>
      </c>
      <c r="U1354" t="s">
        <v>25</v>
      </c>
      <c r="W1354" s="49" t="e">
        <f t="shared" si="99"/>
        <v>#DIV/0!</v>
      </c>
    </row>
    <row r="1355" spans="1:23" x14ac:dyDescent="0.2">
      <c r="A1355" t="s">
        <v>2578</v>
      </c>
      <c r="B1355" s="24">
        <v>45741</v>
      </c>
      <c r="C1355" s="24">
        <v>45716</v>
      </c>
      <c r="D1355" t="s">
        <v>128</v>
      </c>
      <c r="E1355" t="s">
        <v>129</v>
      </c>
      <c r="F1355" s="23"/>
      <c r="G1355" t="s">
        <v>2938</v>
      </c>
      <c r="H1355" t="s">
        <v>954</v>
      </c>
      <c r="I1355" t="s">
        <v>955</v>
      </c>
      <c r="J1355" s="11" t="str">
        <f>+LEFT(U1355,4)</f>
        <v>RIV-</v>
      </c>
      <c r="K1355" t="s">
        <v>10</v>
      </c>
      <c r="L1355">
        <v>6100</v>
      </c>
      <c r="M1355" t="s">
        <v>1472</v>
      </c>
      <c r="N1355" t="s">
        <v>11</v>
      </c>
      <c r="O1355">
        <v>7.0099999999999996E-2</v>
      </c>
      <c r="P1355" s="45">
        <f t="shared" si="98"/>
        <v>427.61</v>
      </c>
      <c r="Q1355" s="13">
        <f>IF(N1355="HKD",7.8,IF(N1355="CNY",7.30034,1))</f>
        <v>7.3003400000000003</v>
      </c>
      <c r="R1355" s="15">
        <f>+ROUND(O1355/Q1355,4)</f>
        <v>9.5999999999999992E-3</v>
      </c>
      <c r="S1355" s="14">
        <f>ROUND(R1355*L1355,2)</f>
        <v>58.56</v>
      </c>
      <c r="T1355" s="15" t="s">
        <v>349</v>
      </c>
      <c r="U1355" t="s">
        <v>132</v>
      </c>
      <c r="W1355" s="49" t="e">
        <f t="shared" si="99"/>
        <v>#DIV/0!</v>
      </c>
    </row>
    <row r="1356" spans="1:23" x14ac:dyDescent="0.2">
      <c r="A1356" t="s">
        <v>2612</v>
      </c>
      <c r="B1356" s="24">
        <v>45741</v>
      </c>
      <c r="C1356" s="24">
        <v>45720</v>
      </c>
      <c r="D1356" t="s">
        <v>651</v>
      </c>
      <c r="E1356" t="s">
        <v>652</v>
      </c>
      <c r="F1356" s="23"/>
      <c r="G1356" t="s">
        <v>3014</v>
      </c>
      <c r="H1356" t="s">
        <v>3200</v>
      </c>
      <c r="I1356" t="s">
        <v>3407</v>
      </c>
      <c r="J1356" s="11" t="str">
        <f>+LEFT(U1356,4)</f>
        <v>HDL-</v>
      </c>
      <c r="K1356" t="s">
        <v>10</v>
      </c>
      <c r="L1356">
        <v>3400</v>
      </c>
      <c r="M1356" t="s">
        <v>1472</v>
      </c>
      <c r="N1356" t="s">
        <v>11</v>
      </c>
      <c r="O1356">
        <v>2.3401999999999998</v>
      </c>
      <c r="P1356" s="45">
        <f t="shared" si="98"/>
        <v>7956.68</v>
      </c>
      <c r="Q1356" s="13">
        <f>IF(N1356="HKD",7.8,IF(N1356="CNY",7.30034,1))</f>
        <v>7.3003400000000003</v>
      </c>
      <c r="R1356" s="15">
        <f>+ROUND(O1356/Q1356,4)</f>
        <v>0.3206</v>
      </c>
      <c r="S1356" s="14">
        <f>ROUND(R1356*L1356,2)</f>
        <v>1090.04</v>
      </c>
      <c r="T1356" s="15" t="s">
        <v>349</v>
      </c>
      <c r="U1356" t="s">
        <v>228</v>
      </c>
      <c r="W1356" s="49" t="e">
        <f t="shared" si="99"/>
        <v>#DIV/0!</v>
      </c>
    </row>
    <row r="1357" spans="1:23" x14ac:dyDescent="0.2">
      <c r="A1357" t="s">
        <v>2614</v>
      </c>
      <c r="B1357" s="24">
        <v>45741</v>
      </c>
      <c r="C1357" s="24">
        <v>45720</v>
      </c>
      <c r="D1357" t="s">
        <v>28</v>
      </c>
      <c r="E1357" t="s">
        <v>29</v>
      </c>
      <c r="F1357" s="23"/>
      <c r="G1357" t="s">
        <v>2937</v>
      </c>
      <c r="H1357" t="s">
        <v>3202</v>
      </c>
      <c r="I1357" t="s">
        <v>3409</v>
      </c>
      <c r="J1357" s="11" t="str">
        <f>+LEFT(U1357,4)</f>
        <v>BRKT</v>
      </c>
      <c r="K1357" t="s">
        <v>10</v>
      </c>
      <c r="L1357">
        <v>1030</v>
      </c>
      <c r="M1357" t="s">
        <v>1472</v>
      </c>
      <c r="N1357" t="s">
        <v>11</v>
      </c>
      <c r="O1357">
        <v>0.68369999999999997</v>
      </c>
      <c r="P1357" s="45">
        <f t="shared" si="98"/>
        <v>704.21</v>
      </c>
      <c r="Q1357" s="13">
        <f>IF(N1357="HKD",7.8,IF(N1357="CNY",7.30034,1))</f>
        <v>7.3003400000000003</v>
      </c>
      <c r="R1357" s="15">
        <f>+ROUND(O1357/Q1357,4)</f>
        <v>9.3700000000000006E-2</v>
      </c>
      <c r="S1357" s="14">
        <f>ROUND(R1357*L1357,2)</f>
        <v>96.51</v>
      </c>
      <c r="T1357" s="15" t="s">
        <v>349</v>
      </c>
      <c r="U1357" t="s">
        <v>442</v>
      </c>
      <c r="W1357" s="49" t="e">
        <f t="shared" si="99"/>
        <v>#DIV/0!</v>
      </c>
    </row>
    <row r="1358" spans="1:23" x14ac:dyDescent="0.2">
      <c r="A1358" t="s">
        <v>2615</v>
      </c>
      <c r="B1358" s="24">
        <v>45741</v>
      </c>
      <c r="C1358" s="24">
        <v>45720</v>
      </c>
      <c r="D1358" t="s">
        <v>28</v>
      </c>
      <c r="E1358" t="s">
        <v>29</v>
      </c>
      <c r="F1358" s="23"/>
      <c r="G1358" t="s">
        <v>2937</v>
      </c>
      <c r="H1358" t="s">
        <v>3203</v>
      </c>
      <c r="I1358" t="s">
        <v>3410</v>
      </c>
      <c r="J1358" s="11" t="str">
        <f>+LEFT(U1358,4)</f>
        <v>BRKT</v>
      </c>
      <c r="K1358" t="s">
        <v>10</v>
      </c>
      <c r="L1358">
        <v>1550</v>
      </c>
      <c r="M1358" t="s">
        <v>1472</v>
      </c>
      <c r="N1358" t="s">
        <v>11</v>
      </c>
      <c r="O1358">
        <v>0.68369999999999997</v>
      </c>
      <c r="P1358" s="45">
        <f t="shared" si="98"/>
        <v>1059.74</v>
      </c>
      <c r="Q1358" s="13">
        <f>IF(N1358="HKD",7.8,IF(N1358="CNY",7.30034,1))</f>
        <v>7.3003400000000003</v>
      </c>
      <c r="R1358" s="15">
        <f>+ROUND(O1358/Q1358,4)</f>
        <v>9.3700000000000006E-2</v>
      </c>
      <c r="S1358" s="14">
        <f>ROUND(R1358*L1358,2)</f>
        <v>145.24</v>
      </c>
      <c r="T1358" s="15" t="s">
        <v>349</v>
      </c>
      <c r="U1358" t="s">
        <v>442</v>
      </c>
      <c r="W1358" s="49" t="e">
        <f t="shared" si="99"/>
        <v>#DIV/0!</v>
      </c>
    </row>
    <row r="1359" spans="1:23" x14ac:dyDescent="0.2">
      <c r="A1359" t="s">
        <v>2633</v>
      </c>
      <c r="B1359" s="24">
        <v>45741</v>
      </c>
      <c r="C1359" s="24">
        <v>45721</v>
      </c>
      <c r="D1359" t="s">
        <v>651</v>
      </c>
      <c r="E1359" t="s">
        <v>652</v>
      </c>
      <c r="F1359" s="23"/>
      <c r="G1359" t="s">
        <v>3014</v>
      </c>
      <c r="H1359" t="s">
        <v>1674</v>
      </c>
      <c r="I1359" t="s">
        <v>1675</v>
      </c>
      <c r="J1359" s="11" t="str">
        <f>+LEFT(U1359,4)</f>
        <v>HDL-</v>
      </c>
      <c r="K1359" t="s">
        <v>10</v>
      </c>
      <c r="L1359">
        <v>3100</v>
      </c>
      <c r="M1359" t="s">
        <v>1472</v>
      </c>
      <c r="N1359" t="s">
        <v>11</v>
      </c>
      <c r="O1359">
        <v>2.0844999999999998</v>
      </c>
      <c r="P1359" s="45">
        <f t="shared" si="98"/>
        <v>6461.95</v>
      </c>
      <c r="Q1359" s="13">
        <f>IF(N1359="HKD",7.8,IF(N1359="CNY",7.30034,1))</f>
        <v>7.3003400000000003</v>
      </c>
      <c r="R1359" s="15">
        <f>+ROUND(O1359/Q1359,4)</f>
        <v>0.28549999999999998</v>
      </c>
      <c r="S1359" s="14">
        <f>ROUND(R1359*L1359,2)</f>
        <v>885.05</v>
      </c>
      <c r="T1359" s="15" t="s">
        <v>349</v>
      </c>
      <c r="U1359" t="s">
        <v>228</v>
      </c>
      <c r="W1359" s="49" t="e">
        <f t="shared" si="99"/>
        <v>#DIV/0!</v>
      </c>
    </row>
    <row r="1360" spans="1:23" x14ac:dyDescent="0.2">
      <c r="A1360" t="s">
        <v>2635</v>
      </c>
      <c r="B1360" s="24">
        <v>45741</v>
      </c>
      <c r="C1360" s="24">
        <v>45721</v>
      </c>
      <c r="D1360" t="s">
        <v>28</v>
      </c>
      <c r="E1360" t="s">
        <v>29</v>
      </c>
      <c r="F1360" s="23"/>
      <c r="G1360" t="s">
        <v>3001</v>
      </c>
      <c r="H1360" t="s">
        <v>1629</v>
      </c>
      <c r="I1360" t="s">
        <v>1630</v>
      </c>
      <c r="J1360" s="11" t="str">
        <f>+LEFT(U1360,4)</f>
        <v>FG--</v>
      </c>
      <c r="K1360" t="s">
        <v>10</v>
      </c>
      <c r="L1360">
        <v>500</v>
      </c>
      <c r="M1360" t="s">
        <v>1472</v>
      </c>
      <c r="N1360" t="s">
        <v>11</v>
      </c>
      <c r="O1360">
        <v>0.4859</v>
      </c>
      <c r="P1360" s="45">
        <f t="shared" si="98"/>
        <v>242.95</v>
      </c>
      <c r="Q1360" s="13">
        <f>IF(N1360="HKD",7.8,IF(N1360="CNY",7.30034,1))</f>
        <v>7.3003400000000003</v>
      </c>
      <c r="R1360" s="15">
        <f>+ROUND(O1360/Q1360,4)</f>
        <v>6.6600000000000006E-2</v>
      </c>
      <c r="S1360" s="14">
        <f>ROUND(R1360*L1360,2)</f>
        <v>33.299999999999997</v>
      </c>
      <c r="T1360" s="15" t="s">
        <v>349</v>
      </c>
      <c r="U1360" t="s">
        <v>64</v>
      </c>
      <c r="W1360" s="49" t="e">
        <f t="shared" si="99"/>
        <v>#DIV/0!</v>
      </c>
    </row>
    <row r="1361" spans="1:23" x14ac:dyDescent="0.2">
      <c r="A1361" t="s">
        <v>2636</v>
      </c>
      <c r="B1361" s="24">
        <v>45741</v>
      </c>
      <c r="C1361" s="24">
        <v>45721</v>
      </c>
      <c r="D1361" t="s">
        <v>28</v>
      </c>
      <c r="E1361" t="s">
        <v>29</v>
      </c>
      <c r="F1361" s="23"/>
      <c r="G1361" t="s">
        <v>2937</v>
      </c>
      <c r="H1361" t="s">
        <v>3203</v>
      </c>
      <c r="I1361" t="s">
        <v>3410</v>
      </c>
      <c r="J1361" s="11" t="str">
        <f>+LEFT(U1361,4)</f>
        <v>BRKT</v>
      </c>
      <c r="K1361" t="s">
        <v>10</v>
      </c>
      <c r="L1361">
        <v>500</v>
      </c>
      <c r="M1361" t="s">
        <v>1472</v>
      </c>
      <c r="N1361" t="s">
        <v>11</v>
      </c>
      <c r="O1361">
        <v>0.68369999999999997</v>
      </c>
      <c r="P1361" s="45">
        <f t="shared" si="98"/>
        <v>341.85</v>
      </c>
      <c r="Q1361" s="13">
        <f>IF(N1361="HKD",7.8,IF(N1361="CNY",7.30034,1))</f>
        <v>7.3003400000000003</v>
      </c>
      <c r="R1361" s="15">
        <f>+ROUND(O1361/Q1361,4)</f>
        <v>9.3700000000000006E-2</v>
      </c>
      <c r="S1361" s="14">
        <f>ROUND(R1361*L1361,2)</f>
        <v>46.85</v>
      </c>
      <c r="T1361" s="15" t="s">
        <v>349</v>
      </c>
      <c r="U1361" t="s">
        <v>442</v>
      </c>
      <c r="W1361" s="49" t="e">
        <f t="shared" si="99"/>
        <v>#DIV/0!</v>
      </c>
    </row>
    <row r="1362" spans="1:23" x14ac:dyDescent="0.2">
      <c r="A1362" t="s">
        <v>2638</v>
      </c>
      <c r="B1362" s="24">
        <v>45741</v>
      </c>
      <c r="C1362" s="24">
        <v>45721</v>
      </c>
      <c r="D1362" t="s">
        <v>2247</v>
      </c>
      <c r="E1362" t="s">
        <v>2248</v>
      </c>
      <c r="F1362" s="23"/>
      <c r="G1362" t="s">
        <v>3020</v>
      </c>
      <c r="H1362" t="s">
        <v>1635</v>
      </c>
      <c r="I1362" t="s">
        <v>1636</v>
      </c>
      <c r="J1362" s="11" t="str">
        <f>+LEFT(U1362,4)</f>
        <v>KNOB</v>
      </c>
      <c r="K1362" t="s">
        <v>10</v>
      </c>
      <c r="L1362">
        <v>500</v>
      </c>
      <c r="M1362" t="s">
        <v>1472</v>
      </c>
      <c r="N1362" t="s">
        <v>11</v>
      </c>
      <c r="O1362">
        <v>0.70320000000000005</v>
      </c>
      <c r="P1362" s="45">
        <f t="shared" si="98"/>
        <v>351.6</v>
      </c>
      <c r="Q1362" s="13">
        <f>IF(N1362="HKD",7.8,IF(N1362="CNY",7.30034,1))</f>
        <v>7.3003400000000003</v>
      </c>
      <c r="R1362" s="15">
        <f>+ROUND(O1362/Q1362,4)</f>
        <v>9.6299999999999997E-2</v>
      </c>
      <c r="S1362" s="14">
        <f>ROUND(R1362*L1362,2)</f>
        <v>48.15</v>
      </c>
      <c r="T1362" s="15" t="s">
        <v>349</v>
      </c>
      <c r="U1362" t="s">
        <v>32</v>
      </c>
      <c r="W1362" s="49" t="e">
        <f t="shared" si="99"/>
        <v>#DIV/0!</v>
      </c>
    </row>
    <row r="1363" spans="1:23" x14ac:dyDescent="0.2">
      <c r="A1363" t="s">
        <v>2663</v>
      </c>
      <c r="B1363" s="24">
        <v>45741</v>
      </c>
      <c r="C1363" s="24">
        <v>45723</v>
      </c>
      <c r="D1363" t="s">
        <v>28</v>
      </c>
      <c r="E1363" t="s">
        <v>29</v>
      </c>
      <c r="F1363" s="23"/>
      <c r="G1363" t="s">
        <v>2937</v>
      </c>
      <c r="H1363" t="s">
        <v>3202</v>
      </c>
      <c r="I1363" t="s">
        <v>3409</v>
      </c>
      <c r="J1363" s="11" t="str">
        <f>+LEFT(U1363,4)</f>
        <v>BRKT</v>
      </c>
      <c r="K1363" t="s">
        <v>10</v>
      </c>
      <c r="L1363">
        <v>500</v>
      </c>
      <c r="M1363" t="s">
        <v>1472</v>
      </c>
      <c r="N1363" t="s">
        <v>11</v>
      </c>
      <c r="O1363">
        <v>0.68369999999999997</v>
      </c>
      <c r="P1363" s="45">
        <f t="shared" si="98"/>
        <v>341.85</v>
      </c>
      <c r="Q1363" s="13">
        <f>IF(N1363="HKD",7.8,IF(N1363="CNY",7.30034,1))</f>
        <v>7.3003400000000003</v>
      </c>
      <c r="R1363" s="15">
        <f>+ROUND(O1363/Q1363,4)</f>
        <v>9.3700000000000006E-2</v>
      </c>
      <c r="S1363" s="14">
        <f>ROUND(R1363*L1363,2)</f>
        <v>46.85</v>
      </c>
      <c r="T1363" s="15" t="s">
        <v>349</v>
      </c>
      <c r="U1363" t="s">
        <v>442</v>
      </c>
      <c r="W1363" s="49" t="e">
        <f t="shared" si="99"/>
        <v>#DIV/0!</v>
      </c>
    </row>
    <row r="1364" spans="1:23" x14ac:dyDescent="0.2">
      <c r="A1364" t="s">
        <v>2664</v>
      </c>
      <c r="B1364" s="24">
        <v>45741</v>
      </c>
      <c r="C1364" s="24">
        <v>45723</v>
      </c>
      <c r="D1364" t="s">
        <v>28</v>
      </c>
      <c r="E1364" t="s">
        <v>29</v>
      </c>
      <c r="F1364" s="23"/>
      <c r="G1364" t="s">
        <v>2937</v>
      </c>
      <c r="H1364" t="s">
        <v>1152</v>
      </c>
      <c r="I1364" t="s">
        <v>1153</v>
      </c>
      <c r="J1364" s="11" t="str">
        <f>+LEFT(U1364,4)</f>
        <v>BRKT</v>
      </c>
      <c r="K1364" t="s">
        <v>10</v>
      </c>
      <c r="L1364">
        <v>1530</v>
      </c>
      <c r="M1364" t="s">
        <v>1472</v>
      </c>
      <c r="N1364" t="s">
        <v>11</v>
      </c>
      <c r="O1364">
        <v>0.6522</v>
      </c>
      <c r="P1364" s="45">
        <f t="shared" si="98"/>
        <v>997.87</v>
      </c>
      <c r="Q1364" s="13">
        <f>IF(N1364="HKD",7.8,IF(N1364="CNY",7.30034,1))</f>
        <v>7.3003400000000003</v>
      </c>
      <c r="R1364" s="15">
        <f>+ROUND(O1364/Q1364,4)</f>
        <v>8.9300000000000004E-2</v>
      </c>
      <c r="S1364" s="14">
        <f>ROUND(R1364*L1364,2)</f>
        <v>136.63</v>
      </c>
      <c r="T1364" s="15" t="s">
        <v>349</v>
      </c>
      <c r="U1364" t="s">
        <v>442</v>
      </c>
      <c r="W1364" s="49" t="e">
        <f t="shared" si="99"/>
        <v>#DIV/0!</v>
      </c>
    </row>
    <row r="1365" spans="1:23" x14ac:dyDescent="0.2">
      <c r="A1365" t="s">
        <v>2696</v>
      </c>
      <c r="B1365" s="24">
        <v>45741</v>
      </c>
      <c r="C1365" s="24">
        <v>45728</v>
      </c>
      <c r="D1365" t="s">
        <v>709</v>
      </c>
      <c r="E1365" t="s">
        <v>710</v>
      </c>
      <c r="F1365" s="23"/>
      <c r="G1365" t="s">
        <v>2930</v>
      </c>
      <c r="H1365" t="s">
        <v>1647</v>
      </c>
      <c r="I1365" t="s">
        <v>1648</v>
      </c>
      <c r="J1365" s="11" t="str">
        <f>+LEFT(U1365,4)</f>
        <v>KNOB</v>
      </c>
      <c r="K1365" t="s">
        <v>10</v>
      </c>
      <c r="L1365">
        <v>1010</v>
      </c>
      <c r="M1365" t="s">
        <v>1472</v>
      </c>
      <c r="N1365" t="s">
        <v>11</v>
      </c>
      <c r="O1365">
        <v>1.0902000000000001</v>
      </c>
      <c r="P1365" s="45">
        <f t="shared" si="98"/>
        <v>1101.0999999999999</v>
      </c>
      <c r="Q1365" s="13">
        <f>IF(N1365="HKD",7.8,IF(N1365="CNY",7.30034,1))</f>
        <v>7.3003400000000003</v>
      </c>
      <c r="R1365" s="15">
        <f>+ROUND(O1365/Q1365,4)</f>
        <v>0.14929999999999999</v>
      </c>
      <c r="S1365" s="14">
        <f>ROUND(R1365*L1365,2)</f>
        <v>150.79</v>
      </c>
      <c r="T1365" s="15" t="s">
        <v>349</v>
      </c>
      <c r="U1365" t="s">
        <v>32</v>
      </c>
      <c r="W1365" s="49" t="e">
        <f t="shared" si="99"/>
        <v>#DIV/0!</v>
      </c>
    </row>
    <row r="1366" spans="1:23" x14ac:dyDescent="0.2">
      <c r="A1366" t="s">
        <v>2697</v>
      </c>
      <c r="B1366" s="24">
        <v>45741</v>
      </c>
      <c r="C1366" s="24">
        <v>45728</v>
      </c>
      <c r="D1366" t="s">
        <v>709</v>
      </c>
      <c r="E1366" t="s">
        <v>710</v>
      </c>
      <c r="F1366" s="23"/>
      <c r="G1366" t="s">
        <v>2930</v>
      </c>
      <c r="H1366" t="s">
        <v>3227</v>
      </c>
      <c r="I1366" t="s">
        <v>3434</v>
      </c>
      <c r="J1366" s="11" t="str">
        <f>+LEFT(U1366,4)</f>
        <v>KNOB</v>
      </c>
      <c r="K1366" t="s">
        <v>10</v>
      </c>
      <c r="L1366">
        <v>3000</v>
      </c>
      <c r="M1366" t="s">
        <v>1472</v>
      </c>
      <c r="N1366" t="s">
        <v>11</v>
      </c>
      <c r="O1366">
        <v>1.6423000000000001</v>
      </c>
      <c r="P1366" s="45">
        <f t="shared" si="98"/>
        <v>4926.8999999999996</v>
      </c>
      <c r="Q1366" s="13">
        <f>IF(N1366="HKD",7.8,IF(N1366="CNY",7.30034,1))</f>
        <v>7.3003400000000003</v>
      </c>
      <c r="R1366" s="15">
        <f>+ROUND(O1366/Q1366,4)</f>
        <v>0.22500000000000001</v>
      </c>
      <c r="S1366" s="14">
        <f>ROUND(R1366*L1366,2)</f>
        <v>675</v>
      </c>
      <c r="T1366" s="15" t="s">
        <v>349</v>
      </c>
      <c r="U1366" t="s">
        <v>32</v>
      </c>
      <c r="W1366" s="49" t="e">
        <f t="shared" si="99"/>
        <v>#DIV/0!</v>
      </c>
    </row>
    <row r="1367" spans="1:23" x14ac:dyDescent="0.2">
      <c r="A1367" t="s">
        <v>2698</v>
      </c>
      <c r="B1367" s="24">
        <v>45741</v>
      </c>
      <c r="C1367" s="24">
        <v>45728</v>
      </c>
      <c r="D1367" t="s">
        <v>709</v>
      </c>
      <c r="E1367" t="s">
        <v>710</v>
      </c>
      <c r="F1367" s="23"/>
      <c r="G1367" t="s">
        <v>2930</v>
      </c>
      <c r="H1367" t="s">
        <v>1641</v>
      </c>
      <c r="I1367" t="s">
        <v>1642</v>
      </c>
      <c r="J1367" s="11" t="str">
        <f>+LEFT(U1367,4)</f>
        <v>KNOB</v>
      </c>
      <c r="K1367" t="s">
        <v>10</v>
      </c>
      <c r="L1367">
        <v>4100</v>
      </c>
      <c r="M1367" t="s">
        <v>1472</v>
      </c>
      <c r="N1367" t="s">
        <v>11</v>
      </c>
      <c r="O1367">
        <v>0.87629999999999997</v>
      </c>
      <c r="P1367" s="45">
        <f t="shared" si="98"/>
        <v>3592.83</v>
      </c>
      <c r="Q1367" s="13">
        <f>IF(N1367="HKD",7.8,IF(N1367="CNY",7.30034,1))</f>
        <v>7.3003400000000003</v>
      </c>
      <c r="R1367" s="15">
        <f>+ROUND(O1367/Q1367,4)</f>
        <v>0.12</v>
      </c>
      <c r="S1367" s="14">
        <f>ROUND(R1367*L1367,2)</f>
        <v>492</v>
      </c>
      <c r="T1367" s="15" t="s">
        <v>349</v>
      </c>
      <c r="U1367" t="s">
        <v>32</v>
      </c>
      <c r="W1367" s="49" t="e">
        <f t="shared" si="99"/>
        <v>#DIV/0!</v>
      </c>
    </row>
    <row r="1368" spans="1:23" x14ac:dyDescent="0.2">
      <c r="A1368" t="s">
        <v>2715</v>
      </c>
      <c r="B1368" s="24">
        <v>45741</v>
      </c>
      <c r="C1368" s="24">
        <v>45728</v>
      </c>
      <c r="D1368" t="s">
        <v>651</v>
      </c>
      <c r="E1368" t="s">
        <v>652</v>
      </c>
      <c r="F1368" s="23"/>
      <c r="G1368" t="s">
        <v>3014</v>
      </c>
      <c r="H1368" t="s">
        <v>1674</v>
      </c>
      <c r="I1368" t="s">
        <v>1675</v>
      </c>
      <c r="J1368" s="11" t="str">
        <f>+LEFT(U1368,4)</f>
        <v>HDL-</v>
      </c>
      <c r="K1368" t="s">
        <v>10</v>
      </c>
      <c r="L1368">
        <v>3000</v>
      </c>
      <c r="M1368" t="s">
        <v>1472</v>
      </c>
      <c r="N1368" t="s">
        <v>11</v>
      </c>
      <c r="O1368">
        <v>2.0844999999999998</v>
      </c>
      <c r="P1368" s="45">
        <f t="shared" si="98"/>
        <v>6253.5</v>
      </c>
      <c r="Q1368" s="13">
        <f>IF(N1368="HKD",7.8,IF(N1368="CNY",7.30034,1))</f>
        <v>7.3003400000000003</v>
      </c>
      <c r="R1368" s="15">
        <f>+ROUND(O1368/Q1368,4)</f>
        <v>0.28549999999999998</v>
      </c>
      <c r="S1368" s="14">
        <f>ROUND(R1368*L1368,2)</f>
        <v>856.5</v>
      </c>
      <c r="T1368" s="15" t="s">
        <v>349</v>
      </c>
      <c r="U1368" t="s">
        <v>228</v>
      </c>
      <c r="W1368" s="49" t="e">
        <f t="shared" si="99"/>
        <v>#DIV/0!</v>
      </c>
    </row>
    <row r="1369" spans="1:23" x14ac:dyDescent="0.2">
      <c r="A1369" t="s">
        <v>2716</v>
      </c>
      <c r="B1369" s="24">
        <v>45741</v>
      </c>
      <c r="C1369" s="24">
        <v>45728</v>
      </c>
      <c r="D1369" t="s">
        <v>651</v>
      </c>
      <c r="E1369" t="s">
        <v>652</v>
      </c>
      <c r="F1369" s="23"/>
      <c r="G1369" t="s">
        <v>3038</v>
      </c>
      <c r="H1369" t="s">
        <v>3237</v>
      </c>
      <c r="I1369" t="s">
        <v>3444</v>
      </c>
      <c r="J1369" s="11" t="str">
        <f>+LEFT(U1369,4)</f>
        <v>FG--</v>
      </c>
      <c r="K1369" t="s">
        <v>10</v>
      </c>
      <c r="L1369">
        <v>2030</v>
      </c>
      <c r="M1369" t="s">
        <v>1472</v>
      </c>
      <c r="N1369" t="s">
        <v>11</v>
      </c>
      <c r="O1369">
        <v>0.77500000000000002</v>
      </c>
      <c r="P1369" s="45">
        <f t="shared" si="98"/>
        <v>1573.25</v>
      </c>
      <c r="Q1369" s="13">
        <f>IF(N1369="HKD",7.8,IF(N1369="CNY",7.30034,1))</f>
        <v>7.3003400000000003</v>
      </c>
      <c r="R1369" s="15">
        <f>+ROUND(O1369/Q1369,4)</f>
        <v>0.1062</v>
      </c>
      <c r="S1369" s="14">
        <f>ROUND(R1369*L1369,2)</f>
        <v>215.59</v>
      </c>
      <c r="T1369" s="15" t="s">
        <v>349</v>
      </c>
      <c r="U1369" t="s">
        <v>64</v>
      </c>
      <c r="W1369" s="49" t="e">
        <f t="shared" si="99"/>
        <v>#DIV/0!</v>
      </c>
    </row>
    <row r="1370" spans="1:23" x14ac:dyDescent="0.2">
      <c r="A1370" t="s">
        <v>2717</v>
      </c>
      <c r="B1370" s="24">
        <v>45741</v>
      </c>
      <c r="C1370" s="24">
        <v>45728</v>
      </c>
      <c r="D1370" t="s">
        <v>651</v>
      </c>
      <c r="E1370" t="s">
        <v>652</v>
      </c>
      <c r="F1370" s="23"/>
      <c r="G1370" t="s">
        <v>3038</v>
      </c>
      <c r="H1370" t="s">
        <v>3238</v>
      </c>
      <c r="I1370" t="s">
        <v>3445</v>
      </c>
      <c r="J1370" s="11" t="str">
        <f>+LEFT(U1370,4)</f>
        <v>FG--</v>
      </c>
      <c r="K1370" t="s">
        <v>10</v>
      </c>
      <c r="L1370">
        <v>3100</v>
      </c>
      <c r="M1370" t="s">
        <v>1472</v>
      </c>
      <c r="N1370" t="s">
        <v>11</v>
      </c>
      <c r="O1370">
        <v>0.82320000000000004</v>
      </c>
      <c r="P1370" s="45">
        <f t="shared" si="98"/>
        <v>2551.92</v>
      </c>
      <c r="Q1370" s="13">
        <f>IF(N1370="HKD",7.8,IF(N1370="CNY",7.30034,1))</f>
        <v>7.3003400000000003</v>
      </c>
      <c r="R1370" s="15">
        <f>+ROUND(O1370/Q1370,4)</f>
        <v>0.1128</v>
      </c>
      <c r="S1370" s="14">
        <f>ROUND(R1370*L1370,2)</f>
        <v>349.68</v>
      </c>
      <c r="T1370" s="15" t="s">
        <v>349</v>
      </c>
      <c r="U1370" t="s">
        <v>64</v>
      </c>
      <c r="W1370" s="49" t="e">
        <f t="shared" si="99"/>
        <v>#DIV/0!</v>
      </c>
    </row>
    <row r="1371" spans="1:23" x14ac:dyDescent="0.2">
      <c r="A1371" t="s">
        <v>2718</v>
      </c>
      <c r="B1371" s="24">
        <v>45741</v>
      </c>
      <c r="C1371" s="24">
        <v>45728</v>
      </c>
      <c r="D1371" t="s">
        <v>28</v>
      </c>
      <c r="E1371" t="s">
        <v>29</v>
      </c>
      <c r="F1371" s="23"/>
      <c r="G1371" t="s">
        <v>3001</v>
      </c>
      <c r="H1371" t="s">
        <v>1149</v>
      </c>
      <c r="I1371" t="s">
        <v>1150</v>
      </c>
      <c r="J1371" s="11" t="str">
        <f>+LEFT(U1371,4)</f>
        <v>BRKT</v>
      </c>
      <c r="K1371" t="s">
        <v>10</v>
      </c>
      <c r="L1371">
        <v>3100</v>
      </c>
      <c r="M1371" t="s">
        <v>1472</v>
      </c>
      <c r="N1371" t="s">
        <v>11</v>
      </c>
      <c r="O1371">
        <v>0.57750000000000001</v>
      </c>
      <c r="P1371" s="45">
        <f t="shared" si="98"/>
        <v>1790.25</v>
      </c>
      <c r="Q1371" s="13">
        <f>IF(N1371="HKD",7.8,IF(N1371="CNY",7.30034,1))</f>
        <v>7.3003400000000003</v>
      </c>
      <c r="R1371" s="15">
        <f>+ROUND(O1371/Q1371,4)</f>
        <v>7.9100000000000004E-2</v>
      </c>
      <c r="S1371" s="14">
        <f>ROUND(R1371*L1371,2)</f>
        <v>245.21</v>
      </c>
      <c r="T1371" s="15" t="s">
        <v>349</v>
      </c>
      <c r="U1371" t="s">
        <v>442</v>
      </c>
      <c r="W1371" s="49" t="e">
        <f t="shared" si="99"/>
        <v>#DIV/0!</v>
      </c>
    </row>
    <row r="1372" spans="1:23" x14ac:dyDescent="0.2">
      <c r="A1372" t="s">
        <v>2719</v>
      </c>
      <c r="B1372" s="24">
        <v>45741</v>
      </c>
      <c r="C1372" s="24">
        <v>45728</v>
      </c>
      <c r="D1372" t="s">
        <v>28</v>
      </c>
      <c r="E1372" t="s">
        <v>29</v>
      </c>
      <c r="F1372" s="23"/>
      <c r="G1372" t="s">
        <v>3001</v>
      </c>
      <c r="H1372" t="s">
        <v>1145</v>
      </c>
      <c r="I1372" t="s">
        <v>1146</v>
      </c>
      <c r="J1372" s="11" t="str">
        <f>+LEFT(U1372,4)</f>
        <v>BRKT</v>
      </c>
      <c r="K1372" t="s">
        <v>10</v>
      </c>
      <c r="L1372">
        <v>3100</v>
      </c>
      <c r="M1372" t="s">
        <v>1472</v>
      </c>
      <c r="N1372" t="s">
        <v>11</v>
      </c>
      <c r="O1372">
        <v>0.59809999999999997</v>
      </c>
      <c r="P1372" s="45">
        <f t="shared" si="98"/>
        <v>1854.11</v>
      </c>
      <c r="Q1372" s="13">
        <f>IF(N1372="HKD",7.8,IF(N1372="CNY",7.30034,1))</f>
        <v>7.3003400000000003</v>
      </c>
      <c r="R1372" s="15">
        <f>+ROUND(O1372/Q1372,4)</f>
        <v>8.1900000000000001E-2</v>
      </c>
      <c r="S1372" s="14">
        <f>ROUND(R1372*L1372,2)</f>
        <v>253.89</v>
      </c>
      <c r="T1372" s="15" t="s">
        <v>349</v>
      </c>
      <c r="U1372" t="s">
        <v>442</v>
      </c>
      <c r="W1372" s="49" t="e">
        <f t="shared" si="99"/>
        <v>#DIV/0!</v>
      </c>
    </row>
    <row r="1373" spans="1:23" x14ac:dyDescent="0.2">
      <c r="A1373" t="s">
        <v>2720</v>
      </c>
      <c r="B1373" s="24">
        <v>45741</v>
      </c>
      <c r="C1373" s="24">
        <v>45728</v>
      </c>
      <c r="D1373" t="s">
        <v>128</v>
      </c>
      <c r="E1373" t="s">
        <v>129</v>
      </c>
      <c r="F1373" s="23"/>
      <c r="G1373" t="s">
        <v>2938</v>
      </c>
      <c r="H1373" t="s">
        <v>954</v>
      </c>
      <c r="I1373" t="s">
        <v>955</v>
      </c>
      <c r="J1373" s="11" t="str">
        <f>+LEFT(U1373,4)</f>
        <v>RIV-</v>
      </c>
      <c r="K1373" t="s">
        <v>10</v>
      </c>
      <c r="L1373">
        <v>3500</v>
      </c>
      <c r="M1373" t="s">
        <v>1472</v>
      </c>
      <c r="N1373" t="s">
        <v>11</v>
      </c>
      <c r="O1373">
        <v>7.0099999999999996E-2</v>
      </c>
      <c r="P1373" s="45">
        <f t="shared" si="98"/>
        <v>245.35</v>
      </c>
      <c r="Q1373" s="13">
        <f>IF(N1373="HKD",7.8,IF(N1373="CNY",7.30034,1))</f>
        <v>7.3003400000000003</v>
      </c>
      <c r="R1373" s="15">
        <f>+ROUND(O1373/Q1373,4)</f>
        <v>9.5999999999999992E-3</v>
      </c>
      <c r="S1373" s="14">
        <f>ROUND(R1373*L1373,2)</f>
        <v>33.6</v>
      </c>
      <c r="T1373" s="15" t="s">
        <v>349</v>
      </c>
      <c r="U1373" t="s">
        <v>132</v>
      </c>
      <c r="W1373" s="49" t="e">
        <f t="shared" si="99"/>
        <v>#DIV/0!</v>
      </c>
    </row>
    <row r="1374" spans="1:23" x14ac:dyDescent="0.2">
      <c r="A1374" t="s">
        <v>2754</v>
      </c>
      <c r="B1374" s="24">
        <v>45741</v>
      </c>
      <c r="C1374" s="24">
        <v>45729</v>
      </c>
      <c r="D1374" t="s">
        <v>128</v>
      </c>
      <c r="E1374" t="s">
        <v>129</v>
      </c>
      <c r="F1374" s="23"/>
      <c r="G1374" t="s">
        <v>2938</v>
      </c>
      <c r="H1374" t="s">
        <v>954</v>
      </c>
      <c r="I1374" t="s">
        <v>955</v>
      </c>
      <c r="J1374" s="11" t="str">
        <f>+LEFT(U1374,4)</f>
        <v>RIV-</v>
      </c>
      <c r="K1374" t="s">
        <v>10</v>
      </c>
      <c r="L1374">
        <v>1000</v>
      </c>
      <c r="M1374" t="s">
        <v>1472</v>
      </c>
      <c r="N1374" t="s">
        <v>11</v>
      </c>
      <c r="O1374">
        <v>7.0099999999999996E-2</v>
      </c>
      <c r="P1374" s="45">
        <f t="shared" si="98"/>
        <v>70.099999999999994</v>
      </c>
      <c r="Q1374" s="13">
        <f>IF(N1374="HKD",7.8,IF(N1374="CNY",7.30034,1))</f>
        <v>7.3003400000000003</v>
      </c>
      <c r="R1374" s="15">
        <f>+ROUND(O1374/Q1374,4)</f>
        <v>9.5999999999999992E-3</v>
      </c>
      <c r="S1374" s="14">
        <f>ROUND(R1374*L1374,2)</f>
        <v>9.6</v>
      </c>
      <c r="T1374" s="15" t="s">
        <v>349</v>
      </c>
      <c r="U1374" t="s">
        <v>132</v>
      </c>
      <c r="W1374" s="49" t="e">
        <f t="shared" si="99"/>
        <v>#DIV/0!</v>
      </c>
    </row>
    <row r="1375" spans="1:23" x14ac:dyDescent="0.2">
      <c r="A1375" t="s">
        <v>2767</v>
      </c>
      <c r="B1375" s="24">
        <v>45741</v>
      </c>
      <c r="C1375" s="24">
        <v>45730</v>
      </c>
      <c r="D1375" t="s">
        <v>806</v>
      </c>
      <c r="E1375" t="s">
        <v>807</v>
      </c>
      <c r="F1375" s="23"/>
      <c r="G1375" t="s">
        <v>3024</v>
      </c>
      <c r="H1375" t="s">
        <v>3254</v>
      </c>
      <c r="I1375" t="s">
        <v>3461</v>
      </c>
      <c r="J1375" s="11" t="str">
        <f>+LEFT(U1375,4)</f>
        <v>SWF-</v>
      </c>
      <c r="K1375" t="s">
        <v>10</v>
      </c>
      <c r="L1375">
        <v>11</v>
      </c>
      <c r="M1375" t="s">
        <v>186</v>
      </c>
      <c r="N1375" t="s">
        <v>11</v>
      </c>
      <c r="O1375">
        <v>17.2</v>
      </c>
      <c r="P1375" s="45">
        <f t="shared" si="98"/>
        <v>189.2</v>
      </c>
      <c r="Q1375" s="13">
        <f>IF(N1375="HKD",7.8,IF(N1375="CNY",7.30034,1))</f>
        <v>7.3003400000000003</v>
      </c>
      <c r="R1375" s="15">
        <f>+ROUND(O1375/Q1375,4)</f>
        <v>2.3561000000000001</v>
      </c>
      <c r="S1375" s="14">
        <f>ROUND(R1375*L1375,2)</f>
        <v>25.92</v>
      </c>
      <c r="T1375" s="15" t="s">
        <v>349</v>
      </c>
      <c r="U1375" t="s">
        <v>3483</v>
      </c>
      <c r="W1375" s="49" t="e">
        <f t="shared" si="99"/>
        <v>#DIV/0!</v>
      </c>
    </row>
    <row r="1376" spans="1:23" x14ac:dyDescent="0.2">
      <c r="A1376" t="s">
        <v>2768</v>
      </c>
      <c r="B1376" s="24">
        <v>45741</v>
      </c>
      <c r="C1376" s="24">
        <v>45730</v>
      </c>
      <c r="D1376" t="s">
        <v>806</v>
      </c>
      <c r="E1376" t="s">
        <v>807</v>
      </c>
      <c r="F1376" s="23"/>
      <c r="G1376" t="s">
        <v>3024</v>
      </c>
      <c r="H1376" t="s">
        <v>3255</v>
      </c>
      <c r="I1376" t="s">
        <v>3462</v>
      </c>
      <c r="J1376" s="11" t="str">
        <f>+LEFT(U1376,4)</f>
        <v>SWF-</v>
      </c>
      <c r="K1376" t="s">
        <v>10</v>
      </c>
      <c r="L1376">
        <v>9</v>
      </c>
      <c r="M1376" t="s">
        <v>186</v>
      </c>
      <c r="N1376" t="s">
        <v>11</v>
      </c>
      <c r="O1376">
        <v>17.2</v>
      </c>
      <c r="P1376" s="45">
        <f t="shared" si="98"/>
        <v>154.80000000000001</v>
      </c>
      <c r="Q1376" s="13">
        <f>IF(N1376="HKD",7.8,IF(N1376="CNY",7.30034,1))</f>
        <v>7.3003400000000003</v>
      </c>
      <c r="R1376" s="15">
        <f>+ROUND(O1376/Q1376,4)</f>
        <v>2.3561000000000001</v>
      </c>
      <c r="S1376" s="14">
        <f>ROUND(R1376*L1376,2)</f>
        <v>21.2</v>
      </c>
      <c r="T1376" s="15" t="s">
        <v>349</v>
      </c>
      <c r="U1376" t="s">
        <v>3483</v>
      </c>
      <c r="W1376" s="49" t="e">
        <f t="shared" si="99"/>
        <v>#DIV/0!</v>
      </c>
    </row>
    <row r="1377" spans="1:23" x14ac:dyDescent="0.2">
      <c r="A1377" t="s">
        <v>2769</v>
      </c>
      <c r="B1377" s="24">
        <v>45741</v>
      </c>
      <c r="C1377" s="24">
        <v>45730</v>
      </c>
      <c r="D1377" t="s">
        <v>806</v>
      </c>
      <c r="E1377" t="s">
        <v>807</v>
      </c>
      <c r="F1377" s="23"/>
      <c r="G1377" t="s">
        <v>3024</v>
      </c>
      <c r="H1377" t="s">
        <v>3087</v>
      </c>
      <c r="I1377" t="s">
        <v>3303</v>
      </c>
      <c r="J1377" s="11" t="str">
        <f>+LEFT(U1377,4)</f>
        <v>SWF-</v>
      </c>
      <c r="K1377" t="s">
        <v>10</v>
      </c>
      <c r="L1377">
        <v>16.5</v>
      </c>
      <c r="M1377" t="s">
        <v>186</v>
      </c>
      <c r="N1377" t="s">
        <v>11</v>
      </c>
      <c r="O1377">
        <v>16</v>
      </c>
      <c r="P1377" s="45">
        <f t="shared" si="98"/>
        <v>264</v>
      </c>
      <c r="Q1377" s="13">
        <f>IF(N1377="HKD",7.8,IF(N1377="CNY",7.30034,1))</f>
        <v>7.3003400000000003</v>
      </c>
      <c r="R1377" s="15">
        <f>+ROUND(O1377/Q1377,4)</f>
        <v>2.1917</v>
      </c>
      <c r="S1377" s="14">
        <f>ROUND(R1377*L1377,2)</f>
        <v>36.159999999999997</v>
      </c>
      <c r="T1377" s="15" t="s">
        <v>349</v>
      </c>
      <c r="U1377" t="s">
        <v>3483</v>
      </c>
      <c r="W1377" s="49" t="e">
        <f t="shared" si="99"/>
        <v>#DIV/0!</v>
      </c>
    </row>
    <row r="1378" spans="1:23" x14ac:dyDescent="0.2">
      <c r="A1378" t="s">
        <v>2284</v>
      </c>
      <c r="B1378" s="24">
        <v>45742</v>
      </c>
      <c r="C1378" s="24">
        <v>45604</v>
      </c>
      <c r="D1378" t="s">
        <v>287</v>
      </c>
      <c r="E1378" t="s">
        <v>288</v>
      </c>
      <c r="F1378" s="23"/>
      <c r="G1378" t="s">
        <v>2851</v>
      </c>
      <c r="H1378" t="s">
        <v>75</v>
      </c>
      <c r="I1378" t="s">
        <v>3280</v>
      </c>
      <c r="J1378" s="11" t="str">
        <f>+LEFT(U1378,4)</f>
        <v>ANYD</v>
      </c>
      <c r="K1378" t="s">
        <v>10</v>
      </c>
      <c r="L1378">
        <v>100</v>
      </c>
      <c r="M1378" t="s">
        <v>1472</v>
      </c>
      <c r="N1378" t="s">
        <v>11</v>
      </c>
      <c r="O1378">
        <v>9.2149999999999999</v>
      </c>
      <c r="P1378" s="45">
        <f t="shared" si="98"/>
        <v>921.5</v>
      </c>
      <c r="Q1378" s="13">
        <f>IF(N1378="HKD",7.8,IF(N1378="CNY",7.30034,1))</f>
        <v>7.3003400000000003</v>
      </c>
      <c r="R1378" s="15">
        <f>+ROUND(O1378/Q1378,4)</f>
        <v>1.2623</v>
      </c>
      <c r="S1378" s="14">
        <f>ROUND(R1378*L1378,2)</f>
        <v>126.23</v>
      </c>
      <c r="T1378" s="15" t="s">
        <v>349</v>
      </c>
      <c r="U1378" t="s">
        <v>36</v>
      </c>
      <c r="W1378" s="49" t="e">
        <f t="shared" si="99"/>
        <v>#DIV/0!</v>
      </c>
    </row>
    <row r="1379" spans="1:23" x14ac:dyDescent="0.2">
      <c r="A1379" t="s">
        <v>705</v>
      </c>
      <c r="B1379" s="24">
        <v>45742</v>
      </c>
      <c r="C1379" s="24">
        <v>45639</v>
      </c>
      <c r="D1379" t="s">
        <v>287</v>
      </c>
      <c r="E1379" t="s">
        <v>288</v>
      </c>
      <c r="F1379" s="23"/>
      <c r="G1379" t="s">
        <v>2851</v>
      </c>
      <c r="H1379" t="s">
        <v>703</v>
      </c>
      <c r="I1379" t="s">
        <v>704</v>
      </c>
      <c r="J1379" s="11" t="str">
        <f>+LEFT(U1379,4)</f>
        <v>ANYD</v>
      </c>
      <c r="K1379" t="s">
        <v>10</v>
      </c>
      <c r="L1379">
        <v>78</v>
      </c>
      <c r="M1379" t="s">
        <v>1472</v>
      </c>
      <c r="N1379" t="s">
        <v>11</v>
      </c>
      <c r="O1379">
        <v>7.4237000000000002</v>
      </c>
      <c r="P1379" s="45">
        <f t="shared" si="98"/>
        <v>579.04999999999995</v>
      </c>
      <c r="Q1379" s="13">
        <f>IF(N1379="HKD",7.8,IF(N1379="CNY",7.30034,1))</f>
        <v>7.3003400000000003</v>
      </c>
      <c r="R1379" s="15">
        <f>+ROUND(O1379/Q1379,4)</f>
        <v>1.0168999999999999</v>
      </c>
      <c r="S1379" s="14">
        <f>ROUND(R1379*L1379,2)</f>
        <v>79.319999999999993</v>
      </c>
      <c r="T1379" s="15" t="s">
        <v>349</v>
      </c>
      <c r="U1379" t="s">
        <v>36</v>
      </c>
      <c r="W1379" s="49" t="e">
        <f t="shared" si="99"/>
        <v>#DIV/0!</v>
      </c>
    </row>
    <row r="1380" spans="1:23" x14ac:dyDescent="0.2">
      <c r="A1380" t="s">
        <v>2316</v>
      </c>
      <c r="B1380" s="24">
        <v>45742</v>
      </c>
      <c r="C1380" s="24">
        <v>45664</v>
      </c>
      <c r="D1380" t="s">
        <v>287</v>
      </c>
      <c r="E1380" t="s">
        <v>288</v>
      </c>
      <c r="F1380" s="23"/>
      <c r="G1380" t="s">
        <v>2851</v>
      </c>
      <c r="H1380" t="s">
        <v>1557</v>
      </c>
      <c r="I1380" t="s">
        <v>1558</v>
      </c>
      <c r="J1380" s="11" t="str">
        <f>+LEFT(U1380,4)</f>
        <v>ANYD</v>
      </c>
      <c r="K1380" t="s">
        <v>10</v>
      </c>
      <c r="L1380">
        <v>200</v>
      </c>
      <c r="M1380" t="s">
        <v>1472</v>
      </c>
      <c r="N1380" t="s">
        <v>11</v>
      </c>
      <c r="O1380">
        <v>7.2716000000000003</v>
      </c>
      <c r="P1380" s="45">
        <f t="shared" si="98"/>
        <v>1454.32</v>
      </c>
      <c r="Q1380" s="13">
        <f>IF(N1380="HKD",7.8,IF(N1380="CNY",7.30034,1))</f>
        <v>7.3003400000000003</v>
      </c>
      <c r="R1380" s="15">
        <f>+ROUND(O1380/Q1380,4)</f>
        <v>0.99609999999999999</v>
      </c>
      <c r="S1380" s="14">
        <f>ROUND(R1380*L1380,2)</f>
        <v>199.22</v>
      </c>
      <c r="T1380" s="15" t="s">
        <v>349</v>
      </c>
      <c r="U1380" t="s">
        <v>36</v>
      </c>
      <c r="W1380" s="49" t="e">
        <f t="shared" si="99"/>
        <v>#DIV/0!</v>
      </c>
    </row>
    <row r="1381" spans="1:23" x14ac:dyDescent="0.2">
      <c r="A1381" t="s">
        <v>291</v>
      </c>
      <c r="B1381" s="24">
        <v>45742</v>
      </c>
      <c r="C1381" s="24">
        <v>45670</v>
      </c>
      <c r="D1381" t="s">
        <v>287</v>
      </c>
      <c r="E1381" t="s">
        <v>288</v>
      </c>
      <c r="F1381" s="23"/>
      <c r="G1381" t="s">
        <v>2884</v>
      </c>
      <c r="H1381" t="s">
        <v>76</v>
      </c>
      <c r="I1381" t="s">
        <v>77</v>
      </c>
      <c r="J1381" s="11" t="str">
        <f>+LEFT(U1381,4)</f>
        <v>GLID</v>
      </c>
      <c r="K1381" t="s">
        <v>10</v>
      </c>
      <c r="L1381">
        <v>-110</v>
      </c>
      <c r="M1381" t="s">
        <v>1472</v>
      </c>
      <c r="N1381" t="s">
        <v>11</v>
      </c>
      <c r="O1381">
        <v>6.5929000000000002</v>
      </c>
      <c r="P1381" s="45">
        <f t="shared" si="98"/>
        <v>-725.22</v>
      </c>
      <c r="Q1381" s="13">
        <f>IF(N1381="HKD",7.8,IF(N1381="CNY",7.30034,1))</f>
        <v>7.3003400000000003</v>
      </c>
      <c r="R1381" s="15">
        <f>+ROUND(O1381/Q1381,4)</f>
        <v>0.90310000000000001</v>
      </c>
      <c r="S1381" s="14">
        <f>ROUND(R1381*L1381,2)</f>
        <v>-99.34</v>
      </c>
      <c r="T1381" s="15" t="s">
        <v>349</v>
      </c>
      <c r="U1381" t="s">
        <v>78</v>
      </c>
      <c r="W1381" s="49" t="e">
        <f t="shared" si="99"/>
        <v>#DIV/0!</v>
      </c>
    </row>
    <row r="1382" spans="1:23" x14ac:dyDescent="0.2">
      <c r="A1382" t="s">
        <v>2342</v>
      </c>
      <c r="B1382" s="24">
        <v>45742</v>
      </c>
      <c r="C1382" s="24">
        <v>45674</v>
      </c>
      <c r="D1382" t="s">
        <v>287</v>
      </c>
      <c r="E1382" t="s">
        <v>288</v>
      </c>
      <c r="F1382" s="23"/>
      <c r="G1382" t="s">
        <v>2884</v>
      </c>
      <c r="H1382" t="s">
        <v>3064</v>
      </c>
      <c r="I1382" t="s">
        <v>83</v>
      </c>
      <c r="J1382" s="11" t="str">
        <f>+LEFT(U1382,4)</f>
        <v>ANYD</v>
      </c>
      <c r="K1382" t="s">
        <v>10</v>
      </c>
      <c r="L1382">
        <v>-90</v>
      </c>
      <c r="M1382" t="s">
        <v>1472</v>
      </c>
      <c r="N1382" t="s">
        <v>11</v>
      </c>
      <c r="O1382">
        <v>7.4237000000000002</v>
      </c>
      <c r="P1382" s="45">
        <f t="shared" si="98"/>
        <v>-668.13</v>
      </c>
      <c r="Q1382" s="13">
        <f>IF(N1382="HKD",7.8,IF(N1382="CNY",7.30034,1))</f>
        <v>7.3003400000000003</v>
      </c>
      <c r="R1382" s="15">
        <f>+ROUND(O1382/Q1382,4)</f>
        <v>1.0168999999999999</v>
      </c>
      <c r="S1382" s="14">
        <f>ROUND(R1382*L1382,2)</f>
        <v>-91.52</v>
      </c>
      <c r="T1382" s="15" t="s">
        <v>349</v>
      </c>
      <c r="U1382" t="s">
        <v>36</v>
      </c>
      <c r="W1382" s="49" t="e">
        <f t="shared" si="99"/>
        <v>#DIV/0!</v>
      </c>
    </row>
    <row r="1383" spans="1:23" x14ac:dyDescent="0.2">
      <c r="A1383" t="s">
        <v>2344</v>
      </c>
      <c r="B1383" s="24">
        <v>45742</v>
      </c>
      <c r="C1383" s="24">
        <v>45677</v>
      </c>
      <c r="D1383" t="s">
        <v>287</v>
      </c>
      <c r="E1383" t="s">
        <v>288</v>
      </c>
      <c r="F1383" s="23"/>
      <c r="G1383" t="s">
        <v>2884</v>
      </c>
      <c r="H1383" t="s">
        <v>79</v>
      </c>
      <c r="I1383" t="s">
        <v>80</v>
      </c>
      <c r="J1383" s="11" t="str">
        <f>+LEFT(U1383,4)</f>
        <v>ANYD</v>
      </c>
      <c r="K1383" t="s">
        <v>10</v>
      </c>
      <c r="L1383">
        <v>-120</v>
      </c>
      <c r="M1383" t="s">
        <v>1472</v>
      </c>
      <c r="N1383" t="s">
        <v>11</v>
      </c>
      <c r="O1383">
        <v>6.5929000000000002</v>
      </c>
      <c r="P1383" s="45">
        <f t="shared" si="98"/>
        <v>-791.15</v>
      </c>
      <c r="Q1383" s="13">
        <f>IF(N1383="HKD",7.8,IF(N1383="CNY",7.30034,1))</f>
        <v>7.3003400000000003</v>
      </c>
      <c r="R1383" s="15">
        <f>+ROUND(O1383/Q1383,4)</f>
        <v>0.90310000000000001</v>
      </c>
      <c r="S1383" s="14">
        <f>ROUND(R1383*L1383,2)</f>
        <v>-108.37</v>
      </c>
      <c r="T1383" s="15" t="s">
        <v>349</v>
      </c>
      <c r="U1383" t="s">
        <v>36</v>
      </c>
      <c r="W1383" s="49" t="e">
        <f t="shared" si="99"/>
        <v>#DIV/0!</v>
      </c>
    </row>
    <row r="1384" spans="1:23" x14ac:dyDescent="0.2">
      <c r="A1384" t="s">
        <v>2387</v>
      </c>
      <c r="B1384" s="24">
        <v>45742</v>
      </c>
      <c r="C1384" s="24">
        <v>45695</v>
      </c>
      <c r="D1384" t="s">
        <v>252</v>
      </c>
      <c r="E1384" t="s">
        <v>253</v>
      </c>
      <c r="F1384" s="23"/>
      <c r="G1384" t="s">
        <v>2915</v>
      </c>
      <c r="H1384" t="s">
        <v>1022</v>
      </c>
      <c r="I1384" t="s">
        <v>1023</v>
      </c>
      <c r="J1384" s="11" t="str">
        <f>+LEFT(U1384,4)</f>
        <v>ANYD</v>
      </c>
      <c r="K1384" t="s">
        <v>10</v>
      </c>
      <c r="L1384">
        <v>3050</v>
      </c>
      <c r="M1384" t="s">
        <v>1472</v>
      </c>
      <c r="N1384" t="s">
        <v>11</v>
      </c>
      <c r="O1384">
        <v>1.2838000000000001</v>
      </c>
      <c r="P1384" s="45">
        <f t="shared" si="98"/>
        <v>3915.59</v>
      </c>
      <c r="Q1384" s="13">
        <f>IF(N1384="HKD",7.8,IF(N1384="CNY",7.30034,1))</f>
        <v>7.3003400000000003</v>
      </c>
      <c r="R1384" s="15">
        <f>+ROUND(O1384/Q1384,4)</f>
        <v>0.1759</v>
      </c>
      <c r="S1384" s="14">
        <f>ROUND(R1384*L1384,2)</f>
        <v>536.5</v>
      </c>
      <c r="T1384" s="15" t="s">
        <v>349</v>
      </c>
      <c r="U1384" t="s">
        <v>36</v>
      </c>
      <c r="W1384" s="49" t="e">
        <f t="shared" si="99"/>
        <v>#DIV/0!</v>
      </c>
    </row>
    <row r="1385" spans="1:23" x14ac:dyDescent="0.2">
      <c r="A1385" t="s">
        <v>2388</v>
      </c>
      <c r="B1385" s="24">
        <v>45742</v>
      </c>
      <c r="C1385" s="24">
        <v>45695</v>
      </c>
      <c r="D1385" t="s">
        <v>252</v>
      </c>
      <c r="E1385" t="s">
        <v>253</v>
      </c>
      <c r="F1385" s="23"/>
      <c r="G1385" t="s">
        <v>2915</v>
      </c>
      <c r="H1385" t="s">
        <v>682</v>
      </c>
      <c r="I1385" t="s">
        <v>683</v>
      </c>
      <c r="J1385" s="11" t="str">
        <f>+LEFT(U1385,4)</f>
        <v>ANYD</v>
      </c>
      <c r="K1385" t="s">
        <v>10</v>
      </c>
      <c r="L1385">
        <v>4900</v>
      </c>
      <c r="M1385" t="s">
        <v>1472</v>
      </c>
      <c r="N1385" t="s">
        <v>11</v>
      </c>
      <c r="O1385">
        <v>1.3524</v>
      </c>
      <c r="P1385" s="45">
        <f t="shared" si="98"/>
        <v>6626.76</v>
      </c>
      <c r="Q1385" s="13">
        <f>IF(N1385="HKD",7.8,IF(N1385="CNY",7.30034,1))</f>
        <v>7.3003400000000003</v>
      </c>
      <c r="R1385" s="15">
        <f>+ROUND(O1385/Q1385,4)</f>
        <v>0.18529999999999999</v>
      </c>
      <c r="S1385" s="14">
        <f>ROUND(R1385*L1385,2)</f>
        <v>907.97</v>
      </c>
      <c r="T1385" s="15" t="s">
        <v>349</v>
      </c>
      <c r="U1385" t="s">
        <v>36</v>
      </c>
      <c r="W1385" s="49" t="e">
        <f t="shared" si="99"/>
        <v>#DIV/0!</v>
      </c>
    </row>
    <row r="1386" spans="1:23" x14ac:dyDescent="0.2">
      <c r="A1386" t="s">
        <v>2391</v>
      </c>
      <c r="B1386" s="24">
        <v>45742</v>
      </c>
      <c r="C1386" s="24">
        <v>45695</v>
      </c>
      <c r="D1386" t="s">
        <v>287</v>
      </c>
      <c r="E1386" t="s">
        <v>288</v>
      </c>
      <c r="F1386" s="23"/>
      <c r="G1386" t="s">
        <v>2884</v>
      </c>
      <c r="H1386" t="s">
        <v>703</v>
      </c>
      <c r="I1386" t="s">
        <v>704</v>
      </c>
      <c r="J1386" s="11" t="str">
        <f>+LEFT(U1386,4)</f>
        <v>ANYD</v>
      </c>
      <c r="K1386" t="s">
        <v>10</v>
      </c>
      <c r="L1386">
        <v>-90</v>
      </c>
      <c r="M1386" t="s">
        <v>1472</v>
      </c>
      <c r="N1386" t="s">
        <v>11</v>
      </c>
      <c r="O1386">
        <v>7.5751999999999997</v>
      </c>
      <c r="P1386" s="45">
        <f t="shared" si="98"/>
        <v>-681.77</v>
      </c>
      <c r="Q1386" s="13">
        <f>IF(N1386="HKD",7.8,IF(N1386="CNY",7.30034,1))</f>
        <v>7.3003400000000003</v>
      </c>
      <c r="R1386" s="15">
        <f>+ROUND(O1386/Q1386,4)</f>
        <v>1.0377000000000001</v>
      </c>
      <c r="S1386" s="14">
        <f>ROUND(R1386*L1386,2)</f>
        <v>-93.39</v>
      </c>
      <c r="T1386" s="15" t="s">
        <v>349</v>
      </c>
      <c r="U1386" t="s">
        <v>36</v>
      </c>
      <c r="W1386" s="49" t="e">
        <f t="shared" si="99"/>
        <v>#DIV/0!</v>
      </c>
    </row>
    <row r="1387" spans="1:23" x14ac:dyDescent="0.2">
      <c r="A1387" t="s">
        <v>2499</v>
      </c>
      <c r="B1387" s="24">
        <v>45742</v>
      </c>
      <c r="C1387" s="24">
        <v>45713</v>
      </c>
      <c r="D1387" t="s">
        <v>2257</v>
      </c>
      <c r="E1387" t="s">
        <v>2258</v>
      </c>
      <c r="F1387" s="23"/>
      <c r="G1387" t="s">
        <v>2957</v>
      </c>
      <c r="H1387" t="s">
        <v>1800</v>
      </c>
      <c r="I1387" t="s">
        <v>1801</v>
      </c>
      <c r="J1387" s="11" t="str">
        <f>+LEFT(U1387,4)</f>
        <v>HDL-</v>
      </c>
      <c r="K1387" t="s">
        <v>10</v>
      </c>
      <c r="L1387">
        <v>3520</v>
      </c>
      <c r="M1387" t="s">
        <v>1472</v>
      </c>
      <c r="N1387" t="s">
        <v>11</v>
      </c>
      <c r="O1387">
        <v>7.4931000000000001</v>
      </c>
      <c r="P1387" s="45">
        <f t="shared" si="98"/>
        <v>26375.71</v>
      </c>
      <c r="Q1387" s="13">
        <f>IF(N1387="HKD",7.8,IF(N1387="CNY",7.30034,1))</f>
        <v>7.3003400000000003</v>
      </c>
      <c r="R1387" s="15">
        <f>+ROUND(O1387/Q1387,4)</f>
        <v>1.0264</v>
      </c>
      <c r="S1387" s="14">
        <f>ROUND(R1387*L1387,2)</f>
        <v>3612.93</v>
      </c>
      <c r="T1387" s="15" t="s">
        <v>349</v>
      </c>
      <c r="U1387" t="s">
        <v>228</v>
      </c>
      <c r="W1387" s="49" t="e">
        <f t="shared" si="99"/>
        <v>#DIV/0!</v>
      </c>
    </row>
    <row r="1388" spans="1:23" x14ac:dyDescent="0.2">
      <c r="A1388" t="s">
        <v>2500</v>
      </c>
      <c r="B1388" s="24">
        <v>45742</v>
      </c>
      <c r="C1388" s="24">
        <v>45713</v>
      </c>
      <c r="D1388" t="s">
        <v>2257</v>
      </c>
      <c r="E1388" t="s">
        <v>2258</v>
      </c>
      <c r="F1388" s="23"/>
      <c r="G1388" t="s">
        <v>2957</v>
      </c>
      <c r="H1388" t="s">
        <v>1800</v>
      </c>
      <c r="I1388" t="s">
        <v>1801</v>
      </c>
      <c r="J1388" s="11" t="str">
        <f>+LEFT(U1388,4)</f>
        <v>HDL-</v>
      </c>
      <c r="K1388" t="s">
        <v>10</v>
      </c>
      <c r="L1388">
        <v>2200</v>
      </c>
      <c r="M1388" t="s">
        <v>1472</v>
      </c>
      <c r="N1388" t="s">
        <v>11</v>
      </c>
      <c r="O1388">
        <v>7.4931000000000001</v>
      </c>
      <c r="P1388" s="45">
        <f t="shared" si="98"/>
        <v>16484.82</v>
      </c>
      <c r="Q1388" s="13">
        <f>IF(N1388="HKD",7.8,IF(N1388="CNY",7.30034,1))</f>
        <v>7.3003400000000003</v>
      </c>
      <c r="R1388" s="15">
        <f>+ROUND(O1388/Q1388,4)</f>
        <v>1.0264</v>
      </c>
      <c r="S1388" s="14">
        <f>ROUND(R1388*L1388,2)</f>
        <v>2258.08</v>
      </c>
      <c r="T1388" s="15" t="s">
        <v>349</v>
      </c>
      <c r="U1388" t="s">
        <v>228</v>
      </c>
      <c r="W1388" s="49" t="e">
        <f t="shared" si="99"/>
        <v>#DIV/0!</v>
      </c>
    </row>
    <row r="1389" spans="1:23" x14ac:dyDescent="0.2">
      <c r="A1389" t="s">
        <v>2534</v>
      </c>
      <c r="B1389" s="24">
        <v>45742</v>
      </c>
      <c r="C1389" s="24">
        <v>45714</v>
      </c>
      <c r="D1389" t="s">
        <v>94</v>
      </c>
      <c r="E1389" t="s">
        <v>95</v>
      </c>
      <c r="F1389" s="23"/>
      <c r="G1389" t="s">
        <v>2972</v>
      </c>
      <c r="H1389" t="s">
        <v>3164</v>
      </c>
      <c r="I1389" t="s">
        <v>3374</v>
      </c>
      <c r="J1389" s="11" t="str">
        <f>+LEFT(U1389,4)</f>
        <v>LID-</v>
      </c>
      <c r="K1389" t="s">
        <v>98</v>
      </c>
      <c r="L1389">
        <v>600</v>
      </c>
      <c r="M1389" t="s">
        <v>1472</v>
      </c>
      <c r="N1389" t="s">
        <v>11</v>
      </c>
      <c r="O1389">
        <v>4.26</v>
      </c>
      <c r="P1389" s="45">
        <f t="shared" si="98"/>
        <v>2556</v>
      </c>
      <c r="Q1389" s="13">
        <f>IF(N1389="HKD",7.8,IF(N1389="CNY",7.30034,1))</f>
        <v>7.3003400000000003</v>
      </c>
      <c r="R1389" s="15">
        <f>+ROUND(O1389/Q1389,4)</f>
        <v>0.58350000000000002</v>
      </c>
      <c r="S1389" s="14">
        <f>ROUND(R1389*L1389,2)</f>
        <v>350.1</v>
      </c>
      <c r="T1389" s="15" t="s">
        <v>349</v>
      </c>
      <c r="U1389" t="s">
        <v>368</v>
      </c>
      <c r="W1389" s="49" t="e">
        <f t="shared" si="99"/>
        <v>#DIV/0!</v>
      </c>
    </row>
    <row r="1390" spans="1:23" x14ac:dyDescent="0.2">
      <c r="A1390" t="s">
        <v>2593</v>
      </c>
      <c r="B1390" s="24">
        <v>45742</v>
      </c>
      <c r="C1390" s="24">
        <v>45716</v>
      </c>
      <c r="D1390" t="s">
        <v>2817</v>
      </c>
      <c r="E1390" t="s">
        <v>2818</v>
      </c>
      <c r="F1390" s="23"/>
      <c r="G1390" t="s">
        <v>3007</v>
      </c>
      <c r="H1390" t="s">
        <v>3147</v>
      </c>
      <c r="I1390" t="s">
        <v>3357</v>
      </c>
      <c r="J1390" s="11" t="str">
        <f>+LEFT(U1390,4)</f>
        <v>HDL-</v>
      </c>
      <c r="K1390" t="s">
        <v>10</v>
      </c>
      <c r="L1390">
        <v>4283</v>
      </c>
      <c r="M1390" t="s">
        <v>1472</v>
      </c>
      <c r="N1390" t="s">
        <v>2246</v>
      </c>
      <c r="O1390">
        <v>1.3</v>
      </c>
      <c r="P1390" s="45">
        <f t="shared" si="98"/>
        <v>5567.9</v>
      </c>
      <c r="Q1390" s="13">
        <f>IF(N1390="HKD",7.8,IF(N1390="CNY",7.30034,1))</f>
        <v>1</v>
      </c>
      <c r="R1390" s="15">
        <f>+ROUND(O1390/Q1390,4)</f>
        <v>1.3</v>
      </c>
      <c r="S1390" s="14">
        <f>ROUND(R1390*L1390,2)</f>
        <v>5567.9</v>
      </c>
      <c r="T1390" s="15" t="s">
        <v>349</v>
      </c>
      <c r="U1390" t="s">
        <v>228</v>
      </c>
      <c r="W1390" s="49">
        <f t="shared" si="99"/>
        <v>1</v>
      </c>
    </row>
    <row r="1391" spans="1:23" x14ac:dyDescent="0.2">
      <c r="A1391" t="s">
        <v>2594</v>
      </c>
      <c r="B1391" s="24">
        <v>45742</v>
      </c>
      <c r="C1391" s="24">
        <v>45716</v>
      </c>
      <c r="D1391" t="s">
        <v>2817</v>
      </c>
      <c r="E1391" t="s">
        <v>2818</v>
      </c>
      <c r="F1391" s="23"/>
      <c r="G1391" t="s">
        <v>3007</v>
      </c>
      <c r="H1391" t="s">
        <v>3148</v>
      </c>
      <c r="I1391" t="s">
        <v>3358</v>
      </c>
      <c r="J1391" s="11" t="str">
        <f>+LEFT(U1391,4)</f>
        <v>HDL-</v>
      </c>
      <c r="K1391" t="s">
        <v>10</v>
      </c>
      <c r="L1391">
        <v>343</v>
      </c>
      <c r="M1391" t="s">
        <v>1472</v>
      </c>
      <c r="N1391" t="s">
        <v>2246</v>
      </c>
      <c r="O1391">
        <v>1.1100000000000001</v>
      </c>
      <c r="P1391" s="45">
        <f t="shared" si="98"/>
        <v>380.73</v>
      </c>
      <c r="Q1391" s="13">
        <f>IF(N1391="HKD",7.8,IF(N1391="CNY",7.30034,1))</f>
        <v>1</v>
      </c>
      <c r="R1391" s="15">
        <f>+ROUND(O1391/Q1391,4)</f>
        <v>1.1100000000000001</v>
      </c>
      <c r="S1391" s="14">
        <f>ROUND(R1391*L1391,2)</f>
        <v>380.73</v>
      </c>
      <c r="T1391" s="15" t="s">
        <v>349</v>
      </c>
      <c r="U1391" t="s">
        <v>228</v>
      </c>
      <c r="W1391" s="49">
        <f t="shared" si="99"/>
        <v>1</v>
      </c>
    </row>
    <row r="1392" spans="1:23" x14ac:dyDescent="0.2">
      <c r="A1392" t="s">
        <v>2595</v>
      </c>
      <c r="B1392" s="24">
        <v>45742</v>
      </c>
      <c r="C1392" s="24">
        <v>45716</v>
      </c>
      <c r="D1392" t="s">
        <v>2817</v>
      </c>
      <c r="E1392" t="s">
        <v>2818</v>
      </c>
      <c r="F1392" s="23"/>
      <c r="G1392" t="s">
        <v>3007</v>
      </c>
      <c r="H1392" t="s">
        <v>3149</v>
      </c>
      <c r="I1392" t="s">
        <v>3359</v>
      </c>
      <c r="J1392" s="11" t="str">
        <f>+LEFT(U1392,4)</f>
        <v>HDL-</v>
      </c>
      <c r="K1392" t="s">
        <v>10</v>
      </c>
      <c r="L1392">
        <v>4439</v>
      </c>
      <c r="M1392" t="s">
        <v>1472</v>
      </c>
      <c r="N1392" t="s">
        <v>2246</v>
      </c>
      <c r="O1392">
        <v>1.3</v>
      </c>
      <c r="P1392" s="45">
        <f t="shared" si="98"/>
        <v>5770.7</v>
      </c>
      <c r="Q1392" s="13">
        <f>IF(N1392="HKD",7.8,IF(N1392="CNY",7.30034,1))</f>
        <v>1</v>
      </c>
      <c r="R1392" s="15">
        <f>+ROUND(O1392/Q1392,4)</f>
        <v>1.3</v>
      </c>
      <c r="S1392" s="14">
        <f>ROUND(R1392*L1392,2)</f>
        <v>5770.7</v>
      </c>
      <c r="T1392" s="15" t="s">
        <v>349</v>
      </c>
      <c r="U1392" t="s">
        <v>228</v>
      </c>
      <c r="W1392" s="49">
        <f t="shared" si="99"/>
        <v>1</v>
      </c>
    </row>
    <row r="1393" spans="1:23" x14ac:dyDescent="0.2">
      <c r="A1393" t="s">
        <v>2596</v>
      </c>
      <c r="B1393" s="24">
        <v>45742</v>
      </c>
      <c r="C1393" s="24">
        <v>45716</v>
      </c>
      <c r="D1393" t="s">
        <v>2817</v>
      </c>
      <c r="E1393" t="s">
        <v>2818</v>
      </c>
      <c r="F1393" s="23"/>
      <c r="G1393" t="s">
        <v>3007</v>
      </c>
      <c r="H1393" t="s">
        <v>1798</v>
      </c>
      <c r="I1393" t="s">
        <v>1799</v>
      </c>
      <c r="J1393" s="11" t="str">
        <f>+LEFT(U1393,4)</f>
        <v>HDL-</v>
      </c>
      <c r="K1393" t="s">
        <v>10</v>
      </c>
      <c r="L1393">
        <v>376</v>
      </c>
      <c r="M1393" t="s">
        <v>1472</v>
      </c>
      <c r="N1393" t="s">
        <v>2246</v>
      </c>
      <c r="O1393">
        <v>1.1100000000000001</v>
      </c>
      <c r="P1393" s="45">
        <f t="shared" si="98"/>
        <v>417.36</v>
      </c>
      <c r="Q1393" s="13">
        <f>IF(N1393="HKD",7.8,IF(N1393="CNY",7.30034,1))</f>
        <v>1</v>
      </c>
      <c r="R1393" s="15">
        <f>+ROUND(O1393/Q1393,4)</f>
        <v>1.1100000000000001</v>
      </c>
      <c r="S1393" s="14">
        <f>ROUND(R1393*L1393,2)</f>
        <v>417.36</v>
      </c>
      <c r="T1393" s="15" t="s">
        <v>349</v>
      </c>
      <c r="U1393" t="s">
        <v>228</v>
      </c>
      <c r="W1393" s="49">
        <f t="shared" si="99"/>
        <v>1</v>
      </c>
    </row>
    <row r="1394" spans="1:23" x14ac:dyDescent="0.2">
      <c r="A1394" t="s">
        <v>2597</v>
      </c>
      <c r="B1394" s="24">
        <v>45742</v>
      </c>
      <c r="C1394" s="24">
        <v>45716</v>
      </c>
      <c r="D1394" t="s">
        <v>2817</v>
      </c>
      <c r="E1394" t="s">
        <v>2818</v>
      </c>
      <c r="F1394" s="23"/>
      <c r="G1394" t="s">
        <v>3007</v>
      </c>
      <c r="H1394" t="s">
        <v>3150</v>
      </c>
      <c r="I1394" t="s">
        <v>3360</v>
      </c>
      <c r="J1394" s="11" t="str">
        <f>+LEFT(U1394,4)</f>
        <v>HDL-</v>
      </c>
      <c r="K1394" t="s">
        <v>10</v>
      </c>
      <c r="L1394">
        <v>4556</v>
      </c>
      <c r="M1394" t="s">
        <v>1472</v>
      </c>
      <c r="N1394" t="s">
        <v>2246</v>
      </c>
      <c r="O1394">
        <v>1.3</v>
      </c>
      <c r="P1394" s="45">
        <f t="shared" si="98"/>
        <v>5922.8</v>
      </c>
      <c r="Q1394" s="13">
        <f>IF(N1394="HKD",7.8,IF(N1394="CNY",7.30034,1))</f>
        <v>1</v>
      </c>
      <c r="R1394" s="15">
        <f>+ROUND(O1394/Q1394,4)</f>
        <v>1.3</v>
      </c>
      <c r="S1394" s="14">
        <f>ROUND(R1394*L1394,2)</f>
        <v>5922.8</v>
      </c>
      <c r="T1394" s="15" t="s">
        <v>349</v>
      </c>
      <c r="U1394" t="s">
        <v>228</v>
      </c>
      <c r="W1394" s="49">
        <f t="shared" si="99"/>
        <v>1</v>
      </c>
    </row>
    <row r="1395" spans="1:23" x14ac:dyDescent="0.2">
      <c r="A1395" t="s">
        <v>2598</v>
      </c>
      <c r="B1395" s="24">
        <v>45742</v>
      </c>
      <c r="C1395" s="24">
        <v>45716</v>
      </c>
      <c r="D1395" t="s">
        <v>2817</v>
      </c>
      <c r="E1395" t="s">
        <v>2818</v>
      </c>
      <c r="F1395" s="23"/>
      <c r="G1395" t="s">
        <v>3007</v>
      </c>
      <c r="H1395" t="s">
        <v>1800</v>
      </c>
      <c r="I1395" t="s">
        <v>1801</v>
      </c>
      <c r="J1395" s="11" t="str">
        <f>+LEFT(U1395,4)</f>
        <v>HDL-</v>
      </c>
      <c r="K1395" t="s">
        <v>10</v>
      </c>
      <c r="L1395">
        <v>7287</v>
      </c>
      <c r="M1395" t="s">
        <v>1472</v>
      </c>
      <c r="N1395" t="s">
        <v>2246</v>
      </c>
      <c r="O1395">
        <v>1.1100000000000001</v>
      </c>
      <c r="P1395" s="45">
        <f t="shared" si="98"/>
        <v>8088.57</v>
      </c>
      <c r="Q1395" s="13">
        <f>IF(N1395="HKD",7.8,IF(N1395="CNY",7.30034,1))</f>
        <v>1</v>
      </c>
      <c r="R1395" s="15">
        <f>+ROUND(O1395/Q1395,4)</f>
        <v>1.1100000000000001</v>
      </c>
      <c r="S1395" s="14">
        <f>ROUND(R1395*L1395,2)</f>
        <v>8088.57</v>
      </c>
      <c r="T1395" s="15" t="s">
        <v>349</v>
      </c>
      <c r="U1395" t="s">
        <v>228</v>
      </c>
      <c r="W1395" s="49">
        <f t="shared" si="99"/>
        <v>1</v>
      </c>
    </row>
    <row r="1396" spans="1:23" x14ac:dyDescent="0.2">
      <c r="A1396" t="s">
        <v>2599</v>
      </c>
      <c r="B1396" s="24">
        <v>45742</v>
      </c>
      <c r="C1396" s="24">
        <v>45716</v>
      </c>
      <c r="D1396" t="s">
        <v>2817</v>
      </c>
      <c r="E1396" t="s">
        <v>2818</v>
      </c>
      <c r="F1396" s="23"/>
      <c r="G1396" t="s">
        <v>3007</v>
      </c>
      <c r="H1396" t="s">
        <v>3151</v>
      </c>
      <c r="I1396" t="s">
        <v>3361</v>
      </c>
      <c r="J1396" s="11" t="str">
        <f>+LEFT(U1396,4)</f>
        <v>HDL-</v>
      </c>
      <c r="K1396" t="s">
        <v>10</v>
      </c>
      <c r="L1396">
        <v>4289</v>
      </c>
      <c r="M1396" t="s">
        <v>1472</v>
      </c>
      <c r="N1396" t="s">
        <v>2246</v>
      </c>
      <c r="O1396">
        <v>1.3</v>
      </c>
      <c r="P1396" s="45">
        <f t="shared" si="98"/>
        <v>5575.7</v>
      </c>
      <c r="Q1396" s="13">
        <f>IF(N1396="HKD",7.8,IF(N1396="CNY",7.30034,1))</f>
        <v>1</v>
      </c>
      <c r="R1396" s="15">
        <f>+ROUND(O1396/Q1396,4)</f>
        <v>1.3</v>
      </c>
      <c r="S1396" s="14">
        <f>ROUND(R1396*L1396,2)</f>
        <v>5575.7</v>
      </c>
      <c r="T1396" s="15" t="s">
        <v>349</v>
      </c>
      <c r="U1396" t="s">
        <v>228</v>
      </c>
      <c r="W1396" s="49">
        <f t="shared" si="99"/>
        <v>1</v>
      </c>
    </row>
    <row r="1397" spans="1:23" x14ac:dyDescent="0.2">
      <c r="A1397" t="s">
        <v>2600</v>
      </c>
      <c r="B1397" s="24">
        <v>45742</v>
      </c>
      <c r="C1397" s="24">
        <v>45716</v>
      </c>
      <c r="D1397" t="s">
        <v>2817</v>
      </c>
      <c r="E1397" t="s">
        <v>2818</v>
      </c>
      <c r="F1397" s="23"/>
      <c r="G1397" t="s">
        <v>3007</v>
      </c>
      <c r="H1397" t="s">
        <v>3192</v>
      </c>
      <c r="I1397" t="s">
        <v>3399</v>
      </c>
      <c r="J1397" s="11" t="str">
        <f>+LEFT(U1397,4)</f>
        <v>HDL-</v>
      </c>
      <c r="K1397" t="s">
        <v>10</v>
      </c>
      <c r="L1397">
        <v>243</v>
      </c>
      <c r="M1397" t="s">
        <v>1472</v>
      </c>
      <c r="N1397" t="s">
        <v>2246</v>
      </c>
      <c r="O1397">
        <v>1.1100000000000001</v>
      </c>
      <c r="P1397" s="45">
        <f t="shared" si="98"/>
        <v>269.73</v>
      </c>
      <c r="Q1397" s="13">
        <f>IF(N1397="HKD",7.8,IF(N1397="CNY",7.30034,1))</f>
        <v>1</v>
      </c>
      <c r="R1397" s="15">
        <f>+ROUND(O1397/Q1397,4)</f>
        <v>1.1100000000000001</v>
      </c>
      <c r="S1397" s="14">
        <f>ROUND(R1397*L1397,2)</f>
        <v>269.73</v>
      </c>
      <c r="T1397" s="15" t="s">
        <v>349</v>
      </c>
      <c r="U1397" t="s">
        <v>228</v>
      </c>
      <c r="W1397" s="49">
        <f t="shared" si="99"/>
        <v>1</v>
      </c>
    </row>
    <row r="1398" spans="1:23" x14ac:dyDescent="0.2">
      <c r="A1398" t="s">
        <v>2617</v>
      </c>
      <c r="B1398" s="24">
        <v>45742</v>
      </c>
      <c r="C1398" s="24">
        <v>45720</v>
      </c>
      <c r="D1398" t="s">
        <v>252</v>
      </c>
      <c r="E1398" t="s">
        <v>253</v>
      </c>
      <c r="F1398" s="23"/>
      <c r="G1398" t="s">
        <v>2915</v>
      </c>
      <c r="H1398" t="s">
        <v>3068</v>
      </c>
      <c r="I1398" t="s">
        <v>3285</v>
      </c>
      <c r="J1398" s="11" t="str">
        <f>+LEFT(U1398,4)</f>
        <v>ANYD</v>
      </c>
      <c r="K1398" t="s">
        <v>10</v>
      </c>
      <c r="L1398">
        <v>8200</v>
      </c>
      <c r="M1398" t="s">
        <v>1472</v>
      </c>
      <c r="N1398" t="s">
        <v>11</v>
      </c>
      <c r="O1398">
        <v>0.873</v>
      </c>
      <c r="P1398" s="45">
        <f t="shared" si="98"/>
        <v>7158.6</v>
      </c>
      <c r="Q1398" s="13">
        <f>IF(N1398="HKD",7.8,IF(N1398="CNY",7.30034,1))</f>
        <v>7.3003400000000003</v>
      </c>
      <c r="R1398" s="15">
        <f>+ROUND(O1398/Q1398,4)</f>
        <v>0.1196</v>
      </c>
      <c r="S1398" s="14">
        <f>ROUND(R1398*L1398,2)</f>
        <v>980.72</v>
      </c>
      <c r="T1398" s="15" t="s">
        <v>349</v>
      </c>
      <c r="U1398" t="s">
        <v>36</v>
      </c>
      <c r="W1398" s="49" t="e">
        <f t="shared" si="99"/>
        <v>#DIV/0!</v>
      </c>
    </row>
    <row r="1399" spans="1:23" x14ac:dyDescent="0.2">
      <c r="A1399" t="s">
        <v>2647</v>
      </c>
      <c r="B1399" s="24">
        <v>45742</v>
      </c>
      <c r="C1399" s="24">
        <v>45721</v>
      </c>
      <c r="D1399" t="s">
        <v>311</v>
      </c>
      <c r="E1399" t="s">
        <v>312</v>
      </c>
      <c r="F1399" s="23"/>
      <c r="G1399" t="s">
        <v>3022</v>
      </c>
      <c r="H1399" t="s">
        <v>309</v>
      </c>
      <c r="I1399" t="s">
        <v>310</v>
      </c>
      <c r="J1399" s="11" t="str">
        <f>+LEFT(U1399,4)</f>
        <v>EXM-</v>
      </c>
      <c r="K1399" t="s">
        <v>10</v>
      </c>
      <c r="L1399">
        <v>25</v>
      </c>
      <c r="M1399" t="s">
        <v>186</v>
      </c>
      <c r="N1399" t="s">
        <v>11</v>
      </c>
      <c r="O1399">
        <v>102.0354</v>
      </c>
      <c r="P1399" s="45">
        <f t="shared" si="98"/>
        <v>2550.89</v>
      </c>
      <c r="Q1399" s="13">
        <f>IF(N1399="HKD",7.8,IF(N1399="CNY",7.30034,1))</f>
        <v>7.3003400000000003</v>
      </c>
      <c r="R1399" s="15">
        <f>+ROUND(O1399/Q1399,4)</f>
        <v>13.976800000000001</v>
      </c>
      <c r="S1399" s="14">
        <f>ROUND(R1399*L1399,2)</f>
        <v>349.42</v>
      </c>
      <c r="T1399" s="15" t="s">
        <v>349</v>
      </c>
      <c r="U1399" t="s">
        <v>315</v>
      </c>
      <c r="W1399" s="49" t="e">
        <f t="shared" si="99"/>
        <v>#DIV/0!</v>
      </c>
    </row>
    <row r="1400" spans="1:23" x14ac:dyDescent="0.2">
      <c r="A1400" t="s">
        <v>2648</v>
      </c>
      <c r="B1400" s="24">
        <v>45742</v>
      </c>
      <c r="C1400" s="24">
        <v>45721</v>
      </c>
      <c r="D1400" t="s">
        <v>311</v>
      </c>
      <c r="E1400" t="s">
        <v>312</v>
      </c>
      <c r="F1400" s="23"/>
      <c r="G1400" t="s">
        <v>3023</v>
      </c>
      <c r="H1400" t="s">
        <v>669</v>
      </c>
      <c r="I1400" t="s">
        <v>670</v>
      </c>
      <c r="J1400" s="11" t="str">
        <f>+LEFT(U1400,4)</f>
        <v>INM-</v>
      </c>
      <c r="K1400" t="s">
        <v>10</v>
      </c>
      <c r="L1400">
        <v>50</v>
      </c>
      <c r="M1400" t="s">
        <v>186</v>
      </c>
      <c r="N1400" t="s">
        <v>11</v>
      </c>
      <c r="O1400">
        <v>110.17700000000001</v>
      </c>
      <c r="P1400" s="45">
        <f t="shared" si="98"/>
        <v>5508.85</v>
      </c>
      <c r="Q1400" s="13">
        <f>IF(N1400="HKD",7.8,IF(N1400="CNY",7.30034,1))</f>
        <v>7.3003400000000003</v>
      </c>
      <c r="R1400" s="15">
        <f>+ROUND(O1400/Q1400,4)</f>
        <v>15.092000000000001</v>
      </c>
      <c r="S1400" s="14">
        <f>ROUND(R1400*L1400,2)</f>
        <v>754.6</v>
      </c>
      <c r="T1400" s="15" t="s">
        <v>349</v>
      </c>
      <c r="U1400" t="s">
        <v>327</v>
      </c>
      <c r="W1400" s="49" t="e">
        <f t="shared" si="99"/>
        <v>#DIV/0!</v>
      </c>
    </row>
    <row r="1401" spans="1:23" x14ac:dyDescent="0.2">
      <c r="A1401" t="s">
        <v>2649</v>
      </c>
      <c r="B1401" s="24">
        <v>45742</v>
      </c>
      <c r="C1401" s="24">
        <v>45721</v>
      </c>
      <c r="D1401" t="s">
        <v>311</v>
      </c>
      <c r="E1401" t="s">
        <v>312</v>
      </c>
      <c r="F1401" s="23"/>
      <c r="G1401" t="s">
        <v>3023</v>
      </c>
      <c r="H1401" t="s">
        <v>331</v>
      </c>
      <c r="I1401" t="s">
        <v>332</v>
      </c>
      <c r="J1401" s="11" t="str">
        <f>+LEFT(U1401,4)</f>
        <v>INM-</v>
      </c>
      <c r="K1401" t="s">
        <v>10</v>
      </c>
      <c r="L1401">
        <v>25</v>
      </c>
      <c r="M1401" t="s">
        <v>186</v>
      </c>
      <c r="N1401" t="s">
        <v>11</v>
      </c>
      <c r="O1401">
        <v>64.778800000000004</v>
      </c>
      <c r="P1401" s="45">
        <f t="shared" si="98"/>
        <v>1619.47</v>
      </c>
      <c r="Q1401" s="13">
        <f>IF(N1401="HKD",7.8,IF(N1401="CNY",7.30034,1))</f>
        <v>7.3003400000000003</v>
      </c>
      <c r="R1401" s="15">
        <f>+ROUND(O1401/Q1401,4)</f>
        <v>8.8734000000000002</v>
      </c>
      <c r="S1401" s="14">
        <f>ROUND(R1401*L1401,2)</f>
        <v>221.84</v>
      </c>
      <c r="T1401" s="15" t="s">
        <v>349</v>
      </c>
      <c r="U1401" t="s">
        <v>327</v>
      </c>
      <c r="W1401" s="49" t="e">
        <f t="shared" si="99"/>
        <v>#DIV/0!</v>
      </c>
    </row>
    <row r="1402" spans="1:23" x14ac:dyDescent="0.2">
      <c r="A1402" t="s">
        <v>2650</v>
      </c>
      <c r="B1402" s="24">
        <v>45742</v>
      </c>
      <c r="C1402" s="24">
        <v>45721</v>
      </c>
      <c r="D1402" t="s">
        <v>311</v>
      </c>
      <c r="E1402" t="s">
        <v>312</v>
      </c>
      <c r="F1402" s="23"/>
      <c r="G1402" t="s">
        <v>3023</v>
      </c>
      <c r="H1402" t="s">
        <v>662</v>
      </c>
      <c r="I1402" t="s">
        <v>663</v>
      </c>
      <c r="J1402" s="11" t="str">
        <f>+LEFT(U1402,4)</f>
        <v>INM-</v>
      </c>
      <c r="K1402" t="s">
        <v>10</v>
      </c>
      <c r="L1402">
        <v>75</v>
      </c>
      <c r="M1402" t="s">
        <v>186</v>
      </c>
      <c r="N1402" t="s">
        <v>11</v>
      </c>
      <c r="O1402">
        <v>92.743399999999994</v>
      </c>
      <c r="P1402" s="45">
        <f t="shared" si="98"/>
        <v>6955.76</v>
      </c>
      <c r="Q1402" s="13">
        <f>IF(N1402="HKD",7.8,IF(N1402="CNY",7.30034,1))</f>
        <v>7.3003400000000003</v>
      </c>
      <c r="R1402" s="15">
        <f>+ROUND(O1402/Q1402,4)</f>
        <v>12.704000000000001</v>
      </c>
      <c r="S1402" s="14">
        <f>ROUND(R1402*L1402,2)</f>
        <v>952.8</v>
      </c>
      <c r="T1402" s="15" t="s">
        <v>349</v>
      </c>
      <c r="U1402" t="s">
        <v>327</v>
      </c>
      <c r="W1402" s="49" t="e">
        <f t="shared" si="99"/>
        <v>#DIV/0!</v>
      </c>
    </row>
    <row r="1403" spans="1:23" x14ac:dyDescent="0.2">
      <c r="A1403" t="s">
        <v>2651</v>
      </c>
      <c r="B1403" s="24">
        <v>45742</v>
      </c>
      <c r="C1403" s="24">
        <v>45721</v>
      </c>
      <c r="D1403" t="s">
        <v>311</v>
      </c>
      <c r="E1403" t="s">
        <v>312</v>
      </c>
      <c r="F1403" s="23"/>
      <c r="G1403" t="s">
        <v>3023</v>
      </c>
      <c r="H1403" t="s">
        <v>341</v>
      </c>
      <c r="I1403" t="s">
        <v>342</v>
      </c>
      <c r="J1403" s="11" t="str">
        <f>+LEFT(U1403,4)</f>
        <v>INM-</v>
      </c>
      <c r="K1403" t="s">
        <v>10</v>
      </c>
      <c r="L1403">
        <v>25</v>
      </c>
      <c r="M1403" t="s">
        <v>186</v>
      </c>
      <c r="N1403" t="s">
        <v>11</v>
      </c>
      <c r="O1403">
        <v>63.008800000000001</v>
      </c>
      <c r="P1403" s="45">
        <f t="shared" si="98"/>
        <v>1575.22</v>
      </c>
      <c r="Q1403" s="13">
        <f>IF(N1403="HKD",7.8,IF(N1403="CNY",7.30034,1))</f>
        <v>7.3003400000000003</v>
      </c>
      <c r="R1403" s="15">
        <f>+ROUND(O1403/Q1403,4)</f>
        <v>8.6309000000000005</v>
      </c>
      <c r="S1403" s="14">
        <f>ROUND(R1403*L1403,2)</f>
        <v>215.77</v>
      </c>
      <c r="T1403" s="15" t="s">
        <v>349</v>
      </c>
      <c r="U1403" t="s">
        <v>327</v>
      </c>
      <c r="W1403" s="49" t="e">
        <f t="shared" si="99"/>
        <v>#DIV/0!</v>
      </c>
    </row>
    <row r="1404" spans="1:23" x14ac:dyDescent="0.2">
      <c r="A1404" t="s">
        <v>2666</v>
      </c>
      <c r="B1404" s="24">
        <v>45742</v>
      </c>
      <c r="C1404" s="24">
        <v>45723</v>
      </c>
      <c r="D1404" t="s">
        <v>252</v>
      </c>
      <c r="E1404" t="s">
        <v>253</v>
      </c>
      <c r="F1404" s="23"/>
      <c r="G1404" t="s">
        <v>2915</v>
      </c>
      <c r="H1404" t="s">
        <v>1530</v>
      </c>
      <c r="I1404" t="s">
        <v>1531</v>
      </c>
      <c r="J1404" s="11" t="str">
        <f>+LEFT(U1404,4)</f>
        <v>ANYD</v>
      </c>
      <c r="K1404" t="s">
        <v>10</v>
      </c>
      <c r="L1404">
        <v>1000</v>
      </c>
      <c r="M1404" t="s">
        <v>1472</v>
      </c>
      <c r="N1404" t="s">
        <v>11</v>
      </c>
      <c r="O1404">
        <v>1.38</v>
      </c>
      <c r="P1404" s="45">
        <f t="shared" si="98"/>
        <v>1380</v>
      </c>
      <c r="Q1404" s="13">
        <f>IF(N1404="HKD",7.8,IF(N1404="CNY",7.30034,1))</f>
        <v>7.3003400000000003</v>
      </c>
      <c r="R1404" s="15">
        <f>+ROUND(O1404/Q1404,4)</f>
        <v>0.189</v>
      </c>
      <c r="S1404" s="14">
        <f>ROUND(R1404*L1404,2)</f>
        <v>189</v>
      </c>
      <c r="T1404" s="15" t="s">
        <v>349</v>
      </c>
      <c r="U1404" t="s">
        <v>36</v>
      </c>
      <c r="W1404" s="49" t="e">
        <f t="shared" si="99"/>
        <v>#DIV/0!</v>
      </c>
    </row>
    <row r="1405" spans="1:23" x14ac:dyDescent="0.2">
      <c r="A1405" t="s">
        <v>2671</v>
      </c>
      <c r="B1405" s="24">
        <v>45742</v>
      </c>
      <c r="C1405" s="24">
        <v>45726</v>
      </c>
      <c r="D1405" t="s">
        <v>311</v>
      </c>
      <c r="E1405" t="s">
        <v>312</v>
      </c>
      <c r="F1405" s="23"/>
      <c r="G1405" t="s">
        <v>3026</v>
      </c>
      <c r="H1405" t="s">
        <v>669</v>
      </c>
      <c r="I1405" t="s">
        <v>670</v>
      </c>
      <c r="J1405" s="11" t="str">
        <f>+LEFT(U1405,4)</f>
        <v>INM-</v>
      </c>
      <c r="K1405" t="s">
        <v>10</v>
      </c>
      <c r="L1405">
        <v>50</v>
      </c>
      <c r="M1405" t="s">
        <v>186</v>
      </c>
      <c r="N1405" t="s">
        <v>11</v>
      </c>
      <c r="O1405">
        <v>110.17700000000001</v>
      </c>
      <c r="P1405" s="45">
        <f t="shared" si="98"/>
        <v>5508.85</v>
      </c>
      <c r="Q1405" s="13">
        <f>IF(N1405="HKD",7.8,IF(N1405="CNY",7.30034,1))</f>
        <v>7.3003400000000003</v>
      </c>
      <c r="R1405" s="15">
        <f>+ROUND(O1405/Q1405,4)</f>
        <v>15.092000000000001</v>
      </c>
      <c r="S1405" s="14">
        <f>ROUND(R1405*L1405,2)</f>
        <v>754.6</v>
      </c>
      <c r="T1405" s="15" t="s">
        <v>349</v>
      </c>
      <c r="U1405" t="s">
        <v>327</v>
      </c>
      <c r="W1405" s="49" t="e">
        <f t="shared" si="99"/>
        <v>#DIV/0!</v>
      </c>
    </row>
    <row r="1406" spans="1:23" x14ac:dyDescent="0.2">
      <c r="A1406" t="s">
        <v>2672</v>
      </c>
      <c r="B1406" s="24">
        <v>45742</v>
      </c>
      <c r="C1406" s="24">
        <v>45726</v>
      </c>
      <c r="D1406" t="s">
        <v>311</v>
      </c>
      <c r="E1406" t="s">
        <v>312</v>
      </c>
      <c r="F1406" s="23"/>
      <c r="G1406" t="s">
        <v>3026</v>
      </c>
      <c r="H1406" t="s">
        <v>662</v>
      </c>
      <c r="I1406" t="s">
        <v>663</v>
      </c>
      <c r="J1406" s="11" t="str">
        <f>+LEFT(U1406,4)</f>
        <v>INM-</v>
      </c>
      <c r="K1406" t="s">
        <v>10</v>
      </c>
      <c r="L1406">
        <v>75</v>
      </c>
      <c r="M1406" t="s">
        <v>186</v>
      </c>
      <c r="N1406" t="s">
        <v>11</v>
      </c>
      <c r="O1406">
        <v>92.743399999999994</v>
      </c>
      <c r="P1406" s="45">
        <f t="shared" si="98"/>
        <v>6955.76</v>
      </c>
      <c r="Q1406" s="13">
        <f>IF(N1406="HKD",7.8,IF(N1406="CNY",7.30034,1))</f>
        <v>7.3003400000000003</v>
      </c>
      <c r="R1406" s="15">
        <f>+ROUND(O1406/Q1406,4)</f>
        <v>12.704000000000001</v>
      </c>
      <c r="S1406" s="14">
        <f>ROUND(R1406*L1406,2)</f>
        <v>952.8</v>
      </c>
      <c r="T1406" s="15" t="s">
        <v>349</v>
      </c>
      <c r="U1406" t="s">
        <v>327</v>
      </c>
      <c r="W1406" s="49" t="e">
        <f t="shared" si="99"/>
        <v>#DIV/0!</v>
      </c>
    </row>
    <row r="1407" spans="1:23" x14ac:dyDescent="0.2">
      <c r="A1407" t="s">
        <v>2673</v>
      </c>
      <c r="B1407" s="24">
        <v>45742</v>
      </c>
      <c r="C1407" s="24">
        <v>45726</v>
      </c>
      <c r="D1407" t="s">
        <v>311</v>
      </c>
      <c r="E1407" t="s">
        <v>312</v>
      </c>
      <c r="F1407" s="23"/>
      <c r="G1407" t="s">
        <v>3027</v>
      </c>
      <c r="H1407" t="s">
        <v>3199</v>
      </c>
      <c r="I1407" t="s">
        <v>3406</v>
      </c>
      <c r="J1407" s="11" t="str">
        <f>+LEFT(U1407,4)</f>
        <v>EXM-</v>
      </c>
      <c r="K1407" t="s">
        <v>10</v>
      </c>
      <c r="L1407">
        <v>25</v>
      </c>
      <c r="M1407" t="s">
        <v>186</v>
      </c>
      <c r="N1407" t="s">
        <v>11</v>
      </c>
      <c r="O1407">
        <v>88.495599999999996</v>
      </c>
      <c r="P1407" s="45">
        <f t="shared" si="98"/>
        <v>2212.39</v>
      </c>
      <c r="Q1407" s="13">
        <f>IF(N1407="HKD",7.8,IF(N1407="CNY",7.30034,1))</f>
        <v>7.3003400000000003</v>
      </c>
      <c r="R1407" s="15">
        <f>+ROUND(O1407/Q1407,4)</f>
        <v>12.1221</v>
      </c>
      <c r="S1407" s="14">
        <f>ROUND(R1407*L1407,2)</f>
        <v>303.05</v>
      </c>
      <c r="T1407" s="15" t="s">
        <v>349</v>
      </c>
      <c r="U1407" t="s">
        <v>315</v>
      </c>
      <c r="W1407" s="49" t="e">
        <f t="shared" si="99"/>
        <v>#DIV/0!</v>
      </c>
    </row>
    <row r="1408" spans="1:23" x14ac:dyDescent="0.2">
      <c r="A1408" t="s">
        <v>2691</v>
      </c>
      <c r="B1408" s="24">
        <v>45742</v>
      </c>
      <c r="C1408" s="24">
        <v>45727</v>
      </c>
      <c r="D1408" t="s">
        <v>252</v>
      </c>
      <c r="E1408" t="s">
        <v>253</v>
      </c>
      <c r="F1408" s="23"/>
      <c r="G1408" t="s">
        <v>2915</v>
      </c>
      <c r="H1408" t="s">
        <v>1530</v>
      </c>
      <c r="I1408" t="s">
        <v>1531</v>
      </c>
      <c r="J1408" s="11" t="str">
        <f>+LEFT(U1408,4)</f>
        <v>ANYD</v>
      </c>
      <c r="K1408" t="s">
        <v>10</v>
      </c>
      <c r="L1408">
        <v>1250</v>
      </c>
      <c r="M1408" t="s">
        <v>1472</v>
      </c>
      <c r="N1408" t="s">
        <v>11</v>
      </c>
      <c r="O1408">
        <v>1.38</v>
      </c>
      <c r="P1408" s="45">
        <f t="shared" si="98"/>
        <v>1725</v>
      </c>
      <c r="Q1408" s="13">
        <f>IF(N1408="HKD",7.8,IF(N1408="CNY",7.30034,1))</f>
        <v>7.3003400000000003</v>
      </c>
      <c r="R1408" s="15">
        <f>+ROUND(O1408/Q1408,4)</f>
        <v>0.189</v>
      </c>
      <c r="S1408" s="14">
        <f>ROUND(R1408*L1408,2)</f>
        <v>236.25</v>
      </c>
      <c r="T1408" s="15" t="s">
        <v>349</v>
      </c>
      <c r="U1408" t="s">
        <v>36</v>
      </c>
      <c r="W1408" s="49" t="e">
        <f t="shared" si="99"/>
        <v>#DIV/0!</v>
      </c>
    </row>
    <row r="1409" spans="1:23" x14ac:dyDescent="0.2">
      <c r="A1409" t="s">
        <v>2694</v>
      </c>
      <c r="B1409" s="24">
        <v>45742</v>
      </c>
      <c r="C1409" s="24">
        <v>45728</v>
      </c>
      <c r="D1409" t="s">
        <v>311</v>
      </c>
      <c r="E1409" t="s">
        <v>312</v>
      </c>
      <c r="F1409" s="23"/>
      <c r="G1409" t="s">
        <v>3033</v>
      </c>
      <c r="H1409" t="s">
        <v>341</v>
      </c>
      <c r="I1409" t="s">
        <v>342</v>
      </c>
      <c r="J1409" s="11" t="str">
        <f>+LEFT(U1409,4)</f>
        <v>INM-</v>
      </c>
      <c r="K1409" t="s">
        <v>10</v>
      </c>
      <c r="L1409">
        <v>75</v>
      </c>
      <c r="M1409" t="s">
        <v>186</v>
      </c>
      <c r="N1409" t="s">
        <v>11</v>
      </c>
      <c r="O1409">
        <v>63.008800000000001</v>
      </c>
      <c r="P1409" s="45">
        <f t="shared" si="98"/>
        <v>4725.66</v>
      </c>
      <c r="Q1409" s="13">
        <f>IF(N1409="HKD",7.8,IF(N1409="CNY",7.30034,1))</f>
        <v>7.3003400000000003</v>
      </c>
      <c r="R1409" s="15">
        <f>+ROUND(O1409/Q1409,4)</f>
        <v>8.6309000000000005</v>
      </c>
      <c r="S1409" s="14">
        <f>ROUND(R1409*L1409,2)</f>
        <v>647.32000000000005</v>
      </c>
      <c r="T1409" s="15" t="s">
        <v>349</v>
      </c>
      <c r="U1409" t="s">
        <v>327</v>
      </c>
      <c r="W1409" s="49" t="e">
        <f t="shared" si="99"/>
        <v>#DIV/0!</v>
      </c>
    </row>
    <row r="1410" spans="1:23" x14ac:dyDescent="0.2">
      <c r="A1410" t="s">
        <v>2756</v>
      </c>
      <c r="B1410" s="24">
        <v>45742</v>
      </c>
      <c r="C1410" s="24">
        <v>45729</v>
      </c>
      <c r="D1410" t="s">
        <v>311</v>
      </c>
      <c r="E1410" t="s">
        <v>312</v>
      </c>
      <c r="F1410" s="23"/>
      <c r="G1410" t="s">
        <v>3045</v>
      </c>
      <c r="H1410" t="s">
        <v>331</v>
      </c>
      <c r="I1410" t="s">
        <v>332</v>
      </c>
      <c r="J1410" s="11" t="str">
        <f>+LEFT(U1410,4)</f>
        <v>INM-</v>
      </c>
      <c r="K1410" t="s">
        <v>10</v>
      </c>
      <c r="L1410">
        <v>50</v>
      </c>
      <c r="M1410" t="s">
        <v>186</v>
      </c>
      <c r="N1410" t="s">
        <v>11</v>
      </c>
      <c r="O1410">
        <v>64.778800000000004</v>
      </c>
      <c r="P1410" s="45">
        <f t="shared" ref="P1410:P1473" si="100">ROUND(O1410*L1410,2)</f>
        <v>3238.94</v>
      </c>
      <c r="Q1410" s="13">
        <f>IF(N1410="HKD",7.8,IF(N1410="CNY",7.30034,1))</f>
        <v>7.3003400000000003</v>
      </c>
      <c r="R1410" s="15">
        <f>+ROUND(O1410/Q1410,4)</f>
        <v>8.8734000000000002</v>
      </c>
      <c r="S1410" s="14">
        <f>ROUND(R1410*L1410,2)</f>
        <v>443.67</v>
      </c>
      <c r="T1410" s="15" t="s">
        <v>349</v>
      </c>
      <c r="U1410" t="s">
        <v>327</v>
      </c>
      <c r="W1410" s="49" t="e">
        <f t="shared" ref="W1410:W1473" si="101">IF(N1410="CNY",O1410/V1410*L1410,1)</f>
        <v>#DIV/0!</v>
      </c>
    </row>
    <row r="1411" spans="1:23" x14ac:dyDescent="0.2">
      <c r="A1411" t="s">
        <v>2757</v>
      </c>
      <c r="B1411" s="24">
        <v>45742</v>
      </c>
      <c r="C1411" s="24">
        <v>45729</v>
      </c>
      <c r="D1411" t="s">
        <v>311</v>
      </c>
      <c r="E1411" t="s">
        <v>312</v>
      </c>
      <c r="F1411" s="23"/>
      <c r="G1411" t="s">
        <v>3046</v>
      </c>
      <c r="H1411" t="s">
        <v>320</v>
      </c>
      <c r="I1411" t="s">
        <v>321</v>
      </c>
      <c r="J1411" s="11" t="str">
        <f>+LEFT(U1411,4)</f>
        <v>EXM-</v>
      </c>
      <c r="K1411" t="s">
        <v>10</v>
      </c>
      <c r="L1411">
        <v>25</v>
      </c>
      <c r="M1411" t="s">
        <v>186</v>
      </c>
      <c r="N1411" t="s">
        <v>11</v>
      </c>
      <c r="O1411">
        <v>110.6195</v>
      </c>
      <c r="P1411" s="45">
        <f t="shared" si="100"/>
        <v>2765.49</v>
      </c>
      <c r="Q1411" s="13">
        <f>IF(N1411="HKD",7.8,IF(N1411="CNY",7.30034,1))</f>
        <v>7.3003400000000003</v>
      </c>
      <c r="R1411" s="15">
        <f>+ROUND(O1411/Q1411,4)</f>
        <v>15.152699999999999</v>
      </c>
      <c r="S1411" s="14">
        <f>ROUND(R1411*L1411,2)</f>
        <v>378.82</v>
      </c>
      <c r="T1411" s="15" t="s">
        <v>349</v>
      </c>
      <c r="U1411" t="s">
        <v>315</v>
      </c>
      <c r="W1411" s="49" t="e">
        <f t="shared" si="101"/>
        <v>#DIV/0!</v>
      </c>
    </row>
    <row r="1412" spans="1:23" x14ac:dyDescent="0.2">
      <c r="A1412" t="s">
        <v>2758</v>
      </c>
      <c r="B1412" s="24">
        <v>45742</v>
      </c>
      <c r="C1412" s="24">
        <v>45729</v>
      </c>
      <c r="D1412" t="s">
        <v>311</v>
      </c>
      <c r="E1412" t="s">
        <v>312</v>
      </c>
      <c r="F1412" s="23"/>
      <c r="G1412" t="s">
        <v>3045</v>
      </c>
      <c r="H1412" t="s">
        <v>328</v>
      </c>
      <c r="I1412" t="s">
        <v>329</v>
      </c>
      <c r="J1412" s="11" t="str">
        <f>+LEFT(U1412,4)</f>
        <v>INM-</v>
      </c>
      <c r="K1412" t="s">
        <v>10</v>
      </c>
      <c r="L1412">
        <v>25</v>
      </c>
      <c r="M1412" t="s">
        <v>186</v>
      </c>
      <c r="N1412" t="s">
        <v>11</v>
      </c>
      <c r="O1412">
        <v>69.026499999999999</v>
      </c>
      <c r="P1412" s="45">
        <f t="shared" si="100"/>
        <v>1725.66</v>
      </c>
      <c r="Q1412" s="13">
        <f>IF(N1412="HKD",7.8,IF(N1412="CNY",7.30034,1))</f>
        <v>7.3003400000000003</v>
      </c>
      <c r="R1412" s="15">
        <f>+ROUND(O1412/Q1412,4)</f>
        <v>9.4551999999999996</v>
      </c>
      <c r="S1412" s="14">
        <f>ROUND(R1412*L1412,2)</f>
        <v>236.38</v>
      </c>
      <c r="T1412" s="15" t="s">
        <v>349</v>
      </c>
      <c r="U1412" t="s">
        <v>327</v>
      </c>
      <c r="W1412" s="49" t="e">
        <f t="shared" si="101"/>
        <v>#DIV/0!</v>
      </c>
    </row>
    <row r="1413" spans="1:23" x14ac:dyDescent="0.2">
      <c r="A1413" t="s">
        <v>2759</v>
      </c>
      <c r="B1413" s="24">
        <v>45742</v>
      </c>
      <c r="C1413" s="24">
        <v>45729</v>
      </c>
      <c r="D1413" t="s">
        <v>311</v>
      </c>
      <c r="E1413" t="s">
        <v>312</v>
      </c>
      <c r="F1413" s="23"/>
      <c r="G1413" t="s">
        <v>3045</v>
      </c>
      <c r="H1413" t="s">
        <v>323</v>
      </c>
      <c r="I1413" t="s">
        <v>324</v>
      </c>
      <c r="J1413" s="11" t="str">
        <f>+LEFT(U1413,4)</f>
        <v>INM-</v>
      </c>
      <c r="K1413" t="s">
        <v>10</v>
      </c>
      <c r="L1413">
        <v>50</v>
      </c>
      <c r="M1413" t="s">
        <v>186</v>
      </c>
      <c r="N1413" t="s">
        <v>11</v>
      </c>
      <c r="O1413">
        <v>69.026499999999999</v>
      </c>
      <c r="P1413" s="45">
        <f t="shared" si="100"/>
        <v>3451.33</v>
      </c>
      <c r="Q1413" s="13">
        <f>IF(N1413="HKD",7.8,IF(N1413="CNY",7.30034,1))</f>
        <v>7.3003400000000003</v>
      </c>
      <c r="R1413" s="15">
        <f>+ROUND(O1413/Q1413,4)</f>
        <v>9.4551999999999996</v>
      </c>
      <c r="S1413" s="14">
        <f>ROUND(R1413*L1413,2)</f>
        <v>472.76</v>
      </c>
      <c r="T1413" s="15" t="s">
        <v>349</v>
      </c>
      <c r="U1413" t="s">
        <v>327</v>
      </c>
      <c r="W1413" s="49" t="e">
        <f t="shared" si="101"/>
        <v>#DIV/0!</v>
      </c>
    </row>
    <row r="1414" spans="1:23" x14ac:dyDescent="0.2">
      <c r="A1414" t="s">
        <v>2770</v>
      </c>
      <c r="B1414" s="24">
        <v>45742</v>
      </c>
      <c r="C1414" s="24">
        <v>45730</v>
      </c>
      <c r="D1414" t="s">
        <v>287</v>
      </c>
      <c r="E1414" t="s">
        <v>288</v>
      </c>
      <c r="F1414" s="23"/>
      <c r="G1414" t="s">
        <v>2851</v>
      </c>
      <c r="H1414" t="s">
        <v>79</v>
      </c>
      <c r="I1414" t="s">
        <v>80</v>
      </c>
      <c r="J1414" s="11" t="str">
        <f>+LEFT(U1414,4)</f>
        <v>ANYD</v>
      </c>
      <c r="K1414" t="s">
        <v>10</v>
      </c>
      <c r="L1414">
        <v>2050</v>
      </c>
      <c r="M1414" t="s">
        <v>1472</v>
      </c>
      <c r="N1414" t="s">
        <v>11</v>
      </c>
      <c r="O1414">
        <v>6.5929000000000002</v>
      </c>
      <c r="P1414" s="45">
        <f t="shared" si="100"/>
        <v>13515.45</v>
      </c>
      <c r="Q1414" s="13">
        <f>IF(N1414="HKD",7.8,IF(N1414="CNY",7.30034,1))</f>
        <v>7.3003400000000003</v>
      </c>
      <c r="R1414" s="15">
        <f>+ROUND(O1414/Q1414,4)</f>
        <v>0.90310000000000001</v>
      </c>
      <c r="S1414" s="14">
        <f>ROUND(R1414*L1414,2)</f>
        <v>1851.36</v>
      </c>
      <c r="T1414" s="15" t="s">
        <v>349</v>
      </c>
      <c r="U1414" t="s">
        <v>36</v>
      </c>
      <c r="W1414" s="49" t="e">
        <f t="shared" si="101"/>
        <v>#DIV/0!</v>
      </c>
    </row>
    <row r="1415" spans="1:23" x14ac:dyDescent="0.2">
      <c r="A1415" t="s">
        <v>2771</v>
      </c>
      <c r="B1415" s="24">
        <v>45742</v>
      </c>
      <c r="C1415" s="24">
        <v>45730</v>
      </c>
      <c r="D1415" t="s">
        <v>287</v>
      </c>
      <c r="E1415" t="s">
        <v>288</v>
      </c>
      <c r="F1415" s="23"/>
      <c r="G1415" t="s">
        <v>2851</v>
      </c>
      <c r="H1415" t="s">
        <v>76</v>
      </c>
      <c r="I1415" t="s">
        <v>77</v>
      </c>
      <c r="J1415" s="11" t="str">
        <f>+LEFT(U1415,4)</f>
        <v>GLID</v>
      </c>
      <c r="K1415" t="s">
        <v>10</v>
      </c>
      <c r="L1415">
        <v>3100</v>
      </c>
      <c r="M1415" t="s">
        <v>1472</v>
      </c>
      <c r="N1415" t="s">
        <v>11</v>
      </c>
      <c r="O1415">
        <v>6.4610000000000003</v>
      </c>
      <c r="P1415" s="45">
        <f t="shared" si="100"/>
        <v>20029.099999999999</v>
      </c>
      <c r="Q1415" s="13">
        <f>IF(N1415="HKD",7.8,IF(N1415="CNY",7.30034,1))</f>
        <v>7.3003400000000003</v>
      </c>
      <c r="R1415" s="15">
        <f>+ROUND(O1415/Q1415,4)</f>
        <v>0.88500000000000001</v>
      </c>
      <c r="S1415" s="14">
        <f>ROUND(R1415*L1415,2)</f>
        <v>2743.5</v>
      </c>
      <c r="T1415" s="15" t="s">
        <v>349</v>
      </c>
      <c r="U1415" t="s">
        <v>78</v>
      </c>
      <c r="W1415" s="49" t="e">
        <f t="shared" si="101"/>
        <v>#DIV/0!</v>
      </c>
    </row>
    <row r="1416" spans="1:23" x14ac:dyDescent="0.2">
      <c r="A1416" t="s">
        <v>2808</v>
      </c>
      <c r="B1416" s="24">
        <v>45742</v>
      </c>
      <c r="C1416" s="24">
        <v>45737</v>
      </c>
      <c r="D1416" t="s">
        <v>5</v>
      </c>
      <c r="E1416" t="s">
        <v>6</v>
      </c>
      <c r="F1416" s="23"/>
      <c r="G1416" t="s">
        <v>3054</v>
      </c>
      <c r="H1416" t="s">
        <v>3269</v>
      </c>
      <c r="I1416" t="s">
        <v>3476</v>
      </c>
      <c r="J1416" s="11" t="str">
        <f>+LEFT(U1416,4)</f>
        <v>BOX-</v>
      </c>
      <c r="K1416" t="s">
        <v>10</v>
      </c>
      <c r="L1416">
        <v>505</v>
      </c>
      <c r="M1416" t="s">
        <v>1472</v>
      </c>
      <c r="N1416" t="s">
        <v>11</v>
      </c>
      <c r="O1416">
        <v>6.52</v>
      </c>
      <c r="P1416" s="45">
        <f t="shared" si="100"/>
        <v>3292.6</v>
      </c>
      <c r="Q1416" s="13">
        <f>IF(N1416="HKD",7.8,IF(N1416="CNY",7.30034,1))</f>
        <v>7.3003400000000003</v>
      </c>
      <c r="R1416" s="15">
        <f>+ROUND(O1416/Q1416,4)</f>
        <v>0.8931</v>
      </c>
      <c r="S1416" s="14">
        <f>ROUND(R1416*L1416,2)</f>
        <v>451.02</v>
      </c>
      <c r="T1416" s="15" t="s">
        <v>349</v>
      </c>
      <c r="U1416" t="s">
        <v>1</v>
      </c>
      <c r="W1416" s="49" t="e">
        <f t="shared" si="101"/>
        <v>#DIV/0!</v>
      </c>
    </row>
    <row r="1417" spans="1:23" x14ac:dyDescent="0.2">
      <c r="A1417" t="s">
        <v>2809</v>
      </c>
      <c r="B1417" s="24">
        <v>45742</v>
      </c>
      <c r="C1417" s="24">
        <v>45737</v>
      </c>
      <c r="D1417" t="s">
        <v>268</v>
      </c>
      <c r="E1417" t="s">
        <v>269</v>
      </c>
      <c r="F1417" s="23"/>
      <c r="G1417" t="s">
        <v>3055</v>
      </c>
      <c r="H1417" t="s">
        <v>1686</v>
      </c>
      <c r="I1417" t="s">
        <v>1687</v>
      </c>
      <c r="J1417" s="11" t="str">
        <f>+LEFT(U1417,4)</f>
        <v>MISC</v>
      </c>
      <c r="K1417" t="s">
        <v>10</v>
      </c>
      <c r="L1417">
        <v>3500</v>
      </c>
      <c r="M1417" t="s">
        <v>1472</v>
      </c>
      <c r="N1417" t="s">
        <v>11</v>
      </c>
      <c r="O1417">
        <v>2.5</v>
      </c>
      <c r="P1417" s="45">
        <f t="shared" si="100"/>
        <v>8750</v>
      </c>
      <c r="Q1417" s="13">
        <f>IF(N1417="HKD",7.8,IF(N1417="CNY",7.30034,1))</f>
        <v>7.3003400000000003</v>
      </c>
      <c r="R1417" s="15">
        <f>+ROUND(O1417/Q1417,4)</f>
        <v>0.34239999999999998</v>
      </c>
      <c r="S1417" s="14">
        <f>ROUND(R1417*L1417,2)</f>
        <v>1198.4000000000001</v>
      </c>
      <c r="T1417" s="15" t="s">
        <v>349</v>
      </c>
      <c r="U1417" t="s">
        <v>25</v>
      </c>
      <c r="W1417" s="49" t="e">
        <f t="shared" si="101"/>
        <v>#DIV/0!</v>
      </c>
    </row>
    <row r="1418" spans="1:23" x14ac:dyDescent="0.2">
      <c r="A1418" t="s">
        <v>2377</v>
      </c>
      <c r="B1418" s="24">
        <v>45743</v>
      </c>
      <c r="C1418" s="24">
        <v>45695</v>
      </c>
      <c r="D1418" t="s">
        <v>143</v>
      </c>
      <c r="E1418" t="s">
        <v>144</v>
      </c>
      <c r="F1418" s="23"/>
      <c r="G1418" t="s">
        <v>2913</v>
      </c>
      <c r="H1418" t="s">
        <v>141</v>
      </c>
      <c r="I1418" t="s">
        <v>142</v>
      </c>
      <c r="J1418" s="11" t="str">
        <f>+LEFT(U1418,4)</f>
        <v>KNOB</v>
      </c>
      <c r="K1418" t="s">
        <v>10</v>
      </c>
      <c r="L1418">
        <v>2900</v>
      </c>
      <c r="M1418" t="s">
        <v>1472</v>
      </c>
      <c r="N1418" t="s">
        <v>11</v>
      </c>
      <c r="O1418">
        <v>5.0999999999999996</v>
      </c>
      <c r="P1418" s="45">
        <f t="shared" si="100"/>
        <v>14790</v>
      </c>
      <c r="Q1418" s="13">
        <f>IF(N1418="HKD",7.8,IF(N1418="CNY",7.30034,1))</f>
        <v>7.3003400000000003</v>
      </c>
      <c r="R1418" s="15">
        <f>+ROUND(O1418/Q1418,4)</f>
        <v>0.6986</v>
      </c>
      <c r="S1418" s="14">
        <f>ROUND(R1418*L1418,2)</f>
        <v>2025.94</v>
      </c>
      <c r="T1418" s="15" t="s">
        <v>349</v>
      </c>
      <c r="U1418" t="s">
        <v>32</v>
      </c>
      <c r="W1418" s="49" t="e">
        <f t="shared" si="101"/>
        <v>#DIV/0!</v>
      </c>
    </row>
    <row r="1419" spans="1:23" x14ac:dyDescent="0.2">
      <c r="A1419" t="s">
        <v>2534</v>
      </c>
      <c r="B1419" s="24">
        <v>45743</v>
      </c>
      <c r="C1419" s="24">
        <v>45714</v>
      </c>
      <c r="D1419" t="s">
        <v>94</v>
      </c>
      <c r="E1419" t="s">
        <v>95</v>
      </c>
      <c r="F1419" s="23"/>
      <c r="G1419" t="s">
        <v>2971</v>
      </c>
      <c r="H1419" t="s">
        <v>3164</v>
      </c>
      <c r="I1419" t="s">
        <v>3374</v>
      </c>
      <c r="J1419" s="11" t="str">
        <f>+LEFT(U1419,4)</f>
        <v>LID-</v>
      </c>
      <c r="K1419" t="s">
        <v>98</v>
      </c>
      <c r="L1419">
        <v>1127</v>
      </c>
      <c r="M1419" t="s">
        <v>1472</v>
      </c>
      <c r="N1419" t="s">
        <v>11</v>
      </c>
      <c r="O1419">
        <v>4.26</v>
      </c>
      <c r="P1419" s="45">
        <f t="shared" si="100"/>
        <v>4801.0200000000004</v>
      </c>
      <c r="Q1419" s="13">
        <f>IF(N1419="HKD",7.8,IF(N1419="CNY",7.30034,1))</f>
        <v>7.3003400000000003</v>
      </c>
      <c r="R1419" s="15">
        <f>+ROUND(O1419/Q1419,4)</f>
        <v>0.58350000000000002</v>
      </c>
      <c r="S1419" s="14">
        <f>ROUND(R1419*L1419,2)</f>
        <v>657.6</v>
      </c>
      <c r="T1419" s="15" t="s">
        <v>349</v>
      </c>
      <c r="U1419" t="s">
        <v>368</v>
      </c>
      <c r="W1419" s="49" t="e">
        <f t="shared" si="101"/>
        <v>#DIV/0!</v>
      </c>
    </row>
    <row r="1420" spans="1:23" x14ac:dyDescent="0.2">
      <c r="A1420" t="s">
        <v>2549</v>
      </c>
      <c r="B1420" s="24">
        <v>45743</v>
      </c>
      <c r="C1420" s="24">
        <v>45716</v>
      </c>
      <c r="D1420" t="s">
        <v>149</v>
      </c>
      <c r="E1420" t="s">
        <v>150</v>
      </c>
      <c r="F1420" s="23"/>
      <c r="G1420" t="s">
        <v>2993</v>
      </c>
      <c r="H1420" t="s">
        <v>3169</v>
      </c>
      <c r="I1420" t="s">
        <v>3379</v>
      </c>
      <c r="J1420" s="11" t="str">
        <f>+LEFT(U1420,4)</f>
        <v>GLID</v>
      </c>
      <c r="K1420" t="s">
        <v>10</v>
      </c>
      <c r="L1420">
        <v>530</v>
      </c>
      <c r="M1420" t="s">
        <v>1472</v>
      </c>
      <c r="N1420" t="s">
        <v>11</v>
      </c>
      <c r="O1420">
        <v>4.4287999999999998</v>
      </c>
      <c r="P1420" s="45">
        <f t="shared" si="100"/>
        <v>2347.2600000000002</v>
      </c>
      <c r="Q1420" s="13">
        <f>IF(N1420="HKD",7.8,IF(N1420="CNY",7.30034,1))</f>
        <v>7.3003400000000003</v>
      </c>
      <c r="R1420" s="15">
        <f>+ROUND(O1420/Q1420,4)</f>
        <v>0.60670000000000002</v>
      </c>
      <c r="S1420" s="14">
        <f>ROUND(R1420*L1420,2)</f>
        <v>321.55</v>
      </c>
      <c r="T1420" s="15" t="s">
        <v>349</v>
      </c>
      <c r="U1420" t="s">
        <v>78</v>
      </c>
      <c r="W1420" s="49" t="e">
        <f t="shared" si="101"/>
        <v>#DIV/0!</v>
      </c>
    </row>
    <row r="1421" spans="1:23" x14ac:dyDescent="0.2">
      <c r="A1421" t="s">
        <v>2551</v>
      </c>
      <c r="B1421" s="24">
        <v>45743</v>
      </c>
      <c r="C1421" s="24">
        <v>45716</v>
      </c>
      <c r="D1421" t="s">
        <v>149</v>
      </c>
      <c r="E1421" t="s">
        <v>150</v>
      </c>
      <c r="F1421" s="23"/>
      <c r="G1421" t="s">
        <v>2993</v>
      </c>
      <c r="H1421" t="s">
        <v>3170</v>
      </c>
      <c r="I1421" t="s">
        <v>787</v>
      </c>
      <c r="J1421" s="11" t="str">
        <f>+LEFT(U1421,4)</f>
        <v>GLID</v>
      </c>
      <c r="K1421" t="s">
        <v>10</v>
      </c>
      <c r="L1421">
        <v>1020</v>
      </c>
      <c r="M1421" t="s">
        <v>1472</v>
      </c>
      <c r="N1421" t="s">
        <v>11</v>
      </c>
      <c r="O1421">
        <v>2.7372999999999998</v>
      </c>
      <c r="P1421" s="45">
        <f t="shared" si="100"/>
        <v>2792.05</v>
      </c>
      <c r="Q1421" s="13">
        <f>IF(N1421="HKD",7.8,IF(N1421="CNY",7.30034,1))</f>
        <v>7.3003400000000003</v>
      </c>
      <c r="R1421" s="15">
        <f>+ROUND(O1421/Q1421,4)</f>
        <v>0.375</v>
      </c>
      <c r="S1421" s="14">
        <f>ROUND(R1421*L1421,2)</f>
        <v>382.5</v>
      </c>
      <c r="T1421" s="15" t="s">
        <v>349</v>
      </c>
      <c r="U1421" t="s">
        <v>78</v>
      </c>
      <c r="W1421" s="49" t="e">
        <f t="shared" si="101"/>
        <v>#DIV/0!</v>
      </c>
    </row>
    <row r="1422" spans="1:23" x14ac:dyDescent="0.2">
      <c r="A1422" t="s">
        <v>2563</v>
      </c>
      <c r="B1422" s="24">
        <v>45743</v>
      </c>
      <c r="C1422" s="24">
        <v>45716</v>
      </c>
      <c r="D1422" t="s">
        <v>709</v>
      </c>
      <c r="E1422" t="s">
        <v>710</v>
      </c>
      <c r="F1422" s="23"/>
      <c r="G1422" t="s">
        <v>2998</v>
      </c>
      <c r="H1422" t="s">
        <v>3177</v>
      </c>
      <c r="I1422" t="s">
        <v>3384</v>
      </c>
      <c r="J1422" s="11" t="str">
        <f>+LEFT(U1422,4)</f>
        <v>KNOB</v>
      </c>
      <c r="K1422" t="s">
        <v>10</v>
      </c>
      <c r="L1422">
        <v>1010</v>
      </c>
      <c r="M1422" t="s">
        <v>1472</v>
      </c>
      <c r="N1422" t="s">
        <v>11</v>
      </c>
      <c r="O1422">
        <v>1.2481</v>
      </c>
      <c r="P1422" s="45">
        <f t="shared" si="100"/>
        <v>1260.58</v>
      </c>
      <c r="Q1422" s="13">
        <f>IF(N1422="HKD",7.8,IF(N1422="CNY",7.30034,1))</f>
        <v>7.3003400000000003</v>
      </c>
      <c r="R1422" s="15">
        <f>+ROUND(O1422/Q1422,4)</f>
        <v>0.17100000000000001</v>
      </c>
      <c r="S1422" s="14">
        <f>ROUND(R1422*L1422,2)</f>
        <v>172.71</v>
      </c>
      <c r="T1422" s="15" t="s">
        <v>349</v>
      </c>
      <c r="U1422" t="s">
        <v>32</v>
      </c>
      <c r="W1422" s="49" t="e">
        <f t="shared" si="101"/>
        <v>#DIV/0!</v>
      </c>
    </row>
    <row r="1423" spans="1:23" x14ac:dyDescent="0.2">
      <c r="A1423" t="s">
        <v>2643</v>
      </c>
      <c r="B1423" s="24">
        <v>45743</v>
      </c>
      <c r="C1423" s="24">
        <v>45721</v>
      </c>
      <c r="D1423" t="s">
        <v>709</v>
      </c>
      <c r="E1423" t="s">
        <v>710</v>
      </c>
      <c r="F1423" s="23"/>
      <c r="G1423" t="s">
        <v>2998</v>
      </c>
      <c r="H1423" t="s">
        <v>738</v>
      </c>
      <c r="I1423" t="s">
        <v>739</v>
      </c>
      <c r="J1423" s="11" t="str">
        <f>+LEFT(U1423,4)</f>
        <v>KNOB</v>
      </c>
      <c r="K1423" t="s">
        <v>10</v>
      </c>
      <c r="L1423">
        <v>1000</v>
      </c>
      <c r="M1423" t="s">
        <v>1472</v>
      </c>
      <c r="N1423" t="s">
        <v>11</v>
      </c>
      <c r="O1423">
        <v>1.0463</v>
      </c>
      <c r="P1423" s="45">
        <f t="shared" si="100"/>
        <v>1046.3</v>
      </c>
      <c r="Q1423" s="13">
        <f>IF(N1423="HKD",7.8,IF(N1423="CNY",7.30034,1))</f>
        <v>7.3003400000000003</v>
      </c>
      <c r="R1423" s="15">
        <f>+ROUND(O1423/Q1423,4)</f>
        <v>0.14330000000000001</v>
      </c>
      <c r="S1423" s="14">
        <f>ROUND(R1423*L1423,2)</f>
        <v>143.30000000000001</v>
      </c>
      <c r="T1423" s="15" t="s">
        <v>349</v>
      </c>
      <c r="U1423" t="s">
        <v>32</v>
      </c>
      <c r="W1423" s="49" t="e">
        <f t="shared" si="101"/>
        <v>#DIV/0!</v>
      </c>
    </row>
    <row r="1424" spans="1:23" x14ac:dyDescent="0.2">
      <c r="A1424" t="s">
        <v>2674</v>
      </c>
      <c r="B1424" s="24">
        <v>45743</v>
      </c>
      <c r="C1424" s="24">
        <v>45726</v>
      </c>
      <c r="D1424" t="s">
        <v>1006</v>
      </c>
      <c r="E1424" t="s">
        <v>1007</v>
      </c>
      <c r="F1424" s="23"/>
      <c r="G1424" t="s">
        <v>3028</v>
      </c>
      <c r="H1424" t="s">
        <v>3218</v>
      </c>
      <c r="I1424" t="s">
        <v>3425</v>
      </c>
      <c r="J1424" s="11" t="str">
        <f>+LEFT(U1424,4)</f>
        <v>ALM-</v>
      </c>
      <c r="K1424" t="s">
        <v>98</v>
      </c>
      <c r="L1424">
        <v>1007</v>
      </c>
      <c r="M1424" t="s">
        <v>186</v>
      </c>
      <c r="N1424" t="s">
        <v>11</v>
      </c>
      <c r="O1424">
        <v>2.9203999999999999</v>
      </c>
      <c r="P1424" s="45">
        <f t="shared" si="100"/>
        <v>2940.84</v>
      </c>
      <c r="Q1424" s="13">
        <f>IF(N1424="HKD",7.8,IF(N1424="CNY",7.30034,1))</f>
        <v>7.3003400000000003</v>
      </c>
      <c r="R1424" s="15">
        <f>+ROUND(O1424/Q1424,4)</f>
        <v>0.4</v>
      </c>
      <c r="S1424" s="14">
        <f>ROUND(R1424*L1424,2)</f>
        <v>402.8</v>
      </c>
      <c r="T1424" s="15" t="s">
        <v>349</v>
      </c>
      <c r="U1424" t="s">
        <v>191</v>
      </c>
      <c r="W1424" s="49" t="e">
        <f t="shared" si="101"/>
        <v>#DIV/0!</v>
      </c>
    </row>
    <row r="1425" spans="1:23" x14ac:dyDescent="0.2">
      <c r="A1425" t="s">
        <v>2676</v>
      </c>
      <c r="B1425" s="24">
        <v>45743</v>
      </c>
      <c r="C1425" s="24">
        <v>45726</v>
      </c>
      <c r="D1425" t="s">
        <v>1006</v>
      </c>
      <c r="E1425" t="s">
        <v>1007</v>
      </c>
      <c r="F1425" s="23"/>
      <c r="G1425" t="s">
        <v>3028</v>
      </c>
      <c r="H1425" t="s">
        <v>3220</v>
      </c>
      <c r="I1425" t="s">
        <v>3427</v>
      </c>
      <c r="J1425" s="11" t="str">
        <f>+LEFT(U1425,4)</f>
        <v>ALM-</v>
      </c>
      <c r="K1425" t="s">
        <v>98</v>
      </c>
      <c r="L1425">
        <v>683</v>
      </c>
      <c r="M1425" t="s">
        <v>186</v>
      </c>
      <c r="N1425" t="s">
        <v>11</v>
      </c>
      <c r="O1425">
        <v>2.9203999999999999</v>
      </c>
      <c r="P1425" s="45">
        <f t="shared" si="100"/>
        <v>1994.63</v>
      </c>
      <c r="Q1425" s="13">
        <f>IF(N1425="HKD",7.8,IF(N1425="CNY",7.30034,1))</f>
        <v>7.3003400000000003</v>
      </c>
      <c r="R1425" s="15">
        <f>+ROUND(O1425/Q1425,4)</f>
        <v>0.4</v>
      </c>
      <c r="S1425" s="14">
        <f>ROUND(R1425*L1425,2)</f>
        <v>273.2</v>
      </c>
      <c r="T1425" s="15" t="s">
        <v>349</v>
      </c>
      <c r="U1425" t="s">
        <v>191</v>
      </c>
      <c r="W1425" s="49" t="e">
        <f t="shared" si="101"/>
        <v>#DIV/0!</v>
      </c>
    </row>
    <row r="1426" spans="1:23" x14ac:dyDescent="0.2">
      <c r="A1426" t="s">
        <v>2678</v>
      </c>
      <c r="B1426" s="24">
        <v>45743</v>
      </c>
      <c r="C1426" s="24">
        <v>45726</v>
      </c>
      <c r="D1426" t="s">
        <v>1006</v>
      </c>
      <c r="E1426" t="s">
        <v>1007</v>
      </c>
      <c r="F1426" s="23"/>
      <c r="G1426" t="s">
        <v>3028</v>
      </c>
      <c r="H1426" t="s">
        <v>1019</v>
      </c>
      <c r="I1426" t="s">
        <v>1020</v>
      </c>
      <c r="J1426" s="11" t="str">
        <f>+LEFT(U1426,4)</f>
        <v>ALM-</v>
      </c>
      <c r="K1426" t="s">
        <v>98</v>
      </c>
      <c r="L1426">
        <v>269</v>
      </c>
      <c r="M1426" t="s">
        <v>186</v>
      </c>
      <c r="N1426" t="s">
        <v>11</v>
      </c>
      <c r="O1426">
        <v>2.9203999999999999</v>
      </c>
      <c r="P1426" s="45">
        <f t="shared" si="100"/>
        <v>785.59</v>
      </c>
      <c r="Q1426" s="13">
        <f>IF(N1426="HKD",7.8,IF(N1426="CNY",7.30034,1))</f>
        <v>7.3003400000000003</v>
      </c>
      <c r="R1426" s="15">
        <f>+ROUND(O1426/Q1426,4)</f>
        <v>0.4</v>
      </c>
      <c r="S1426" s="14">
        <f>ROUND(R1426*L1426,2)</f>
        <v>107.6</v>
      </c>
      <c r="T1426" s="15" t="s">
        <v>349</v>
      </c>
      <c r="U1426" t="s">
        <v>191</v>
      </c>
      <c r="W1426" s="49" t="e">
        <f t="shared" si="101"/>
        <v>#DIV/0!</v>
      </c>
    </row>
    <row r="1427" spans="1:23" x14ac:dyDescent="0.2">
      <c r="A1427" t="s">
        <v>2679</v>
      </c>
      <c r="B1427" s="24">
        <v>45743</v>
      </c>
      <c r="C1427" s="24">
        <v>45726</v>
      </c>
      <c r="D1427" t="s">
        <v>1006</v>
      </c>
      <c r="E1427" t="s">
        <v>1007</v>
      </c>
      <c r="F1427" s="23"/>
      <c r="G1427" t="s">
        <v>3028</v>
      </c>
      <c r="H1427" t="s">
        <v>3221</v>
      </c>
      <c r="I1427" t="s">
        <v>3428</v>
      </c>
      <c r="J1427" s="11" t="str">
        <f>+LEFT(U1427,4)</f>
        <v>ALM-</v>
      </c>
      <c r="K1427" t="s">
        <v>98</v>
      </c>
      <c r="L1427">
        <v>510</v>
      </c>
      <c r="M1427" t="s">
        <v>186</v>
      </c>
      <c r="N1427" t="s">
        <v>11</v>
      </c>
      <c r="O1427">
        <v>3.0973000000000002</v>
      </c>
      <c r="P1427" s="45">
        <f t="shared" si="100"/>
        <v>1579.62</v>
      </c>
      <c r="Q1427" s="13">
        <f>IF(N1427="HKD",7.8,IF(N1427="CNY",7.30034,1))</f>
        <v>7.3003400000000003</v>
      </c>
      <c r="R1427" s="15">
        <f>+ROUND(O1427/Q1427,4)</f>
        <v>0.42430000000000001</v>
      </c>
      <c r="S1427" s="14">
        <f>ROUND(R1427*L1427,2)</f>
        <v>216.39</v>
      </c>
      <c r="T1427" s="15" t="s">
        <v>349</v>
      </c>
      <c r="U1427" t="s">
        <v>191</v>
      </c>
      <c r="W1427" s="49" t="e">
        <f t="shared" si="101"/>
        <v>#DIV/0!</v>
      </c>
    </row>
    <row r="1428" spans="1:23" x14ac:dyDescent="0.2">
      <c r="A1428" t="s">
        <v>2730</v>
      </c>
      <c r="B1428" s="24">
        <v>45743</v>
      </c>
      <c r="C1428" s="24">
        <v>45728</v>
      </c>
      <c r="D1428" t="s">
        <v>149</v>
      </c>
      <c r="E1428" t="s">
        <v>150</v>
      </c>
      <c r="F1428" s="23"/>
      <c r="G1428" t="s">
        <v>2993</v>
      </c>
      <c r="H1428" t="s">
        <v>1190</v>
      </c>
      <c r="I1428" t="s">
        <v>1191</v>
      </c>
      <c r="J1428" s="11" t="str">
        <f>+LEFT(U1428,4)</f>
        <v>GLID</v>
      </c>
      <c r="K1428" t="s">
        <v>10</v>
      </c>
      <c r="L1428">
        <v>3030</v>
      </c>
      <c r="M1428" t="s">
        <v>1472</v>
      </c>
      <c r="N1428" t="s">
        <v>11</v>
      </c>
      <c r="O1428">
        <v>4.3726000000000003</v>
      </c>
      <c r="P1428" s="45">
        <f t="shared" si="100"/>
        <v>13248.98</v>
      </c>
      <c r="Q1428" s="13">
        <f>IF(N1428="HKD",7.8,IF(N1428="CNY",7.30034,1))</f>
        <v>7.3003400000000003</v>
      </c>
      <c r="R1428" s="15">
        <f>+ROUND(O1428/Q1428,4)</f>
        <v>0.59899999999999998</v>
      </c>
      <c r="S1428" s="14">
        <f>ROUND(R1428*L1428,2)</f>
        <v>1814.97</v>
      </c>
      <c r="T1428" s="15" t="s">
        <v>349</v>
      </c>
      <c r="U1428" t="s">
        <v>78</v>
      </c>
      <c r="W1428" s="49" t="e">
        <f t="shared" si="101"/>
        <v>#DIV/0!</v>
      </c>
    </row>
    <row r="1429" spans="1:23" x14ac:dyDescent="0.2">
      <c r="A1429" t="s">
        <v>2761</v>
      </c>
      <c r="B1429" s="24">
        <v>45743</v>
      </c>
      <c r="C1429" s="24">
        <v>45730</v>
      </c>
      <c r="D1429" t="s">
        <v>806</v>
      </c>
      <c r="E1429" t="s">
        <v>807</v>
      </c>
      <c r="F1429" s="23"/>
      <c r="G1429" t="s">
        <v>3048</v>
      </c>
      <c r="H1429" t="s">
        <v>3250</v>
      </c>
      <c r="I1429" t="s">
        <v>3457</v>
      </c>
      <c r="J1429" s="11" t="str">
        <f>+LEFT(U1429,4)</f>
        <v>BAG-</v>
      </c>
      <c r="K1429" t="s">
        <v>10</v>
      </c>
      <c r="L1429">
        <v>10000</v>
      </c>
      <c r="M1429" t="s">
        <v>1472</v>
      </c>
      <c r="N1429" t="s">
        <v>11</v>
      </c>
      <c r="O1429">
        <v>9.6000000000000002E-2</v>
      </c>
      <c r="P1429" s="45">
        <f t="shared" si="100"/>
        <v>960</v>
      </c>
      <c r="Q1429" s="13">
        <f>IF(N1429="HKD",7.8,IF(N1429="CNY",7.30034,1))</f>
        <v>7.3003400000000003</v>
      </c>
      <c r="R1429" s="15">
        <f>+ROUND(O1429/Q1429,4)</f>
        <v>1.32E-2</v>
      </c>
      <c r="S1429" s="14">
        <f>ROUND(R1429*L1429,2)</f>
        <v>132</v>
      </c>
      <c r="T1429" s="15" t="s">
        <v>349</v>
      </c>
      <c r="U1429" t="s">
        <v>810</v>
      </c>
      <c r="W1429" s="49" t="e">
        <f t="shared" si="101"/>
        <v>#DIV/0!</v>
      </c>
    </row>
    <row r="1430" spans="1:23" x14ac:dyDescent="0.2">
      <c r="A1430" t="s">
        <v>2762</v>
      </c>
      <c r="B1430" s="24">
        <v>45743</v>
      </c>
      <c r="C1430" s="24">
        <v>45730</v>
      </c>
      <c r="D1430" t="s">
        <v>806</v>
      </c>
      <c r="E1430" t="s">
        <v>807</v>
      </c>
      <c r="F1430" s="23"/>
      <c r="G1430" t="s">
        <v>3048</v>
      </c>
      <c r="H1430" t="s">
        <v>3251</v>
      </c>
      <c r="I1430" t="s">
        <v>3458</v>
      </c>
      <c r="J1430" s="11" t="str">
        <f>+LEFT(U1430,4)</f>
        <v>BAG-</v>
      </c>
      <c r="K1430" t="s">
        <v>10</v>
      </c>
      <c r="L1430">
        <v>4000</v>
      </c>
      <c r="M1430" t="s">
        <v>1472</v>
      </c>
      <c r="N1430" t="s">
        <v>11</v>
      </c>
      <c r="O1430">
        <v>0.113</v>
      </c>
      <c r="P1430" s="45">
        <f t="shared" si="100"/>
        <v>452</v>
      </c>
      <c r="Q1430" s="13">
        <f>IF(N1430="HKD",7.8,IF(N1430="CNY",7.30034,1))</f>
        <v>7.3003400000000003</v>
      </c>
      <c r="R1430" s="15">
        <f>+ROUND(O1430/Q1430,4)</f>
        <v>1.55E-2</v>
      </c>
      <c r="S1430" s="14">
        <f>ROUND(R1430*L1430,2)</f>
        <v>62</v>
      </c>
      <c r="T1430" s="15" t="s">
        <v>349</v>
      </c>
      <c r="U1430" t="s">
        <v>810</v>
      </c>
      <c r="W1430" s="49" t="e">
        <f t="shared" si="101"/>
        <v>#DIV/0!</v>
      </c>
    </row>
    <row r="1431" spans="1:23" x14ac:dyDescent="0.2">
      <c r="A1431" t="s">
        <v>2763</v>
      </c>
      <c r="B1431" s="24">
        <v>45743</v>
      </c>
      <c r="C1431" s="24">
        <v>45730</v>
      </c>
      <c r="D1431" t="s">
        <v>806</v>
      </c>
      <c r="E1431" t="s">
        <v>807</v>
      </c>
      <c r="F1431" s="23"/>
      <c r="G1431" t="s">
        <v>3048</v>
      </c>
      <c r="H1431" t="s">
        <v>804</v>
      </c>
      <c r="I1431" t="s">
        <v>805</v>
      </c>
      <c r="J1431" s="11" t="str">
        <f>+LEFT(U1431,4)</f>
        <v>BAG-</v>
      </c>
      <c r="K1431" t="s">
        <v>10</v>
      </c>
      <c r="L1431">
        <v>7000</v>
      </c>
      <c r="M1431" t="s">
        <v>1472</v>
      </c>
      <c r="N1431" t="s">
        <v>11</v>
      </c>
      <c r="O1431">
        <v>0.152</v>
      </c>
      <c r="P1431" s="45">
        <f t="shared" si="100"/>
        <v>1064</v>
      </c>
      <c r="Q1431" s="13">
        <f>IF(N1431="HKD",7.8,IF(N1431="CNY",7.30034,1))</f>
        <v>7.3003400000000003</v>
      </c>
      <c r="R1431" s="15">
        <f>+ROUND(O1431/Q1431,4)</f>
        <v>2.0799999999999999E-2</v>
      </c>
      <c r="S1431" s="14">
        <f>ROUND(R1431*L1431,2)</f>
        <v>145.6</v>
      </c>
      <c r="T1431" s="15" t="s">
        <v>349</v>
      </c>
      <c r="U1431" t="s">
        <v>810</v>
      </c>
      <c r="W1431" s="49" t="e">
        <f t="shared" si="101"/>
        <v>#DIV/0!</v>
      </c>
    </row>
    <row r="1432" spans="1:23" x14ac:dyDescent="0.2">
      <c r="A1432" t="s">
        <v>2764</v>
      </c>
      <c r="B1432" s="24">
        <v>45743</v>
      </c>
      <c r="C1432" s="24">
        <v>45730</v>
      </c>
      <c r="D1432" t="s">
        <v>806</v>
      </c>
      <c r="E1432" t="s">
        <v>807</v>
      </c>
      <c r="F1432" s="23"/>
      <c r="G1432" t="s">
        <v>3048</v>
      </c>
      <c r="H1432" t="s">
        <v>3252</v>
      </c>
      <c r="I1432" t="s">
        <v>3459</v>
      </c>
      <c r="J1432" s="11" t="str">
        <f>+LEFT(U1432,4)</f>
        <v>BAG-</v>
      </c>
      <c r="K1432" t="s">
        <v>10</v>
      </c>
      <c r="L1432">
        <v>1000</v>
      </c>
      <c r="M1432" t="s">
        <v>1472</v>
      </c>
      <c r="N1432" t="s">
        <v>11</v>
      </c>
      <c r="O1432">
        <v>0.215</v>
      </c>
      <c r="P1432" s="45">
        <f t="shared" si="100"/>
        <v>215</v>
      </c>
      <c r="Q1432" s="13">
        <f>IF(N1432="HKD",7.8,IF(N1432="CNY",7.30034,1))</f>
        <v>7.3003400000000003</v>
      </c>
      <c r="R1432" s="15">
        <f>+ROUND(O1432/Q1432,4)</f>
        <v>2.9499999999999998E-2</v>
      </c>
      <c r="S1432" s="14">
        <f>ROUND(R1432*L1432,2)</f>
        <v>29.5</v>
      </c>
      <c r="T1432" s="15" t="s">
        <v>349</v>
      </c>
      <c r="U1432" t="s">
        <v>810</v>
      </c>
      <c r="W1432" s="49" t="e">
        <f t="shared" si="101"/>
        <v>#DIV/0!</v>
      </c>
    </row>
    <row r="1433" spans="1:23" x14ac:dyDescent="0.2">
      <c r="A1433" t="s">
        <v>2779</v>
      </c>
      <c r="B1433" s="24">
        <v>45743</v>
      </c>
      <c r="C1433" s="24">
        <v>45730</v>
      </c>
      <c r="D1433" t="s">
        <v>1006</v>
      </c>
      <c r="E1433" t="s">
        <v>1007</v>
      </c>
      <c r="F1433" s="23"/>
      <c r="G1433" t="s">
        <v>3028</v>
      </c>
      <c r="H1433" t="s">
        <v>1013</v>
      </c>
      <c r="I1433" t="s">
        <v>1014</v>
      </c>
      <c r="J1433" s="11" t="str">
        <f>+LEFT(U1433,4)</f>
        <v>ALM-</v>
      </c>
      <c r="K1433" t="s">
        <v>98</v>
      </c>
      <c r="L1433">
        <v>982</v>
      </c>
      <c r="M1433" t="s">
        <v>186</v>
      </c>
      <c r="N1433" t="s">
        <v>11</v>
      </c>
      <c r="O1433">
        <v>3.0973000000000002</v>
      </c>
      <c r="P1433" s="45">
        <f t="shared" si="100"/>
        <v>3041.55</v>
      </c>
      <c r="Q1433" s="13">
        <f>IF(N1433="HKD",7.8,IF(N1433="CNY",7.30034,1))</f>
        <v>7.3003400000000003</v>
      </c>
      <c r="R1433" s="15">
        <f>+ROUND(O1433/Q1433,4)</f>
        <v>0.42430000000000001</v>
      </c>
      <c r="S1433" s="14">
        <f>ROUND(R1433*L1433,2)</f>
        <v>416.66</v>
      </c>
      <c r="T1433" s="15" t="s">
        <v>349</v>
      </c>
      <c r="U1433" t="s">
        <v>191</v>
      </c>
      <c r="W1433" s="49" t="e">
        <f t="shared" si="101"/>
        <v>#DIV/0!</v>
      </c>
    </row>
    <row r="1434" spans="1:23" x14ac:dyDescent="0.2">
      <c r="A1434" t="s">
        <v>2780</v>
      </c>
      <c r="B1434" s="24">
        <v>45743</v>
      </c>
      <c r="C1434" s="24">
        <v>45730</v>
      </c>
      <c r="D1434" t="s">
        <v>1006</v>
      </c>
      <c r="E1434" t="s">
        <v>1007</v>
      </c>
      <c r="F1434" s="23"/>
      <c r="G1434" t="s">
        <v>3028</v>
      </c>
      <c r="H1434" t="s">
        <v>3197</v>
      </c>
      <c r="I1434" t="s">
        <v>3404</v>
      </c>
      <c r="J1434" s="11" t="str">
        <f>+LEFT(U1434,4)</f>
        <v>ALM-</v>
      </c>
      <c r="K1434" t="s">
        <v>98</v>
      </c>
      <c r="L1434">
        <v>700</v>
      </c>
      <c r="M1434" t="s">
        <v>186</v>
      </c>
      <c r="N1434" t="s">
        <v>11</v>
      </c>
      <c r="O1434">
        <v>2.9203999999999999</v>
      </c>
      <c r="P1434" s="45">
        <f t="shared" si="100"/>
        <v>2044.28</v>
      </c>
      <c r="Q1434" s="13">
        <f>IF(N1434="HKD",7.8,IF(N1434="CNY",7.30034,1))</f>
        <v>7.3003400000000003</v>
      </c>
      <c r="R1434" s="15">
        <f>+ROUND(O1434/Q1434,4)</f>
        <v>0.4</v>
      </c>
      <c r="S1434" s="14">
        <f>ROUND(R1434*L1434,2)</f>
        <v>280</v>
      </c>
      <c r="T1434" s="15" t="s">
        <v>349</v>
      </c>
      <c r="U1434" t="s">
        <v>191</v>
      </c>
      <c r="W1434" s="49" t="e">
        <f t="shared" si="101"/>
        <v>#DIV/0!</v>
      </c>
    </row>
    <row r="1435" spans="1:23" x14ac:dyDescent="0.2">
      <c r="A1435" t="s">
        <v>2781</v>
      </c>
      <c r="B1435" s="24">
        <v>45743</v>
      </c>
      <c r="C1435" s="24">
        <v>45730</v>
      </c>
      <c r="D1435" t="s">
        <v>1006</v>
      </c>
      <c r="E1435" t="s">
        <v>1007</v>
      </c>
      <c r="F1435" s="23"/>
      <c r="G1435" t="s">
        <v>3028</v>
      </c>
      <c r="H1435" t="s">
        <v>1010</v>
      </c>
      <c r="I1435" t="s">
        <v>1011</v>
      </c>
      <c r="J1435" s="11" t="str">
        <f>+LEFT(U1435,4)</f>
        <v>ALM-</v>
      </c>
      <c r="K1435" t="s">
        <v>98</v>
      </c>
      <c r="L1435">
        <v>1902</v>
      </c>
      <c r="M1435" t="s">
        <v>186</v>
      </c>
      <c r="N1435" t="s">
        <v>11</v>
      </c>
      <c r="O1435">
        <v>2.9203999999999999</v>
      </c>
      <c r="P1435" s="45">
        <f t="shared" si="100"/>
        <v>5554.6</v>
      </c>
      <c r="Q1435" s="13">
        <f>IF(N1435="HKD",7.8,IF(N1435="CNY",7.30034,1))</f>
        <v>7.3003400000000003</v>
      </c>
      <c r="R1435" s="15">
        <f>+ROUND(O1435/Q1435,4)</f>
        <v>0.4</v>
      </c>
      <c r="S1435" s="14">
        <f>ROUND(R1435*L1435,2)</f>
        <v>760.8</v>
      </c>
      <c r="T1435" s="15" t="s">
        <v>349</v>
      </c>
      <c r="U1435" t="s">
        <v>191</v>
      </c>
      <c r="W1435" s="49" t="e">
        <f t="shared" si="101"/>
        <v>#DIV/0!</v>
      </c>
    </row>
    <row r="1436" spans="1:23" x14ac:dyDescent="0.2">
      <c r="A1436" t="s">
        <v>2782</v>
      </c>
      <c r="B1436" s="24">
        <v>45743</v>
      </c>
      <c r="C1436" s="24">
        <v>45730</v>
      </c>
      <c r="D1436" t="s">
        <v>1006</v>
      </c>
      <c r="E1436" t="s">
        <v>1007</v>
      </c>
      <c r="F1436" s="23"/>
      <c r="G1436" t="s">
        <v>3028</v>
      </c>
      <c r="H1436" t="s">
        <v>3257</v>
      </c>
      <c r="I1436" t="s">
        <v>3464</v>
      </c>
      <c r="J1436" s="11" t="str">
        <f>+LEFT(U1436,4)</f>
        <v>ALM-</v>
      </c>
      <c r="K1436" t="s">
        <v>98</v>
      </c>
      <c r="L1436">
        <v>527</v>
      </c>
      <c r="M1436" t="s">
        <v>186</v>
      </c>
      <c r="N1436" t="s">
        <v>11</v>
      </c>
      <c r="O1436">
        <v>2.9203999999999999</v>
      </c>
      <c r="P1436" s="45">
        <f t="shared" si="100"/>
        <v>1539.05</v>
      </c>
      <c r="Q1436" s="13">
        <f>IF(N1436="HKD",7.8,IF(N1436="CNY",7.30034,1))</f>
        <v>7.3003400000000003</v>
      </c>
      <c r="R1436" s="15">
        <f>+ROUND(O1436/Q1436,4)</f>
        <v>0.4</v>
      </c>
      <c r="S1436" s="14">
        <f>ROUND(R1436*L1436,2)</f>
        <v>210.8</v>
      </c>
      <c r="T1436" s="15" t="s">
        <v>349</v>
      </c>
      <c r="U1436" t="s">
        <v>191</v>
      </c>
      <c r="W1436" s="49" t="e">
        <f t="shared" si="101"/>
        <v>#DIV/0!</v>
      </c>
    </row>
    <row r="1437" spans="1:23" x14ac:dyDescent="0.2">
      <c r="A1437" t="s">
        <v>2783</v>
      </c>
      <c r="B1437" s="24">
        <v>45743</v>
      </c>
      <c r="C1437" s="24">
        <v>45730</v>
      </c>
      <c r="D1437" t="s">
        <v>1006</v>
      </c>
      <c r="E1437" t="s">
        <v>1007</v>
      </c>
      <c r="F1437" s="23"/>
      <c r="G1437" t="s">
        <v>3028</v>
      </c>
      <c r="H1437" t="s">
        <v>3258</v>
      </c>
      <c r="I1437" t="s">
        <v>3465</v>
      </c>
      <c r="J1437" s="11" t="str">
        <f>+LEFT(U1437,4)</f>
        <v>ALM-</v>
      </c>
      <c r="K1437" t="s">
        <v>98</v>
      </c>
      <c r="L1437">
        <v>942</v>
      </c>
      <c r="M1437" t="s">
        <v>186</v>
      </c>
      <c r="N1437" t="s">
        <v>11</v>
      </c>
      <c r="O1437">
        <v>2.9203999999999999</v>
      </c>
      <c r="P1437" s="45">
        <f t="shared" si="100"/>
        <v>2751.02</v>
      </c>
      <c r="Q1437" s="13">
        <f>IF(N1437="HKD",7.8,IF(N1437="CNY",7.30034,1))</f>
        <v>7.3003400000000003</v>
      </c>
      <c r="R1437" s="15">
        <f>+ROUND(O1437/Q1437,4)</f>
        <v>0.4</v>
      </c>
      <c r="S1437" s="14">
        <f>ROUND(R1437*L1437,2)</f>
        <v>376.8</v>
      </c>
      <c r="T1437" s="15" t="s">
        <v>349</v>
      </c>
      <c r="U1437" t="s">
        <v>191</v>
      </c>
      <c r="W1437" s="49" t="e">
        <f t="shared" si="101"/>
        <v>#DIV/0!</v>
      </c>
    </row>
    <row r="1438" spans="1:23" x14ac:dyDescent="0.2">
      <c r="A1438" t="s">
        <v>2784</v>
      </c>
      <c r="B1438" s="24">
        <v>45743</v>
      </c>
      <c r="C1438" s="24">
        <v>45730</v>
      </c>
      <c r="D1438" t="s">
        <v>1006</v>
      </c>
      <c r="E1438" t="s">
        <v>1007</v>
      </c>
      <c r="F1438" s="23"/>
      <c r="G1438" t="s">
        <v>3028</v>
      </c>
      <c r="H1438" t="s">
        <v>3196</v>
      </c>
      <c r="I1438" t="s">
        <v>3403</v>
      </c>
      <c r="J1438" s="11" t="str">
        <f>+LEFT(U1438,4)</f>
        <v>ALM-</v>
      </c>
      <c r="K1438" t="s">
        <v>98</v>
      </c>
      <c r="L1438">
        <v>885</v>
      </c>
      <c r="M1438" t="s">
        <v>186</v>
      </c>
      <c r="N1438" t="s">
        <v>11</v>
      </c>
      <c r="O1438">
        <v>2.9203999999999999</v>
      </c>
      <c r="P1438" s="45">
        <f t="shared" si="100"/>
        <v>2584.5500000000002</v>
      </c>
      <c r="Q1438" s="13">
        <f>IF(N1438="HKD",7.8,IF(N1438="CNY",7.30034,1))</f>
        <v>7.3003400000000003</v>
      </c>
      <c r="R1438" s="15">
        <f>+ROUND(O1438/Q1438,4)</f>
        <v>0.4</v>
      </c>
      <c r="S1438" s="14">
        <f>ROUND(R1438*L1438,2)</f>
        <v>354</v>
      </c>
      <c r="T1438" s="15" t="s">
        <v>349</v>
      </c>
      <c r="U1438" t="s">
        <v>191</v>
      </c>
      <c r="W1438" s="49" t="e">
        <f t="shared" si="101"/>
        <v>#DIV/0!</v>
      </c>
    </row>
    <row r="1439" spans="1:23" x14ac:dyDescent="0.2">
      <c r="A1439" t="s">
        <v>2785</v>
      </c>
      <c r="B1439" s="24">
        <v>45743</v>
      </c>
      <c r="C1439" s="24">
        <v>45730</v>
      </c>
      <c r="D1439" t="s">
        <v>1006</v>
      </c>
      <c r="E1439" t="s">
        <v>1007</v>
      </c>
      <c r="F1439" s="23"/>
      <c r="G1439" t="s">
        <v>3028</v>
      </c>
      <c r="H1439" t="s">
        <v>3259</v>
      </c>
      <c r="I1439" t="s">
        <v>3466</v>
      </c>
      <c r="J1439" s="11" t="str">
        <f>+LEFT(U1439,4)</f>
        <v>ALM-</v>
      </c>
      <c r="K1439" t="s">
        <v>98</v>
      </c>
      <c r="L1439">
        <v>817</v>
      </c>
      <c r="M1439" t="s">
        <v>186</v>
      </c>
      <c r="N1439" t="s">
        <v>11</v>
      </c>
      <c r="O1439">
        <v>2.9203999999999999</v>
      </c>
      <c r="P1439" s="45">
        <f t="shared" si="100"/>
        <v>2385.9699999999998</v>
      </c>
      <c r="Q1439" s="13">
        <f>IF(N1439="HKD",7.8,IF(N1439="CNY",7.30034,1))</f>
        <v>7.3003400000000003</v>
      </c>
      <c r="R1439" s="15">
        <f>+ROUND(O1439/Q1439,4)</f>
        <v>0.4</v>
      </c>
      <c r="S1439" s="14">
        <f>ROUND(R1439*L1439,2)</f>
        <v>326.8</v>
      </c>
      <c r="T1439" s="15" t="s">
        <v>349</v>
      </c>
      <c r="U1439" t="s">
        <v>191</v>
      </c>
      <c r="W1439" s="49" t="e">
        <f t="shared" si="101"/>
        <v>#DIV/0!</v>
      </c>
    </row>
    <row r="1440" spans="1:23" x14ac:dyDescent="0.2">
      <c r="A1440" t="s">
        <v>2786</v>
      </c>
      <c r="B1440" s="24">
        <v>45743</v>
      </c>
      <c r="C1440" s="24">
        <v>45730</v>
      </c>
      <c r="D1440" t="s">
        <v>1006</v>
      </c>
      <c r="E1440" t="s">
        <v>1007</v>
      </c>
      <c r="F1440" s="23"/>
      <c r="G1440" t="s">
        <v>3028</v>
      </c>
      <c r="H1440" t="s">
        <v>3260</v>
      </c>
      <c r="I1440" t="s">
        <v>3467</v>
      </c>
      <c r="J1440" s="11" t="str">
        <f>+LEFT(U1440,4)</f>
        <v>ALM-</v>
      </c>
      <c r="K1440" t="s">
        <v>98</v>
      </c>
      <c r="L1440">
        <v>601</v>
      </c>
      <c r="M1440" t="s">
        <v>186</v>
      </c>
      <c r="N1440" t="s">
        <v>11</v>
      </c>
      <c r="O1440">
        <v>2.9203999999999999</v>
      </c>
      <c r="P1440" s="45">
        <f t="shared" si="100"/>
        <v>1755.16</v>
      </c>
      <c r="Q1440" s="13">
        <f>IF(N1440="HKD",7.8,IF(N1440="CNY",7.30034,1))</f>
        <v>7.3003400000000003</v>
      </c>
      <c r="R1440" s="15">
        <f>+ROUND(O1440/Q1440,4)</f>
        <v>0.4</v>
      </c>
      <c r="S1440" s="14">
        <f>ROUND(R1440*L1440,2)</f>
        <v>240.4</v>
      </c>
      <c r="T1440" s="15" t="s">
        <v>349</v>
      </c>
      <c r="U1440" t="s">
        <v>191</v>
      </c>
      <c r="W1440" s="49" t="e">
        <f t="shared" si="101"/>
        <v>#DIV/0!</v>
      </c>
    </row>
    <row r="1441" spans="1:23" x14ac:dyDescent="0.2">
      <c r="A1441" t="s">
        <v>2787</v>
      </c>
      <c r="B1441" s="24">
        <v>45743</v>
      </c>
      <c r="C1441" s="24">
        <v>45733</v>
      </c>
      <c r="D1441" t="s">
        <v>14</v>
      </c>
      <c r="E1441" t="s">
        <v>15</v>
      </c>
      <c r="F1441" s="23"/>
      <c r="G1441" t="s">
        <v>3049</v>
      </c>
      <c r="H1441" t="s">
        <v>12</v>
      </c>
      <c r="I1441" t="s">
        <v>13</v>
      </c>
      <c r="J1441" s="11" t="str">
        <f>+LEFT(U1441,4)</f>
        <v>STKR</v>
      </c>
      <c r="K1441" t="s">
        <v>10</v>
      </c>
      <c r="L1441">
        <v>60000</v>
      </c>
      <c r="M1441" t="s">
        <v>1472</v>
      </c>
      <c r="N1441" t="s">
        <v>11</v>
      </c>
      <c r="O1441">
        <v>2.8199999999999999E-2</v>
      </c>
      <c r="P1441" s="45">
        <f t="shared" si="100"/>
        <v>1692</v>
      </c>
      <c r="Q1441" s="13">
        <f>IF(N1441="HKD",7.8,IF(N1441="CNY",7.30034,1))</f>
        <v>7.3003400000000003</v>
      </c>
      <c r="R1441" s="15">
        <f>+ROUND(O1441/Q1441,4)</f>
        <v>3.8999999999999998E-3</v>
      </c>
      <c r="S1441" s="14">
        <f>ROUND(R1441*L1441,2)</f>
        <v>234</v>
      </c>
      <c r="T1441" s="15" t="s">
        <v>349</v>
      </c>
      <c r="U1441" t="s">
        <v>18</v>
      </c>
      <c r="W1441" s="49" t="e">
        <f t="shared" si="101"/>
        <v>#DIV/0!</v>
      </c>
    </row>
    <row r="1442" spans="1:23" x14ac:dyDescent="0.2">
      <c r="A1442" t="s">
        <v>2803</v>
      </c>
      <c r="B1442" s="24">
        <v>45743</v>
      </c>
      <c r="C1442" s="24">
        <v>45735</v>
      </c>
      <c r="D1442" t="s">
        <v>1006</v>
      </c>
      <c r="E1442" t="s">
        <v>1007</v>
      </c>
      <c r="F1442" s="23"/>
      <c r="G1442" t="s">
        <v>3028</v>
      </c>
      <c r="H1442" t="s">
        <v>3268</v>
      </c>
      <c r="I1442" t="s">
        <v>3475</v>
      </c>
      <c r="J1442" s="11" t="str">
        <f>+LEFT(U1442,4)</f>
        <v>ALM-</v>
      </c>
      <c r="K1442" t="s">
        <v>98</v>
      </c>
      <c r="L1442">
        <v>563</v>
      </c>
      <c r="M1442" t="s">
        <v>186</v>
      </c>
      <c r="N1442" t="s">
        <v>11</v>
      </c>
      <c r="O1442">
        <v>2.9203999999999999</v>
      </c>
      <c r="P1442" s="45">
        <f t="shared" si="100"/>
        <v>1644.19</v>
      </c>
      <c r="Q1442" s="13">
        <f>IF(N1442="HKD",7.8,IF(N1442="CNY",7.30034,1))</f>
        <v>7.3003400000000003</v>
      </c>
      <c r="R1442" s="15">
        <f>+ROUND(O1442/Q1442,4)</f>
        <v>0.4</v>
      </c>
      <c r="S1442" s="14">
        <f>ROUND(R1442*L1442,2)</f>
        <v>225.2</v>
      </c>
      <c r="T1442" s="15" t="s">
        <v>349</v>
      </c>
      <c r="U1442" t="s">
        <v>191</v>
      </c>
      <c r="W1442" s="49" t="e">
        <f t="shared" si="101"/>
        <v>#DIV/0!</v>
      </c>
    </row>
    <row r="1443" spans="1:23" x14ac:dyDescent="0.2">
      <c r="A1443" t="s">
        <v>2804</v>
      </c>
      <c r="B1443" s="24">
        <v>45743</v>
      </c>
      <c r="C1443" s="24">
        <v>45735</v>
      </c>
      <c r="D1443" t="s">
        <v>1006</v>
      </c>
      <c r="E1443" t="s">
        <v>1007</v>
      </c>
      <c r="F1443" s="23"/>
      <c r="G1443" t="s">
        <v>3028</v>
      </c>
      <c r="H1443" t="s">
        <v>1013</v>
      </c>
      <c r="I1443" t="s">
        <v>1014</v>
      </c>
      <c r="J1443" s="11" t="str">
        <f>+LEFT(U1443,4)</f>
        <v>ALM-</v>
      </c>
      <c r="K1443" t="s">
        <v>98</v>
      </c>
      <c r="L1443">
        <v>643</v>
      </c>
      <c r="M1443" t="s">
        <v>186</v>
      </c>
      <c r="N1443" t="s">
        <v>11</v>
      </c>
      <c r="O1443">
        <v>3.0973000000000002</v>
      </c>
      <c r="P1443" s="45">
        <f t="shared" si="100"/>
        <v>1991.56</v>
      </c>
      <c r="Q1443" s="13">
        <f>IF(N1443="HKD",7.8,IF(N1443="CNY",7.30034,1))</f>
        <v>7.3003400000000003</v>
      </c>
      <c r="R1443" s="15">
        <f>+ROUND(O1443/Q1443,4)</f>
        <v>0.42430000000000001</v>
      </c>
      <c r="S1443" s="14">
        <f>ROUND(R1443*L1443,2)</f>
        <v>272.82</v>
      </c>
      <c r="T1443" s="15" t="s">
        <v>349</v>
      </c>
      <c r="U1443" t="s">
        <v>191</v>
      </c>
      <c r="W1443" s="49" t="e">
        <f t="shared" si="101"/>
        <v>#DIV/0!</v>
      </c>
    </row>
    <row r="1444" spans="1:23" x14ac:dyDescent="0.2">
      <c r="A1444" t="s">
        <v>2811</v>
      </c>
      <c r="B1444" s="24">
        <v>45743</v>
      </c>
      <c r="C1444" s="24">
        <v>45743</v>
      </c>
      <c r="D1444" t="s">
        <v>5</v>
      </c>
      <c r="E1444" t="s">
        <v>6</v>
      </c>
      <c r="F1444" s="23"/>
      <c r="G1444" t="s">
        <v>3057</v>
      </c>
      <c r="H1444" t="s">
        <v>3271</v>
      </c>
      <c r="I1444" t="s">
        <v>428</v>
      </c>
      <c r="J1444" s="11" t="str">
        <f>+LEFT(U1444,4)</f>
        <v>BOX-</v>
      </c>
      <c r="K1444" t="s">
        <v>10</v>
      </c>
      <c r="L1444">
        <v>3600</v>
      </c>
      <c r="M1444" t="s">
        <v>1472</v>
      </c>
      <c r="N1444" t="s">
        <v>11</v>
      </c>
      <c r="O1444">
        <v>2.79</v>
      </c>
      <c r="P1444" s="45">
        <f t="shared" si="100"/>
        <v>10044</v>
      </c>
      <c r="Q1444" s="13">
        <f>IF(N1444="HKD",7.8,IF(N1444="CNY",7.30034,1))</f>
        <v>7.3003400000000003</v>
      </c>
      <c r="R1444" s="15">
        <f>+ROUND(O1444/Q1444,4)</f>
        <v>0.38219999999999998</v>
      </c>
      <c r="S1444" s="14">
        <f>ROUND(R1444*L1444,2)</f>
        <v>1375.92</v>
      </c>
      <c r="T1444" s="15" t="s">
        <v>349</v>
      </c>
      <c r="U1444" t="s">
        <v>1</v>
      </c>
      <c r="W1444" s="49" t="e">
        <f t="shared" si="101"/>
        <v>#DIV/0!</v>
      </c>
    </row>
    <row r="1445" spans="1:23" x14ac:dyDescent="0.2">
      <c r="A1445" t="s">
        <v>2812</v>
      </c>
      <c r="B1445" s="24">
        <v>45743</v>
      </c>
      <c r="C1445" s="24">
        <v>45743</v>
      </c>
      <c r="D1445" t="s">
        <v>5</v>
      </c>
      <c r="E1445" t="s">
        <v>6</v>
      </c>
      <c r="F1445" s="23"/>
      <c r="G1445" t="s">
        <v>3057</v>
      </c>
      <c r="H1445" t="s">
        <v>3271</v>
      </c>
      <c r="I1445" t="s">
        <v>428</v>
      </c>
      <c r="J1445" s="11" t="str">
        <f>+LEFT(U1445,4)</f>
        <v>BOX-</v>
      </c>
      <c r="K1445" t="s">
        <v>10</v>
      </c>
      <c r="L1445">
        <v>50</v>
      </c>
      <c r="M1445" t="s">
        <v>1472</v>
      </c>
      <c r="N1445" t="s">
        <v>11</v>
      </c>
      <c r="O1445">
        <v>2.79</v>
      </c>
      <c r="P1445" s="45">
        <f t="shared" si="100"/>
        <v>139.5</v>
      </c>
      <c r="Q1445" s="13">
        <f>IF(N1445="HKD",7.8,IF(N1445="CNY",7.30034,1))</f>
        <v>7.3003400000000003</v>
      </c>
      <c r="R1445" s="15">
        <f>+ROUND(O1445/Q1445,4)</f>
        <v>0.38219999999999998</v>
      </c>
      <c r="S1445" s="14">
        <f>ROUND(R1445*L1445,2)</f>
        <v>19.11</v>
      </c>
      <c r="T1445" s="15" t="s">
        <v>349</v>
      </c>
      <c r="U1445" t="s">
        <v>1</v>
      </c>
      <c r="W1445" s="49" t="e">
        <f t="shared" si="101"/>
        <v>#DIV/0!</v>
      </c>
    </row>
    <row r="1446" spans="1:23" x14ac:dyDescent="0.2">
      <c r="A1446" t="s">
        <v>2813</v>
      </c>
      <c r="B1446" s="24">
        <v>45743</v>
      </c>
      <c r="C1446" s="24">
        <v>45743</v>
      </c>
      <c r="D1446" t="s">
        <v>5</v>
      </c>
      <c r="E1446" t="s">
        <v>6</v>
      </c>
      <c r="F1446" s="23"/>
      <c r="G1446" t="s">
        <v>3057</v>
      </c>
      <c r="H1446" t="s">
        <v>3272</v>
      </c>
      <c r="I1446" t="s">
        <v>3478</v>
      </c>
      <c r="J1446" s="11" t="str">
        <f>+LEFT(U1446,4)</f>
        <v>BOX-</v>
      </c>
      <c r="K1446" t="s">
        <v>10</v>
      </c>
      <c r="L1446">
        <v>2020</v>
      </c>
      <c r="M1446" t="s">
        <v>1472</v>
      </c>
      <c r="N1446" t="s">
        <v>11</v>
      </c>
      <c r="O1446">
        <v>1.65</v>
      </c>
      <c r="P1446" s="45">
        <f t="shared" si="100"/>
        <v>3333</v>
      </c>
      <c r="Q1446" s="13">
        <f>IF(N1446="HKD",7.8,IF(N1446="CNY",7.30034,1))</f>
        <v>7.3003400000000003</v>
      </c>
      <c r="R1446" s="15">
        <f>+ROUND(O1446/Q1446,4)</f>
        <v>0.22600000000000001</v>
      </c>
      <c r="S1446" s="14">
        <f>ROUND(R1446*L1446,2)</f>
        <v>456.52</v>
      </c>
      <c r="T1446" s="15" t="s">
        <v>349</v>
      </c>
      <c r="U1446" t="s">
        <v>1</v>
      </c>
      <c r="W1446" s="49" t="e">
        <f t="shared" si="101"/>
        <v>#DIV/0!</v>
      </c>
    </row>
    <row r="1447" spans="1:23" x14ac:dyDescent="0.2">
      <c r="A1447" t="s">
        <v>2814</v>
      </c>
      <c r="B1447" s="24">
        <v>45743</v>
      </c>
      <c r="C1447" s="24">
        <v>45743</v>
      </c>
      <c r="D1447" t="s">
        <v>5</v>
      </c>
      <c r="E1447" t="s">
        <v>6</v>
      </c>
      <c r="F1447" s="23"/>
      <c r="G1447" t="s">
        <v>3057</v>
      </c>
      <c r="H1447" t="s">
        <v>3272</v>
      </c>
      <c r="I1447" t="s">
        <v>3478</v>
      </c>
      <c r="J1447" s="11" t="str">
        <f>+LEFT(U1447,4)</f>
        <v>BOX-</v>
      </c>
      <c r="K1447" t="s">
        <v>10</v>
      </c>
      <c r="L1447">
        <v>200</v>
      </c>
      <c r="M1447" t="s">
        <v>1472</v>
      </c>
      <c r="N1447" t="s">
        <v>11</v>
      </c>
      <c r="O1447">
        <v>1.65</v>
      </c>
      <c r="P1447" s="45">
        <f t="shared" si="100"/>
        <v>330</v>
      </c>
      <c r="Q1447" s="13">
        <f>IF(N1447="HKD",7.8,IF(N1447="CNY",7.30034,1))</f>
        <v>7.3003400000000003</v>
      </c>
      <c r="R1447" s="15">
        <f>+ROUND(O1447/Q1447,4)</f>
        <v>0.22600000000000001</v>
      </c>
      <c r="S1447" s="14">
        <f>ROUND(R1447*L1447,2)</f>
        <v>45.2</v>
      </c>
      <c r="T1447" s="15" t="s">
        <v>349</v>
      </c>
      <c r="U1447" t="s">
        <v>1</v>
      </c>
      <c r="W1447" s="49" t="e">
        <f t="shared" si="101"/>
        <v>#DIV/0!</v>
      </c>
    </row>
    <row r="1448" spans="1:23" x14ac:dyDescent="0.2">
      <c r="A1448" t="s">
        <v>2815</v>
      </c>
      <c r="B1448" s="24">
        <v>45743</v>
      </c>
      <c r="C1448" s="24">
        <v>45743</v>
      </c>
      <c r="D1448" t="s">
        <v>5</v>
      </c>
      <c r="E1448" t="s">
        <v>6</v>
      </c>
      <c r="F1448" s="23"/>
      <c r="G1448" t="s">
        <v>3057</v>
      </c>
      <c r="H1448" t="s">
        <v>3273</v>
      </c>
      <c r="I1448" t="s">
        <v>3479</v>
      </c>
      <c r="J1448" s="11" t="str">
        <f>+LEFT(U1448,4)</f>
        <v>BOX-</v>
      </c>
      <c r="K1448" t="s">
        <v>10</v>
      </c>
      <c r="L1448">
        <v>1010</v>
      </c>
      <c r="M1448" t="s">
        <v>1472</v>
      </c>
      <c r="N1448" t="s">
        <v>11</v>
      </c>
      <c r="O1448">
        <v>3.23</v>
      </c>
      <c r="P1448" s="45">
        <f t="shared" si="100"/>
        <v>3262.3</v>
      </c>
      <c r="Q1448" s="13">
        <f>IF(N1448="HKD",7.8,IF(N1448="CNY",7.30034,1))</f>
        <v>7.3003400000000003</v>
      </c>
      <c r="R1448" s="15">
        <f>+ROUND(O1448/Q1448,4)</f>
        <v>0.44240000000000002</v>
      </c>
      <c r="S1448" s="14">
        <f>ROUND(R1448*L1448,2)</f>
        <v>446.82</v>
      </c>
      <c r="T1448" s="15" t="s">
        <v>349</v>
      </c>
      <c r="U1448" t="s">
        <v>1</v>
      </c>
      <c r="W1448" s="49" t="e">
        <f t="shared" si="101"/>
        <v>#DIV/0!</v>
      </c>
    </row>
    <row r="1449" spans="1:23" x14ac:dyDescent="0.2">
      <c r="A1449" t="s">
        <v>2816</v>
      </c>
      <c r="B1449" s="24">
        <v>45743</v>
      </c>
      <c r="C1449" s="24">
        <v>45743</v>
      </c>
      <c r="D1449" t="s">
        <v>5</v>
      </c>
      <c r="E1449" t="s">
        <v>6</v>
      </c>
      <c r="F1449" s="23"/>
      <c r="G1449" t="s">
        <v>3057</v>
      </c>
      <c r="H1449" t="s">
        <v>3274</v>
      </c>
      <c r="I1449" t="s">
        <v>3480</v>
      </c>
      <c r="J1449" s="11" t="str">
        <f>+LEFT(U1449,4)</f>
        <v>BOX-</v>
      </c>
      <c r="K1449" t="s">
        <v>10</v>
      </c>
      <c r="L1449">
        <v>1530</v>
      </c>
      <c r="M1449" t="s">
        <v>1472</v>
      </c>
      <c r="N1449" t="s">
        <v>11</v>
      </c>
      <c r="O1449">
        <v>2.76</v>
      </c>
      <c r="P1449" s="45">
        <f t="shared" si="100"/>
        <v>4222.8</v>
      </c>
      <c r="Q1449" s="13">
        <f>IF(N1449="HKD",7.8,IF(N1449="CNY",7.30034,1))</f>
        <v>7.3003400000000003</v>
      </c>
      <c r="R1449" s="15">
        <f>+ROUND(O1449/Q1449,4)</f>
        <v>0.37809999999999999</v>
      </c>
      <c r="S1449" s="14">
        <f>ROUND(R1449*L1449,2)</f>
        <v>578.49</v>
      </c>
      <c r="T1449" s="15" t="s">
        <v>349</v>
      </c>
      <c r="U1449" t="s">
        <v>1</v>
      </c>
      <c r="W1449" s="49" t="e">
        <f t="shared" si="101"/>
        <v>#DIV/0!</v>
      </c>
    </row>
    <row r="1450" spans="1:23" x14ac:dyDescent="0.2">
      <c r="A1450" t="s">
        <v>2414</v>
      </c>
      <c r="B1450" s="24">
        <v>45744</v>
      </c>
      <c r="C1450" s="24">
        <v>45702</v>
      </c>
      <c r="D1450" t="s">
        <v>21</v>
      </c>
      <c r="E1450" t="s">
        <v>22</v>
      </c>
      <c r="F1450" s="23"/>
      <c r="G1450" t="s">
        <v>2929</v>
      </c>
      <c r="H1450" t="s">
        <v>3105</v>
      </c>
      <c r="I1450" t="s">
        <v>3320</v>
      </c>
      <c r="J1450" s="11" t="str">
        <f>+LEFT(U1450,4)</f>
        <v>HDL-</v>
      </c>
      <c r="K1450" t="s">
        <v>98</v>
      </c>
      <c r="L1450">
        <v>1030</v>
      </c>
      <c r="M1450" t="s">
        <v>1472</v>
      </c>
      <c r="N1450" t="s">
        <v>11</v>
      </c>
      <c r="O1450">
        <v>4.9718999999999998</v>
      </c>
      <c r="P1450" s="45">
        <f t="shared" si="100"/>
        <v>5121.0600000000004</v>
      </c>
      <c r="Q1450" s="13">
        <f>IF(N1450="HKD",7.8,IF(N1450="CNY",7.30034,1))</f>
        <v>7.3003400000000003</v>
      </c>
      <c r="R1450" s="15">
        <f>+ROUND(O1450/Q1450,4)</f>
        <v>0.68110000000000004</v>
      </c>
      <c r="S1450" s="14">
        <f>ROUND(R1450*L1450,2)</f>
        <v>701.53</v>
      </c>
      <c r="T1450" s="15" t="s">
        <v>349</v>
      </c>
      <c r="U1450" t="s">
        <v>228</v>
      </c>
      <c r="W1450" s="49" t="e">
        <f t="shared" si="101"/>
        <v>#DIV/0!</v>
      </c>
    </row>
    <row r="1451" spans="1:23" x14ac:dyDescent="0.2">
      <c r="A1451" t="s">
        <v>2415</v>
      </c>
      <c r="B1451" s="24">
        <v>45744</v>
      </c>
      <c r="C1451" s="24">
        <v>45702</v>
      </c>
      <c r="D1451" t="s">
        <v>21</v>
      </c>
      <c r="E1451" t="s">
        <v>22</v>
      </c>
      <c r="F1451" s="23"/>
      <c r="G1451" t="s">
        <v>2929</v>
      </c>
      <c r="H1451" t="s">
        <v>3106</v>
      </c>
      <c r="I1451" t="s">
        <v>3321</v>
      </c>
      <c r="J1451" s="11" t="str">
        <f>+LEFT(U1451,4)</f>
        <v>HDL-</v>
      </c>
      <c r="K1451" t="s">
        <v>98</v>
      </c>
      <c r="L1451">
        <v>1030</v>
      </c>
      <c r="M1451" t="s">
        <v>1472</v>
      </c>
      <c r="N1451" t="s">
        <v>11</v>
      </c>
      <c r="O1451">
        <v>4.9718999999999998</v>
      </c>
      <c r="P1451" s="45">
        <f t="shared" si="100"/>
        <v>5121.0600000000004</v>
      </c>
      <c r="Q1451" s="13">
        <f>IF(N1451="HKD",7.8,IF(N1451="CNY",7.30034,1))</f>
        <v>7.3003400000000003</v>
      </c>
      <c r="R1451" s="15">
        <f>+ROUND(O1451/Q1451,4)</f>
        <v>0.68110000000000004</v>
      </c>
      <c r="S1451" s="14">
        <f>ROUND(R1451*L1451,2)</f>
        <v>701.53</v>
      </c>
      <c r="T1451" s="15" t="s">
        <v>349</v>
      </c>
      <c r="U1451" t="s">
        <v>228</v>
      </c>
      <c r="W1451" s="49" t="e">
        <f t="shared" si="101"/>
        <v>#DIV/0!</v>
      </c>
    </row>
    <row r="1452" spans="1:23" x14ac:dyDescent="0.2">
      <c r="A1452" t="s">
        <v>2416</v>
      </c>
      <c r="B1452" s="24">
        <v>45744</v>
      </c>
      <c r="C1452" s="24">
        <v>45702</v>
      </c>
      <c r="D1452" t="s">
        <v>21</v>
      </c>
      <c r="E1452" t="s">
        <v>22</v>
      </c>
      <c r="F1452" s="23"/>
      <c r="G1452" t="s">
        <v>2929</v>
      </c>
      <c r="H1452" t="s">
        <v>3107</v>
      </c>
      <c r="I1452" t="s">
        <v>3322</v>
      </c>
      <c r="J1452" s="11" t="str">
        <f>+LEFT(U1452,4)</f>
        <v>HDL-</v>
      </c>
      <c r="K1452" t="s">
        <v>98</v>
      </c>
      <c r="L1452">
        <v>1030</v>
      </c>
      <c r="M1452" t="s">
        <v>1472</v>
      </c>
      <c r="N1452" t="s">
        <v>11</v>
      </c>
      <c r="O1452">
        <v>4.9718999999999998</v>
      </c>
      <c r="P1452" s="45">
        <f t="shared" si="100"/>
        <v>5121.0600000000004</v>
      </c>
      <c r="Q1452" s="13">
        <f>IF(N1452="HKD",7.8,IF(N1452="CNY",7.30034,1))</f>
        <v>7.3003400000000003</v>
      </c>
      <c r="R1452" s="15">
        <f>+ROUND(O1452/Q1452,4)</f>
        <v>0.68110000000000004</v>
      </c>
      <c r="S1452" s="14">
        <f>ROUND(R1452*L1452,2)</f>
        <v>701.53</v>
      </c>
      <c r="T1452" s="15" t="s">
        <v>349</v>
      </c>
      <c r="U1452" t="s">
        <v>228</v>
      </c>
      <c r="W1452" s="49" t="e">
        <f t="shared" si="101"/>
        <v>#DIV/0!</v>
      </c>
    </row>
    <row r="1453" spans="1:23" x14ac:dyDescent="0.2">
      <c r="A1453" t="s">
        <v>2417</v>
      </c>
      <c r="B1453" s="24">
        <v>45744</v>
      </c>
      <c r="C1453" s="24">
        <v>45702</v>
      </c>
      <c r="D1453" t="s">
        <v>21</v>
      </c>
      <c r="E1453" t="s">
        <v>22</v>
      </c>
      <c r="F1453" s="23"/>
      <c r="G1453" t="s">
        <v>2929</v>
      </c>
      <c r="H1453" t="s">
        <v>3108</v>
      </c>
      <c r="I1453" t="s">
        <v>3323</v>
      </c>
      <c r="J1453" s="11" t="str">
        <f>+LEFT(U1453,4)</f>
        <v>HDL-</v>
      </c>
      <c r="K1453" t="s">
        <v>98</v>
      </c>
      <c r="L1453">
        <v>1030</v>
      </c>
      <c r="M1453" t="s">
        <v>1472</v>
      </c>
      <c r="N1453" t="s">
        <v>11</v>
      </c>
      <c r="O1453">
        <v>5.1859000000000002</v>
      </c>
      <c r="P1453" s="45">
        <f t="shared" si="100"/>
        <v>5341.48</v>
      </c>
      <c r="Q1453" s="13">
        <f>IF(N1453="HKD",7.8,IF(N1453="CNY",7.30034,1))</f>
        <v>7.3003400000000003</v>
      </c>
      <c r="R1453" s="15">
        <f>+ROUND(O1453/Q1453,4)</f>
        <v>0.71040000000000003</v>
      </c>
      <c r="S1453" s="14">
        <f>ROUND(R1453*L1453,2)</f>
        <v>731.71</v>
      </c>
      <c r="T1453" s="15" t="s">
        <v>349</v>
      </c>
      <c r="U1453" t="s">
        <v>228</v>
      </c>
      <c r="W1453" s="49" t="e">
        <f t="shared" si="101"/>
        <v>#DIV/0!</v>
      </c>
    </row>
    <row r="1454" spans="1:23" x14ac:dyDescent="0.2">
      <c r="A1454" t="s">
        <v>2418</v>
      </c>
      <c r="B1454" s="24">
        <v>45744</v>
      </c>
      <c r="C1454" s="24">
        <v>45702</v>
      </c>
      <c r="D1454" t="s">
        <v>21</v>
      </c>
      <c r="E1454" t="s">
        <v>22</v>
      </c>
      <c r="F1454" s="23"/>
      <c r="G1454" t="s">
        <v>2929</v>
      </c>
      <c r="H1454" t="s">
        <v>3109</v>
      </c>
      <c r="I1454" t="s">
        <v>3324</v>
      </c>
      <c r="J1454" s="11" t="str">
        <f>+LEFT(U1454,4)</f>
        <v>HDL-</v>
      </c>
      <c r="K1454" t="s">
        <v>98</v>
      </c>
      <c r="L1454">
        <v>1030</v>
      </c>
      <c r="M1454" t="s">
        <v>1472</v>
      </c>
      <c r="N1454" t="s">
        <v>11</v>
      </c>
      <c r="O1454">
        <v>5.1859000000000002</v>
      </c>
      <c r="P1454" s="45">
        <f t="shared" si="100"/>
        <v>5341.48</v>
      </c>
      <c r="Q1454" s="13">
        <f>IF(N1454="HKD",7.8,IF(N1454="CNY",7.30034,1))</f>
        <v>7.3003400000000003</v>
      </c>
      <c r="R1454" s="15">
        <f>+ROUND(O1454/Q1454,4)</f>
        <v>0.71040000000000003</v>
      </c>
      <c r="S1454" s="14">
        <f>ROUND(R1454*L1454,2)</f>
        <v>731.71</v>
      </c>
      <c r="T1454" s="15" t="s">
        <v>349</v>
      </c>
      <c r="U1454" t="s">
        <v>228</v>
      </c>
      <c r="W1454" s="49" t="e">
        <f t="shared" si="101"/>
        <v>#DIV/0!</v>
      </c>
    </row>
    <row r="1455" spans="1:23" x14ac:dyDescent="0.2">
      <c r="A1455" t="s">
        <v>2419</v>
      </c>
      <c r="B1455" s="24">
        <v>45744</v>
      </c>
      <c r="C1455" s="24">
        <v>45702</v>
      </c>
      <c r="D1455" t="s">
        <v>21</v>
      </c>
      <c r="E1455" t="s">
        <v>22</v>
      </c>
      <c r="F1455" s="23"/>
      <c r="G1455" t="s">
        <v>2929</v>
      </c>
      <c r="H1455" t="s">
        <v>3110</v>
      </c>
      <c r="I1455" t="s">
        <v>3325</v>
      </c>
      <c r="J1455" s="11" t="str">
        <f>+LEFT(U1455,4)</f>
        <v>HDL-</v>
      </c>
      <c r="K1455" t="s">
        <v>98</v>
      </c>
      <c r="L1455">
        <v>1030</v>
      </c>
      <c r="M1455" t="s">
        <v>1472</v>
      </c>
      <c r="N1455" t="s">
        <v>11</v>
      </c>
      <c r="O1455">
        <v>5.2427000000000001</v>
      </c>
      <c r="P1455" s="45">
        <f t="shared" si="100"/>
        <v>5399.98</v>
      </c>
      <c r="Q1455" s="13">
        <f>IF(N1455="HKD",7.8,IF(N1455="CNY",7.30034,1))</f>
        <v>7.3003400000000003</v>
      </c>
      <c r="R1455" s="15">
        <f>+ROUND(O1455/Q1455,4)</f>
        <v>0.71809999999999996</v>
      </c>
      <c r="S1455" s="14">
        <f>ROUND(R1455*L1455,2)</f>
        <v>739.64</v>
      </c>
      <c r="T1455" s="15" t="s">
        <v>349</v>
      </c>
      <c r="U1455" t="s">
        <v>228</v>
      </c>
      <c r="W1455" s="49" t="e">
        <f t="shared" si="101"/>
        <v>#DIV/0!</v>
      </c>
    </row>
    <row r="1456" spans="1:23" x14ac:dyDescent="0.2">
      <c r="A1456" t="s">
        <v>2493</v>
      </c>
      <c r="B1456" s="24">
        <v>45744</v>
      </c>
      <c r="C1456" s="24">
        <v>45713</v>
      </c>
      <c r="D1456" t="s">
        <v>2257</v>
      </c>
      <c r="E1456" t="s">
        <v>2258</v>
      </c>
      <c r="F1456" s="23"/>
      <c r="G1456" t="s">
        <v>2956</v>
      </c>
      <c r="H1456" t="s">
        <v>1798</v>
      </c>
      <c r="I1456" t="s">
        <v>1799</v>
      </c>
      <c r="J1456" s="11" t="str">
        <f>+LEFT(U1456,4)</f>
        <v>HDL-</v>
      </c>
      <c r="K1456" t="s">
        <v>10</v>
      </c>
      <c r="L1456">
        <v>3000</v>
      </c>
      <c r="M1456" t="s">
        <v>1472</v>
      </c>
      <c r="N1456" t="s">
        <v>11</v>
      </c>
      <c r="O1456">
        <v>7.4931000000000001</v>
      </c>
      <c r="P1456" s="45">
        <f t="shared" si="100"/>
        <v>22479.3</v>
      </c>
      <c r="Q1456" s="13">
        <f>IF(N1456="HKD",7.8,IF(N1456="CNY",7.30034,1))</f>
        <v>7.3003400000000003</v>
      </c>
      <c r="R1456" s="15">
        <f>+ROUND(O1456/Q1456,4)</f>
        <v>1.0264</v>
      </c>
      <c r="S1456" s="14">
        <f>ROUND(R1456*L1456,2)</f>
        <v>3079.2</v>
      </c>
      <c r="T1456" s="15" t="s">
        <v>349</v>
      </c>
      <c r="U1456" t="s">
        <v>228</v>
      </c>
      <c r="W1456" s="49" t="e">
        <f t="shared" si="101"/>
        <v>#DIV/0!</v>
      </c>
    </row>
    <row r="1457" spans="1:23" x14ac:dyDescent="0.2">
      <c r="A1457" t="s">
        <v>2500</v>
      </c>
      <c r="B1457" s="24">
        <v>45744</v>
      </c>
      <c r="C1457" s="24">
        <v>45713</v>
      </c>
      <c r="D1457" t="s">
        <v>2257</v>
      </c>
      <c r="E1457" t="s">
        <v>2258</v>
      </c>
      <c r="F1457" s="23"/>
      <c r="G1457" t="s">
        <v>2956</v>
      </c>
      <c r="H1457" t="s">
        <v>1800</v>
      </c>
      <c r="I1457" t="s">
        <v>1801</v>
      </c>
      <c r="J1457" s="11" t="str">
        <f>+LEFT(U1457,4)</f>
        <v>HDL-</v>
      </c>
      <c r="K1457" t="s">
        <v>10</v>
      </c>
      <c r="L1457">
        <v>1320</v>
      </c>
      <c r="M1457" t="s">
        <v>1472</v>
      </c>
      <c r="N1457" t="s">
        <v>11</v>
      </c>
      <c r="O1457">
        <v>7.4931000000000001</v>
      </c>
      <c r="P1457" s="45">
        <f t="shared" si="100"/>
        <v>9890.89</v>
      </c>
      <c r="Q1457" s="13">
        <f>IF(N1457="HKD",7.8,IF(N1457="CNY",7.30034,1))</f>
        <v>7.3003400000000003</v>
      </c>
      <c r="R1457" s="15">
        <f>+ROUND(O1457/Q1457,4)</f>
        <v>1.0264</v>
      </c>
      <c r="S1457" s="14">
        <f>ROUND(R1457*L1457,2)</f>
        <v>1354.85</v>
      </c>
      <c r="T1457" s="15" t="s">
        <v>349</v>
      </c>
      <c r="U1457" t="s">
        <v>228</v>
      </c>
      <c r="W1457" s="49" t="e">
        <f t="shared" si="101"/>
        <v>#DIV/0!</v>
      </c>
    </row>
    <row r="1458" spans="1:23" x14ac:dyDescent="0.2">
      <c r="A1458" t="s">
        <v>2501</v>
      </c>
      <c r="B1458" s="24">
        <v>45744</v>
      </c>
      <c r="C1458" s="24">
        <v>45713</v>
      </c>
      <c r="D1458" t="s">
        <v>2257</v>
      </c>
      <c r="E1458" t="s">
        <v>2258</v>
      </c>
      <c r="F1458" s="23"/>
      <c r="G1458" t="s">
        <v>2956</v>
      </c>
      <c r="H1458" t="s">
        <v>1800</v>
      </c>
      <c r="I1458" t="s">
        <v>1801</v>
      </c>
      <c r="J1458" s="11" t="str">
        <f>+LEFT(U1458,4)</f>
        <v>HDL-</v>
      </c>
      <c r="K1458" t="s">
        <v>10</v>
      </c>
      <c r="L1458">
        <v>2200</v>
      </c>
      <c r="M1458" t="s">
        <v>1472</v>
      </c>
      <c r="N1458" t="s">
        <v>11</v>
      </c>
      <c r="O1458">
        <v>7.4931000000000001</v>
      </c>
      <c r="P1458" s="45">
        <f t="shared" si="100"/>
        <v>16484.82</v>
      </c>
      <c r="Q1458" s="13">
        <f>IF(N1458="HKD",7.8,IF(N1458="CNY",7.30034,1))</f>
        <v>7.3003400000000003</v>
      </c>
      <c r="R1458" s="15">
        <f>+ROUND(O1458/Q1458,4)</f>
        <v>1.0264</v>
      </c>
      <c r="S1458" s="14">
        <f>ROUND(R1458*L1458,2)</f>
        <v>2258.08</v>
      </c>
      <c r="T1458" s="15" t="s">
        <v>349</v>
      </c>
      <c r="U1458" t="s">
        <v>228</v>
      </c>
      <c r="W1458" s="49" t="e">
        <f t="shared" si="101"/>
        <v>#DIV/0!</v>
      </c>
    </row>
    <row r="1459" spans="1:23" x14ac:dyDescent="0.2">
      <c r="A1459" t="s">
        <v>2534</v>
      </c>
      <c r="B1459" s="24">
        <v>45744</v>
      </c>
      <c r="C1459" s="24">
        <v>45714</v>
      </c>
      <c r="D1459" t="s">
        <v>94</v>
      </c>
      <c r="E1459" t="s">
        <v>95</v>
      </c>
      <c r="F1459" s="23"/>
      <c r="G1459" t="s">
        <v>2969</v>
      </c>
      <c r="H1459" t="s">
        <v>3164</v>
      </c>
      <c r="I1459" t="s">
        <v>3374</v>
      </c>
      <c r="J1459" s="11" t="str">
        <f>+LEFT(U1459,4)</f>
        <v>LID-</v>
      </c>
      <c r="K1459" t="s">
        <v>98</v>
      </c>
      <c r="L1459">
        <v>38</v>
      </c>
      <c r="M1459" t="s">
        <v>1472</v>
      </c>
      <c r="N1459" t="s">
        <v>11</v>
      </c>
      <c r="O1459">
        <v>4.26</v>
      </c>
      <c r="P1459" s="45">
        <f t="shared" si="100"/>
        <v>161.88</v>
      </c>
      <c r="Q1459" s="13">
        <f>IF(N1459="HKD",7.8,IF(N1459="CNY",7.30034,1))</f>
        <v>7.3003400000000003</v>
      </c>
      <c r="R1459" s="15">
        <f>+ROUND(O1459/Q1459,4)</f>
        <v>0.58350000000000002</v>
      </c>
      <c r="S1459" s="14">
        <f>ROUND(R1459*L1459,2)</f>
        <v>22.17</v>
      </c>
      <c r="T1459" s="15" t="s">
        <v>349</v>
      </c>
      <c r="U1459" t="s">
        <v>368</v>
      </c>
      <c r="W1459" s="49" t="e">
        <f t="shared" si="101"/>
        <v>#DIV/0!</v>
      </c>
    </row>
    <row r="1460" spans="1:23" x14ac:dyDescent="0.2">
      <c r="A1460" t="s">
        <v>2534</v>
      </c>
      <c r="B1460" s="24">
        <v>45744</v>
      </c>
      <c r="C1460" s="24">
        <v>45714</v>
      </c>
      <c r="D1460" t="s">
        <v>94</v>
      </c>
      <c r="E1460" t="s">
        <v>95</v>
      </c>
      <c r="F1460" s="23"/>
      <c r="G1460" t="s">
        <v>2970</v>
      </c>
      <c r="H1460" t="s">
        <v>3164</v>
      </c>
      <c r="I1460" t="s">
        <v>3374</v>
      </c>
      <c r="J1460" s="11" t="str">
        <f>+LEFT(U1460,4)</f>
        <v>LID-</v>
      </c>
      <c r="K1460" t="s">
        <v>98</v>
      </c>
      <c r="L1460">
        <v>1735</v>
      </c>
      <c r="M1460" t="s">
        <v>1472</v>
      </c>
      <c r="N1460" t="s">
        <v>11</v>
      </c>
      <c r="O1460">
        <v>4.26</v>
      </c>
      <c r="P1460" s="45">
        <f t="shared" si="100"/>
        <v>7391.1</v>
      </c>
      <c r="Q1460" s="13">
        <f>IF(N1460="HKD",7.8,IF(N1460="CNY",7.30034,1))</f>
        <v>7.3003400000000003</v>
      </c>
      <c r="R1460" s="15">
        <f>+ROUND(O1460/Q1460,4)</f>
        <v>0.58350000000000002</v>
      </c>
      <c r="S1460" s="14">
        <f>ROUND(R1460*L1460,2)</f>
        <v>1012.37</v>
      </c>
      <c r="T1460" s="15" t="s">
        <v>349</v>
      </c>
      <c r="U1460" t="s">
        <v>368</v>
      </c>
      <c r="W1460" s="49" t="e">
        <f t="shared" si="101"/>
        <v>#DIV/0!</v>
      </c>
    </row>
    <row r="1461" spans="1:23" x14ac:dyDescent="0.2">
      <c r="A1461" t="s">
        <v>2535</v>
      </c>
      <c r="B1461" s="24">
        <v>45744</v>
      </c>
      <c r="C1461" s="24">
        <v>45714</v>
      </c>
      <c r="D1461" t="s">
        <v>94</v>
      </c>
      <c r="E1461" t="s">
        <v>95</v>
      </c>
      <c r="F1461" s="23"/>
      <c r="G1461" t="s">
        <v>2969</v>
      </c>
      <c r="H1461" t="s">
        <v>3164</v>
      </c>
      <c r="I1461" t="s">
        <v>3374</v>
      </c>
      <c r="J1461" s="11" t="str">
        <f>+LEFT(U1461,4)</f>
        <v>LID-</v>
      </c>
      <c r="K1461" t="s">
        <v>98</v>
      </c>
      <c r="L1461">
        <v>562</v>
      </c>
      <c r="M1461" t="s">
        <v>1472</v>
      </c>
      <c r="N1461" t="s">
        <v>11</v>
      </c>
      <c r="O1461">
        <v>4.26</v>
      </c>
      <c r="P1461" s="45">
        <f t="shared" si="100"/>
        <v>2394.12</v>
      </c>
      <c r="Q1461" s="13">
        <f>IF(N1461="HKD",7.8,IF(N1461="CNY",7.30034,1))</f>
        <v>7.3003400000000003</v>
      </c>
      <c r="R1461" s="15">
        <f>+ROUND(O1461/Q1461,4)</f>
        <v>0.58350000000000002</v>
      </c>
      <c r="S1461" s="14">
        <f>ROUND(R1461*L1461,2)</f>
        <v>327.93</v>
      </c>
      <c r="T1461" s="15" t="s">
        <v>349</v>
      </c>
      <c r="U1461" t="s">
        <v>368</v>
      </c>
      <c r="W1461" s="49" t="e">
        <f t="shared" si="101"/>
        <v>#DIV/0!</v>
      </c>
    </row>
    <row r="1462" spans="1:23" x14ac:dyDescent="0.2">
      <c r="A1462" t="s">
        <v>2535</v>
      </c>
      <c r="B1462" s="24">
        <v>45744</v>
      </c>
      <c r="C1462" s="24">
        <v>45714</v>
      </c>
      <c r="D1462" t="s">
        <v>94</v>
      </c>
      <c r="E1462" t="s">
        <v>95</v>
      </c>
      <c r="F1462" s="23"/>
      <c r="G1462" t="s">
        <v>2973</v>
      </c>
      <c r="H1462" t="s">
        <v>3164</v>
      </c>
      <c r="I1462" t="s">
        <v>3374</v>
      </c>
      <c r="J1462" s="11" t="str">
        <f>+LEFT(U1462,4)</f>
        <v>LID-</v>
      </c>
      <c r="K1462" t="s">
        <v>98</v>
      </c>
      <c r="L1462">
        <v>-600</v>
      </c>
      <c r="M1462" t="s">
        <v>1472</v>
      </c>
      <c r="N1462" t="s">
        <v>11</v>
      </c>
      <c r="O1462">
        <v>4.26</v>
      </c>
      <c r="P1462" s="45">
        <f t="shared" si="100"/>
        <v>-2556</v>
      </c>
      <c r="Q1462" s="13">
        <f>IF(N1462="HKD",7.8,IF(N1462="CNY",7.30034,1))</f>
        <v>7.3003400000000003</v>
      </c>
      <c r="R1462" s="15">
        <f>+ROUND(O1462/Q1462,4)</f>
        <v>0.58350000000000002</v>
      </c>
      <c r="S1462" s="14">
        <f>ROUND(R1462*L1462,2)</f>
        <v>-350.1</v>
      </c>
      <c r="T1462" s="15" t="s">
        <v>349</v>
      </c>
      <c r="U1462" t="s">
        <v>368</v>
      </c>
      <c r="W1462" s="49" t="e">
        <f t="shared" si="101"/>
        <v>#DIV/0!</v>
      </c>
    </row>
    <row r="1463" spans="1:23" x14ac:dyDescent="0.2">
      <c r="A1463" t="s">
        <v>2535</v>
      </c>
      <c r="B1463" s="24">
        <v>45744</v>
      </c>
      <c r="C1463" s="24">
        <v>45714</v>
      </c>
      <c r="D1463" t="s">
        <v>94</v>
      </c>
      <c r="E1463" t="s">
        <v>95</v>
      </c>
      <c r="F1463" s="23"/>
      <c r="G1463" t="s">
        <v>2969</v>
      </c>
      <c r="H1463" t="s">
        <v>3164</v>
      </c>
      <c r="I1463" t="s">
        <v>3374</v>
      </c>
      <c r="J1463" s="11" t="str">
        <f>+LEFT(U1463,4)</f>
        <v>LID-</v>
      </c>
      <c r="K1463" t="s">
        <v>98</v>
      </c>
      <c r="L1463">
        <v>600</v>
      </c>
      <c r="M1463" t="s">
        <v>1472</v>
      </c>
      <c r="N1463" t="s">
        <v>11</v>
      </c>
      <c r="O1463">
        <v>4.26</v>
      </c>
      <c r="P1463" s="45">
        <f t="shared" si="100"/>
        <v>2556</v>
      </c>
      <c r="Q1463" s="13">
        <f>IF(N1463="HKD",7.8,IF(N1463="CNY",7.30034,1))</f>
        <v>7.3003400000000003</v>
      </c>
      <c r="R1463" s="15">
        <f>+ROUND(O1463/Q1463,4)</f>
        <v>0.58350000000000002</v>
      </c>
      <c r="S1463" s="14">
        <f>ROUND(R1463*L1463,2)</f>
        <v>350.1</v>
      </c>
      <c r="T1463" s="15" t="s">
        <v>349</v>
      </c>
      <c r="U1463" t="s">
        <v>368</v>
      </c>
      <c r="W1463" s="49" t="e">
        <f t="shared" si="101"/>
        <v>#DIV/0!</v>
      </c>
    </row>
    <row r="1464" spans="1:23" x14ac:dyDescent="0.2">
      <c r="A1464" t="s">
        <v>2540</v>
      </c>
      <c r="B1464" s="24">
        <v>45744</v>
      </c>
      <c r="C1464" s="24">
        <v>45714</v>
      </c>
      <c r="D1464" t="s">
        <v>830</v>
      </c>
      <c r="E1464" t="s">
        <v>831</v>
      </c>
      <c r="F1464" s="23"/>
      <c r="G1464" t="s">
        <v>2987</v>
      </c>
      <c r="H1464" t="s">
        <v>3166</v>
      </c>
      <c r="I1464" t="s">
        <v>3376</v>
      </c>
      <c r="J1464" s="11" t="str">
        <f>+LEFT(U1464,4)</f>
        <v>LID-</v>
      </c>
      <c r="K1464" t="s">
        <v>98</v>
      </c>
      <c r="L1464">
        <v>960</v>
      </c>
      <c r="M1464" t="s">
        <v>1472</v>
      </c>
      <c r="N1464" t="s">
        <v>11</v>
      </c>
      <c r="O1464">
        <v>4.2</v>
      </c>
      <c r="P1464" s="45">
        <f t="shared" si="100"/>
        <v>4032</v>
      </c>
      <c r="Q1464" s="13">
        <f>IF(N1464="HKD",7.8,IF(N1464="CNY",7.30034,1))</f>
        <v>7.3003400000000003</v>
      </c>
      <c r="R1464" s="15">
        <f>+ROUND(O1464/Q1464,4)</f>
        <v>0.57530000000000003</v>
      </c>
      <c r="S1464" s="14">
        <f>ROUND(R1464*L1464,2)</f>
        <v>552.29</v>
      </c>
      <c r="T1464" s="15" t="s">
        <v>349</v>
      </c>
      <c r="U1464" t="s">
        <v>368</v>
      </c>
      <c r="W1464" s="49" t="e">
        <f t="shared" si="101"/>
        <v>#DIV/0!</v>
      </c>
    </row>
    <row r="1465" spans="1:23" x14ac:dyDescent="0.2">
      <c r="A1465" t="s">
        <v>2552</v>
      </c>
      <c r="B1465" s="24">
        <v>45744</v>
      </c>
      <c r="C1465" s="24">
        <v>45716</v>
      </c>
      <c r="D1465" t="s">
        <v>149</v>
      </c>
      <c r="E1465" t="s">
        <v>150</v>
      </c>
      <c r="F1465" s="23"/>
      <c r="G1465" t="s">
        <v>2995</v>
      </c>
      <c r="H1465" t="s">
        <v>1726</v>
      </c>
      <c r="I1465" t="s">
        <v>1727</v>
      </c>
      <c r="J1465" s="11" t="str">
        <f>+LEFT(U1465,4)</f>
        <v>GLID</v>
      </c>
      <c r="K1465" t="s">
        <v>10</v>
      </c>
      <c r="L1465">
        <v>1020</v>
      </c>
      <c r="M1465" t="s">
        <v>1472</v>
      </c>
      <c r="N1465" t="s">
        <v>11</v>
      </c>
      <c r="O1465">
        <v>3.1461000000000001</v>
      </c>
      <c r="P1465" s="45">
        <f t="shared" si="100"/>
        <v>3209.02</v>
      </c>
      <c r="Q1465" s="13">
        <f>IF(N1465="HKD",7.8,IF(N1465="CNY",7.30034,1))</f>
        <v>7.3003400000000003</v>
      </c>
      <c r="R1465" s="15">
        <f>+ROUND(O1465/Q1465,4)</f>
        <v>0.43099999999999999</v>
      </c>
      <c r="S1465" s="14">
        <f>ROUND(R1465*L1465,2)</f>
        <v>439.62</v>
      </c>
      <c r="T1465" s="15" t="s">
        <v>349</v>
      </c>
      <c r="U1465" t="s">
        <v>78</v>
      </c>
      <c r="W1465" s="49" t="e">
        <f t="shared" si="101"/>
        <v>#DIV/0!</v>
      </c>
    </row>
    <row r="1466" spans="1:23" x14ac:dyDescent="0.2">
      <c r="A1466" t="s">
        <v>2554</v>
      </c>
      <c r="B1466" s="24">
        <v>45744</v>
      </c>
      <c r="C1466" s="24">
        <v>45716</v>
      </c>
      <c r="D1466" t="s">
        <v>149</v>
      </c>
      <c r="E1466" t="s">
        <v>150</v>
      </c>
      <c r="F1466" s="23"/>
      <c r="G1466" t="s">
        <v>2995</v>
      </c>
      <c r="H1466" t="s">
        <v>3172</v>
      </c>
      <c r="I1466" t="s">
        <v>3317</v>
      </c>
      <c r="J1466" s="11" t="str">
        <f>+LEFT(U1466,4)</f>
        <v>GLID</v>
      </c>
      <c r="K1466" t="s">
        <v>10</v>
      </c>
      <c r="L1466">
        <v>1030</v>
      </c>
      <c r="M1466" t="s">
        <v>1472</v>
      </c>
      <c r="N1466" t="s">
        <v>11</v>
      </c>
      <c r="O1466">
        <v>4.8769</v>
      </c>
      <c r="P1466" s="45">
        <f t="shared" si="100"/>
        <v>5023.21</v>
      </c>
      <c r="Q1466" s="13">
        <f>IF(N1466="HKD",7.8,IF(N1466="CNY",7.30034,1))</f>
        <v>7.3003400000000003</v>
      </c>
      <c r="R1466" s="15">
        <f>+ROUND(O1466/Q1466,4)</f>
        <v>0.66800000000000004</v>
      </c>
      <c r="S1466" s="14">
        <f>ROUND(R1466*L1466,2)</f>
        <v>688.04</v>
      </c>
      <c r="T1466" s="15" t="s">
        <v>349</v>
      </c>
      <c r="U1466" t="s">
        <v>78</v>
      </c>
      <c r="W1466" s="49" t="e">
        <f t="shared" si="101"/>
        <v>#DIV/0!</v>
      </c>
    </row>
    <row r="1467" spans="1:23" x14ac:dyDescent="0.2">
      <c r="A1467" t="s">
        <v>2555</v>
      </c>
      <c r="B1467" s="24">
        <v>45744</v>
      </c>
      <c r="C1467" s="24">
        <v>45716</v>
      </c>
      <c r="D1467" t="s">
        <v>149</v>
      </c>
      <c r="E1467" t="s">
        <v>150</v>
      </c>
      <c r="F1467" s="23"/>
      <c r="G1467" t="s">
        <v>2995</v>
      </c>
      <c r="H1467" t="s">
        <v>1309</v>
      </c>
      <c r="I1467" t="s">
        <v>1310</v>
      </c>
      <c r="J1467" s="11" t="str">
        <f>+LEFT(U1467,4)</f>
        <v>GLID</v>
      </c>
      <c r="K1467" t="s">
        <v>10</v>
      </c>
      <c r="L1467">
        <v>1200</v>
      </c>
      <c r="M1467" t="s">
        <v>1472</v>
      </c>
      <c r="N1467" t="s">
        <v>11</v>
      </c>
      <c r="O1467">
        <v>6.1177000000000001</v>
      </c>
      <c r="P1467" s="45">
        <f t="shared" si="100"/>
        <v>7341.24</v>
      </c>
      <c r="Q1467" s="13">
        <f>IF(N1467="HKD",7.8,IF(N1467="CNY",7.30034,1))</f>
        <v>7.3003400000000003</v>
      </c>
      <c r="R1467" s="15">
        <f>+ROUND(O1467/Q1467,4)</f>
        <v>0.83799999999999997</v>
      </c>
      <c r="S1467" s="14">
        <f>ROUND(R1467*L1467,2)</f>
        <v>1005.6</v>
      </c>
      <c r="T1467" s="15" t="s">
        <v>349</v>
      </c>
      <c r="U1467" t="s">
        <v>78</v>
      </c>
      <c r="W1467" s="49" t="e">
        <f t="shared" si="101"/>
        <v>#DIV/0!</v>
      </c>
    </row>
    <row r="1468" spans="1:23" x14ac:dyDescent="0.2">
      <c r="A1468" t="s">
        <v>2556</v>
      </c>
      <c r="B1468" s="24">
        <v>45744</v>
      </c>
      <c r="C1468" s="24">
        <v>45716</v>
      </c>
      <c r="D1468" t="s">
        <v>149</v>
      </c>
      <c r="E1468" t="s">
        <v>150</v>
      </c>
      <c r="F1468" s="23"/>
      <c r="G1468" t="s">
        <v>2995</v>
      </c>
      <c r="H1468" t="s">
        <v>3173</v>
      </c>
      <c r="I1468" t="s">
        <v>3380</v>
      </c>
      <c r="J1468" s="11" t="str">
        <f>+LEFT(U1468,4)</f>
        <v>GLID</v>
      </c>
      <c r="K1468" t="s">
        <v>10</v>
      </c>
      <c r="L1468">
        <v>1030</v>
      </c>
      <c r="M1468" t="s">
        <v>1472</v>
      </c>
      <c r="N1468" t="s">
        <v>11</v>
      </c>
      <c r="O1468">
        <v>7.3867000000000003</v>
      </c>
      <c r="P1468" s="45">
        <f t="shared" si="100"/>
        <v>7608.3</v>
      </c>
      <c r="Q1468" s="13">
        <f>IF(N1468="HKD",7.8,IF(N1468="CNY",7.30034,1))</f>
        <v>7.3003400000000003</v>
      </c>
      <c r="R1468" s="15">
        <f>+ROUND(O1468/Q1468,4)</f>
        <v>1.0118</v>
      </c>
      <c r="S1468" s="14">
        <f>ROUND(R1468*L1468,2)</f>
        <v>1042.1500000000001</v>
      </c>
      <c r="T1468" s="15" t="s">
        <v>349</v>
      </c>
      <c r="U1468" t="s">
        <v>78</v>
      </c>
      <c r="W1468" s="49" t="e">
        <f t="shared" si="101"/>
        <v>#DIV/0!</v>
      </c>
    </row>
    <row r="1469" spans="1:23" x14ac:dyDescent="0.2">
      <c r="A1469" t="s">
        <v>2565</v>
      </c>
      <c r="B1469" s="24">
        <v>45744</v>
      </c>
      <c r="C1469" s="24">
        <v>45716</v>
      </c>
      <c r="D1469" t="s">
        <v>21</v>
      </c>
      <c r="E1469" t="s">
        <v>22</v>
      </c>
      <c r="F1469" s="23"/>
      <c r="G1469" t="s">
        <v>2929</v>
      </c>
      <c r="H1469" t="s">
        <v>3178</v>
      </c>
      <c r="I1469" t="s">
        <v>3385</v>
      </c>
      <c r="J1469" s="11" t="str">
        <f>+LEFT(U1469,4)</f>
        <v>BRKT</v>
      </c>
      <c r="K1469" t="s">
        <v>10</v>
      </c>
      <c r="L1469">
        <v>1050</v>
      </c>
      <c r="M1469" t="s">
        <v>1472</v>
      </c>
      <c r="N1469" t="s">
        <v>11</v>
      </c>
      <c r="O1469">
        <v>0.60340000000000005</v>
      </c>
      <c r="P1469" s="45">
        <f t="shared" si="100"/>
        <v>633.57000000000005</v>
      </c>
      <c r="Q1469" s="13">
        <f>IF(N1469="HKD",7.8,IF(N1469="CNY",7.30034,1))</f>
        <v>7.3003400000000003</v>
      </c>
      <c r="R1469" s="15">
        <f>+ROUND(O1469/Q1469,4)</f>
        <v>8.2699999999999996E-2</v>
      </c>
      <c r="S1469" s="14">
        <f>ROUND(R1469*L1469,2)</f>
        <v>86.84</v>
      </c>
      <c r="T1469" s="15" t="s">
        <v>349</v>
      </c>
      <c r="U1469" t="s">
        <v>442</v>
      </c>
      <c r="W1469" s="49" t="e">
        <f t="shared" si="101"/>
        <v>#DIV/0!</v>
      </c>
    </row>
    <row r="1470" spans="1:23" x14ac:dyDescent="0.2">
      <c r="A1470" t="s">
        <v>2566</v>
      </c>
      <c r="B1470" s="24">
        <v>45744</v>
      </c>
      <c r="C1470" s="24">
        <v>45716</v>
      </c>
      <c r="D1470" t="s">
        <v>21</v>
      </c>
      <c r="E1470" t="s">
        <v>22</v>
      </c>
      <c r="F1470" s="23"/>
      <c r="G1470" t="s">
        <v>2999</v>
      </c>
      <c r="H1470" t="s">
        <v>3179</v>
      </c>
      <c r="I1470" t="s">
        <v>3386</v>
      </c>
      <c r="J1470" s="11" t="str">
        <f>+LEFT(U1470,4)</f>
        <v>FG--</v>
      </c>
      <c r="K1470" t="s">
        <v>10</v>
      </c>
      <c r="L1470">
        <v>1050</v>
      </c>
      <c r="M1470" t="s">
        <v>1472</v>
      </c>
      <c r="N1470" t="s">
        <v>11</v>
      </c>
      <c r="O1470">
        <v>0.65839999999999999</v>
      </c>
      <c r="P1470" s="45">
        <f t="shared" si="100"/>
        <v>691.32</v>
      </c>
      <c r="Q1470" s="13">
        <f>IF(N1470="HKD",7.8,IF(N1470="CNY",7.30034,1))</f>
        <v>7.3003400000000003</v>
      </c>
      <c r="R1470" s="15">
        <f>+ROUND(O1470/Q1470,4)</f>
        <v>9.0200000000000002E-2</v>
      </c>
      <c r="S1470" s="14">
        <f>ROUND(R1470*L1470,2)</f>
        <v>94.71</v>
      </c>
      <c r="T1470" s="15" t="s">
        <v>349</v>
      </c>
      <c r="U1470" t="s">
        <v>64</v>
      </c>
      <c r="W1470" s="49" t="e">
        <f t="shared" si="101"/>
        <v>#DIV/0!</v>
      </c>
    </row>
    <row r="1471" spans="1:23" x14ac:dyDescent="0.2">
      <c r="A1471" t="s">
        <v>2567</v>
      </c>
      <c r="B1471" s="24">
        <v>45744</v>
      </c>
      <c r="C1471" s="24">
        <v>45716</v>
      </c>
      <c r="D1471" t="s">
        <v>21</v>
      </c>
      <c r="E1471" t="s">
        <v>22</v>
      </c>
      <c r="F1471" s="23"/>
      <c r="G1471" t="s">
        <v>2999</v>
      </c>
      <c r="H1471" t="s">
        <v>3180</v>
      </c>
      <c r="I1471" t="s">
        <v>3387</v>
      </c>
      <c r="J1471" s="11" t="str">
        <f>+LEFT(U1471,4)</f>
        <v>BRKT</v>
      </c>
      <c r="K1471" t="s">
        <v>10</v>
      </c>
      <c r="L1471">
        <v>750</v>
      </c>
      <c r="M1471" t="s">
        <v>1472</v>
      </c>
      <c r="N1471" t="s">
        <v>11</v>
      </c>
      <c r="O1471">
        <v>0.68969999999999998</v>
      </c>
      <c r="P1471" s="45">
        <f t="shared" si="100"/>
        <v>517.28</v>
      </c>
      <c r="Q1471" s="13">
        <f>IF(N1471="HKD",7.8,IF(N1471="CNY",7.30034,1))</f>
        <v>7.3003400000000003</v>
      </c>
      <c r="R1471" s="15">
        <f>+ROUND(O1471/Q1471,4)</f>
        <v>9.4500000000000001E-2</v>
      </c>
      <c r="S1471" s="14">
        <f>ROUND(R1471*L1471,2)</f>
        <v>70.88</v>
      </c>
      <c r="T1471" s="15" t="s">
        <v>349</v>
      </c>
      <c r="U1471" t="s">
        <v>442</v>
      </c>
      <c r="W1471" s="49" t="e">
        <f t="shared" si="101"/>
        <v>#DIV/0!</v>
      </c>
    </row>
    <row r="1472" spans="1:23" x14ac:dyDescent="0.2">
      <c r="A1472" t="s">
        <v>2568</v>
      </c>
      <c r="B1472" s="24">
        <v>45744</v>
      </c>
      <c r="C1472" s="24">
        <v>45716</v>
      </c>
      <c r="D1472" t="s">
        <v>21</v>
      </c>
      <c r="E1472" t="s">
        <v>22</v>
      </c>
      <c r="F1472" s="23"/>
      <c r="G1472" t="s">
        <v>2999</v>
      </c>
      <c r="H1472" t="s">
        <v>3181</v>
      </c>
      <c r="I1472" t="s">
        <v>3388</v>
      </c>
      <c r="J1472" s="11" t="str">
        <f>+LEFT(U1472,4)</f>
        <v>FG--</v>
      </c>
      <c r="K1472" t="s">
        <v>10</v>
      </c>
      <c r="L1472">
        <v>1000</v>
      </c>
      <c r="M1472" t="s">
        <v>1472</v>
      </c>
      <c r="N1472" t="s">
        <v>11</v>
      </c>
      <c r="O1472">
        <v>0.64870000000000005</v>
      </c>
      <c r="P1472" s="45">
        <f t="shared" si="100"/>
        <v>648.70000000000005</v>
      </c>
      <c r="Q1472" s="13">
        <f>IF(N1472="HKD",7.8,IF(N1472="CNY",7.30034,1))</f>
        <v>7.3003400000000003</v>
      </c>
      <c r="R1472" s="15">
        <f>+ROUND(O1472/Q1472,4)</f>
        <v>8.8900000000000007E-2</v>
      </c>
      <c r="S1472" s="14">
        <f>ROUND(R1472*L1472,2)</f>
        <v>88.9</v>
      </c>
      <c r="T1472" s="15" t="s">
        <v>349</v>
      </c>
      <c r="U1472" t="s">
        <v>64</v>
      </c>
      <c r="W1472" s="49" t="e">
        <f t="shared" si="101"/>
        <v>#DIV/0!</v>
      </c>
    </row>
    <row r="1473" spans="1:23" x14ac:dyDescent="0.2">
      <c r="A1473" t="s">
        <v>2579</v>
      </c>
      <c r="B1473" s="24">
        <v>45744</v>
      </c>
      <c r="C1473" s="24">
        <v>45716</v>
      </c>
      <c r="D1473" t="s">
        <v>235</v>
      </c>
      <c r="E1473" t="s">
        <v>236</v>
      </c>
      <c r="F1473" s="23"/>
      <c r="G1473" t="s">
        <v>3002</v>
      </c>
      <c r="H1473" t="s">
        <v>3183</v>
      </c>
      <c r="I1473" t="s">
        <v>3390</v>
      </c>
      <c r="J1473" s="11" t="str">
        <f>+LEFT(U1473,4)</f>
        <v>RIV-</v>
      </c>
      <c r="K1473" t="s">
        <v>10</v>
      </c>
      <c r="L1473">
        <v>2000</v>
      </c>
      <c r="M1473" t="s">
        <v>1472</v>
      </c>
      <c r="N1473" t="s">
        <v>11</v>
      </c>
      <c r="O1473">
        <v>0.10059999999999999</v>
      </c>
      <c r="P1473" s="45">
        <f t="shared" si="100"/>
        <v>201.2</v>
      </c>
      <c r="Q1473" s="13">
        <f>IF(N1473="HKD",7.8,IF(N1473="CNY",7.30034,1))</f>
        <v>7.3003400000000003</v>
      </c>
      <c r="R1473" s="15">
        <f>+ROUND(O1473/Q1473,4)</f>
        <v>1.38E-2</v>
      </c>
      <c r="S1473" s="14">
        <f>ROUND(R1473*L1473,2)</f>
        <v>27.6</v>
      </c>
      <c r="T1473" s="15" t="s">
        <v>349</v>
      </c>
      <c r="U1473" t="s">
        <v>132</v>
      </c>
      <c r="W1473" s="49" t="e">
        <f t="shared" si="101"/>
        <v>#DIV/0!</v>
      </c>
    </row>
    <row r="1474" spans="1:23" x14ac:dyDescent="0.2">
      <c r="A1474" t="s">
        <v>2616</v>
      </c>
      <c r="B1474" s="24">
        <v>45744</v>
      </c>
      <c r="C1474" s="24">
        <v>45720</v>
      </c>
      <c r="D1474" t="s">
        <v>235</v>
      </c>
      <c r="E1474" t="s">
        <v>236</v>
      </c>
      <c r="F1474" s="23"/>
      <c r="G1474" t="s">
        <v>3002</v>
      </c>
      <c r="H1474" t="s">
        <v>1348</v>
      </c>
      <c r="I1474" t="s">
        <v>1349</v>
      </c>
      <c r="J1474" s="11" t="str">
        <f>+LEFT(U1474,4)</f>
        <v>SCR-</v>
      </c>
      <c r="K1474" t="s">
        <v>10</v>
      </c>
      <c r="L1474">
        <v>1600</v>
      </c>
      <c r="M1474" t="s">
        <v>1472</v>
      </c>
      <c r="N1474" t="s">
        <v>11</v>
      </c>
      <c r="O1474">
        <v>0.67030000000000001</v>
      </c>
      <c r="P1474" s="45">
        <f t="shared" ref="P1474:P1503" si="102">ROUND(O1474*L1474,2)</f>
        <v>1072.48</v>
      </c>
      <c r="Q1474" s="13">
        <f>IF(N1474="HKD",7.8,IF(N1474="CNY",7.30034,1))</f>
        <v>7.3003400000000003</v>
      </c>
      <c r="R1474" s="15">
        <f>+ROUND(O1474/Q1474,4)</f>
        <v>9.1800000000000007E-2</v>
      </c>
      <c r="S1474" s="14">
        <f>ROUND(R1474*L1474,2)</f>
        <v>146.88</v>
      </c>
      <c r="T1474" s="15" t="s">
        <v>349</v>
      </c>
      <c r="U1474" t="s">
        <v>166</v>
      </c>
      <c r="W1474" s="49" t="e">
        <f t="shared" ref="W1474:W1503" si="103">IF(N1474="CNY",O1474/V1474*L1474,1)</f>
        <v>#DIV/0!</v>
      </c>
    </row>
    <row r="1475" spans="1:23" x14ac:dyDescent="0.2">
      <c r="A1475" t="s">
        <v>2628</v>
      </c>
      <c r="B1475" s="24">
        <v>45744</v>
      </c>
      <c r="C1475" s="24">
        <v>45721</v>
      </c>
      <c r="D1475" t="s">
        <v>21</v>
      </c>
      <c r="E1475" t="s">
        <v>22</v>
      </c>
      <c r="F1475" s="23"/>
      <c r="G1475" t="s">
        <v>2999</v>
      </c>
      <c r="H1475" t="s">
        <v>814</v>
      </c>
      <c r="I1475" t="s">
        <v>815</v>
      </c>
      <c r="J1475" s="11" t="str">
        <f>+LEFT(U1475,4)</f>
        <v>BRKT</v>
      </c>
      <c r="K1475" t="s">
        <v>10</v>
      </c>
      <c r="L1475">
        <v>1020</v>
      </c>
      <c r="M1475" t="s">
        <v>1472</v>
      </c>
      <c r="N1475" t="s">
        <v>11</v>
      </c>
      <c r="O1475">
        <v>0.60570000000000002</v>
      </c>
      <c r="P1475" s="45">
        <f t="shared" si="102"/>
        <v>617.80999999999995</v>
      </c>
      <c r="Q1475" s="13">
        <f>IF(N1475="HKD",7.8,IF(N1475="CNY",7.30034,1))</f>
        <v>7.3003400000000003</v>
      </c>
      <c r="R1475" s="15">
        <f>+ROUND(O1475/Q1475,4)</f>
        <v>8.3000000000000004E-2</v>
      </c>
      <c r="S1475" s="14">
        <f>ROUND(R1475*L1475,2)</f>
        <v>84.66</v>
      </c>
      <c r="T1475" s="15" t="s">
        <v>349</v>
      </c>
      <c r="U1475" t="s">
        <v>442</v>
      </c>
      <c r="W1475" s="49" t="e">
        <f t="shared" si="103"/>
        <v>#DIV/0!</v>
      </c>
    </row>
    <row r="1476" spans="1:23" x14ac:dyDescent="0.2">
      <c r="A1476" t="s">
        <v>2629</v>
      </c>
      <c r="B1476" s="24">
        <v>45744</v>
      </c>
      <c r="C1476" s="24">
        <v>45721</v>
      </c>
      <c r="D1476" t="s">
        <v>21</v>
      </c>
      <c r="E1476" t="s">
        <v>22</v>
      </c>
      <c r="F1476" s="23"/>
      <c r="G1476" t="s">
        <v>2999</v>
      </c>
      <c r="H1476" t="s">
        <v>793</v>
      </c>
      <c r="I1476" t="s">
        <v>794</v>
      </c>
      <c r="J1476" s="11" t="str">
        <f>+LEFT(U1476,4)</f>
        <v>FG--</v>
      </c>
      <c r="K1476" t="s">
        <v>10</v>
      </c>
      <c r="L1476">
        <v>1010</v>
      </c>
      <c r="M1476" t="s">
        <v>1472</v>
      </c>
      <c r="N1476" t="s">
        <v>11</v>
      </c>
      <c r="O1476">
        <v>0.62919999999999998</v>
      </c>
      <c r="P1476" s="45">
        <f t="shared" si="102"/>
        <v>635.49</v>
      </c>
      <c r="Q1476" s="13">
        <f>IF(N1476="HKD",7.8,IF(N1476="CNY",7.30034,1))</f>
        <v>7.3003400000000003</v>
      </c>
      <c r="R1476" s="15">
        <f>+ROUND(O1476/Q1476,4)</f>
        <v>8.6199999999999999E-2</v>
      </c>
      <c r="S1476" s="14">
        <f>ROUND(R1476*L1476,2)</f>
        <v>87.06</v>
      </c>
      <c r="T1476" s="15" t="s">
        <v>349</v>
      </c>
      <c r="U1476" t="s">
        <v>64</v>
      </c>
      <c r="W1476" s="49" t="e">
        <f t="shared" si="103"/>
        <v>#DIV/0!</v>
      </c>
    </row>
    <row r="1477" spans="1:23" x14ac:dyDescent="0.2">
      <c r="A1477" t="s">
        <v>2630</v>
      </c>
      <c r="B1477" s="24">
        <v>45744</v>
      </c>
      <c r="C1477" s="24">
        <v>45721</v>
      </c>
      <c r="D1477" t="s">
        <v>21</v>
      </c>
      <c r="E1477" t="s">
        <v>22</v>
      </c>
      <c r="F1477" s="23"/>
      <c r="G1477" t="s">
        <v>2999</v>
      </c>
      <c r="H1477" t="s">
        <v>19</v>
      </c>
      <c r="I1477" t="s">
        <v>20</v>
      </c>
      <c r="J1477" s="11" t="str">
        <f>+LEFT(U1477,4)</f>
        <v>MISC</v>
      </c>
      <c r="K1477" t="s">
        <v>10</v>
      </c>
      <c r="L1477">
        <v>2100</v>
      </c>
      <c r="M1477" t="s">
        <v>1472</v>
      </c>
      <c r="N1477" t="s">
        <v>11</v>
      </c>
      <c r="O1477">
        <v>0.24679999999999999</v>
      </c>
      <c r="P1477" s="45">
        <f t="shared" si="102"/>
        <v>518.28</v>
      </c>
      <c r="Q1477" s="13">
        <f>IF(N1477="HKD",7.8,IF(N1477="CNY",7.30034,1))</f>
        <v>7.3003400000000003</v>
      </c>
      <c r="R1477" s="15">
        <f>+ROUND(O1477/Q1477,4)</f>
        <v>3.3799999999999997E-2</v>
      </c>
      <c r="S1477" s="14">
        <f>ROUND(R1477*L1477,2)</f>
        <v>70.98</v>
      </c>
      <c r="T1477" s="15" t="s">
        <v>349</v>
      </c>
      <c r="U1477" t="s">
        <v>25</v>
      </c>
      <c r="W1477" s="49" t="e">
        <f t="shared" si="103"/>
        <v>#DIV/0!</v>
      </c>
    </row>
    <row r="1478" spans="1:23" x14ac:dyDescent="0.2">
      <c r="A1478" t="s">
        <v>2639</v>
      </c>
      <c r="B1478" s="24">
        <v>45744</v>
      </c>
      <c r="C1478" s="24">
        <v>45721</v>
      </c>
      <c r="D1478" t="s">
        <v>235</v>
      </c>
      <c r="E1478" t="s">
        <v>236</v>
      </c>
      <c r="F1478" s="23"/>
      <c r="G1478" t="s">
        <v>3021</v>
      </c>
      <c r="H1478" t="s">
        <v>1348</v>
      </c>
      <c r="I1478" t="s">
        <v>1349</v>
      </c>
      <c r="J1478" s="11" t="str">
        <f>+LEFT(U1478,4)</f>
        <v>SCR-</v>
      </c>
      <c r="K1478" t="s">
        <v>10</v>
      </c>
      <c r="L1478">
        <v>1500</v>
      </c>
      <c r="M1478" t="s">
        <v>1472</v>
      </c>
      <c r="N1478" t="s">
        <v>11</v>
      </c>
      <c r="O1478">
        <v>0.67030000000000001</v>
      </c>
      <c r="P1478" s="45">
        <f t="shared" si="102"/>
        <v>1005.45</v>
      </c>
      <c r="Q1478" s="13">
        <f>IF(N1478="HKD",7.8,IF(N1478="CNY",7.30034,1))</f>
        <v>7.3003400000000003</v>
      </c>
      <c r="R1478" s="15">
        <f>+ROUND(O1478/Q1478,4)</f>
        <v>9.1800000000000007E-2</v>
      </c>
      <c r="S1478" s="14">
        <f>ROUND(R1478*L1478,2)</f>
        <v>137.69999999999999</v>
      </c>
      <c r="T1478" s="15" t="s">
        <v>349</v>
      </c>
      <c r="U1478" t="s">
        <v>166</v>
      </c>
      <c r="W1478" s="49" t="e">
        <f t="shared" si="103"/>
        <v>#DIV/0!</v>
      </c>
    </row>
    <row r="1479" spans="1:23" x14ac:dyDescent="0.2">
      <c r="A1479" t="s">
        <v>2640</v>
      </c>
      <c r="B1479" s="24">
        <v>45744</v>
      </c>
      <c r="C1479" s="24">
        <v>45721</v>
      </c>
      <c r="D1479" t="s">
        <v>235</v>
      </c>
      <c r="E1479" t="s">
        <v>236</v>
      </c>
      <c r="F1479" s="23"/>
      <c r="G1479" t="s">
        <v>3021</v>
      </c>
      <c r="H1479" t="s">
        <v>239</v>
      </c>
      <c r="I1479" t="s">
        <v>240</v>
      </c>
      <c r="J1479" s="11" t="str">
        <f>+LEFT(U1479,4)</f>
        <v>RIV-</v>
      </c>
      <c r="K1479" t="s">
        <v>10</v>
      </c>
      <c r="L1479">
        <v>17200</v>
      </c>
      <c r="M1479" t="s">
        <v>1472</v>
      </c>
      <c r="N1479" t="s">
        <v>11</v>
      </c>
      <c r="O1479">
        <v>0.16120000000000001</v>
      </c>
      <c r="P1479" s="45">
        <f t="shared" si="102"/>
        <v>2772.64</v>
      </c>
      <c r="Q1479" s="13">
        <f>IF(N1479="HKD",7.8,IF(N1479="CNY",7.30034,1))</f>
        <v>7.3003400000000003</v>
      </c>
      <c r="R1479" s="15">
        <f>+ROUND(O1479/Q1479,4)</f>
        <v>2.2100000000000002E-2</v>
      </c>
      <c r="S1479" s="14">
        <f>ROUND(R1479*L1479,2)</f>
        <v>380.12</v>
      </c>
      <c r="T1479" s="15" t="s">
        <v>349</v>
      </c>
      <c r="U1479" t="s">
        <v>132</v>
      </c>
      <c r="W1479" s="49" t="e">
        <f t="shared" si="103"/>
        <v>#DIV/0!</v>
      </c>
    </row>
    <row r="1480" spans="1:23" x14ac:dyDescent="0.2">
      <c r="A1480" t="s">
        <v>2641</v>
      </c>
      <c r="B1480" s="24">
        <v>45744</v>
      </c>
      <c r="C1480" s="24">
        <v>45721</v>
      </c>
      <c r="D1480" t="s">
        <v>235</v>
      </c>
      <c r="E1480" t="s">
        <v>236</v>
      </c>
      <c r="F1480" s="23"/>
      <c r="G1480" t="s">
        <v>3021</v>
      </c>
      <c r="H1480" t="s">
        <v>1361</v>
      </c>
      <c r="I1480" t="s">
        <v>1362</v>
      </c>
      <c r="J1480" s="11" t="str">
        <f>+LEFT(U1480,4)</f>
        <v>RIV-</v>
      </c>
      <c r="K1480" t="s">
        <v>10</v>
      </c>
      <c r="L1480">
        <v>10000</v>
      </c>
      <c r="M1480" t="s">
        <v>1472</v>
      </c>
      <c r="N1480" t="s">
        <v>11</v>
      </c>
      <c r="O1480">
        <v>0.17649999999999999</v>
      </c>
      <c r="P1480" s="45">
        <f t="shared" si="102"/>
        <v>1765</v>
      </c>
      <c r="Q1480" s="13">
        <f>IF(N1480="HKD",7.8,IF(N1480="CNY",7.30034,1))</f>
        <v>7.3003400000000003</v>
      </c>
      <c r="R1480" s="15">
        <f>+ROUND(O1480/Q1480,4)</f>
        <v>2.4199999999999999E-2</v>
      </c>
      <c r="S1480" s="14">
        <f>ROUND(R1480*L1480,2)</f>
        <v>242</v>
      </c>
      <c r="T1480" s="15" t="s">
        <v>349</v>
      </c>
      <c r="U1480" t="s">
        <v>132</v>
      </c>
      <c r="W1480" s="49" t="e">
        <f t="shared" si="103"/>
        <v>#DIV/0!</v>
      </c>
    </row>
    <row r="1481" spans="1:23" x14ac:dyDescent="0.2">
      <c r="A1481" t="s">
        <v>2642</v>
      </c>
      <c r="B1481" s="24">
        <v>45744</v>
      </c>
      <c r="C1481" s="24">
        <v>45721</v>
      </c>
      <c r="D1481" t="s">
        <v>235</v>
      </c>
      <c r="E1481" t="s">
        <v>236</v>
      </c>
      <c r="F1481" s="23"/>
      <c r="G1481" t="s">
        <v>3021</v>
      </c>
      <c r="H1481" t="s">
        <v>1344</v>
      </c>
      <c r="I1481" t="s">
        <v>1345</v>
      </c>
      <c r="J1481" s="11" t="str">
        <f>+LEFT(U1481,4)</f>
        <v>SCR-</v>
      </c>
      <c r="K1481" t="s">
        <v>10</v>
      </c>
      <c r="L1481">
        <v>3050</v>
      </c>
      <c r="M1481" t="s">
        <v>1472</v>
      </c>
      <c r="N1481" t="s">
        <v>11</v>
      </c>
      <c r="O1481">
        <v>0.47449999999999998</v>
      </c>
      <c r="P1481" s="45">
        <f t="shared" si="102"/>
        <v>1447.23</v>
      </c>
      <c r="Q1481" s="13">
        <f>IF(N1481="HKD",7.8,IF(N1481="CNY",7.30034,1))</f>
        <v>7.3003400000000003</v>
      </c>
      <c r="R1481" s="15">
        <f>+ROUND(O1481/Q1481,4)</f>
        <v>6.5000000000000002E-2</v>
      </c>
      <c r="S1481" s="14">
        <f>ROUND(R1481*L1481,2)</f>
        <v>198.25</v>
      </c>
      <c r="T1481" s="15" t="s">
        <v>349</v>
      </c>
      <c r="U1481" t="s">
        <v>166</v>
      </c>
      <c r="W1481" s="49" t="e">
        <f t="shared" si="103"/>
        <v>#DIV/0!</v>
      </c>
    </row>
    <row r="1482" spans="1:23" x14ac:dyDescent="0.2">
      <c r="A1482" t="s">
        <v>2644</v>
      </c>
      <c r="B1482" s="24">
        <v>45744</v>
      </c>
      <c r="C1482" s="24">
        <v>45721</v>
      </c>
      <c r="D1482" t="s">
        <v>149</v>
      </c>
      <c r="E1482" t="s">
        <v>150</v>
      </c>
      <c r="F1482" s="23"/>
      <c r="G1482" t="s">
        <v>2995</v>
      </c>
      <c r="H1482" t="s">
        <v>781</v>
      </c>
      <c r="I1482" t="s">
        <v>782</v>
      </c>
      <c r="J1482" s="11" t="str">
        <f>+LEFT(U1482,4)</f>
        <v>GLID</v>
      </c>
      <c r="K1482" t="s">
        <v>10</v>
      </c>
      <c r="L1482">
        <v>1010</v>
      </c>
      <c r="M1482" t="s">
        <v>1472</v>
      </c>
      <c r="N1482" t="s">
        <v>11</v>
      </c>
      <c r="O1482">
        <v>3.1166</v>
      </c>
      <c r="P1482" s="45">
        <f t="shared" si="102"/>
        <v>3147.77</v>
      </c>
      <c r="Q1482" s="13">
        <f>IF(N1482="HKD",7.8,IF(N1482="CNY",7.30034,1))</f>
        <v>7.3003400000000003</v>
      </c>
      <c r="R1482" s="15">
        <f>+ROUND(O1482/Q1482,4)</f>
        <v>0.4269</v>
      </c>
      <c r="S1482" s="14">
        <f>ROUND(R1482*L1482,2)</f>
        <v>431.17</v>
      </c>
      <c r="T1482" s="15" t="s">
        <v>349</v>
      </c>
      <c r="U1482" t="s">
        <v>78</v>
      </c>
      <c r="W1482" s="49" t="e">
        <f t="shared" si="103"/>
        <v>#DIV/0!</v>
      </c>
    </row>
    <row r="1483" spans="1:23" x14ac:dyDescent="0.2">
      <c r="A1483" t="s">
        <v>2725</v>
      </c>
      <c r="B1483" s="24">
        <v>45744</v>
      </c>
      <c r="C1483" s="24">
        <v>45728</v>
      </c>
      <c r="D1483" t="s">
        <v>235</v>
      </c>
      <c r="E1483" t="s">
        <v>236</v>
      </c>
      <c r="F1483" s="23"/>
      <c r="G1483" t="s">
        <v>3040</v>
      </c>
      <c r="H1483" t="s">
        <v>233</v>
      </c>
      <c r="I1483" t="s">
        <v>234</v>
      </c>
      <c r="J1483" s="11" t="str">
        <f>+LEFT(U1483,4)</f>
        <v>RIV-</v>
      </c>
      <c r="K1483" t="s">
        <v>10</v>
      </c>
      <c r="L1483">
        <v>6000</v>
      </c>
      <c r="M1483" t="s">
        <v>1472</v>
      </c>
      <c r="N1483" t="s">
        <v>11</v>
      </c>
      <c r="O1483">
        <v>4.1599999999999998E-2</v>
      </c>
      <c r="P1483" s="45">
        <f t="shared" si="102"/>
        <v>249.6</v>
      </c>
      <c r="Q1483" s="13">
        <f>IF(N1483="HKD",7.8,IF(N1483="CNY",7.30034,1))</f>
        <v>7.3003400000000003</v>
      </c>
      <c r="R1483" s="15">
        <f>+ROUND(O1483/Q1483,4)</f>
        <v>5.7000000000000002E-3</v>
      </c>
      <c r="S1483" s="14">
        <f>ROUND(R1483*L1483,2)</f>
        <v>34.200000000000003</v>
      </c>
      <c r="T1483" s="15" t="s">
        <v>349</v>
      </c>
      <c r="U1483" t="s">
        <v>132</v>
      </c>
      <c r="W1483" s="49" t="e">
        <f t="shared" si="103"/>
        <v>#DIV/0!</v>
      </c>
    </row>
    <row r="1484" spans="1:23" x14ac:dyDescent="0.2">
      <c r="A1484" t="s">
        <v>2726</v>
      </c>
      <c r="B1484" s="24">
        <v>45744</v>
      </c>
      <c r="C1484" s="24">
        <v>45728</v>
      </c>
      <c r="D1484" t="s">
        <v>235</v>
      </c>
      <c r="E1484" t="s">
        <v>236</v>
      </c>
      <c r="F1484" s="23"/>
      <c r="G1484" t="s">
        <v>3040</v>
      </c>
      <c r="H1484" t="s">
        <v>1352</v>
      </c>
      <c r="I1484" t="s">
        <v>1353</v>
      </c>
      <c r="J1484" s="11" t="str">
        <f>+LEFT(U1484,4)</f>
        <v>RIV-</v>
      </c>
      <c r="K1484" t="s">
        <v>10</v>
      </c>
      <c r="L1484">
        <v>30000</v>
      </c>
      <c r="M1484" t="s">
        <v>1472</v>
      </c>
      <c r="N1484" t="s">
        <v>11</v>
      </c>
      <c r="O1484">
        <v>0.1328</v>
      </c>
      <c r="P1484" s="45">
        <f t="shared" si="102"/>
        <v>3984</v>
      </c>
      <c r="Q1484" s="13">
        <f>IF(N1484="HKD",7.8,IF(N1484="CNY",7.30034,1))</f>
        <v>7.3003400000000003</v>
      </c>
      <c r="R1484" s="15">
        <f>+ROUND(O1484/Q1484,4)</f>
        <v>1.8200000000000001E-2</v>
      </c>
      <c r="S1484" s="14">
        <f>ROUND(R1484*L1484,2)</f>
        <v>546</v>
      </c>
      <c r="T1484" s="15" t="s">
        <v>349</v>
      </c>
      <c r="U1484" t="s">
        <v>132</v>
      </c>
      <c r="W1484" s="49" t="e">
        <f t="shared" si="103"/>
        <v>#DIV/0!</v>
      </c>
    </row>
    <row r="1485" spans="1:23" x14ac:dyDescent="0.2">
      <c r="A1485" t="s">
        <v>2727</v>
      </c>
      <c r="B1485" s="24">
        <v>45744</v>
      </c>
      <c r="C1485" s="24">
        <v>45728</v>
      </c>
      <c r="D1485" t="s">
        <v>235</v>
      </c>
      <c r="E1485" t="s">
        <v>236</v>
      </c>
      <c r="F1485" s="23"/>
      <c r="G1485" t="s">
        <v>3040</v>
      </c>
      <c r="H1485" t="s">
        <v>1344</v>
      </c>
      <c r="I1485" t="s">
        <v>1345</v>
      </c>
      <c r="J1485" s="11" t="str">
        <f>+LEFT(U1485,4)</f>
        <v>SCR-</v>
      </c>
      <c r="K1485" t="s">
        <v>10</v>
      </c>
      <c r="L1485">
        <v>3600</v>
      </c>
      <c r="M1485" t="s">
        <v>1472</v>
      </c>
      <c r="N1485" t="s">
        <v>11</v>
      </c>
      <c r="O1485">
        <v>0.47449999999999998</v>
      </c>
      <c r="P1485" s="45">
        <f t="shared" si="102"/>
        <v>1708.2</v>
      </c>
      <c r="Q1485" s="13">
        <f>IF(N1485="HKD",7.8,IF(N1485="CNY",7.30034,1))</f>
        <v>7.3003400000000003</v>
      </c>
      <c r="R1485" s="15">
        <f>+ROUND(O1485/Q1485,4)</f>
        <v>6.5000000000000002E-2</v>
      </c>
      <c r="S1485" s="14">
        <f>ROUND(R1485*L1485,2)</f>
        <v>234</v>
      </c>
      <c r="T1485" s="15" t="s">
        <v>349</v>
      </c>
      <c r="U1485" t="s">
        <v>166</v>
      </c>
      <c r="W1485" s="49" t="e">
        <f t="shared" si="103"/>
        <v>#DIV/0!</v>
      </c>
    </row>
    <row r="1486" spans="1:23" x14ac:dyDescent="0.2">
      <c r="A1486" t="s">
        <v>2728</v>
      </c>
      <c r="B1486" s="24">
        <v>45744</v>
      </c>
      <c r="C1486" s="24">
        <v>45728</v>
      </c>
      <c r="D1486" t="s">
        <v>235</v>
      </c>
      <c r="E1486" t="s">
        <v>236</v>
      </c>
      <c r="F1486" s="23"/>
      <c r="G1486" t="s">
        <v>3040</v>
      </c>
      <c r="H1486" t="s">
        <v>1348</v>
      </c>
      <c r="I1486" t="s">
        <v>1349</v>
      </c>
      <c r="J1486" s="11" t="str">
        <f>+LEFT(U1486,4)</f>
        <v>SCR-</v>
      </c>
      <c r="K1486" t="s">
        <v>10</v>
      </c>
      <c r="L1486">
        <v>3000</v>
      </c>
      <c r="M1486" t="s">
        <v>1472</v>
      </c>
      <c r="N1486" t="s">
        <v>11</v>
      </c>
      <c r="O1486">
        <v>0.67030000000000001</v>
      </c>
      <c r="P1486" s="45">
        <f t="shared" si="102"/>
        <v>2010.9</v>
      </c>
      <c r="Q1486" s="13">
        <f>IF(N1486="HKD",7.8,IF(N1486="CNY",7.30034,1))</f>
        <v>7.3003400000000003</v>
      </c>
      <c r="R1486" s="15">
        <f>+ROUND(O1486/Q1486,4)</f>
        <v>9.1800000000000007E-2</v>
      </c>
      <c r="S1486" s="14">
        <f>ROUND(R1486*L1486,2)</f>
        <v>275.39999999999998</v>
      </c>
      <c r="T1486" s="15" t="s">
        <v>349</v>
      </c>
      <c r="U1486" t="s">
        <v>166</v>
      </c>
      <c r="W1486" s="49" t="e">
        <f t="shared" si="103"/>
        <v>#DIV/0!</v>
      </c>
    </row>
    <row r="1487" spans="1:23" x14ac:dyDescent="0.2">
      <c r="A1487" t="s">
        <v>2755</v>
      </c>
      <c r="B1487" s="24">
        <v>45744</v>
      </c>
      <c r="C1487" s="24">
        <v>45729</v>
      </c>
      <c r="D1487" t="s">
        <v>149</v>
      </c>
      <c r="E1487" t="s">
        <v>150</v>
      </c>
      <c r="F1487" s="23"/>
      <c r="G1487" t="s">
        <v>2995</v>
      </c>
      <c r="H1487" t="s">
        <v>3211</v>
      </c>
      <c r="I1487" t="s">
        <v>3418</v>
      </c>
      <c r="J1487" s="11" t="str">
        <f>+LEFT(U1487,4)</f>
        <v>GLID</v>
      </c>
      <c r="K1487" t="s">
        <v>10</v>
      </c>
      <c r="L1487">
        <v>1010</v>
      </c>
      <c r="M1487" t="s">
        <v>1472</v>
      </c>
      <c r="N1487" t="s">
        <v>11</v>
      </c>
      <c r="O1487">
        <v>5.1798000000000002</v>
      </c>
      <c r="P1487" s="45">
        <f t="shared" si="102"/>
        <v>5231.6000000000004</v>
      </c>
      <c r="Q1487" s="13">
        <f>IF(N1487="HKD",7.8,IF(N1487="CNY",7.30034,1))</f>
        <v>7.3003400000000003</v>
      </c>
      <c r="R1487" s="15">
        <f>+ROUND(O1487/Q1487,4)</f>
        <v>0.70950000000000002</v>
      </c>
      <c r="S1487" s="14">
        <f>ROUND(R1487*L1487,2)</f>
        <v>716.6</v>
      </c>
      <c r="T1487" s="15" t="s">
        <v>349</v>
      </c>
      <c r="U1487" t="s">
        <v>78</v>
      </c>
      <c r="W1487" s="49" t="e">
        <f t="shared" si="103"/>
        <v>#DIV/0!</v>
      </c>
    </row>
    <row r="1488" spans="1:23" x14ac:dyDescent="0.2">
      <c r="A1488" t="s">
        <v>2810</v>
      </c>
      <c r="B1488" s="24">
        <v>45744</v>
      </c>
      <c r="C1488" s="24">
        <v>45742</v>
      </c>
      <c r="D1488" t="s">
        <v>2253</v>
      </c>
      <c r="E1488" t="s">
        <v>2254</v>
      </c>
      <c r="F1488" s="23"/>
      <c r="G1488" t="s">
        <v>3056</v>
      </c>
      <c r="H1488" t="s">
        <v>3270</v>
      </c>
      <c r="I1488" t="s">
        <v>3477</v>
      </c>
      <c r="J1488" s="11" t="str">
        <f>+LEFT(U1488,4)</f>
        <v>MISC</v>
      </c>
      <c r="K1488" t="s">
        <v>10</v>
      </c>
      <c r="L1488">
        <v>3000</v>
      </c>
      <c r="M1488" t="s">
        <v>186</v>
      </c>
      <c r="N1488" t="s">
        <v>11</v>
      </c>
      <c r="O1488">
        <v>6.1504000000000003</v>
      </c>
      <c r="P1488" s="45">
        <f t="shared" si="102"/>
        <v>18451.2</v>
      </c>
      <c r="Q1488" s="13">
        <f>IF(N1488="HKD",7.8,IF(N1488="CNY",7.30034,1))</f>
        <v>7.3003400000000003</v>
      </c>
      <c r="R1488" s="15">
        <f>+ROUND(O1488/Q1488,4)</f>
        <v>0.84250000000000003</v>
      </c>
      <c r="S1488" s="14">
        <f>ROUND(R1488*L1488,2)</f>
        <v>2527.5</v>
      </c>
      <c r="T1488" s="15" t="s">
        <v>349</v>
      </c>
      <c r="U1488" t="s">
        <v>25</v>
      </c>
      <c r="W1488" s="49" t="e">
        <f t="shared" si="103"/>
        <v>#DIV/0!</v>
      </c>
    </row>
    <row r="1489" spans="1:23" x14ac:dyDescent="0.2">
      <c r="A1489" t="s">
        <v>2368</v>
      </c>
      <c r="B1489" s="24">
        <v>45747</v>
      </c>
      <c r="C1489" s="24">
        <v>45695</v>
      </c>
      <c r="D1489" t="s">
        <v>651</v>
      </c>
      <c r="E1489" t="s">
        <v>652</v>
      </c>
      <c r="F1489" s="23"/>
      <c r="G1489" t="s">
        <v>2906</v>
      </c>
      <c r="H1489" t="s">
        <v>1760</v>
      </c>
      <c r="I1489" t="s">
        <v>1761</v>
      </c>
      <c r="J1489" s="11" t="str">
        <f>+LEFT(U1489,4)</f>
        <v>KNOB</v>
      </c>
      <c r="K1489" t="s">
        <v>10</v>
      </c>
      <c r="L1489">
        <v>2900</v>
      </c>
      <c r="M1489" t="s">
        <v>1472</v>
      </c>
      <c r="N1489" t="s">
        <v>11</v>
      </c>
      <c r="O1489">
        <v>4.4776999999999996</v>
      </c>
      <c r="P1489" s="45">
        <f t="shared" si="102"/>
        <v>12985.33</v>
      </c>
      <c r="Q1489" s="13">
        <f>IF(N1489="HKD",7.8,IF(N1489="CNY",7.30034,1))</f>
        <v>7.3003400000000003</v>
      </c>
      <c r="R1489" s="15">
        <f>+ROUND(O1489/Q1489,4)</f>
        <v>0.61339999999999995</v>
      </c>
      <c r="S1489" s="14">
        <f>ROUND(R1489*L1489,2)</f>
        <v>1778.86</v>
      </c>
      <c r="T1489" s="15" t="s">
        <v>349</v>
      </c>
      <c r="U1489" t="s">
        <v>32</v>
      </c>
      <c r="W1489" s="49" t="e">
        <f t="shared" si="103"/>
        <v>#DIV/0!</v>
      </c>
    </row>
    <row r="1490" spans="1:23" x14ac:dyDescent="0.2">
      <c r="A1490" t="s">
        <v>2401</v>
      </c>
      <c r="B1490" s="24">
        <v>45747</v>
      </c>
      <c r="C1490" s="24">
        <v>45698</v>
      </c>
      <c r="D1490" t="s">
        <v>925</v>
      </c>
      <c r="E1490" t="s">
        <v>926</v>
      </c>
      <c r="F1490" s="23"/>
      <c r="G1490" t="s">
        <v>2924</v>
      </c>
      <c r="H1490" t="s">
        <v>3099</v>
      </c>
      <c r="I1490" t="s">
        <v>3314</v>
      </c>
      <c r="J1490" s="11" t="str">
        <f>+LEFT(U1490,4)</f>
        <v>HDL-</v>
      </c>
      <c r="K1490" t="s">
        <v>10</v>
      </c>
      <c r="L1490">
        <v>520</v>
      </c>
      <c r="M1490" t="s">
        <v>1472</v>
      </c>
      <c r="N1490" t="s">
        <v>11</v>
      </c>
      <c r="O1490">
        <v>9.6722999999999999</v>
      </c>
      <c r="P1490" s="45">
        <f t="shared" si="102"/>
        <v>5029.6000000000004</v>
      </c>
      <c r="Q1490" s="13">
        <f>IF(N1490="HKD",7.8,IF(N1490="CNY",7.30034,1))</f>
        <v>7.3003400000000003</v>
      </c>
      <c r="R1490" s="15">
        <f>+ROUND(O1490/Q1490,4)</f>
        <v>1.3249</v>
      </c>
      <c r="S1490" s="14">
        <f>ROUND(R1490*L1490,2)</f>
        <v>688.95</v>
      </c>
      <c r="T1490" s="15" t="s">
        <v>349</v>
      </c>
      <c r="U1490" t="s">
        <v>228</v>
      </c>
      <c r="W1490" s="49" t="e">
        <f t="shared" si="103"/>
        <v>#DIV/0!</v>
      </c>
    </row>
    <row r="1491" spans="1:23" x14ac:dyDescent="0.2">
      <c r="A1491" t="s">
        <v>2426</v>
      </c>
      <c r="B1491" s="24">
        <v>45747</v>
      </c>
      <c r="C1491" s="24">
        <v>45702</v>
      </c>
      <c r="D1491" t="s">
        <v>651</v>
      </c>
      <c r="E1491" t="s">
        <v>652</v>
      </c>
      <c r="F1491" s="23"/>
      <c r="G1491" t="s">
        <v>2906</v>
      </c>
      <c r="H1491" t="s">
        <v>3115</v>
      </c>
      <c r="I1491" t="s">
        <v>3329</v>
      </c>
      <c r="J1491" s="11" t="str">
        <f>+LEFT(U1491,4)</f>
        <v>HDL-</v>
      </c>
      <c r="K1491" t="s">
        <v>10</v>
      </c>
      <c r="L1491">
        <v>1020</v>
      </c>
      <c r="M1491" t="s">
        <v>1472</v>
      </c>
      <c r="N1491" t="s">
        <v>11</v>
      </c>
      <c r="O1491">
        <v>2.5788000000000002</v>
      </c>
      <c r="P1491" s="45">
        <f t="shared" si="102"/>
        <v>2630.38</v>
      </c>
      <c r="Q1491" s="13">
        <f>IF(N1491="HKD",7.8,IF(N1491="CNY",7.30034,1))</f>
        <v>7.3003400000000003</v>
      </c>
      <c r="R1491" s="15">
        <f>+ROUND(O1491/Q1491,4)</f>
        <v>0.35320000000000001</v>
      </c>
      <c r="S1491" s="14">
        <f>ROUND(R1491*L1491,2)</f>
        <v>360.26</v>
      </c>
      <c r="T1491" s="15" t="s">
        <v>349</v>
      </c>
      <c r="U1491" t="s">
        <v>228</v>
      </c>
      <c r="W1491" s="49" t="e">
        <f t="shared" si="103"/>
        <v>#DIV/0!</v>
      </c>
    </row>
    <row r="1492" spans="1:23" x14ac:dyDescent="0.2">
      <c r="A1492" t="s">
        <v>2488</v>
      </c>
      <c r="B1492" s="24">
        <v>45747</v>
      </c>
      <c r="C1492" s="24">
        <v>45712</v>
      </c>
      <c r="D1492" t="s">
        <v>2257</v>
      </c>
      <c r="E1492" t="s">
        <v>2258</v>
      </c>
      <c r="F1492" s="23"/>
      <c r="G1492" t="s">
        <v>2952</v>
      </c>
      <c r="H1492" t="s">
        <v>3148</v>
      </c>
      <c r="I1492" t="s">
        <v>3358</v>
      </c>
      <c r="J1492" s="11" t="str">
        <f>+LEFT(U1492,4)</f>
        <v>HDL-</v>
      </c>
      <c r="K1492" t="s">
        <v>10</v>
      </c>
      <c r="L1492">
        <v>1800</v>
      </c>
      <c r="M1492" t="s">
        <v>1472</v>
      </c>
      <c r="N1492" t="s">
        <v>11</v>
      </c>
      <c r="O1492">
        <v>7.6459999999999999</v>
      </c>
      <c r="P1492" s="45">
        <f t="shared" si="102"/>
        <v>13762.8</v>
      </c>
      <c r="Q1492" s="13">
        <f>IF(N1492="HKD",7.8,IF(N1492="CNY",7.30034,1))</f>
        <v>7.3003400000000003</v>
      </c>
      <c r="R1492" s="15">
        <f>+ROUND(O1492/Q1492,4)</f>
        <v>1.0472999999999999</v>
      </c>
      <c r="S1492" s="14">
        <f>ROUND(R1492*L1492,2)</f>
        <v>1885.14</v>
      </c>
      <c r="T1492" s="15" t="s">
        <v>349</v>
      </c>
      <c r="U1492" t="s">
        <v>228</v>
      </c>
      <c r="W1492" s="49" t="e">
        <f t="shared" si="103"/>
        <v>#DIV/0!</v>
      </c>
    </row>
    <row r="1493" spans="1:23" x14ac:dyDescent="0.2">
      <c r="A1493" t="s">
        <v>2494</v>
      </c>
      <c r="B1493" s="24">
        <v>45747</v>
      </c>
      <c r="C1493" s="24">
        <v>45713</v>
      </c>
      <c r="D1493" t="s">
        <v>2257</v>
      </c>
      <c r="E1493" t="s">
        <v>2258</v>
      </c>
      <c r="F1493" s="23"/>
      <c r="G1493" t="s">
        <v>2952</v>
      </c>
      <c r="H1493" t="s">
        <v>1798</v>
      </c>
      <c r="I1493" t="s">
        <v>1799</v>
      </c>
      <c r="J1493" s="11" t="str">
        <f>+LEFT(U1493,4)</f>
        <v>HDL-</v>
      </c>
      <c r="K1493" t="s">
        <v>10</v>
      </c>
      <c r="L1493">
        <v>2200</v>
      </c>
      <c r="M1493" t="s">
        <v>1472</v>
      </c>
      <c r="N1493" t="s">
        <v>11</v>
      </c>
      <c r="O1493">
        <v>7.4931000000000001</v>
      </c>
      <c r="P1493" s="45">
        <f t="shared" si="102"/>
        <v>16484.82</v>
      </c>
      <c r="Q1493" s="13">
        <f>IF(N1493="HKD",7.8,IF(N1493="CNY",7.30034,1))</f>
        <v>7.3003400000000003</v>
      </c>
      <c r="R1493" s="15">
        <f>+ROUND(O1493/Q1493,4)</f>
        <v>1.0264</v>
      </c>
      <c r="S1493" s="14">
        <f>ROUND(R1493*L1493,2)</f>
        <v>2258.08</v>
      </c>
      <c r="T1493" s="15" t="s">
        <v>349</v>
      </c>
      <c r="U1493" t="s">
        <v>228</v>
      </c>
      <c r="W1493" s="49" t="e">
        <f t="shared" si="103"/>
        <v>#DIV/0!</v>
      </c>
    </row>
    <row r="1494" spans="1:23" x14ac:dyDescent="0.2">
      <c r="A1494" t="s">
        <v>2505</v>
      </c>
      <c r="B1494" s="24">
        <v>45747</v>
      </c>
      <c r="C1494" s="24">
        <v>45713</v>
      </c>
      <c r="D1494" t="s">
        <v>2257</v>
      </c>
      <c r="E1494" t="s">
        <v>2258</v>
      </c>
      <c r="F1494" s="23"/>
      <c r="G1494" t="s">
        <v>2952</v>
      </c>
      <c r="H1494" t="s">
        <v>3152</v>
      </c>
      <c r="I1494" t="s">
        <v>3362</v>
      </c>
      <c r="J1494" s="11" t="str">
        <f>+LEFT(U1494,4)</f>
        <v>HDL-</v>
      </c>
      <c r="K1494" t="s">
        <v>10</v>
      </c>
      <c r="L1494">
        <v>3600</v>
      </c>
      <c r="M1494" t="s">
        <v>1472</v>
      </c>
      <c r="N1494" t="s">
        <v>11</v>
      </c>
      <c r="O1494">
        <v>7.4931000000000001</v>
      </c>
      <c r="P1494" s="45">
        <f t="shared" si="102"/>
        <v>26975.16</v>
      </c>
      <c r="Q1494" s="13">
        <f>IF(N1494="HKD",7.8,IF(N1494="CNY",7.30034,1))</f>
        <v>7.3003400000000003</v>
      </c>
      <c r="R1494" s="15">
        <f>+ROUND(O1494/Q1494,4)</f>
        <v>1.0264</v>
      </c>
      <c r="S1494" s="14">
        <f>ROUND(R1494*L1494,2)</f>
        <v>3695.04</v>
      </c>
      <c r="T1494" s="15" t="s">
        <v>349</v>
      </c>
      <c r="U1494" t="s">
        <v>228</v>
      </c>
      <c r="W1494" s="49" t="e">
        <f t="shared" si="103"/>
        <v>#DIV/0!</v>
      </c>
    </row>
    <row r="1495" spans="1:23" x14ac:dyDescent="0.2">
      <c r="A1495" t="s">
        <v>2506</v>
      </c>
      <c r="B1495" s="24">
        <v>45747</v>
      </c>
      <c r="C1495" s="24">
        <v>45713</v>
      </c>
      <c r="D1495" t="s">
        <v>2257</v>
      </c>
      <c r="E1495" t="s">
        <v>2258</v>
      </c>
      <c r="F1495" s="23"/>
      <c r="G1495" t="s">
        <v>2952</v>
      </c>
      <c r="H1495" t="s">
        <v>1802</v>
      </c>
      <c r="I1495" t="s">
        <v>1803</v>
      </c>
      <c r="J1495" s="11" t="str">
        <f>+LEFT(U1495,4)</f>
        <v>HDL-</v>
      </c>
      <c r="K1495" t="s">
        <v>10</v>
      </c>
      <c r="L1495">
        <v>3550</v>
      </c>
      <c r="M1495" t="s">
        <v>1472</v>
      </c>
      <c r="N1495" t="s">
        <v>11</v>
      </c>
      <c r="O1495">
        <v>7.4931000000000001</v>
      </c>
      <c r="P1495" s="45">
        <f t="shared" si="102"/>
        <v>26600.51</v>
      </c>
      <c r="Q1495" s="13">
        <f>IF(N1495="HKD",7.8,IF(N1495="CNY",7.30034,1))</f>
        <v>7.3003400000000003</v>
      </c>
      <c r="R1495" s="15">
        <f>+ROUND(O1495/Q1495,4)</f>
        <v>1.0264</v>
      </c>
      <c r="S1495" s="14">
        <f>ROUND(R1495*L1495,2)</f>
        <v>3643.72</v>
      </c>
      <c r="T1495" s="15" t="s">
        <v>349</v>
      </c>
      <c r="U1495" t="s">
        <v>228</v>
      </c>
      <c r="W1495" s="49" t="e">
        <f t="shared" si="103"/>
        <v>#DIV/0!</v>
      </c>
    </row>
    <row r="1496" spans="1:23" x14ac:dyDescent="0.2">
      <c r="A1496" t="s">
        <v>2537</v>
      </c>
      <c r="B1496" s="24">
        <v>45747</v>
      </c>
      <c r="C1496" s="24">
        <v>45714</v>
      </c>
      <c r="D1496" t="s">
        <v>94</v>
      </c>
      <c r="E1496" t="s">
        <v>95</v>
      </c>
      <c r="F1496" s="23"/>
      <c r="G1496" t="s">
        <v>2979</v>
      </c>
      <c r="H1496" t="s">
        <v>3165</v>
      </c>
      <c r="I1496" t="s">
        <v>3375</v>
      </c>
      <c r="J1496" s="11" t="str">
        <f>+LEFT(U1496,4)</f>
        <v>LID-</v>
      </c>
      <c r="K1496" t="s">
        <v>98</v>
      </c>
      <c r="L1496">
        <v>1514</v>
      </c>
      <c r="M1496" t="s">
        <v>1472</v>
      </c>
      <c r="N1496" t="s">
        <v>11</v>
      </c>
      <c r="O1496">
        <v>4.37</v>
      </c>
      <c r="P1496" s="45">
        <f t="shared" si="102"/>
        <v>6616.18</v>
      </c>
      <c r="Q1496" s="13">
        <f>IF(N1496="HKD",7.8,IF(N1496="CNY",7.30034,1))</f>
        <v>7.3003400000000003</v>
      </c>
      <c r="R1496" s="15">
        <f>+ROUND(O1496/Q1496,4)</f>
        <v>0.59860000000000002</v>
      </c>
      <c r="S1496" s="14">
        <f>ROUND(R1496*L1496,2)</f>
        <v>906.28</v>
      </c>
      <c r="T1496" s="15" t="s">
        <v>349</v>
      </c>
      <c r="U1496" t="s">
        <v>368</v>
      </c>
      <c r="W1496" s="49" t="e">
        <f t="shared" si="103"/>
        <v>#DIV/0!</v>
      </c>
    </row>
    <row r="1497" spans="1:23" x14ac:dyDescent="0.2">
      <c r="A1497" t="s">
        <v>2540</v>
      </c>
      <c r="B1497" s="24">
        <v>45747</v>
      </c>
      <c r="C1497" s="24">
        <v>45714</v>
      </c>
      <c r="D1497" t="s">
        <v>830</v>
      </c>
      <c r="E1497" t="s">
        <v>831</v>
      </c>
      <c r="F1497" s="23"/>
      <c r="G1497" t="s">
        <v>2986</v>
      </c>
      <c r="H1497" t="s">
        <v>3166</v>
      </c>
      <c r="I1497" t="s">
        <v>3376</v>
      </c>
      <c r="J1497" s="11" t="str">
        <f>+LEFT(U1497,4)</f>
        <v>LID-</v>
      </c>
      <c r="K1497" t="s">
        <v>98</v>
      </c>
      <c r="L1497">
        <v>1920</v>
      </c>
      <c r="M1497" t="s">
        <v>1472</v>
      </c>
      <c r="N1497" t="s">
        <v>11</v>
      </c>
      <c r="O1497">
        <v>4.2</v>
      </c>
      <c r="P1497" s="45">
        <f t="shared" si="102"/>
        <v>8064</v>
      </c>
      <c r="Q1497" s="13">
        <f>IF(N1497="HKD",7.8,IF(N1497="CNY",7.30034,1))</f>
        <v>7.3003400000000003</v>
      </c>
      <c r="R1497" s="15">
        <f>+ROUND(O1497/Q1497,4)</f>
        <v>0.57530000000000003</v>
      </c>
      <c r="S1497" s="14">
        <f>ROUND(R1497*L1497,2)</f>
        <v>1104.58</v>
      </c>
      <c r="T1497" s="15" t="s">
        <v>349</v>
      </c>
      <c r="U1497" t="s">
        <v>368</v>
      </c>
      <c r="W1497" s="49" t="e">
        <f t="shared" si="103"/>
        <v>#DIV/0!</v>
      </c>
    </row>
    <row r="1498" spans="1:23" x14ac:dyDescent="0.2">
      <c r="A1498" t="s">
        <v>2631</v>
      </c>
      <c r="B1498" s="24">
        <v>45747</v>
      </c>
      <c r="C1498" s="24">
        <v>45721</v>
      </c>
      <c r="D1498" t="s">
        <v>651</v>
      </c>
      <c r="E1498" t="s">
        <v>652</v>
      </c>
      <c r="F1498" s="23"/>
      <c r="G1498" t="s">
        <v>3019</v>
      </c>
      <c r="H1498" t="s">
        <v>649</v>
      </c>
      <c r="I1498" t="s">
        <v>650</v>
      </c>
      <c r="J1498" s="11" t="str">
        <f>+LEFT(U1498,4)</f>
        <v>HDL-</v>
      </c>
      <c r="K1498" t="s">
        <v>10</v>
      </c>
      <c r="L1498">
        <v>1020</v>
      </c>
      <c r="M1498" t="s">
        <v>1472</v>
      </c>
      <c r="N1498" t="s">
        <v>11</v>
      </c>
      <c r="O1498">
        <v>1.5</v>
      </c>
      <c r="P1498" s="45">
        <f t="shared" si="102"/>
        <v>1530</v>
      </c>
      <c r="Q1498" s="13">
        <f>IF(N1498="HKD",7.8,IF(N1498="CNY",7.30034,1))</f>
        <v>7.3003400000000003</v>
      </c>
      <c r="R1498" s="15">
        <f>+ROUND(O1498/Q1498,4)</f>
        <v>0.20549999999999999</v>
      </c>
      <c r="S1498" s="14">
        <f>ROUND(R1498*L1498,2)</f>
        <v>209.61</v>
      </c>
      <c r="T1498" s="15" t="s">
        <v>349</v>
      </c>
      <c r="U1498" t="s">
        <v>228</v>
      </c>
      <c r="W1498" s="49" t="e">
        <f t="shared" si="103"/>
        <v>#DIV/0!</v>
      </c>
    </row>
    <row r="1499" spans="1:23" x14ac:dyDescent="0.2">
      <c r="A1499" t="s">
        <v>2632</v>
      </c>
      <c r="B1499" s="24">
        <v>45747</v>
      </c>
      <c r="C1499" s="24">
        <v>45721</v>
      </c>
      <c r="D1499" t="s">
        <v>651</v>
      </c>
      <c r="E1499" t="s">
        <v>652</v>
      </c>
      <c r="F1499" s="23"/>
      <c r="G1499" t="s">
        <v>3019</v>
      </c>
      <c r="H1499" t="s">
        <v>3200</v>
      </c>
      <c r="I1499" t="s">
        <v>3407</v>
      </c>
      <c r="J1499" s="11" t="str">
        <f>+LEFT(U1499,4)</f>
        <v>HDL-</v>
      </c>
      <c r="K1499" t="s">
        <v>10</v>
      </c>
      <c r="L1499">
        <v>1250</v>
      </c>
      <c r="M1499" t="s">
        <v>1472</v>
      </c>
      <c r="N1499" t="s">
        <v>11</v>
      </c>
      <c r="O1499">
        <v>2.3879999999999999</v>
      </c>
      <c r="P1499" s="45">
        <f t="shared" si="102"/>
        <v>2985</v>
      </c>
      <c r="Q1499" s="13">
        <f>IF(N1499="HKD",7.8,IF(N1499="CNY",7.30034,1))</f>
        <v>7.3003400000000003</v>
      </c>
      <c r="R1499" s="15">
        <f>+ROUND(O1499/Q1499,4)</f>
        <v>0.3271</v>
      </c>
      <c r="S1499" s="14">
        <f>ROUND(R1499*L1499,2)</f>
        <v>408.88</v>
      </c>
      <c r="T1499" s="15" t="s">
        <v>349</v>
      </c>
      <c r="U1499" t="s">
        <v>228</v>
      </c>
      <c r="W1499" s="49" t="e">
        <f t="shared" si="103"/>
        <v>#DIV/0!</v>
      </c>
    </row>
    <row r="1500" spans="1:23" x14ac:dyDescent="0.2">
      <c r="A1500" t="s">
        <v>2692</v>
      </c>
      <c r="B1500" s="24">
        <v>45747</v>
      </c>
      <c r="C1500" s="24">
        <v>45728</v>
      </c>
      <c r="D1500" t="s">
        <v>280</v>
      </c>
      <c r="E1500" t="s">
        <v>281</v>
      </c>
      <c r="F1500" s="23"/>
      <c r="G1500" t="s">
        <v>3032</v>
      </c>
      <c r="H1500" t="s">
        <v>284</v>
      </c>
      <c r="I1500" t="s">
        <v>285</v>
      </c>
      <c r="J1500" s="11" t="str">
        <f>+LEFT(U1500,4)</f>
        <v>BOX-</v>
      </c>
      <c r="K1500" t="s">
        <v>10</v>
      </c>
      <c r="L1500">
        <v>3000</v>
      </c>
      <c r="M1500" t="s">
        <v>1472</v>
      </c>
      <c r="N1500" t="s">
        <v>11</v>
      </c>
      <c r="O1500">
        <v>3.18</v>
      </c>
      <c r="P1500" s="45">
        <f t="shared" si="102"/>
        <v>9540</v>
      </c>
      <c r="Q1500" s="13">
        <f>IF(N1500="HKD",7.8,IF(N1500="CNY",7.30034,1))</f>
        <v>7.3003400000000003</v>
      </c>
      <c r="R1500" s="15">
        <f>+ROUND(O1500/Q1500,4)</f>
        <v>0.43559999999999999</v>
      </c>
      <c r="S1500" s="14">
        <f>ROUND(R1500*L1500,2)</f>
        <v>1306.8</v>
      </c>
      <c r="T1500" s="15" t="s">
        <v>349</v>
      </c>
      <c r="U1500" t="s">
        <v>1</v>
      </c>
      <c r="W1500" s="49" t="e">
        <f t="shared" si="103"/>
        <v>#DIV/0!</v>
      </c>
    </row>
    <row r="1501" spans="1:23" x14ac:dyDescent="0.2">
      <c r="A1501" t="s">
        <v>2693</v>
      </c>
      <c r="B1501" s="24">
        <v>45747</v>
      </c>
      <c r="C1501" s="24">
        <v>45728</v>
      </c>
      <c r="D1501" t="s">
        <v>280</v>
      </c>
      <c r="E1501" t="s">
        <v>281</v>
      </c>
      <c r="F1501" s="23"/>
      <c r="G1501" t="s">
        <v>3032</v>
      </c>
      <c r="H1501" t="s">
        <v>278</v>
      </c>
      <c r="I1501" t="s">
        <v>279</v>
      </c>
      <c r="J1501" s="11" t="str">
        <f>+LEFT(U1501,4)</f>
        <v>BOX-</v>
      </c>
      <c r="K1501" t="s">
        <v>10</v>
      </c>
      <c r="L1501">
        <v>3000</v>
      </c>
      <c r="M1501" t="s">
        <v>1472</v>
      </c>
      <c r="N1501" t="s">
        <v>11</v>
      </c>
      <c r="O1501">
        <v>5</v>
      </c>
      <c r="P1501" s="45">
        <f t="shared" si="102"/>
        <v>15000</v>
      </c>
      <c r="Q1501" s="13">
        <f>IF(N1501="HKD",7.8,IF(N1501="CNY",7.30034,1))</f>
        <v>7.3003400000000003</v>
      </c>
      <c r="R1501" s="15">
        <f>+ROUND(O1501/Q1501,4)</f>
        <v>0.68489999999999995</v>
      </c>
      <c r="S1501" s="14">
        <f>ROUND(R1501*L1501,2)</f>
        <v>2054.6999999999998</v>
      </c>
      <c r="T1501" s="15" t="s">
        <v>349</v>
      </c>
      <c r="U1501" t="s">
        <v>1</v>
      </c>
      <c r="W1501" s="49" t="e">
        <f t="shared" si="103"/>
        <v>#DIV/0!</v>
      </c>
    </row>
    <row r="1502" spans="1:23" x14ac:dyDescent="0.2">
      <c r="A1502" t="s">
        <v>2714</v>
      </c>
      <c r="B1502" s="24">
        <v>45747</v>
      </c>
      <c r="C1502" s="24">
        <v>45728</v>
      </c>
      <c r="D1502" t="s">
        <v>651</v>
      </c>
      <c r="E1502" t="s">
        <v>652</v>
      </c>
      <c r="F1502" s="23"/>
      <c r="G1502" t="s">
        <v>3019</v>
      </c>
      <c r="H1502" t="s">
        <v>3200</v>
      </c>
      <c r="I1502" t="s">
        <v>3407</v>
      </c>
      <c r="J1502" s="11" t="str">
        <f>+LEFT(U1502,4)</f>
        <v>HDL-</v>
      </c>
      <c r="K1502" t="s">
        <v>10</v>
      </c>
      <c r="L1502">
        <v>3030</v>
      </c>
      <c r="M1502" t="s">
        <v>1472</v>
      </c>
      <c r="N1502" t="s">
        <v>11</v>
      </c>
      <c r="O1502">
        <v>2.3401999999999998</v>
      </c>
      <c r="P1502" s="45">
        <f t="shared" si="102"/>
        <v>7090.81</v>
      </c>
      <c r="Q1502" s="13">
        <f>IF(N1502="HKD",7.8,IF(N1502="CNY",7.30034,1))</f>
        <v>7.3003400000000003</v>
      </c>
      <c r="R1502" s="15">
        <f>+ROUND(O1502/Q1502,4)</f>
        <v>0.3206</v>
      </c>
      <c r="S1502" s="14">
        <f>ROUND(R1502*L1502,2)</f>
        <v>971.42</v>
      </c>
      <c r="T1502" s="15" t="s">
        <v>349</v>
      </c>
      <c r="U1502" t="s">
        <v>228</v>
      </c>
      <c r="W1502" s="49" t="e">
        <f t="shared" si="103"/>
        <v>#DIV/0!</v>
      </c>
    </row>
    <row r="1503" spans="1:23" x14ac:dyDescent="0.2">
      <c r="A1503" t="s">
        <v>2752</v>
      </c>
      <c r="B1503" s="24">
        <v>45747</v>
      </c>
      <c r="C1503" s="24">
        <v>45729</v>
      </c>
      <c r="D1503" t="s">
        <v>651</v>
      </c>
      <c r="E1503" t="s">
        <v>652</v>
      </c>
      <c r="F1503" s="23"/>
      <c r="G1503" t="s">
        <v>2906</v>
      </c>
      <c r="H1503" t="s">
        <v>3116</v>
      </c>
      <c r="I1503" t="s">
        <v>3330</v>
      </c>
      <c r="J1503" s="11" t="str">
        <f>+LEFT(U1503,4)</f>
        <v>HDL-</v>
      </c>
      <c r="K1503" t="s">
        <v>10</v>
      </c>
      <c r="L1503">
        <v>1030</v>
      </c>
      <c r="M1503" t="s">
        <v>1472</v>
      </c>
      <c r="N1503" t="s">
        <v>11</v>
      </c>
      <c r="O1503">
        <v>1.76</v>
      </c>
      <c r="P1503" s="45">
        <f t="shared" si="102"/>
        <v>1812.8</v>
      </c>
      <c r="Q1503" s="13">
        <f>IF(N1503="HKD",7.8,IF(N1503="CNY",7.30034,1))</f>
        <v>7.3003400000000003</v>
      </c>
      <c r="R1503" s="15">
        <f>+ROUND(O1503/Q1503,4)</f>
        <v>0.24110000000000001</v>
      </c>
      <c r="S1503" s="14">
        <f>ROUND(R1503*L1503,2)</f>
        <v>248.33</v>
      </c>
      <c r="T1503" s="15" t="s">
        <v>349</v>
      </c>
      <c r="U1503" t="s">
        <v>228</v>
      </c>
      <c r="W1503" s="49" t="e">
        <f t="shared" si="103"/>
        <v>#DIV/0!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66" workbookViewId="0">
      <selection activeCell="F73" sqref="F73"/>
    </sheetView>
  </sheetViews>
  <sheetFormatPr defaultRowHeight="12.75" x14ac:dyDescent="0.2"/>
  <cols>
    <col min="1" max="1" width="16.5703125" style="17" customWidth="1"/>
    <col min="2" max="2" width="55" style="17" customWidth="1"/>
    <col min="3" max="3" width="18.85546875" style="17" customWidth="1"/>
    <col min="4" max="16384" width="9.140625" style="17"/>
  </cols>
  <sheetData>
    <row r="1" spans="1:3" x14ac:dyDescent="0.2">
      <c r="A1" s="1" t="s">
        <v>1459</v>
      </c>
      <c r="B1" s="1" t="s">
        <v>1460</v>
      </c>
      <c r="C1" s="1" t="s">
        <v>1473</v>
      </c>
    </row>
    <row r="2" spans="1:3" x14ac:dyDescent="0.2">
      <c r="A2" s="10" t="s">
        <v>1474</v>
      </c>
      <c r="B2" s="10" t="s">
        <v>1475</v>
      </c>
      <c r="C2" s="10" t="s">
        <v>1476</v>
      </c>
    </row>
    <row r="3" spans="1:3" x14ac:dyDescent="0.2">
      <c r="A3" s="10" t="s">
        <v>703</v>
      </c>
      <c r="B3" s="10" t="s">
        <v>1477</v>
      </c>
      <c r="C3" s="10" t="s">
        <v>1478</v>
      </c>
    </row>
    <row r="4" spans="1:3" x14ac:dyDescent="0.2">
      <c r="A4" s="10" t="s">
        <v>1479</v>
      </c>
      <c r="B4" s="10" t="s">
        <v>936</v>
      </c>
      <c r="C4" s="10" t="s">
        <v>1478</v>
      </c>
    </row>
    <row r="5" spans="1:3" x14ac:dyDescent="0.2">
      <c r="A5" s="10" t="s">
        <v>1480</v>
      </c>
      <c r="B5" s="10" t="s">
        <v>83</v>
      </c>
      <c r="C5" s="10" t="s">
        <v>1478</v>
      </c>
    </row>
    <row r="6" spans="1:3" x14ac:dyDescent="0.2">
      <c r="A6" s="18" t="s">
        <v>1481</v>
      </c>
      <c r="B6" s="18" t="s">
        <v>82</v>
      </c>
      <c r="C6" s="10" t="s">
        <v>1478</v>
      </c>
    </row>
    <row r="7" spans="1:3" x14ac:dyDescent="0.2">
      <c r="A7" s="10" t="s">
        <v>1482</v>
      </c>
      <c r="B7" s="10" t="s">
        <v>1483</v>
      </c>
      <c r="C7" s="10" t="s">
        <v>1484</v>
      </c>
    </row>
    <row r="8" spans="1:3" x14ac:dyDescent="0.2">
      <c r="A8" s="10" t="s">
        <v>920</v>
      </c>
      <c r="B8" s="10" t="s">
        <v>921</v>
      </c>
      <c r="C8" s="10" t="s">
        <v>1484</v>
      </c>
    </row>
    <row r="9" spans="1:3" x14ac:dyDescent="0.2">
      <c r="A9" s="10" t="s">
        <v>1485</v>
      </c>
      <c r="B9" s="10" t="s">
        <v>1486</v>
      </c>
      <c r="C9" s="10" t="s">
        <v>1484</v>
      </c>
    </row>
    <row r="10" spans="1:3" x14ac:dyDescent="0.2">
      <c r="A10" s="10" t="s">
        <v>1487</v>
      </c>
      <c r="B10" s="10" t="s">
        <v>1488</v>
      </c>
      <c r="C10" s="10" t="s">
        <v>1484</v>
      </c>
    </row>
    <row r="11" spans="1:3" x14ac:dyDescent="0.2">
      <c r="A11" s="10" t="s">
        <v>1489</v>
      </c>
      <c r="B11" s="10" t="s">
        <v>1490</v>
      </c>
      <c r="C11" s="10" t="s">
        <v>1484</v>
      </c>
    </row>
    <row r="12" spans="1:3" x14ac:dyDescent="0.2">
      <c r="A12" s="10" t="s">
        <v>1491</v>
      </c>
      <c r="B12" s="10" t="s">
        <v>1492</v>
      </c>
      <c r="C12" s="10" t="s">
        <v>1484</v>
      </c>
    </row>
    <row r="13" spans="1:3" x14ac:dyDescent="0.2">
      <c r="A13" s="10" t="s">
        <v>1493</v>
      </c>
      <c r="B13" s="10" t="s">
        <v>1494</v>
      </c>
      <c r="C13" s="10" t="s">
        <v>1484</v>
      </c>
    </row>
    <row r="14" spans="1:3" x14ac:dyDescent="0.2">
      <c r="A14" s="10" t="s">
        <v>1495</v>
      </c>
      <c r="B14" s="10" t="s">
        <v>1496</v>
      </c>
      <c r="C14" s="10" t="s">
        <v>1484</v>
      </c>
    </row>
    <row r="15" spans="1:3" x14ac:dyDescent="0.2">
      <c r="A15" s="10" t="s">
        <v>1497</v>
      </c>
      <c r="B15" s="10" t="s">
        <v>1498</v>
      </c>
      <c r="C15" s="10" t="s">
        <v>1484</v>
      </c>
    </row>
    <row r="16" spans="1:3" x14ac:dyDescent="0.2">
      <c r="A16" s="10" t="s">
        <v>864</v>
      </c>
      <c r="B16" s="10" t="s">
        <v>865</v>
      </c>
      <c r="C16" s="10" t="s">
        <v>1484</v>
      </c>
    </row>
    <row r="17" spans="1:3" x14ac:dyDescent="0.2">
      <c r="A17" s="10" t="s">
        <v>908</v>
      </c>
      <c r="B17" s="10" t="s">
        <v>909</v>
      </c>
      <c r="C17" s="10" t="s">
        <v>1484</v>
      </c>
    </row>
    <row r="18" spans="1:3" x14ac:dyDescent="0.2">
      <c r="A18" s="10" t="s">
        <v>1499</v>
      </c>
      <c r="B18" s="10" t="s">
        <v>1500</v>
      </c>
      <c r="C18" s="10" t="s">
        <v>1484</v>
      </c>
    </row>
    <row r="19" spans="1:3" x14ac:dyDescent="0.2">
      <c r="A19" s="10" t="s">
        <v>880</v>
      </c>
      <c r="B19" s="10" t="s">
        <v>881</v>
      </c>
      <c r="C19" s="10" t="s">
        <v>1484</v>
      </c>
    </row>
    <row r="20" spans="1:3" x14ac:dyDescent="0.2">
      <c r="A20" s="10" t="s">
        <v>1501</v>
      </c>
      <c r="B20" s="10" t="s">
        <v>1502</v>
      </c>
      <c r="C20" s="10" t="s">
        <v>1484</v>
      </c>
    </row>
    <row r="21" spans="1:3" x14ac:dyDescent="0.2">
      <c r="A21" s="10" t="s">
        <v>877</v>
      </c>
      <c r="B21" s="10" t="s">
        <v>878</v>
      </c>
      <c r="C21" s="10" t="s">
        <v>1484</v>
      </c>
    </row>
    <row r="22" spans="1:3" x14ac:dyDescent="0.2">
      <c r="A22" s="10" t="s">
        <v>874</v>
      </c>
      <c r="B22" s="10" t="s">
        <v>875</v>
      </c>
      <c r="C22" s="10" t="s">
        <v>1484</v>
      </c>
    </row>
    <row r="23" spans="1:3" x14ac:dyDescent="0.2">
      <c r="A23" s="10" t="s">
        <v>870</v>
      </c>
      <c r="B23" s="10" t="s">
        <v>871</v>
      </c>
      <c r="C23" s="10" t="s">
        <v>1484</v>
      </c>
    </row>
    <row r="24" spans="1:3" x14ac:dyDescent="0.2">
      <c r="A24" s="10" t="s">
        <v>1503</v>
      </c>
      <c r="B24" s="10" t="s">
        <v>1504</v>
      </c>
      <c r="C24" s="10" t="s">
        <v>1505</v>
      </c>
    </row>
    <row r="25" spans="1:3" x14ac:dyDescent="0.2">
      <c r="A25" s="10" t="s">
        <v>1408</v>
      </c>
      <c r="B25" s="10" t="s">
        <v>1506</v>
      </c>
      <c r="C25" s="10" t="s">
        <v>1505</v>
      </c>
    </row>
    <row r="26" spans="1:3" x14ac:dyDescent="0.2">
      <c r="A26" s="10" t="s">
        <v>763</v>
      </c>
      <c r="B26" s="10" t="s">
        <v>1507</v>
      </c>
      <c r="C26" s="10" t="s">
        <v>1505</v>
      </c>
    </row>
    <row r="27" spans="1:3" x14ac:dyDescent="0.2">
      <c r="A27" s="10" t="s">
        <v>1405</v>
      </c>
      <c r="B27" s="10" t="s">
        <v>1406</v>
      </c>
      <c r="C27" s="10" t="s">
        <v>1505</v>
      </c>
    </row>
    <row r="28" spans="1:3" x14ac:dyDescent="0.2">
      <c r="A28" s="10" t="s">
        <v>1415</v>
      </c>
      <c r="B28" s="10" t="s">
        <v>1416</v>
      </c>
      <c r="C28" s="10" t="s">
        <v>1505</v>
      </c>
    </row>
    <row r="29" spans="1:3" x14ac:dyDescent="0.2">
      <c r="A29" s="10" t="s">
        <v>1508</v>
      </c>
      <c r="B29" s="10" t="s">
        <v>1509</v>
      </c>
      <c r="C29" s="10" t="s">
        <v>1505</v>
      </c>
    </row>
    <row r="30" spans="1:3" x14ac:dyDescent="0.2">
      <c r="A30" s="10" t="s">
        <v>1510</v>
      </c>
      <c r="B30" s="10" t="s">
        <v>1511</v>
      </c>
      <c r="C30" s="10" t="s">
        <v>1512</v>
      </c>
    </row>
    <row r="31" spans="1:3" x14ac:dyDescent="0.2">
      <c r="A31" s="10" t="s">
        <v>1513</v>
      </c>
      <c r="B31" s="10" t="s">
        <v>1514</v>
      </c>
      <c r="C31" s="10" t="s">
        <v>1505</v>
      </c>
    </row>
    <row r="32" spans="1:3" x14ac:dyDescent="0.2">
      <c r="A32" s="10" t="s">
        <v>1515</v>
      </c>
      <c r="B32" s="10" t="s">
        <v>1516</v>
      </c>
      <c r="C32" s="10" t="s">
        <v>1505</v>
      </c>
    </row>
    <row r="33" spans="1:3" x14ac:dyDescent="0.2">
      <c r="A33" s="10" t="s">
        <v>1425</v>
      </c>
      <c r="B33" s="10" t="s">
        <v>1426</v>
      </c>
      <c r="C33" s="10" t="s">
        <v>1505</v>
      </c>
    </row>
    <row r="34" spans="1:3" x14ac:dyDescent="0.2">
      <c r="A34" s="10" t="s">
        <v>1517</v>
      </c>
      <c r="B34" s="10" t="s">
        <v>1518</v>
      </c>
      <c r="C34" s="10" t="s">
        <v>1505</v>
      </c>
    </row>
    <row r="35" spans="1:3" x14ac:dyDescent="0.2">
      <c r="A35" s="10" t="s">
        <v>1419</v>
      </c>
      <c r="B35" s="10" t="s">
        <v>1420</v>
      </c>
      <c r="C35" s="10" t="s">
        <v>1505</v>
      </c>
    </row>
    <row r="36" spans="1:3" x14ac:dyDescent="0.2">
      <c r="A36" s="10" t="s">
        <v>1519</v>
      </c>
      <c r="B36" s="10" t="s">
        <v>1520</v>
      </c>
      <c r="C36" s="10" t="s">
        <v>1505</v>
      </c>
    </row>
    <row r="37" spans="1:3" x14ac:dyDescent="0.2">
      <c r="A37" s="10" t="s">
        <v>1521</v>
      </c>
      <c r="B37" s="10" t="s">
        <v>1522</v>
      </c>
      <c r="C37" s="10" t="s">
        <v>1505</v>
      </c>
    </row>
    <row r="38" spans="1:3" x14ac:dyDescent="0.2">
      <c r="A38" s="18" t="s">
        <v>759</v>
      </c>
      <c r="B38" s="18" t="s">
        <v>760</v>
      </c>
      <c r="C38" s="10" t="s">
        <v>1505</v>
      </c>
    </row>
    <row r="39" spans="1:3" x14ac:dyDescent="0.2">
      <c r="A39" s="18" t="s">
        <v>1523</v>
      </c>
      <c r="B39" s="18" t="s">
        <v>1524</v>
      </c>
      <c r="C39" s="10" t="s">
        <v>1505</v>
      </c>
    </row>
    <row r="40" spans="1:3" x14ac:dyDescent="0.2">
      <c r="A40" s="10" t="s">
        <v>567</v>
      </c>
      <c r="B40" s="10" t="s">
        <v>568</v>
      </c>
      <c r="C40" s="10" t="s">
        <v>1505</v>
      </c>
    </row>
    <row r="41" spans="1:3" x14ac:dyDescent="0.2">
      <c r="A41" s="10" t="s">
        <v>769</v>
      </c>
      <c r="B41" s="10" t="s">
        <v>770</v>
      </c>
      <c r="C41" s="10" t="s">
        <v>1505</v>
      </c>
    </row>
    <row r="42" spans="1:3" x14ac:dyDescent="0.2">
      <c r="A42" s="10" t="s">
        <v>766</v>
      </c>
      <c r="B42" s="10" t="s">
        <v>767</v>
      </c>
      <c r="C42" s="10" t="s">
        <v>1505</v>
      </c>
    </row>
    <row r="43" spans="1:3" x14ac:dyDescent="0.2">
      <c r="A43" s="10" t="s">
        <v>1525</v>
      </c>
      <c r="B43" s="10" t="s">
        <v>1526</v>
      </c>
      <c r="C43" s="10" t="s">
        <v>1527</v>
      </c>
    </row>
    <row r="44" spans="1:3" x14ac:dyDescent="0.2">
      <c r="A44" s="10" t="s">
        <v>1022</v>
      </c>
      <c r="B44" s="10" t="s">
        <v>1023</v>
      </c>
      <c r="C44" s="10" t="s">
        <v>1527</v>
      </c>
    </row>
    <row r="45" spans="1:3" x14ac:dyDescent="0.2">
      <c r="A45" s="10" t="s">
        <v>1528</v>
      </c>
      <c r="B45" s="10" t="s">
        <v>1529</v>
      </c>
      <c r="C45" s="10" t="s">
        <v>1527</v>
      </c>
    </row>
    <row r="46" spans="1:3" x14ac:dyDescent="0.2">
      <c r="A46" s="10" t="s">
        <v>685</v>
      </c>
      <c r="B46" s="10" t="s">
        <v>686</v>
      </c>
      <c r="C46" s="10" t="s">
        <v>1527</v>
      </c>
    </row>
    <row r="47" spans="1:3" x14ac:dyDescent="0.2">
      <c r="A47" s="10" t="s">
        <v>1530</v>
      </c>
      <c r="B47" s="10" t="s">
        <v>1531</v>
      </c>
      <c r="C47" s="10" t="s">
        <v>1527</v>
      </c>
    </row>
    <row r="48" spans="1:3" x14ac:dyDescent="0.2">
      <c r="A48" s="10" t="s">
        <v>678</v>
      </c>
      <c r="B48" s="10" t="s">
        <v>679</v>
      </c>
      <c r="C48" s="10" t="s">
        <v>1527</v>
      </c>
    </row>
    <row r="49" spans="1:3" x14ac:dyDescent="0.2">
      <c r="A49" s="10" t="s">
        <v>1532</v>
      </c>
      <c r="B49" s="10" t="s">
        <v>1533</v>
      </c>
      <c r="C49" s="10" t="s">
        <v>1527</v>
      </c>
    </row>
    <row r="50" spans="1:3" x14ac:dyDescent="0.2">
      <c r="A50" s="10" t="s">
        <v>682</v>
      </c>
      <c r="B50" s="10" t="s">
        <v>683</v>
      </c>
      <c r="C50" s="10" t="s">
        <v>1527</v>
      </c>
    </row>
    <row r="51" spans="1:3" x14ac:dyDescent="0.2">
      <c r="A51" s="10" t="s">
        <v>1534</v>
      </c>
      <c r="B51" s="10" t="s">
        <v>1307</v>
      </c>
      <c r="C51" s="10" t="s">
        <v>1527</v>
      </c>
    </row>
    <row r="52" spans="1:3" x14ac:dyDescent="0.2">
      <c r="A52" s="10" t="s">
        <v>890</v>
      </c>
      <c r="B52" s="10" t="s">
        <v>1535</v>
      </c>
      <c r="C52" s="10" t="s">
        <v>1536</v>
      </c>
    </row>
    <row r="53" spans="1:3" x14ac:dyDescent="0.2">
      <c r="A53" s="10" t="s">
        <v>1537</v>
      </c>
      <c r="B53" s="10" t="s">
        <v>1538</v>
      </c>
      <c r="C53" s="10" t="s">
        <v>1536</v>
      </c>
    </row>
    <row r="54" spans="1:3" x14ac:dyDescent="0.2">
      <c r="A54" s="10" t="s">
        <v>1539</v>
      </c>
      <c r="B54" s="10" t="s">
        <v>1540</v>
      </c>
      <c r="C54" s="10" t="s">
        <v>1536</v>
      </c>
    </row>
    <row r="55" spans="1:3" x14ac:dyDescent="0.2">
      <c r="A55" s="10" t="s">
        <v>1541</v>
      </c>
      <c r="B55" s="10" t="s">
        <v>1542</v>
      </c>
      <c r="C55" s="10" t="s">
        <v>1536</v>
      </c>
    </row>
    <row r="56" spans="1:3" x14ac:dyDescent="0.2">
      <c r="A56" s="18" t="s">
        <v>1543</v>
      </c>
      <c r="B56" s="18" t="s">
        <v>1544</v>
      </c>
      <c r="C56" s="10" t="s">
        <v>1536</v>
      </c>
    </row>
    <row r="57" spans="1:3" x14ac:dyDescent="0.2">
      <c r="A57" s="10" t="s">
        <v>694</v>
      </c>
      <c r="B57" s="10" t="s">
        <v>695</v>
      </c>
      <c r="C57" s="10" t="s">
        <v>1536</v>
      </c>
    </row>
    <row r="58" spans="1:3" x14ac:dyDescent="0.2">
      <c r="A58" s="10" t="s">
        <v>700</v>
      </c>
      <c r="B58" s="10" t="s">
        <v>701</v>
      </c>
      <c r="C58" s="10" t="s">
        <v>1536</v>
      </c>
    </row>
    <row r="59" spans="1:3" x14ac:dyDescent="0.2">
      <c r="A59" s="10" t="s">
        <v>81</v>
      </c>
      <c r="B59" s="10" t="s">
        <v>1545</v>
      </c>
      <c r="C59" s="10" t="s">
        <v>1478</v>
      </c>
    </row>
    <row r="60" spans="1:3" x14ac:dyDescent="0.2">
      <c r="A60" s="10" t="s">
        <v>1546</v>
      </c>
      <c r="B60" s="10" t="s">
        <v>1547</v>
      </c>
      <c r="C60" s="10" t="s">
        <v>1484</v>
      </c>
    </row>
    <row r="61" spans="1:3" x14ac:dyDescent="0.2">
      <c r="A61" s="10" t="s">
        <v>79</v>
      </c>
      <c r="B61" s="10" t="s">
        <v>80</v>
      </c>
      <c r="C61" s="10" t="s">
        <v>1478</v>
      </c>
    </row>
    <row r="62" spans="1:3" x14ac:dyDescent="0.2">
      <c r="A62" s="10" t="s">
        <v>34</v>
      </c>
      <c r="B62" s="10" t="s">
        <v>35</v>
      </c>
      <c r="C62" s="10" t="s">
        <v>1484</v>
      </c>
    </row>
    <row r="63" spans="1:3" x14ac:dyDescent="0.2">
      <c r="A63" s="10" t="s">
        <v>1306</v>
      </c>
      <c r="B63" s="10" t="s">
        <v>1307</v>
      </c>
      <c r="C63" s="10" t="s">
        <v>1527</v>
      </c>
    </row>
    <row r="64" spans="1:3" x14ac:dyDescent="0.2">
      <c r="A64" s="10" t="s">
        <v>1548</v>
      </c>
      <c r="B64" s="10" t="s">
        <v>1549</v>
      </c>
      <c r="C64" s="10" t="s">
        <v>1527</v>
      </c>
    </row>
    <row r="65" spans="1:3" x14ac:dyDescent="0.2">
      <c r="A65" s="10" t="s">
        <v>1550</v>
      </c>
      <c r="B65" s="10" t="s">
        <v>1533</v>
      </c>
      <c r="C65" s="10" t="s">
        <v>1527</v>
      </c>
    </row>
    <row r="66" spans="1:3" x14ac:dyDescent="0.2">
      <c r="A66" s="10" t="s">
        <v>916</v>
      </c>
      <c r="B66" s="10" t="s">
        <v>917</v>
      </c>
      <c r="C66" s="10" t="s">
        <v>1484</v>
      </c>
    </row>
    <row r="67" spans="1:3" x14ac:dyDescent="0.2">
      <c r="A67" s="10" t="s">
        <v>1551</v>
      </c>
      <c r="B67" s="10" t="s">
        <v>1552</v>
      </c>
      <c r="C67" s="10" t="s">
        <v>1484</v>
      </c>
    </row>
    <row r="68" spans="1:3" x14ac:dyDescent="0.2">
      <c r="A68" s="10" t="s">
        <v>1553</v>
      </c>
      <c r="B68" s="10" t="s">
        <v>1554</v>
      </c>
      <c r="C68" s="10" t="s">
        <v>1476</v>
      </c>
    </row>
    <row r="69" spans="1:3" x14ac:dyDescent="0.2">
      <c r="A69" s="10" t="s">
        <v>1422</v>
      </c>
      <c r="B69" s="10" t="s">
        <v>1423</v>
      </c>
      <c r="C69" s="10" t="s">
        <v>1505</v>
      </c>
    </row>
    <row r="70" spans="1:3" x14ac:dyDescent="0.2">
      <c r="A70" s="10" t="s">
        <v>1555</v>
      </c>
      <c r="B70" s="10" t="s">
        <v>1556</v>
      </c>
      <c r="C70" s="10" t="s">
        <v>1505</v>
      </c>
    </row>
    <row r="71" spans="1:3" x14ac:dyDescent="0.2">
      <c r="A71" s="10" t="s">
        <v>1557</v>
      </c>
      <c r="B71" s="10" t="s">
        <v>1558</v>
      </c>
      <c r="C71" s="10" t="s">
        <v>1478</v>
      </c>
    </row>
    <row r="72" spans="1:3" x14ac:dyDescent="0.2">
      <c r="A72" s="10" t="s">
        <v>73</v>
      </c>
      <c r="B72" s="10" t="s">
        <v>74</v>
      </c>
      <c r="C72" s="10" t="s">
        <v>1478</v>
      </c>
    </row>
    <row r="73" spans="1:3" x14ac:dyDescent="0.2">
      <c r="A73" s="10" t="s">
        <v>71</v>
      </c>
      <c r="B73" s="10" t="s">
        <v>72</v>
      </c>
      <c r="C73" s="10" t="s">
        <v>1478</v>
      </c>
    </row>
    <row r="74" spans="1:3" x14ac:dyDescent="0.2">
      <c r="A74" s="10" t="s">
        <v>75</v>
      </c>
      <c r="B74" s="10" t="s">
        <v>1559</v>
      </c>
      <c r="C74" s="10" t="s">
        <v>1478</v>
      </c>
    </row>
    <row r="75" spans="1:3" x14ac:dyDescent="0.2">
      <c r="A75" s="19" t="s">
        <v>688</v>
      </c>
      <c r="B75" s="19" t="s">
        <v>689</v>
      </c>
      <c r="C75" s="10" t="s">
        <v>1527</v>
      </c>
    </row>
    <row r="76" spans="1:3" x14ac:dyDescent="0.2">
      <c r="A76" s="19" t="s">
        <v>688</v>
      </c>
      <c r="B76" s="19" t="s">
        <v>689</v>
      </c>
      <c r="C76" s="10" t="s">
        <v>1527</v>
      </c>
    </row>
    <row r="77" spans="1:3" x14ac:dyDescent="0.2">
      <c r="A77" s="19" t="s">
        <v>1026</v>
      </c>
      <c r="B77" s="19" t="s">
        <v>1027</v>
      </c>
      <c r="C77" s="10" t="s">
        <v>1527</v>
      </c>
    </row>
    <row r="78" spans="1:3" x14ac:dyDescent="0.2">
      <c r="A78" s="19" t="s">
        <v>912</v>
      </c>
      <c r="B78" s="19" t="s">
        <v>913</v>
      </c>
      <c r="C78" s="10" t="s">
        <v>1484</v>
      </c>
    </row>
    <row r="79" spans="1:3" x14ac:dyDescent="0.2">
      <c r="A79" s="19" t="s">
        <v>887</v>
      </c>
      <c r="B79" s="19" t="s">
        <v>888</v>
      </c>
      <c r="C79" s="10" t="s">
        <v>1484</v>
      </c>
    </row>
    <row r="80" spans="1:3" x14ac:dyDescent="0.2">
      <c r="A80" s="19" t="s">
        <v>883</v>
      </c>
      <c r="B80" s="19" t="s">
        <v>884</v>
      </c>
      <c r="C80" s="10" t="s">
        <v>1484</v>
      </c>
    </row>
    <row r="81" spans="1:3" x14ac:dyDescent="0.2">
      <c r="A81" t="s">
        <v>3068</v>
      </c>
      <c r="B81" t="s">
        <v>3285</v>
      </c>
      <c r="C81" s="10" t="s">
        <v>1527</v>
      </c>
    </row>
    <row r="82" spans="1:3" x14ac:dyDescent="0.2">
      <c r="A82" t="s">
        <v>3068</v>
      </c>
      <c r="B82" t="s">
        <v>3285</v>
      </c>
      <c r="C82" s="10" t="s">
        <v>1527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汇总MHK</vt:lpstr>
      <vt:lpstr>汇总MZQ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dcterms:created xsi:type="dcterms:W3CDTF">2025-02-11T08:35:27Z</dcterms:created>
  <dcterms:modified xsi:type="dcterms:W3CDTF">2025-04-09T08:14:34Z</dcterms:modified>
</cp:coreProperties>
</file>